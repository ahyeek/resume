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tansieo\Desktop\"/>
    </mc:Choice>
  </mc:AlternateContent>
  <bookViews>
    <workbookView xWindow="25755" yWindow="0" windowWidth="19200" windowHeight="7305" activeTab="1"/>
  </bookViews>
  <sheets>
    <sheet name="Language" sheetId="8" r:id="rId1"/>
    <sheet name="New Hire Form" sheetId="1" r:id="rId2"/>
    <sheet name="Auxiliary" sheetId="6" state="veryHidden" r:id="rId3"/>
    <sheet name="Field labels" sheetId="7" state="veryHidden" r:id="rId4"/>
    <sheet name="PickLists" sheetId="5" state="veryHidden" r:id="rId5"/>
    <sheet name="DynamicPicklists" sheetId="10" state="veryHidden" r:id="rId6"/>
  </sheets>
  <functionGroups builtInGroupCount="18"/>
  <definedNames>
    <definedName name="_xlnm._FilterDatabase" localSheetId="3" hidden="1">'Field labels'!$2:$698</definedName>
    <definedName name="_xlnm._FilterDatabase" localSheetId="4" hidden="1">PickLists!$A$1:$O$5878</definedName>
    <definedName name="aaf_toggle">DynamicPicklists!$CA$44</definedName>
    <definedName name="ab_num_lbl">'Field labels'!$B$319</definedName>
    <definedName name="ab_num_rng">Auxiliary!$211:$212</definedName>
    <definedName name="ab_num_toggle">DynamicPicklists!$CA$125</definedName>
    <definedName name="abor_ppl_range">'New Hire Form'!$137:$138</definedName>
    <definedName name="aborig_ppl">'New Hire Form'!$E$137</definedName>
    <definedName name="Aboriginal_People_label">'Field labels'!$B$38</definedName>
    <definedName name="acc_no_range">'New Hire Form'!$367:$368</definedName>
    <definedName name="acc_own_range">'New Hire Form'!$349:$350</definedName>
    <definedName name="acc_type_range">'New Hire Form'!$357:$358</definedName>
    <definedName name="accom_prov">'New Hire Form'!$E$143</definedName>
    <definedName name="accom_prov_range">'New Hire Form'!$143:$144</definedName>
    <definedName name="Accommodation_Provided_label">'Field labels'!$B$41</definedName>
    <definedName name="Account_Number">'Field labels'!$B$107</definedName>
    <definedName name="Account_Owner">'Field labels'!$B$102</definedName>
    <definedName name="Account_Type">'New Hire Form'!$E$357</definedName>
    <definedName name="Account_Type_label">'Field labels'!$B$103</definedName>
    <definedName name="Acquired_lbl">'Field labels'!$B$449</definedName>
    <definedName name="Acquired_rng">Auxiliary!$421:$422</definedName>
    <definedName name="Acquired_toggle">DynamicPicklists!$CA$236</definedName>
    <definedName name="add_detailed_address_lbl">'Field labels'!$B$359</definedName>
    <definedName name="add_info_label">'Field labels'!$B$112</definedName>
    <definedName name="add_info_range">'New Hire Form'!$388:$462</definedName>
    <definedName name="add1_lbl">'Field labels'!$B$268</definedName>
    <definedName name="add1_rng">'New Hire Form'!$175:$176</definedName>
    <definedName name="add1_toggle">DynamicPicklists!$W$2</definedName>
    <definedName name="add2_lbl">'Field labels'!$B$269</definedName>
    <definedName name="add2_rng">'New Hire Form'!$177:$178</definedName>
    <definedName name="add2_toggle">DynamicPicklists!$X$2</definedName>
    <definedName name="Address_country">'New Hire Form'!$E$155</definedName>
    <definedName name="Address_country2">'New Hire Form'!$G$155</definedName>
    <definedName name="Address_country3">'New Hire Form'!$I$155</definedName>
    <definedName name="Address_Label">'Field labels'!$B$44</definedName>
    <definedName name="address_type">'New Hire Form'!$E$153</definedName>
    <definedName name="Address_type_label">'Field labels'!$B$45</definedName>
    <definedName name="address_type2">'New Hire Form'!$G$153</definedName>
    <definedName name="address_type3">'New Hire Form'!$I$153</definedName>
    <definedName name="Addressee_label">'Field labels'!$B$62</definedName>
    <definedName name="addressee_range">'New Hire Form'!$225:$226</definedName>
    <definedName name="addressee_toggle">DynamicPicklists!$U$2</definedName>
    <definedName name="agree_avail_lbl">'Field labels'!$B$206</definedName>
    <definedName name="agree_date_lbl">'Field labels'!$B$205</definedName>
    <definedName name="agree_date_rng">Auxiliary!$45:$46</definedName>
    <definedName name="agree_from_rng">Auxiliary!$47:$48</definedName>
    <definedName name="ai_toggle">DynamicPicklists!$AW$58</definedName>
    <definedName name="Alternative_Cost_Distribution">'Field labels'!$B$170</definedName>
    <definedName name="amex_lbl">'Field labels'!$B$207</definedName>
    <definedName name="amex_rng">Auxiliary!$49:$50</definedName>
    <definedName name="Amount">'Field labels'!$B$181</definedName>
    <definedName name="Amount_label">'New Hire Form'!$C$597</definedName>
    <definedName name="Amount2">'Field labels'!#REF!</definedName>
    <definedName name="an_toggle">DynamicPicklists!$AW$52</definedName>
    <definedName name="Annual_Leave_Anniversary_dt_rng">'New Hire Form'!$562:$563</definedName>
    <definedName name="Annual_Leave_Anniversary_dt_toggle">DynamicPicklists!$CA$241</definedName>
    <definedName name="Annual_Leave_Anniversary_dt_toggle_lbl">'Field labels'!$B$455</definedName>
    <definedName name="ao_toggle">DynamicPicklists!$AW$47</definedName>
    <definedName name="aohi_toggle">DynamicPicklists!$AW$68</definedName>
    <definedName name="ap_toggle">DynamicPicklists!$AW$22</definedName>
    <definedName name="ap2_toggle">DynamicPicklists!$AW$25</definedName>
    <definedName name="Apartment_label">'Field labels'!$B$50</definedName>
    <definedName name="apartment_range">'New Hire Form'!$173:$174</definedName>
    <definedName name="apartment_toggle">DynamicPicklists!$J$2</definedName>
    <definedName name="appl_socso_lbl">'Field labels'!$B$348</definedName>
    <definedName name="appl_socso_rng">Auxiliary!$269:$270</definedName>
    <definedName name="appl_socso_toggle">DynamicPicklists!$CA$154</definedName>
    <definedName name="appl_spouse_rel">'Field labels'!$B$350</definedName>
    <definedName name="appl_spouse_rng">Auxiliary!$273:$274</definedName>
    <definedName name="appl_spouse_toggle">DynamicPicklists!$CA$156</definedName>
    <definedName name="appl_union_agree_lbl">'Field labels'!$B$201</definedName>
    <definedName name="ar_toggle">DynamicPicklists!$CA$45</definedName>
    <definedName name="Area_lbl">'Field labels'!$B$353</definedName>
    <definedName name="Area_rng">'New Hire Form'!$209:$210</definedName>
    <definedName name="area_toggle">DynamicPicklists!$Y$2</definedName>
    <definedName name="arg_cbu_lbl">'Field labels'!$B$522</definedName>
    <definedName name="arg_cbu_rng">'New Hire Form'!$369:$370</definedName>
    <definedName name="arg_cbu_toggle">DynamicPicklists!$AW$54</definedName>
    <definedName name="arg_state_of_birth_lbl">'Field labels'!$B$521</definedName>
    <definedName name="arg_state_of_birth_rng">'New Hire Form'!$99:$100</definedName>
    <definedName name="arg_state_of_birth_toggle">DynamicPicklists!$AW$119</definedName>
    <definedName name="at_toggle">DynamicPicklists!$AW$48</definedName>
    <definedName name="aua_toggle">DynamicPicklists!$CA$39</definedName>
    <definedName name="AUS_Inslander_Toggle">DynamicPicklists!$AW$108</definedName>
    <definedName name="AUS_Islander_lbl">'Field labels'!$B$452</definedName>
    <definedName name="AUS_Islander_rng">'New Hire Form'!$451:$452</definedName>
    <definedName name="Auth_Sign_lbl">'Field labels'!$B$457</definedName>
    <definedName name="Auth_Sign_rng">Auxiliary!$427:$437</definedName>
    <definedName name="Auth_Sign_toggle">DynamicPicklists!$CA$243</definedName>
    <definedName name="aux_toggle">DynamicPicklists!$CA$3</definedName>
    <definedName name="ave_variable_bonus_lbl">'Field labels'!$B$317</definedName>
    <definedName name="ave_variable_bonus_rng">Auxiliary!$207:$208</definedName>
    <definedName name="ave_variable_bonus_toggle">DynamicPicklists!$CA$123</definedName>
    <definedName name="Avg_Prem_prev_Yr1_lbl">'Field labels'!$B$399</definedName>
    <definedName name="Avg_Prem_prev_Yr1_rng">Auxiliary!$329:$330</definedName>
    <definedName name="Avg_Prem_prev_Yr1_toggle">DynamicPicklists!$CA$186</definedName>
    <definedName name="Avg_Prem_prev_Yr2_lbl">'Field labels'!$B$405</definedName>
    <definedName name="Avg_Prem_prev_Yr2_rng">Auxiliary!$341:$342</definedName>
    <definedName name="Avg_Prem_prev_Yr2_toggle">DynamicPicklists!$CA$192</definedName>
    <definedName name="Avg_Prem_prev_Yr3_lbl">'Field labels'!$B$411</definedName>
    <definedName name="Avg_Prem_prev_Yr3_rng">Auxiliary!$353:$354</definedName>
    <definedName name="Avg_Prem_prev_Yr3_toggle">DynamicPicklists!$CA$198</definedName>
    <definedName name="ba_toggle">DynamicPicklists!$CA$31</definedName>
    <definedName name="Bank_Country">'New Hire Form'!$E$345</definedName>
    <definedName name="Bank_Country_label">'Field labels'!$B$100</definedName>
    <definedName name="bank_currency">'New Hire Form'!$E$383</definedName>
    <definedName name="bank_currency_type">DynamicPicklists!$E$43</definedName>
    <definedName name="bc_toggle">DynamicPicklists!$CA$18</definedName>
    <definedName name="Benefits_Class_label">'Field labels'!$B$164</definedName>
    <definedName name="Benefits_Eligibility_Start_Date">'Field labels'!$B$246</definedName>
    <definedName name="bf_range">'New Hire Form'!$548:$549</definedName>
    <definedName name="bg_id_rng">'New Hire Form'!$63:$66</definedName>
    <definedName name="bi_toggle">DynamicPicklists!$AW$46</definedName>
    <definedName name="bic_range">'New Hire Form'!$375:$376</definedName>
    <definedName name="bic_toggle">DynamicPicklists!$AW$53</definedName>
    <definedName name="Biographical_Information">'Field labels'!$B$17</definedName>
    <definedName name="Biographical_Information_label">'New Hire Form'!$C$40</definedName>
    <definedName name="birtcn_toggle">DynamicPicklists!$AW$10</definedName>
    <definedName name="Birth_City_lbl">'Field labels'!$B$460</definedName>
    <definedName name="Birth_City_rng">'New Hire Form'!$423:$424</definedName>
    <definedName name="Birth_City_Toggle">DynamicPicklists!$AW$111</definedName>
    <definedName name="birth_cn_lbl">'Field labels'!$B$19</definedName>
    <definedName name="birth_cn_rng">'New Hire Form'!$45:$46</definedName>
    <definedName name="birth_country">'New Hire Form'!$E$45</definedName>
    <definedName name="Birth_name_label">'Field labels'!$B$11</definedName>
    <definedName name="birth_name_rng">'New Hire Form'!$27:$28</definedName>
    <definedName name="birth_prefix_label">'Field labels'!$B$12</definedName>
    <definedName name="birth_prefix_range">'New Hire Form'!$29:$30</definedName>
    <definedName name="birth_prov_label">'Field labels'!$B$21</definedName>
    <definedName name="birthplace_label">'Field labels'!$B$20</definedName>
    <definedName name="birthplace_rng">'New Hire Form'!$47:$48</definedName>
    <definedName name="bn_toggle">DynamicPicklists!$AW$4</definedName>
    <definedName name="bnp_toggle">DynamicPicklists!$AW$5</definedName>
    <definedName name="bonus_target_label">'Field labels'!$B$185</definedName>
    <definedName name="bonus_type">'New Hire Form'!#REF!</definedName>
    <definedName name="bonus_type_label">'Field labels'!$B$184</definedName>
    <definedName name="bra_admission_detail_lbl">'Field labels'!$B$547</definedName>
    <definedName name="bra_application_data_lbl">'Field labels'!$B$576</definedName>
    <definedName name="BRA_Aux_rng">Auxiliary!$554:$659</definedName>
    <definedName name="bra_badge_no_lbl">'Field labels'!$B$560</definedName>
    <definedName name="BRA_Bank_Key_lbl">'Field labels'!$B$467</definedName>
    <definedName name="BRA_Bank_Key_rng">'New Hire Form'!$351:$352</definedName>
    <definedName name="BRA_Bank_Key_Toggle">DynamicPicklists!$AW$114</definedName>
    <definedName name="bra_by_lbl">'Field labels'!$B$580</definedName>
    <definedName name="bra_code_lbl">'Field labels'!$B$539</definedName>
    <definedName name="bra_condition_admission_lbl">'Field labels'!$B$583</definedName>
    <definedName name="bra_controlling_data_lbl">'Field labels'!$B$586</definedName>
    <definedName name="bra_data_for_registration_lbl">'Field labels'!$B$538</definedName>
    <definedName name="bra_data_reg_ronda_lbl">'Field labels'!$B$557</definedName>
    <definedName name="bra_details_person_admitted_lbl">'Field labels'!$B$570</definedName>
    <definedName name="bra_elements_mand_filling_lbl">'Field labels'!$B$588</definedName>
    <definedName name="bra_emp_clock_lbl">'Field labels'!$B$559</definedName>
    <definedName name="bra_emp_registrated_lbl">'Field labels'!$B$558</definedName>
    <definedName name="bra_environment_work_code_lbl">'Field labels'!$B$577</definedName>
    <definedName name="bra_functional_leadership_id_lbl">'Field labels'!$B$545</definedName>
    <definedName name="bra_general_information_lbl">'Field labels'!$B$546</definedName>
    <definedName name="bra_holiday_perm_lbl">'Field labels'!$B$567</definedName>
    <definedName name="bra_host_lbl">'Field labels'!$B$575</definedName>
    <definedName name="bra_indirect_functional_leadship_lbl">'Field labels'!$B$571</definedName>
    <definedName name="bra_labor_union_lbl">'Field labels'!$B$561</definedName>
    <definedName name="bra_leadership_abroad_lbl">'Field labels'!$B$572</definedName>
    <definedName name="bra_legal_Number_lbl">'Field labels'!$B$549</definedName>
    <definedName name="bra_make_exp_contract_lbl">'Field labels'!$B$555</definedName>
    <definedName name="bra_max_wage_range_lbl">'Field labels'!$B$544</definedName>
    <definedName name="bra_med_wage_range_lbl">'Field labels'!$B$543</definedName>
    <definedName name="bra_min_wage_range_lbl">'Field labels'!$B$542</definedName>
    <definedName name="bra_normal_days_perm_lbl">'Field labels'!$B$564</definedName>
    <definedName name="bra_observations_1_lbl">'Field labels'!$B$548</definedName>
    <definedName name="bra_observations_lbl">'Field labels'!$B$541</definedName>
    <definedName name="bra_percentage_performance_lbl">'Field labels'!$B$578</definedName>
    <definedName name="bra_permanent_lbl">'Field labels'!$B$584</definedName>
    <definedName name="bra_permanent_org_chart_lbl">'Field labels'!$B$585</definedName>
    <definedName name="bra_ppr_team_code_lbl">'Field labels'!$B$550</definedName>
    <definedName name="bra_requirements_lbl">'Field labels'!$B$587</definedName>
    <definedName name="bra_responible_cscrh_lbl">'Field labels'!$B$581</definedName>
    <definedName name="bra_responsible_applicant_lbl">'Field labels'!$B$579</definedName>
    <definedName name="bra_responsible_hr_lbl">'Field labels'!$B$582</definedName>
    <definedName name="BRA_Sal_Ac_Bank_lbl">'Field labels'!$B$468</definedName>
    <definedName name="BRA_Sal_Ac_Bank_rng">'New Hire Form'!$371:$372</definedName>
    <definedName name="BRA_Sal_Ac_Bank_Toggle">DynamicPicklists!$AW$115</definedName>
    <definedName name="BRA_Sal_Ac_Branch_lbl">'Field labels'!$B$469</definedName>
    <definedName name="BRA_Sal_Ac_Branch_rng">'New Hire Form'!$373:$374</definedName>
    <definedName name="BRA_Sal_Ac_Branch_Toggle">DynamicPicklists!$AW$116</definedName>
    <definedName name="bra_saturday_perm_lbl">'Field labels'!$B$565</definedName>
    <definedName name="bra_scale_lbl">'Field labels'!$B$563</definedName>
    <definedName name="bra_staff_req_content_lbl">'Field labels'!$B$569</definedName>
    <definedName name="bra_staff_request_lbl">'Field labels'!$B$568</definedName>
    <definedName name="bra_suggested_salary_range_lbl">'Field labels'!$B$574</definedName>
    <definedName name="bra_sunday_perm_lbl">'Field labels'!$B$566</definedName>
    <definedName name="bra_supervisor_charge_lbl">'Field labels'!$B$573</definedName>
    <definedName name="bra_syndicate_cat_lbl">'Field labels'!$B$553</definedName>
    <definedName name="bra_syndicate_prevailing_lbl">'Field labels'!$B$554</definedName>
    <definedName name="bra_time_code_rhevolution_lbl">'Field labels'!$B$556</definedName>
    <definedName name="bra_trade_union_reg_code_lbl">'Field labels'!$B$552</definedName>
    <definedName name="bra_type_calculation_lbl">'Field labels'!$B$562</definedName>
    <definedName name="bra_type_variable_remunaration_lbl">'Field labels'!$B$540</definedName>
    <definedName name="bra_type_workmanship_lbl">'Field labels'!$B$551</definedName>
    <definedName name="branch_id_label">'Field labels'!$B$101</definedName>
    <definedName name="branch_id_range">'New Hire Form'!$347:$348</definedName>
    <definedName name="branch_of_study1_lbl">'Field labels'!$B$346</definedName>
    <definedName name="branch_of_study1_rng">Auxiliary!$265:$266</definedName>
    <definedName name="branch_of_study1_toggle">DynamicPicklists!$CA$152</definedName>
    <definedName name="Brazil_Aux_Toggle">DynamicPicklists!$CA$250</definedName>
    <definedName name="break_arr_lbl">'Field labels'!$B$193</definedName>
    <definedName name="break_rng">Auxiliary!$19:$20</definedName>
    <definedName name="bsrn_lbl">'Field labels'!$B$104</definedName>
    <definedName name="bsrn_range">'New Hire Form'!$361:$362</definedName>
    <definedName name="bsrn_toggle">DynamicPicklists!$AW$49</definedName>
    <definedName name="BU_FUNC2">'New Hire Form'!$E$579</definedName>
    <definedName name="BU_FUNC3">'New Hire Form'!$E$585</definedName>
    <definedName name="Building_label">'Field labels'!$B$57</definedName>
    <definedName name="building_range">'New Hire Form'!$215:$216</definedName>
    <definedName name="building_toggle">DynamicPicklists!$P$2</definedName>
    <definedName name="Business_Identifier_Code">'Field labels'!$B$108</definedName>
    <definedName name="Businesses_Functions2">'Field labels'!$B$173</definedName>
    <definedName name="Businesses_Functions3">'Field labels'!$B$176</definedName>
    <definedName name="ca_toggle">DynamicPicklists!$CA$63</definedName>
    <definedName name="calc_contr_lbl">'Field labels'!$B$331</definedName>
    <definedName name="calc_contr_rng">Auxiliary!$235:$236</definedName>
    <definedName name="calc_contr_toggle">DynamicPicklists!$CA$137</definedName>
    <definedName name="calc_contrb1_lbl">'Field labels'!$B$339</definedName>
    <definedName name="calc_contrb1_rng">Auxiliary!$251:$252</definedName>
    <definedName name="calc_contrb1_toggle">DynamicPicklists!$CA$145</definedName>
    <definedName name="calc_contrib_lbl">'Field labels'!$B$335</definedName>
    <definedName name="calc_contrib_rng">Auxiliary!$243:$244</definedName>
    <definedName name="calc_contrib_toggle">DynamicPicklists!$CA$141</definedName>
    <definedName name="Calc_Start_Date_lbl">'Field labels'!$B$421</definedName>
    <definedName name="Calc_Start_Date_rng">Auxiliary!$373:$374</definedName>
    <definedName name="Calc_Start_Date_toggle">DynamicPicklists!$CA$208</definedName>
    <definedName name="car_grade_lbl">'Field labels'!$B$195</definedName>
    <definedName name="car_grade_rng">Auxiliary!$25:$26</definedName>
    <definedName name="Care_of_label">'Field labels'!$B$47</definedName>
    <definedName name="care_of_name_lbl">'Field labels'!$B$320</definedName>
    <definedName name="care_of_name_rng">Auxiliary!$213:$214</definedName>
    <definedName name="care_of_name_toggle">DynamicPicklists!$CA$126</definedName>
    <definedName name="care_of_range">'New Hire Form'!$157:$158</definedName>
    <definedName name="care_of_toggle">DynamicPicklists!$H$2</definedName>
    <definedName name="cc_toggle">DynamicPicklists!$CA$22</definedName>
    <definedName name="cce_toggle">DynamicPicklists!$CA$64</definedName>
    <definedName name="ccp_toggle">DynamicPicklists!$AW$59</definedName>
    <definedName name="cg_toggle">DynamicPicklists!$CA$33</definedName>
    <definedName name="Challenge_Grp_lbl">'Field labels'!$B$356</definedName>
    <definedName name="Challenge_Grp_Rng">'New Hire Form'!$81:$82</definedName>
    <definedName name="Challenge_Grp_Toggle">DynamicPicklists!$AW$98</definedName>
    <definedName name="Challenge_Type_Lbl">'Field labels'!$B$357</definedName>
    <definedName name="Challenge_Type_Rng">'New Hire Form'!$83:$84</definedName>
    <definedName name="Challenge_Type_Toggle">DynamicPicklists!$AW$99</definedName>
    <definedName name="Change_Master_Reason_lbl">'Field labels'!$B$444</definedName>
    <definedName name="Change_Master_Reason_rng">Auxiliary!$411:$412</definedName>
    <definedName name="Change_Master_Reason_toggle">DynamicPicklists!$CA$231</definedName>
    <definedName name="chl_numb_lbl">'Field labels'!$B$260</definedName>
    <definedName name="ci_toggle">DynamicPicklists!$AW$29</definedName>
    <definedName name="City_label">'Field labels'!$B$53</definedName>
    <definedName name="city_range">'New Hire Form'!$203:$204</definedName>
    <definedName name="city_toggle">DynamicPicklists!$L$2</definedName>
    <definedName name="cla_rng">Auxiliary!$63:$64</definedName>
    <definedName name="cla_scale_lbl">'Field labels'!$B$214</definedName>
    <definedName name="cmh_date_range">'New Hire Form'!$127:$128</definedName>
    <definedName name="cmh_dt_toggle">DynamicPicklists!$AW$88</definedName>
    <definedName name="cmh_range">'New Hire Form'!$125:$126</definedName>
    <definedName name="cmh_toggle">DynamicPicklists!$AW$87</definedName>
    <definedName name="cnla_lbl">'Field labels'!$B$230</definedName>
    <definedName name="cnla_rng">Auxiliary!$91:$92</definedName>
    <definedName name="col_academic_degree_lbl">'Field labels'!$B$518</definedName>
    <definedName name="col_academic_degree_rng">'New Hire Form'!$453:$454</definedName>
    <definedName name="col_academic_degree_toggle">DynamicPicklists!$AW$117</definedName>
    <definedName name="col_alt_occupation_lbl">'Field labels'!$B$519</definedName>
    <definedName name="col_alt_occupation_rng">'New Hire Form'!$455:$456</definedName>
    <definedName name="col_alt_occupation_toggle">DynamicPicklists!$AW$118</definedName>
    <definedName name="col_muncipality_lbl">'Field labels'!$B$520</definedName>
    <definedName name="col_muncipality_rng">'New Hire Form'!$161:$162</definedName>
    <definedName name="col_muncipality_toggle">DynamicPicklists!$AJ$2</definedName>
    <definedName name="collection_method_lbl">'Field labels'!$B$437</definedName>
    <definedName name="collection_method_rng">Auxiliary!$397:$398</definedName>
    <definedName name="collection_method_toggle">DynamicPicklists!$CA$224</definedName>
    <definedName name="Colombia_Aux_rng">Auxiliary!$522:$553</definedName>
    <definedName name="Colombia_Aux_toggle">DynamicPicklists!$CA$247</definedName>
    <definedName name="Colony_lbl">'Field labels'!$B$523</definedName>
    <definedName name="Colony_rng">'New Hire Form'!$199:$200</definedName>
    <definedName name="Colony_toggle">DynamicPicklists!$AK$2</definedName>
    <definedName name="comments_lbl">'Field labels'!$B$276</definedName>
    <definedName name="comments_rng">Auxiliary!$119:$120</definedName>
    <definedName name="comments_toggle">DynamicPicklists!$CA$82</definedName>
    <definedName name="comp_car_lbl">'Field labels'!$B$226</definedName>
    <definedName name="comp_car_rng">Auxiliary!$23:$24</definedName>
    <definedName name="comp_clause_label">'Field labels'!$B$168</definedName>
    <definedName name="Company">'New Hire Form'!$E$7</definedName>
    <definedName name="Company_code">'Field labels'!$W$1</definedName>
    <definedName name="Company_country">'Field labels'!$U$1</definedName>
    <definedName name="Company_country2">'Field labels'!$V$1</definedName>
    <definedName name="Company_label">'Field labels'!$B$4</definedName>
    <definedName name="Compensation_Information">'Field labels'!$B$177</definedName>
    <definedName name="competition_clause">'New Hire Form'!$556:$557</definedName>
    <definedName name="complete_name_lbl">'Field labels'!$B$263</definedName>
    <definedName name="complete_name_rng">'New Hire Form'!$119:$120</definedName>
    <definedName name="complete_name_toggle">DynamicPicklists!$AW$92</definedName>
    <definedName name="compul_si_fund">'Field labels'!$B$333</definedName>
    <definedName name="compul_si_fund_rng">Auxiliary!$239:$240</definedName>
    <definedName name="compul_si_schem_lbl">'Field labels'!$B$334</definedName>
    <definedName name="compul_si_schem_rng">Auxiliary!$241:$242</definedName>
    <definedName name="compul_si_schem_toggle">DynamicPicklists!$CA$140</definedName>
    <definedName name="compul_si_toggle">DynamicPicklists!$CA$139</definedName>
    <definedName name="conf_agree_lbl">'Field labels'!$B$225</definedName>
    <definedName name="conf_agree_rng">Auxiliary!$85:$86</definedName>
    <definedName name="confirmed_dt_lbl">'Field labels'!$B$270</definedName>
    <definedName name="confirmed_dt_rng">'New Hire Form'!$500:$501</definedName>
    <definedName name="confirmed_dt_toggle">DynamicPicklists!$CA$76</definedName>
    <definedName name="cont_info_label">'Field labels'!$B$69</definedName>
    <definedName name="cont_number_label">'Field labels'!$B$71</definedName>
    <definedName name="cont_type_label">'Field labels'!$B$70</definedName>
    <definedName name="cont_type_lbl">'Field labels'!$B$186</definedName>
    <definedName name="cont_type_rng">Auxiliary!$4:$6</definedName>
    <definedName name="contact_rng">'New Hire Form'!$256:$265</definedName>
    <definedName name="contr_epf_lbl">'Field labels'!$B$347</definedName>
    <definedName name="contr_epf_rng">Auxiliary!$267:$268</definedName>
    <definedName name="contr_epf_toggle">DynamicPicklists!$CA$153</definedName>
    <definedName name="Contract_end_date">'Field labels'!$B$157</definedName>
    <definedName name="Contract_start_date">'Field labels'!$B$697</definedName>
    <definedName name="Contract_Type">'New Hire Form'!$E$512</definedName>
    <definedName name="contract_type_label">'Field labels'!$B$155</definedName>
    <definedName name="contrib_categ_lbl">'Field labels'!$B$303</definedName>
    <definedName name="contrib_categ_rng">Auxiliary!$181:$182</definedName>
    <definedName name="contrib_categ_toggle">DynamicPicklists!$CA$109</definedName>
    <definedName name="conttype_range">'New Hire Form'!$512:$513</definedName>
    <definedName name="cost_centre2">'New Hire Form'!$E$575</definedName>
    <definedName name="cost_centre3">'New Hire Form'!$E$581</definedName>
    <definedName name="Costa_Rica_Aux_Toggle">DynamicPicklists!$CA$256</definedName>
    <definedName name="country">Language!$B$5</definedName>
    <definedName name="Country_label">'Field labels'!$B$46</definedName>
    <definedName name="country_lbl">'Field labels'!$B$295</definedName>
    <definedName name="country_rng">Auxiliary!$165:$166</definedName>
    <definedName name="country_toggle">DynamicPicklists!$CA$101</definedName>
    <definedName name="CountrySpecSheet">DynamicPicklists!$AR$2</definedName>
    <definedName name="County_label">'Field labels'!$B$55</definedName>
    <definedName name="county_range">'New Hire Form'!$207:$210</definedName>
    <definedName name="county_toggle">DynamicPicklists!$N$2</definedName>
    <definedName name="court_cert">'New Hire Form'!$E$391</definedName>
    <definedName name="court_cert_label">'Field labels'!$B$113</definedName>
    <definedName name="court_rng">'New Hire Form'!$391:$392</definedName>
    <definedName name="cri_add_canton_lbl">'Field labels'!$B$537</definedName>
    <definedName name="cri_add_canton_rng">'New Hire Form'!$167:$168</definedName>
    <definedName name="cri_add_canton_toggle">DynamicPicklists!$AP$2</definedName>
    <definedName name="cri_add_province_lbl">'Field labels'!$B$536</definedName>
    <definedName name="cri_add_province_rng">'New Hire Form'!$165:$166</definedName>
    <definedName name="cri_add_province_toggle">DynamicPicklists!$AO$2</definedName>
    <definedName name="cri_application_desc_lbl">'Field labels'!$B$645</definedName>
    <definedName name="CRI_Aux_rng">Auxiliary!$768:$829</definedName>
    <definedName name="cri_chief_sign_lbl">'Field labels'!$B$665</definedName>
    <definedName name="cri_code_lbl">'Field labels'!$B$671</definedName>
    <definedName name="cri_comments_lbl">'Field labels'!$B$672</definedName>
    <definedName name="cri_dept_mgr_sign_lbl">'Field labels'!$B$666</definedName>
    <definedName name="cri_dept_req_procc_lbl">'Field labels'!$B$664</definedName>
    <definedName name="cri_description_lbl">'Field labels'!$B$661</definedName>
    <definedName name="cri_desertion_lbl">'Field labels'!$B$658</definedName>
    <definedName name="cri_dismissal_with_cause_lbl">'Field labels'!$B$660</definedName>
    <definedName name="cri_dismissal_without_cause_lbl">'Field labels'!$B$659</definedName>
    <definedName name="cri_emp_sign_lbl">'Field labels'!$B$668</definedName>
    <definedName name="cri_employee_data_lbl">'Field labels'!$B$643</definedName>
    <definedName name="cri_employee_no_lbl">'Field labels'!$B$644</definedName>
    <definedName name="cri_func_mgr_sign_lbl">'Field labels'!$B$667</definedName>
    <definedName name="cri_hr_sign_lbl">'Field labels'!$B$669</definedName>
    <definedName name="cri_hr_use_lbl">'Field labels'!$B$670</definedName>
    <definedName name="cri_license_vac_lbl">'Field labels'!$B$651</definedName>
    <definedName name="cri_observation_comm_lbl">'Field labels'!$B$663</definedName>
    <definedName name="cri_other_lbl">'Field labels'!$B$650</definedName>
    <definedName name="cri_others_1_lbl">'Field labels'!$B$662</definedName>
    <definedName name="cri_others_lbl">'Field labels'!$B$655</definedName>
    <definedName name="cri_paid_leave_lbl">'Field labels'!$B$652</definedName>
    <definedName name="cri_promotion_lbl">'Field labels'!$B$649</definedName>
    <definedName name="cri_province_1">'New Hire Form'!$E$165</definedName>
    <definedName name="cri_province_2">'New Hire Form'!$G$165</definedName>
    <definedName name="cri_province_3">'New Hire Form'!$I$165</definedName>
    <definedName name="cri_reason_lbl">'Field labels'!$B$647</definedName>
    <definedName name="cri_received_date_lbl">'Field labels'!$B$673</definedName>
    <definedName name="cri_replaces_lbl">'Field labels'!$B$646</definedName>
    <definedName name="cri_resignation_lbl">'Field labels'!$B$657</definedName>
    <definedName name="cri_transfer_lbl">'Field labels'!$B$648</definedName>
    <definedName name="cri_trial_period_evaluation_lbl">'Field labels'!$B$656</definedName>
    <definedName name="cri_unpaid_leave_lbl">'Field labels'!$B$653</definedName>
    <definedName name="cri_vacations_lbl">'Field labels'!$B$654</definedName>
    <definedName name="csb_dt_range">'New Hire Form'!$131:$132</definedName>
    <definedName name="csb_dt_toggle">DynamicPicklists!$AW$90</definedName>
    <definedName name="csb_range">'New Hire Form'!$129:$130</definedName>
    <definedName name="csb_toggle">DynamicPicklists!$AW$89</definedName>
    <definedName name="ct_toggle">DynamicPicklists!$CA$10</definedName>
    <definedName name="ct2_toggle">DynamicPicklists!$CA$24</definedName>
    <definedName name="Cur_Type">DynamicPicklists!$B$43</definedName>
    <definedName name="Currency" localSheetId="3">'Field labels'!$B$182</definedName>
    <definedName name="Currency">'New Hire Form'!$E$599</definedName>
    <definedName name="Currency_label">'New Hire Form'!$C$599</definedName>
    <definedName name="Currency_lbl">'Field labels'!$B$110</definedName>
    <definedName name="currency_rng">'New Hire Form'!$383:$384</definedName>
    <definedName name="Currency2">'New Hire Form'!$G$599</definedName>
    <definedName name="Currency3">'New Hire Form'!$I$599</definedName>
    <definedName name="Currency4">'New Hire Form'!$K$599</definedName>
    <definedName name="Currency5">'New Hire Form'!$M$599</definedName>
    <definedName name="Currency6">'New Hire Form'!$O$599</definedName>
    <definedName name="Currency7">'New Hire Form'!#REF!</definedName>
    <definedName name="cv">'New Hire Form'!$E$413</definedName>
    <definedName name="cv_label">'Field labels'!$B$124</definedName>
    <definedName name="cv_rng">'New Hire Form'!$413:$414</definedName>
    <definedName name="cv_toggle">DynamicPicklists!$AW$70</definedName>
    <definedName name="dad_name_label">'Field labels'!$B$42</definedName>
    <definedName name="dad_name_range">'New Hire Form'!$145:$146</definedName>
    <definedName name="date_lbl">'Field labels'!$B$286</definedName>
    <definedName name="Date_of_Birth" localSheetId="3">'Field labels'!$B$18</definedName>
    <definedName name="Date_of_Birth">'New Hire Form'!$E$43</definedName>
    <definedName name="Date_of_Birth_label">'New Hire Form'!$C$43</definedName>
    <definedName name="date_rng">Auxiliary!$141:$142</definedName>
    <definedName name="date_toggle">DynamicPicklists!$CA$92</definedName>
    <definedName name="DB_Ref_lbl">'Field labels'!$B$355</definedName>
    <definedName name="DB_Ref_rng">'New Hire Form'!$498:$499</definedName>
    <definedName name="DB_Ref_Toggle">DynamicPicklists!$CA$159</definedName>
    <definedName name="Dec1_lbl">'Field labels'!$B$427</definedName>
    <definedName name="Dec1_rng">Auxiliary!$381:$382</definedName>
    <definedName name="Dec1_toggle">DynamicPicklists!$CA$214</definedName>
    <definedName name="Dec2_lbl">'Field labels'!$B$428</definedName>
    <definedName name="Dec2_rng">Auxiliary!$383:$384</definedName>
    <definedName name="Dec2_toggle">DynamicPicklists!$CA$215</definedName>
    <definedName name="Dec3_lbl">'Field labels'!$B$429</definedName>
    <definedName name="Dec3_rng">Auxiliary!$385:$386</definedName>
    <definedName name="Dec3_toggle">DynamicPicklists!$CA$216</definedName>
    <definedName name="Dec4_lbl">'Field labels'!$B$430</definedName>
    <definedName name="Dec4_rng">Auxiliary!$387:$388</definedName>
    <definedName name="Dec4_toggle">DynamicPicklists!$CA$217</definedName>
    <definedName name="Dec5_lbl">'Field labels'!$B$431</definedName>
    <definedName name="Dec5_rng">Auxiliary!$389:$390</definedName>
    <definedName name="Dec5_toggle">DynamicPicklists!$CA$218</definedName>
    <definedName name="Dec6_lbl">'Field labels'!$B$432</definedName>
    <definedName name="Dec6_rng">Auxiliary!$391:$392</definedName>
    <definedName name="Dec6_toggle">DynamicPicklists!$CA$219</definedName>
    <definedName name="Dec7_lbl">'Field labels'!$B$433</definedName>
    <definedName name="Dec7_rng">Auxiliary!$393:$394</definedName>
    <definedName name="Dec7_toggle">DynamicPicklists!$CA$220</definedName>
    <definedName name="Dec8_lbl">'Field labels'!$B$434</definedName>
    <definedName name="Dec8_rng">Auxiliary!$395:$396</definedName>
    <definedName name="Dec8_toggle">DynamicPicklists!$CA$221</definedName>
    <definedName name="Deceased_lbl">'Field labels'!$B$442</definedName>
    <definedName name="Deceased_rng">Auxiliary!$407:$408</definedName>
    <definedName name="Deceased_toggle">DynamicPicklists!$CA$229</definedName>
    <definedName name="deg_chall_lbl">'Field labels'!$B$96</definedName>
    <definedName name="dep_address">'New Hire Form'!$E$325</definedName>
    <definedName name="dep_address2">'New Hire Form'!$G$325</definedName>
    <definedName name="dep_address3">'New Hire Form'!$I$325</definedName>
    <definedName name="dep_address4">'New Hire Form'!$K$325</definedName>
    <definedName name="dep_address5">'New Hire Form'!$M$325</definedName>
    <definedName name="dep_address6">'New Hire Form'!$O$325</definedName>
    <definedName name="dep_address7">'New Hire Form'!$Q$325</definedName>
    <definedName name="dep_address8">'New Hire Form'!$S$325</definedName>
    <definedName name="dep_bc">'New Hire Form'!$E$301</definedName>
    <definedName name="dep_bc_lbl">'Field labels'!$B$83</definedName>
    <definedName name="dep_bc_rng">'New Hire Form'!$301:$302</definedName>
    <definedName name="dep_bc_toggle">DynamicPicklists!$AW$35</definedName>
    <definedName name="dep_bc2">'New Hire Form'!$G$301</definedName>
    <definedName name="dep_bc3">'New Hire Form'!$I$301</definedName>
    <definedName name="dep_bc4">'New Hire Form'!$K$301</definedName>
    <definedName name="dep_bc5">'New Hire Form'!$M$301</definedName>
    <definedName name="dep_bc6">'New Hire Form'!$O$301</definedName>
    <definedName name="dep_bc7">'New Hire Form'!$Q$301</definedName>
    <definedName name="dep_bc8">'New Hire Form'!$S$301</definedName>
    <definedName name="dep_BEL_rng">'New Hire Form'!$313:$322</definedName>
    <definedName name="dep_BEL_toggle">DynamicPicklists!$AW$39</definedName>
    <definedName name="dep_bjt_lbl">'Field labels'!$B$94</definedName>
    <definedName name="dep_bjt_rng">'New Hire Form'!$323:$324</definedName>
    <definedName name="dep_bjt_toggle">DynamicPicklists!$AW$40</definedName>
    <definedName name="Dep_Cont_Addr_lbl">'Field labels'!$B$696</definedName>
    <definedName name="Dep_Cont_Addr_rng">'New Hire Form'!$331:$336</definedName>
    <definedName name="Dep_Cont_Addr_toggle">DynamicPicklists!$AW$130</definedName>
    <definedName name="dep_dob">'New Hire Form'!$E$299</definedName>
    <definedName name="dep_dob_lbl">'Field labels'!$B$82</definedName>
    <definedName name="dep_dob_rng">'New Hire Form'!$299:$300</definedName>
    <definedName name="dep_dob_toggle">DynamicPicklists!$AW$34</definedName>
    <definedName name="dep_dp">'New Hire Form'!$E$319</definedName>
    <definedName name="dep_dp_lbl">'Field labels'!$B$92</definedName>
    <definedName name="dep_dp2">'New Hire Form'!$G$319</definedName>
    <definedName name="dep_dp3">'New Hire Form'!$I$319</definedName>
    <definedName name="dep_dp4">'New Hire Form'!$K$319</definedName>
    <definedName name="dep_dp5">'New Hire Form'!$M$319</definedName>
    <definedName name="dep_dp6">'New Hire Form'!$O$319</definedName>
    <definedName name="dep_dp7">'New Hire Form'!$Q$319</definedName>
    <definedName name="dep_dp8">'New Hire Form'!$S$319</definedName>
    <definedName name="dep_dperc_lbl">'Field labels'!$B$93</definedName>
    <definedName name="dep_fn_lbl">'Field labels'!$B$79</definedName>
    <definedName name="dep_g_toggle">DynamicPicklists!$AW$33</definedName>
    <definedName name="dep_gend_lbl">'Field labels'!$B$81</definedName>
    <definedName name="dep_gend_rng">'New Hire Form'!$297:$298</definedName>
    <definedName name="dep_gender">'New Hire Form'!$E$297</definedName>
    <definedName name="dep_gender2">'New Hire Form'!$G$297</definedName>
    <definedName name="dep_gender3">'New Hire Form'!$I$297</definedName>
    <definedName name="dep_gender4">'New Hire Form'!$K$297</definedName>
    <definedName name="dep_gender5">'New Hire Form'!$M$297</definedName>
    <definedName name="dep_gender6">'New Hire Form'!$O$297</definedName>
    <definedName name="dep_gender7">'New Hire Form'!$Q$297</definedName>
    <definedName name="dep_gender8">'New Hire Form'!$S$297</definedName>
    <definedName name="dep_ID_cn">'New Hire Form'!$E$307</definedName>
    <definedName name="dep_ID_cn_lbl">'Field labels'!$B$86</definedName>
    <definedName name="dep_ID_cn2">'New Hire Form'!$G$307</definedName>
    <definedName name="dep_ID_cn3">'New Hire Form'!$I$307</definedName>
    <definedName name="dep_ID_cn4">'New Hire Form'!$K$307</definedName>
    <definedName name="dep_ID_cn5">'New Hire Form'!$M$307</definedName>
    <definedName name="dep_ID_cn6">'New Hire Form'!$O$307</definedName>
    <definedName name="dep_ID_cn7">'New Hire Form'!$Q$307</definedName>
    <definedName name="dep_ID_cn8">'New Hire Form'!$S$307</definedName>
    <definedName name="dep_ID_numb_lbl">'Field labels'!$B$88</definedName>
    <definedName name="dep_ID_rng">'New Hire Form'!$307:$312</definedName>
    <definedName name="dep_ID_toggle">DynamicPicklists!$AW$38</definedName>
    <definedName name="dep_ID_type">'New Hire Form'!$E$309</definedName>
    <definedName name="dep_ID_type_lbl">'Field labels'!$B$87</definedName>
    <definedName name="dep_ID_type2">'New Hire Form'!$G$309</definedName>
    <definedName name="dep_ID_type3">'New Hire Form'!$I$309</definedName>
    <definedName name="dep_ID_type4">'New Hire Form'!$K$309</definedName>
    <definedName name="dep_ID_type5">'New Hire Form'!$M$309</definedName>
    <definedName name="dep_ID_type6">'New Hire Form'!$O$309</definedName>
    <definedName name="dep_ID_type7">'New Hire Form'!$Q$309</definedName>
    <definedName name="dep_ID_type8">'New Hire Form'!$S$309</definedName>
    <definedName name="dep_inc">'New Hire Form'!$E$315</definedName>
    <definedName name="dep_inc2">'New Hire Form'!$G$315</definedName>
    <definedName name="dep_inc3">'New Hire Form'!$I$315</definedName>
    <definedName name="dep_inc4">'New Hire Form'!$K$315</definedName>
    <definedName name="dep_inc5">'New Hire Form'!$M$315</definedName>
    <definedName name="dep_inc6">'New Hire Form'!$O$315</definedName>
    <definedName name="dep_inc7">'New Hire Form'!$Q$315</definedName>
    <definedName name="dep_inc8">'New Hire Form'!$S$315</definedName>
    <definedName name="dep_jhi">'New Hire Form'!$E$317</definedName>
    <definedName name="dep_jhi_lbl">'Field labels'!$B$91</definedName>
    <definedName name="dep_jhi2">'New Hire Form'!$G$317</definedName>
    <definedName name="dep_jhi3">'New Hire Form'!$I$317</definedName>
    <definedName name="dep_jhi4">'New Hire Form'!$K$317</definedName>
    <definedName name="dep_jhi5">'New Hire Form'!$M$317</definedName>
    <definedName name="dep_jhi6">'New Hire Form'!$O$317</definedName>
    <definedName name="dep_jhi7">'New Hire Form'!$Q$317</definedName>
    <definedName name="dep_jhi8">'New Hire Form'!$S$317</definedName>
    <definedName name="dep_lbl">'Field labels'!$B$77</definedName>
    <definedName name="dep_ln_lbl">'Field labels'!$B$80</definedName>
    <definedName name="dep_ms">'New Hire Form'!$E$305</definedName>
    <definedName name="dep_ms_lbl">'Field labels'!$B$85</definedName>
    <definedName name="dep_ms_rng">'New Hire Form'!$305:$306</definedName>
    <definedName name="dep_ms_toggle">DynamicPicklists!$AW$37</definedName>
    <definedName name="dep_ms2">'New Hire Form'!$G$305</definedName>
    <definedName name="dep_ms3">'New Hire Form'!$I$305</definedName>
    <definedName name="dep_ms4">'New Hire Form'!$K$305</definedName>
    <definedName name="dep_ms5">'New Hire Form'!$M$305</definedName>
    <definedName name="dep_ms6">'New Hire Form'!$O$305</definedName>
    <definedName name="dep_ms7">'New Hire Form'!$Q$305</definedName>
    <definedName name="dep_ms8">'New Hire Form'!$S$305</definedName>
    <definedName name="dep_nat_lbl">'Field labels'!$B$84</definedName>
    <definedName name="dep_nat_rng">'New Hire Form'!$303:$304</definedName>
    <definedName name="dep_nat_toggle">DynamicPicklists!$AW$36</definedName>
    <definedName name="dep_natio">'New Hire Form'!$E$303</definedName>
    <definedName name="dep_natio2">'New Hire Form'!$G$303</definedName>
    <definedName name="dep_natio3">'New Hire Form'!$I$303</definedName>
    <definedName name="dep_natio4">'New Hire Form'!$K$303</definedName>
    <definedName name="dep_natio5">'New Hire Form'!$M$303</definedName>
    <definedName name="dep_natio6">'New Hire Form'!$O$303</definedName>
    <definedName name="dep_natio7">'New Hire Form'!$Q$303</definedName>
    <definedName name="dep_natio8">'New Hire Form'!$S$303</definedName>
    <definedName name="dep_numb_lbl">'Field labels'!$B$134</definedName>
    <definedName name="dep_numb_rng">'New Hire Form'!$443:$444</definedName>
    <definedName name="dep_occ">'New Hire Form'!$E$313</definedName>
    <definedName name="dep_occ_lbl">'Field labels'!$B$89</definedName>
    <definedName name="dep_occ2">'New Hire Form'!$G$313</definedName>
    <definedName name="dep_occ3">'New Hire Form'!$I$313</definedName>
    <definedName name="dep_occ4">'New Hire Form'!$K$313</definedName>
    <definedName name="dep_occ5">'New Hire Form'!$M$313</definedName>
    <definedName name="dep_occ6">'New Hire Form'!$O$313</definedName>
    <definedName name="dep_occ7">'New Hire Form'!$Q$313</definedName>
    <definedName name="dep_occ8">'New Hire Form'!$S$313</definedName>
    <definedName name="dep_pi_lbl">'Field labels'!$B$90</definedName>
    <definedName name="dep_POL_rng">'New Hire Form'!$325:$330</definedName>
    <definedName name="dep_POL_toggle">DynamicPicklists!$AW$41</definedName>
    <definedName name="dep_rel_type">'New Hire Form'!$E$291</definedName>
    <definedName name="dep_rel_type2">'New Hire Form'!$G$291</definedName>
    <definedName name="dep_rel_type3">'New Hire Form'!$I$291</definedName>
    <definedName name="dep_rel_type4">'New Hire Form'!$K$291</definedName>
    <definedName name="dep_rel_type5">'New Hire Form'!$M$291</definedName>
    <definedName name="dep_rel_type6">'New Hire Form'!$O$291</definedName>
    <definedName name="dep_rel_type7">'New Hire Form'!$Q$291</definedName>
    <definedName name="dep_rel_type8">'New Hire Form'!$S$291</definedName>
    <definedName name="dep_rng">'New Hire Form'!$287:$330</definedName>
    <definedName name="dep_toggle">DynamicPicklists!$AW$32</definedName>
    <definedName name="dep_type_lbl">'Field labels'!$B$78</definedName>
    <definedName name="depIDtypelist">DynamicPicklists!$B$5:$E$5</definedName>
    <definedName name="depIDtypelist2">DynamicPicklists!$B$6:$E$6</definedName>
    <definedName name="depIDtypelist3">DynamicPicklists!$B$7:$E$7</definedName>
    <definedName name="depIDtypelist4">DynamicPicklists!$B$8:$E$8</definedName>
    <definedName name="depIDtypelist5">DynamicPicklists!$B$9:$E$9</definedName>
    <definedName name="depIDtypelist6">DynamicPicklists!$B$10:$E$10</definedName>
    <definedName name="depIDtypelist7">DynamicPicklists!$B$11:$E$11</definedName>
    <definedName name="depIDtypelist8">DynamicPicklists!$B$12:$E$12</definedName>
    <definedName name="detailed_address_rng">'New Hire Form'!$191:$192</definedName>
    <definedName name="detailed_address_toggle">DynamicPicklists!$Z$2</definedName>
    <definedName name="deu_fields_rng">Auxiliary!$97:$110</definedName>
    <definedName name="deu_fields_toggle">DynamicPicklists!$CA$70</definedName>
    <definedName name="direct_fill_emp_lbl">'Field labels'!$B$330</definedName>
    <definedName name="direct_fill_emp_rng">Auxiliary!$233:$234</definedName>
    <definedName name="direct_fill_emp_toggle">DynamicPicklists!$CA$136</definedName>
    <definedName name="dis_stat_range">'New Hire Form'!$135:$136</definedName>
    <definedName name="dis_toggle">DynamicPicklists!$AW$64</definedName>
    <definedName name="dis_vet_cat">'New Hire Form'!$E$133</definedName>
    <definedName name="dis_vet_cat_range">'New Hire Form'!$133:$134</definedName>
    <definedName name="disab_lbl">'Field labels'!$B$118</definedName>
    <definedName name="disab_perc_lbl">'Field labels'!$B$119</definedName>
    <definedName name="disab_perc_rng">'New Hire Form'!$403:$404</definedName>
    <definedName name="disab_rng">'New Hire Form'!$401:$402</definedName>
    <definedName name="disability">'New Hire Form'!$E$401</definedName>
    <definedName name="Disability_Status_label">'Field labels'!$B$37</definedName>
    <definedName name="Disabled_deduction_lbl">'Field labels'!$B$438</definedName>
    <definedName name="Disabled_deduction_rng">Auxiliary!$399:$400</definedName>
    <definedName name="Disabled_deduction_toggle">DynamicPicklists!$CA$225</definedName>
    <definedName name="Disaster_Victim_lbl">'Field labels'!$B$436</definedName>
    <definedName name="Disaster_Victim_rng">Auxiliary!$159:$160</definedName>
    <definedName name="Disaster_Victim_toggle">DynamicPicklists!$CA$223</definedName>
    <definedName name="Disclosed_Veteran_Category_label">'Field labels'!$B$36</definedName>
    <definedName name="disp_toggle">DynamicPicklists!$AW$65</definedName>
    <definedName name="dist_lbl">'Field labels'!$B$132</definedName>
    <definedName name="dist_rng">'New Hire Form'!$439:$440</definedName>
    <definedName name="dist_toggle">DynamicPicklists!$AW$78</definedName>
    <definedName name="dn_toggle">DynamicPicklists!$AW$80</definedName>
    <definedName name="doa_toggle">DynamicPicklists!$CA$43</definedName>
    <definedName name="DOB_Minguo_Lbl">'Field labels'!$B$358</definedName>
    <definedName name="DOB_Minguo_Rng">'New Hire Form'!$85:$86</definedName>
    <definedName name="DOB_Minguo_Toggle">DynamicPicklists!$AW$100</definedName>
    <definedName name="DocTitle_lbl">'Field labels'!$B$255</definedName>
    <definedName name="dom_action_privacy_club_lbl">'Field labels'!$B$692</definedName>
    <definedName name="dom_amex_lbl">'Field labels'!$B$689</definedName>
    <definedName name="dom_apartment_lbl">'Field labels'!$B$687</definedName>
    <definedName name="dom_assigned_benefits_lbl">'Field labels'!$B$683</definedName>
    <definedName name="dom_att_card_lb">'Field labels'!$B$690</definedName>
    <definedName name="DOM_Aux_rng">Auxiliary!$830:$867</definedName>
    <definedName name="dom_cellphone_lbl">'Field labels'!$B$686</definedName>
    <definedName name="dom_classification_change_lbl">'Field labels'!$B$678</definedName>
    <definedName name="dom_com_car_lb">'Field labels'!$B$684</definedName>
    <definedName name="dom_eff_date_lbl">'Field labels'!$B$679</definedName>
    <definedName name="dom_employee_data_lbl">'Field labels'!$B$681</definedName>
    <definedName name="dom_employee_no_lbl">'Field labels'!$B$682</definedName>
    <definedName name="dom_eplanation_lbl">'Field labels'!$B$680</definedName>
    <definedName name="dom_laptop_lbl">'Field labels'!$B$685</definedName>
    <definedName name="dom_medical_exam_lbl">'Field labels'!$B$691</definedName>
    <definedName name="dom_movement_type_lbl">'Field labels'!$B$674</definedName>
    <definedName name="dom_outcome_lbl">'Field labels'!$B$676</definedName>
    <definedName name="dom_replacement_lbl">'Field labels'!$B$675</definedName>
    <definedName name="dom_salary_changes_lbl">'Field labels'!$B$677</definedName>
    <definedName name="dom_station_pqc_card_lbl">'Field labels'!$B$688</definedName>
    <definedName name="Dominican_Republic_Aux_Toggle">DynamicPicklists!$CA$257</definedName>
    <definedName name="dp_toggle">DynamicPicklists!$AW$12</definedName>
    <definedName name="ds_toggle">DynamicPicklists!$AW$21</definedName>
    <definedName name="dt_learned_lbl">'Field labels'!$B$264</definedName>
    <definedName name="dt_learned_range">'New Hire Form'!$79:$80</definedName>
    <definedName name="dt_learned_toggle">DynamicPicklists!$AW$93</definedName>
    <definedName name="dt_task_lbl">'Field labels'!$B$274</definedName>
    <definedName name="dt_task_rng">Auxiliary!$115:$116</definedName>
    <definedName name="dt_task_toggle">DynamicPicklists!$CA$80</definedName>
    <definedName name="Duties_lbl">'Field labels'!$B$426</definedName>
    <definedName name="Duties_rng">Auxiliary!$379:$380</definedName>
    <definedName name="Duties_toggle">DynamicPicklists!$CA$213</definedName>
    <definedName name="dvc_toggle">DynamicPicklists!$AW$20</definedName>
    <definedName name="earn_source">'New Hire Form'!$E$437</definedName>
    <definedName name="earn_source_label">'Field labels'!$B$131</definedName>
    <definedName name="earn_source_rng">'New Hire Form'!$437:$438</definedName>
    <definedName name="ec_toggle">DynamicPicklists!$AW$31</definedName>
    <definedName name="eca_toggle">DynamicPicklists!$AW$71</definedName>
    <definedName name="ECU_Ac_Type_lbl">'Field labels'!$B$529</definedName>
    <definedName name="ECU_Ac_Type_rng">'New Hire Form'!$359:$360</definedName>
    <definedName name="ECU_Ac_Type_Toggle">DynamicPicklists!$AW$123</definedName>
    <definedName name="edu_cert">'New Hire Form'!$E$415</definedName>
    <definedName name="edu_cert_label">'Field labels'!$B$125</definedName>
    <definedName name="edu_cert_rng">'New Hire Form'!$415:$416</definedName>
    <definedName name="edu_level">'New Hire Form'!$E$417</definedName>
    <definedName name="edu_lvl_lbl">'Field labels'!$B$126</definedName>
    <definedName name="edu_lvl_rng">'New Hire Form'!$417:$418</definedName>
    <definedName name="edu_lvl_toggle">DynamicPicklists!$AW$72</definedName>
    <definedName name="ee_contr_no_lbl">'Field labels'!$B$301</definedName>
    <definedName name="ee_contr_no_rng">Auxiliary!$177:$178</definedName>
    <definedName name="ee_contr_no_toggle">DynamicPicklists!$CA$107</definedName>
    <definedName name="ee_tax_id_lbl">'Field labels'!$B$306</definedName>
    <definedName name="ee_tax_id_rng">Auxiliary!$125:$126</definedName>
    <definedName name="ee_tax_id_toggle">DynamicPicklists!$CA$112</definedName>
    <definedName name="ee_toggle">DynamicPicklists!$CA$27</definedName>
    <definedName name="eg_toggle">DynamicPicklists!$AW$19</definedName>
    <definedName name="EI_Ent_lbl">'Field labels'!$B$379</definedName>
    <definedName name="EI_Ent_rng">Auxiliary!$289:$290</definedName>
    <definedName name="EI_Ent_toggle">DynamicPicklists!$CA$166</definedName>
    <definedName name="emer_alt_phone_label">'Field labels'!$B$243</definedName>
    <definedName name="Emer_Cont_Addr_lbl">'Field labels'!$B$695</definedName>
    <definedName name="Emer_Cont_Addr_rng">'New Hire Form'!$281:$286</definedName>
    <definedName name="Emer_Cont_Addr_toggle">DynamicPicklists!$AW$129</definedName>
    <definedName name="emer_cont_label">'Field labels'!$B$73</definedName>
    <definedName name="Emer_Cont_Relationship">'New Hire Form'!$E$271</definedName>
    <definedName name="emer_cont_rng">'New Hire Form'!$266:$280</definedName>
    <definedName name="emer_email_label">'Field labels'!$B$242</definedName>
    <definedName name="emer_is_primary_label">'Field labels'!$B$244</definedName>
    <definedName name="emer_name_label">'Field labels'!$B$74</definedName>
    <definedName name="emer_phone_label">'Field labels'!$B$76</definedName>
    <definedName name="emer_relat_label">'Field labels'!$B$75</definedName>
    <definedName name="Emp_Dec_Sign_dt_rng">'New Hire Form'!$558:$559</definedName>
    <definedName name="Emp_Dec_Sign_dt_toggle">DynamicPicklists!$CA$239</definedName>
    <definedName name="Emp_Dec_Sign_dt_toggle_lbl">'Field labels'!$B$453</definedName>
    <definedName name="emp_stm_lbl">'Field labels'!$B$284</definedName>
    <definedName name="emp_stm_rng">Auxiliary!$137:$138</definedName>
    <definedName name="emp_stm_toggle">DynamicPicklists!$CA$90</definedName>
    <definedName name="empl_ess_lbl">'Field labels'!$B$305</definedName>
    <definedName name="empl_ess_rng">Auxiliary!$185:$186</definedName>
    <definedName name="empl_ess_toggle">DynamicPicklists!$CA$111</definedName>
    <definedName name="Employee_Class" localSheetId="3">'Field labels'!$B$149</definedName>
    <definedName name="Employee_Class">'New Hire Form'!$E$494</definedName>
    <definedName name="Employee_Class_label">'New Hire Form'!$C$494</definedName>
    <definedName name="Employee_Sub_Type">'New Hire Form'!$E$496</definedName>
    <definedName name="Employee_Sub_Type_Label">'Field labels'!$B$150</definedName>
    <definedName name="Employee_Type" localSheetId="3">'Field labels'!$B$148</definedName>
    <definedName name="Employee_Type">'New Hire Form'!$E$492</definedName>
    <definedName name="Employee_Type_label">'New Hire Form'!$C$492</definedName>
    <definedName name="Employer_Dec_Sign_dt_rng">'New Hire Form'!$560:$561</definedName>
    <definedName name="Employer_Dec_Sign_dt_toggle">DynamicPicklists!$CA$240</definedName>
    <definedName name="Employer_Dec_Sign_dt_toggle_lbl">'Field labels'!$B$454</definedName>
    <definedName name="Employment_details">'Field labels'!$B$142</definedName>
    <definedName name="Employment_details_label">'New Hire Form'!$C$473</definedName>
    <definedName name="emplr_ee_contr_lbl">'Field labels'!$B$332</definedName>
    <definedName name="emplr_ee_contr_rng">Auxiliary!$237:$238</definedName>
    <definedName name="emplr_ee_contr_toggle">DynamicPicklists!$CA$138</definedName>
    <definedName name="emplr_ee_contrb_1_lbl">'Field labels'!$B$336</definedName>
    <definedName name="emplr_ee_contrb_1_rng">Auxiliary!$245:$246</definedName>
    <definedName name="emplr_ee_contrb_1_toggle">DynamicPicklists!$CA$142</definedName>
    <definedName name="emplr_ee_contrb_2_lbl">'Field labels'!$B$340</definedName>
    <definedName name="emplr_ee_contrb_2_rng">Auxiliary!$253:$254</definedName>
    <definedName name="emplr_ee_contrb_2_toggle">DynamicPicklists!$CA$146</definedName>
    <definedName name="emplt_categ_lbl">'Field labels'!$B$328</definedName>
    <definedName name="emplt_categ_rng">Auxiliary!$229:$230</definedName>
    <definedName name="emplt_categ_toggle">DynamicPicklists!$CA$134</definedName>
    <definedName name="emplt_type_lbl">'Field labels'!$B$318</definedName>
    <definedName name="emplt_type_rng">Auxiliary!$209:$210</definedName>
    <definedName name="emplt_type_toggle">DynamicPicklists!$CA$124</definedName>
    <definedName name="emr_alt_phn_toggle">DynamicPicklists!#REF!</definedName>
    <definedName name="emr_email_toggle">DynamicPicklists!#REF!</definedName>
    <definedName name="End_Date_lbl">'Field labels'!$B$423</definedName>
    <definedName name="end_Date_rng">Auxiliary!#REF!</definedName>
    <definedName name="End_Date_Toggle">DynamicPicklists!$CA$210</definedName>
    <definedName name="End_Date1_lbl">'Field labels'!$B$425</definedName>
    <definedName name="End_Date1_rng">Auxiliary!$377:$378</definedName>
    <definedName name="End_Date1_toggle">DynamicPicklists!$CA$212</definedName>
    <definedName name="end_dt_lbl">'Field labels'!$B$297</definedName>
    <definedName name="end_dt_rng">Auxiliary!$169:$170</definedName>
    <definedName name="end_dt_toggle">DynamicPicklists!$CA$103</definedName>
    <definedName name="ER_IR_label">'Field labels'!$B$169</definedName>
    <definedName name="ER_IR_rng">'New Hire Form'!$566:$570</definedName>
    <definedName name="ER_IR_toggle">DynamicPicklists!$CA$23</definedName>
    <definedName name="esi_num_lbl">'Field labels'!$B$280</definedName>
    <definedName name="esi_num_rng">Auxiliary!$129:$130</definedName>
    <definedName name="esi_num_toggle">DynamicPicklists!$CA$86</definedName>
    <definedName name="est_range">'New Hire Form'!$496:$497</definedName>
    <definedName name="est_toggle">DynamicPicklists!$CA$6</definedName>
    <definedName name="eth_gr_range">'New Hire Form'!$95:$96</definedName>
    <definedName name="ethnic_group">'New Hire Form'!$E$95</definedName>
    <definedName name="Ethnic_Group_label">'Field labels'!$B$35</definedName>
    <definedName name="ethnic_origin">'New Hire Form'!$E$123</definedName>
    <definedName name="Ethnicity_lbl">'Field labels'!$B$352</definedName>
    <definedName name="Ethnicity_rng">'New Hire Form'!$115:$116</definedName>
    <definedName name="Ethnicity_toggle">DynamicPicklists!$AW$97</definedName>
    <definedName name="Event_reason" localSheetId="3">'Field labels'!$B$5</definedName>
    <definedName name="Event_Reason">'New Hire Form'!$E$9</definedName>
    <definedName name="Event_Reason_label">'New Hire Form'!$C$9</definedName>
    <definedName name="exist_ee_rng">Auxiliary!$11:$12</definedName>
    <definedName name="exist_lbl">'Field labels'!$B$189</definedName>
    <definedName name="exp_dt_lbl">'Field labels'!$B$291</definedName>
    <definedName name="exp_dt_rng">Auxiliary!$153:$154</definedName>
    <definedName name="exp_dt_toggle">DynamicPicklists!$CA$97</definedName>
    <definedName name="External_Insititution_lbl">'Field labels'!$B$420</definedName>
    <definedName name="External_Insititution_rng">Auxiliary!$371:$372</definedName>
    <definedName name="External_Insititution_toggle">DynamicPicklists!$CA$207</definedName>
    <definedName name="Extra_line_label">'Field labels'!$B$51</definedName>
    <definedName name="extra_line_range">'New Hire Form'!$195:$196</definedName>
    <definedName name="extra_line_toggle">DynamicPicklists!$K$2</definedName>
    <definedName name="f_toggle">DynamicPicklists!$CA$60</definedName>
    <definedName name="f2f_oh_lbl">'Field labels'!$B$210</definedName>
    <definedName name="f2f_toggle">DynamicPicklists!$CA$48</definedName>
    <definedName name="facility_lbl">'Field labels'!$B$222</definedName>
    <definedName name="facility_rng">Auxiliary!$79:$80</definedName>
    <definedName name="First_Employ_lbl">'Field labels'!$B$466</definedName>
    <definedName name="First_Employ_rng">'New Hire Form'!$516:$517</definedName>
    <definedName name="First_Employ_Toggle">DynamicPicklists!$CA$245</definedName>
    <definedName name="First_Name" localSheetId="3">'Field labels'!$B$8</definedName>
    <definedName name="First_Name">'New Hire Form'!$E$17</definedName>
    <definedName name="First_Name_label">'New Hire Form'!$C$17</definedName>
    <definedName name="Floor_label">'Field labels'!$B$59</definedName>
    <definedName name="floor_range">'New Hire Form'!$219:$220</definedName>
    <definedName name="floor_toggle">DynamicPicklists!$R$2</definedName>
    <definedName name="fn_local">'Field labels'!$B$14</definedName>
    <definedName name="fn_local_rng">'New Hire Form'!$33:$34</definedName>
    <definedName name="fn_toggle">DynamicPicklists!$AW$26</definedName>
    <definedName name="fnl_toggle">DynamicPicklists!$AW$7</definedName>
    <definedName name="Frequency" localSheetId="3">'Field labels'!$B$183</definedName>
    <definedName name="Frequency">'New Hire Form'!$E$601</definedName>
    <definedName name="Frequency_label">'New Hire Form'!$C$601</definedName>
    <definedName name="Frequency2">'New Hire Form'!$G$601</definedName>
    <definedName name="Frequency3">'New Hire Form'!$I$601</definedName>
    <definedName name="Frequency4">'New Hire Form'!$K$601</definedName>
    <definedName name="Frequency5">'New Hire Form'!$M$601</definedName>
    <definedName name="Frequency6">'New Hire Form'!$O$601</definedName>
    <definedName name="Frequency7">'New Hire Form'!#REF!</definedName>
    <definedName name="fsoe_toggle">DynamicPicklists!$AW$77</definedName>
    <definedName name="ftc_lbl">'Field labels'!$B$187</definedName>
    <definedName name="ftc_rng">Auxiliary!$7:$8</definedName>
    <definedName name="fxd_allow_lbl">'Field labels'!$B$316</definedName>
    <definedName name="fxd_allow_rng">Auxiliary!$205:$206</definedName>
    <definedName name="fxd_allow_toggle">DynamicPicklists!$CA$122</definedName>
    <definedName name="fxd_bonus_lbl">'Field labels'!$B$307</definedName>
    <definedName name="fxd_bonus_rng">Auxiliary!$143:$144</definedName>
    <definedName name="fxd_bonus_toggle">DynamicPicklists!$CA$113</definedName>
    <definedName name="g_toggle">DynamicPicklists!$AW$14</definedName>
    <definedName name="gbc_toggle">DynamicPicklists!$CA$66</definedName>
    <definedName name="Gender" localSheetId="3">'Field labels'!$B$30</definedName>
    <definedName name="Gender">'New Hire Form'!$E$71</definedName>
    <definedName name="Gender_label">'New Hire Form'!$C$71</definedName>
    <definedName name="gender_range">'New Hire Form'!$71:$72</definedName>
    <definedName name="gmt_position_for_igss">'New Hire Form'!$E$568</definedName>
    <definedName name="gmt_position_for_igss_lbl">'Field labels'!$B$535</definedName>
    <definedName name="gmt_position_for_igss_rng">'New Hire Form'!$568:$569</definedName>
    <definedName name="gmt_position_for_igss_toggle">DynamicPicklists!$CA$249</definedName>
    <definedName name="go_big_lbl">'Field labels'!$B$229</definedName>
    <definedName name="go_big_rng">Auxiliary!$89:$90</definedName>
    <definedName name="gtm_academic_degree_lbl">'Field labels'!#REF!</definedName>
    <definedName name="gtm_add_department_1">'New Hire Form'!$E$201</definedName>
    <definedName name="gtm_add_department_2">'New Hire Form'!$G$201</definedName>
    <definedName name="gtm_add_department_3">'New Hire Form'!$I$201</definedName>
    <definedName name="gtm_add_department_lbl">'Field labels'!$B$534</definedName>
    <definedName name="gtm_add_department_rng">'New Hire Form'!$201:$202</definedName>
    <definedName name="gtm_add_department_toggle">DynamicPicklists!$AN$2</definedName>
    <definedName name="gtm_add_zona_lbl">'Field labels'!$B$533</definedName>
    <definedName name="gtm_add_zona_rng">'New Hire Form'!$169:$170</definedName>
    <definedName name="gtm_add_zona_toggle">DynamicPicklists!$AM$2</definedName>
    <definedName name="gtm_alt_occupation_lbl">'Field labels'!#REF!</definedName>
    <definedName name="gtm_application_desc_lbl">'Field labels'!$B$634</definedName>
    <definedName name="gtm_applied_date_lbl">'Field labels'!$B$640</definedName>
    <definedName name="gtm_applied_payroll_lbl">'Field labels'!$B$642</definedName>
    <definedName name="GTM_Aux_rng">Auxiliary!$742:$767</definedName>
    <definedName name="gtm_avg_third_fourteen_lbl">'Field labels'!$B$633</definedName>
    <definedName name="gtm_challenged_lbl">'Field labels'!$B$531</definedName>
    <definedName name="gtm_challenged_rng">'New Hire Form'!$457:$458</definedName>
    <definedName name="gtm_challenged_toggle">DynamicPicklists!$AW$125</definedName>
    <definedName name="gtm_comments_lbl">'Field labels'!$B$637</definedName>
    <definedName name="gtm_date_received_lbl">'Field labels'!$B$639</definedName>
    <definedName name="gtm_dpi_lbl">'Field labels'!$B$631</definedName>
    <definedName name="gtm_employee_data_lbl">'Field labels'!$B$630</definedName>
    <definedName name="gtm_hr_rep_lbl">'Field labels'!$B$641</definedName>
    <definedName name="gtm_level_of_education">'New Hire Form'!$E$459</definedName>
    <definedName name="gtm_level_of_education_lbl">'Field labels'!$B$532</definedName>
    <definedName name="gtm_level_of_education_rng">'New Hire Form'!$459:$460</definedName>
    <definedName name="gtm_level_of_education_toggle">DynamicPicklists!$AW$126</definedName>
    <definedName name="gtm_new_hire_replc_lbl">'Field labels'!$B$635</definedName>
    <definedName name="gtm_occupation_lbl">'Field labels'!$B$632</definedName>
    <definedName name="gtm_salary_increase_lbl">'Field labels'!$B$636</definedName>
    <definedName name="gtm_signatures_lbl">'Field labels'!$B$638</definedName>
    <definedName name="Guatemala_Aux_Toggle">DynamicPicklists!$CA$255</definedName>
    <definedName name="Handicap_code_lbl">'Field labels'!$B$415</definedName>
    <definedName name="Handicap_code_rng">Auxiliary!$361:$362</definedName>
    <definedName name="Handicap_code_toggle">DynamicPicklists!$CA$202</definedName>
    <definedName name="Handicap_Emp_lbl">'Field labels'!$B$414</definedName>
    <definedName name="Handicap_Emp_rng">Auxiliary!$359:$360</definedName>
    <definedName name="Handicap_Emp_toggle">DynamicPicklists!$CA$201</definedName>
    <definedName name="Handicap_lbl">'Field labels'!$B$443</definedName>
    <definedName name="Handicap_rng">Auxiliary!$409:$410</definedName>
    <definedName name="Handicap_toggle">DynamicPicklists!$CA$230</definedName>
    <definedName name="Harmful_Agent_Exposure_Code_lbl">'Field labels'!$B$465</definedName>
    <definedName name="Harmful_Agent_Exposure_Code_rng">'New Hire Form'!$514:$515</definedName>
    <definedName name="Harmful_Agent_Exposure_Code_toggle">DynamicPicklists!$CA$244</definedName>
    <definedName name="hb_toggle">DynamicPicklists!$AW$74</definedName>
    <definedName name="hdmf_num_num_lbl">'Field labels'!$B$310</definedName>
    <definedName name="hdmf_num_num_rng">Auxiliary!$191:$192</definedName>
    <definedName name="hdmf_num_num_toggle">DynamicPicklists!$CA$116</definedName>
    <definedName name="healt_ins_lbl">'Field labels'!$B$95</definedName>
    <definedName name="health_branch_label">'Field labels'!$B$128</definedName>
    <definedName name="Health_Ins_Indicator_lbl">'Field labels'!$B$451</definedName>
    <definedName name="Health_Ins_Indicator_rng">Auxiliary!$425:$426</definedName>
    <definedName name="Health_Ins_Indicator_toggle">DynamicPicklists!$CA$238</definedName>
    <definedName name="health_insu">'New Hire Form'!$E$327</definedName>
    <definedName name="health_insu_addr_label">'Field labels'!$B$122</definedName>
    <definedName name="health_insu_label">'Field labels'!$B$120</definedName>
    <definedName name="health_insu_name_label">'Field labels'!$B$121</definedName>
    <definedName name="health_insu2">'New Hire Form'!$G$327</definedName>
    <definedName name="health_insu3">'New Hire Form'!$I$327</definedName>
    <definedName name="health_insu4">'New Hire Form'!$K$327</definedName>
    <definedName name="health_insu5">'New Hire Form'!$M$327</definedName>
    <definedName name="health_insu6">'New Hire Form'!$O$327</definedName>
    <definedName name="health_insu7">'New Hire Form'!$Q$327</definedName>
    <definedName name="health_insu8">'New Hire Form'!$S$327</definedName>
    <definedName name="hfa_lbl">'Field labels'!$B$283</definedName>
    <definedName name="hfa_rng">Auxiliary!$135:$136</definedName>
    <definedName name="hfa_toggle">DynamicPicklists!$CA$89</definedName>
    <definedName name="hi_toggle">DynamicPicklists!$AW$66</definedName>
    <definedName name="Hidden_range1">'New Hire Form'!$2:$10</definedName>
    <definedName name="Hidden_rows">'New Hire Form'!$2:$11,'New Hire Form'!$463:$605</definedName>
    <definedName name="high_edu_lbl">'Field labels'!$B$266</definedName>
    <definedName name="high_edu_rng">'New Hire Form'!$89:$90</definedName>
    <definedName name="high_edu_toggle">DynamicPicklists!$AW$95</definedName>
    <definedName name="Hire_date" localSheetId="3">'Field labels'!$B$3</definedName>
    <definedName name="Hire_Date">'New Hire Form'!$E$5</definedName>
    <definedName name="Hire_Date_label">'New Hire Form'!$C$5</definedName>
    <definedName name="hire_right_lbl">'Field labels'!$B$200</definedName>
    <definedName name="hire_right_rng">Auxiliary!$35:$36</definedName>
    <definedName name="hlth_branch_rng">'New Hire Form'!$431:$432</definedName>
    <definedName name="hlth_ins_catg_lbl">'Field labels'!$B$343</definedName>
    <definedName name="hlth_ins_catg_rng">Auxiliary!$259:$260</definedName>
    <definedName name="hlth_ins_catg_toggle">DynamicPicklists!$CA$149</definedName>
    <definedName name="hlth_ins_rng">'New Hire Form'!$405:$406</definedName>
    <definedName name="hlth_prov_add_rng">'New Hire Form'!$409:$410</definedName>
    <definedName name="hlth_prov_rng">'New Hire Form'!$407:$408</definedName>
    <definedName name="hlth_si_fund_lbl">'Field labels'!$B$341</definedName>
    <definedName name="hlth_si_fund_rng">Auxiliary!$255:$256</definedName>
    <definedName name="hlth_si_fund_toggle">DynamicPicklists!$CA$147</definedName>
    <definedName name="hlth_si_schm_lbl">'Field labels'!$B$342</definedName>
    <definedName name="hlth_si_schm_rng">Auxiliary!$257:$258</definedName>
    <definedName name="hlth_si_schm_toggle">DynamicPicklists!$CA$148</definedName>
    <definedName name="hnd_application_desc_lbl">'Field labels'!$B$621</definedName>
    <definedName name="hnd_applied_date_lbl">'Field labels'!$B$627</definedName>
    <definedName name="hnd_applied_payroll_lbl">'Field labels'!$B$629</definedName>
    <definedName name="HND_Aux_rng">Auxiliary!$724:$741</definedName>
    <definedName name="hnd_comments_lbl">'Field labels'!$B$624</definedName>
    <definedName name="hnd_created_hr_lbl">'Field labels'!$B$628</definedName>
    <definedName name="hnd_creation_date_lbl">'Field labels'!$B$626</definedName>
    <definedName name="hnd_new_hire_replc_lbl">'Field labels'!$B$622</definedName>
    <definedName name="hnd_salary_increase_lbl">'Field labels'!$B$623</definedName>
    <definedName name="hnd_signatures_lbl">'Field labels'!$B$625</definedName>
    <definedName name="homeoff_lbl">'Field labels'!$B$235</definedName>
    <definedName name="HON_Bank_Name_lbl">'Field labels'!$B$530</definedName>
    <definedName name="HON_Bank_Name_rng">'New Hire Form'!$381:$382</definedName>
    <definedName name="HON_Bank_Name_Toggle">DynamicPicklists!$AW$124</definedName>
    <definedName name="Honduras_Aux_Toggle">DynamicPicklists!$CA$254</definedName>
    <definedName name="hospital_lbl">'Field labels'!$B$324</definedName>
    <definedName name="hospital_rng">Auxiliary!$221:$222</definedName>
    <definedName name="hospital_toggle">DynamicPicklists!$CA$130</definedName>
    <definedName name="House_number_label">'Field labels'!$B$49</definedName>
    <definedName name="house_number_range">'New Hire Form'!$171:$172</definedName>
    <definedName name="house_number_toggle">DynamicPicklists!$I$2</definedName>
    <definedName name="HR_appr_lbl">'Field labels'!$B$192</definedName>
    <definedName name="hr_appr_rng">Auxiliary!$17:$18</definedName>
    <definedName name="hr_ind_date_rng">Auxiliary!$29:$30</definedName>
    <definedName name="hr_ind_deadline_rng">Auxiliary!$33:$34</definedName>
    <definedName name="hr_ind_time_rng">Auxiliary!$31:$32</definedName>
    <definedName name="HR_induct_date_lbl">'Field labels'!$B$197</definedName>
    <definedName name="hr_induct_held_lbl">'Field labels'!$B$199</definedName>
    <definedName name="HR_induct_time_lbl">'Field labels'!$B$198</definedName>
    <definedName name="hra_toggle">DynamicPicklists!$CA$30</definedName>
    <definedName name="hrc_toggle">DynamicPicklists!$CA$38</definedName>
    <definedName name="hrid_toggle">DynamicPicklists!$CA$35</definedName>
    <definedName name="hrit_toggle">DynamicPicklists!$CA$36</definedName>
    <definedName name="hritbhb_toggle">DynamicPicklists!$CA$37</definedName>
    <definedName name="iavm_toggle">DynamicPicklists!$AW$23</definedName>
    <definedName name="IBAN">'Field labels'!$B$109</definedName>
    <definedName name="iban_range">'New Hire Form'!$377:$378</definedName>
    <definedName name="iban_toggle">DynamicPicklists!$AW$55</definedName>
    <definedName name="ID_Card_Name_Lbl">'Field labels'!$B$267</definedName>
    <definedName name="id_card_name_rng">'New Hire Form'!$117:$118</definedName>
    <definedName name="id_card_name_toggle">DynamicPicklists!$AW$96</definedName>
    <definedName name="Identity">'Field labels'!$B$2</definedName>
    <definedName name="Identity_label">'New Hire Form'!$C$2</definedName>
    <definedName name="ifcl_toggle">DynamicPicklists!$CA$25</definedName>
    <definedName name="immig_supp_lbl">'Field labels'!$B$217</definedName>
    <definedName name="immig_supp_rng">Auxiliary!$69:$70</definedName>
    <definedName name="immigr_lbl">'Field labels'!$B$227</definedName>
    <definedName name="Income_Tax_Percentage_lbl">'Field labels'!$B$416</definedName>
    <definedName name="Income_Tax_Percentage_rng">Auxiliary!$363:$364</definedName>
    <definedName name="Income_Tax_Percentage_toggle">DynamicPicklists!$CA$203</definedName>
    <definedName name="Indicator_dependent_family_mem_lbl">'Field labels'!$B$422</definedName>
    <definedName name="Indicator_dependent_family_mem_rng">Auxiliary!$375:$376</definedName>
    <definedName name="Indicator_dependent_family_mem_toggle">DynamicPicklists!$CA$209</definedName>
    <definedName name="Ins_No_lbl">'Field labels'!$B$447</definedName>
    <definedName name="Ins_No_rng">Auxiliary!$417:$418</definedName>
    <definedName name="Ins_No_toggle">DynamicPicklists!$CA$234</definedName>
    <definedName name="institut_name_lbl">'Field labels'!$B$293</definedName>
    <definedName name="institut_name_rng">Auxiliary!$161:$162</definedName>
    <definedName name="institut_name_toggle">DynamicPicklists!$CA$99</definedName>
    <definedName name="Is_a_Visible_Minority_label">'Field labels'!$B$39</definedName>
    <definedName name="isr_toggle">DynamicPicklists!$CA$55</definedName>
    <definedName name="issue_auth_lbl">'Field labels'!$B$265</definedName>
    <definedName name="issue_auth_rng">'New Hire Form'!$87:$88</definedName>
    <definedName name="issue_auth_toggle">DynamicPicklists!$AW$94</definedName>
    <definedName name="issue_dt_lbl">'Field labels'!$B$290</definedName>
    <definedName name="issue_dt_rng">Auxiliary!$151:$152</definedName>
    <definedName name="issue_dt_toggle">DynamicPicklists!$CA$96</definedName>
    <definedName name="IssueAuth_lbl">'Field labels'!$B$256</definedName>
    <definedName name="IssuePlace_lbl">'Field labels'!$B$257</definedName>
    <definedName name="it_num_lbl">'Field labels'!$B$344</definedName>
    <definedName name="it_num_rng">Auxiliary!$261:$262</definedName>
    <definedName name="it_num_toggle">DynamicPicklists!$CA$150</definedName>
    <definedName name="it_office_lbl">'Field labels'!$B$349</definedName>
    <definedName name="it_office_rng">Auxiliary!$271:$272</definedName>
    <definedName name="it_office_toggle">DynamicPicklists!$CA$155</definedName>
    <definedName name="ityoj_toggle">DynamicPicklists!$AW$81</definedName>
    <definedName name="jamsostek_id_num_lbl">'Field labels'!$B$321</definedName>
    <definedName name="jamsostek_id_num_rng">Auxiliary!$215:$216</definedName>
    <definedName name="jamsostek_id_num_toggle">DynamicPicklists!$CA$127</definedName>
    <definedName name="jig_toggle">DynamicPicklists!$CA$8</definedName>
    <definedName name="jlic_toggle">DynamicPicklists!$CA$67</definedName>
    <definedName name="Job_Information">'Field labels'!$B$146</definedName>
    <definedName name="Job_Information_label">'New Hire Form'!$C$487</definedName>
    <definedName name="job_int_grade">'New Hire Form'!$E$508</definedName>
    <definedName name="job_int_grade_lbl">'Field labels'!$B$153</definedName>
    <definedName name="job_int_grd_rng">'New Hire Form'!$508:$509</definedName>
    <definedName name="job_title_lbl">'Field labels'!$B$314</definedName>
    <definedName name="job_title_rng">Auxiliary!$201:$202</definedName>
    <definedName name="job_title_toggle">DynamicPicklists!$CA$120</definedName>
    <definedName name="jpn_depnt_firstname_kanji_lbl">'Field labels'!$B$363</definedName>
    <definedName name="jpn_depnt_firstname_kanji_rng">'New Hire Form'!$107:$108</definedName>
    <definedName name="jpn_depnt_firstname_kanji_toggle">DynamicPicklists!$AW$104</definedName>
    <definedName name="jpn_depnt_firstname_katakana_lbl">'Field labels'!$B$365</definedName>
    <definedName name="jpn_depnt_firstname_katakana_rng">'New Hire Form'!$111:$112</definedName>
    <definedName name="jpn_depnt_firstname_katakana_toggle">DynamicPicklists!$AW$106</definedName>
    <definedName name="jpn_depnt_lastname_kanji_lbl">'Field labels'!$B$364</definedName>
    <definedName name="jpn_depnt_lastname_kanji_rng">'New Hire Form'!$109:$110</definedName>
    <definedName name="jpn_depnt_lastname_kanji_toggle">DynamicPicklists!$AW$105</definedName>
    <definedName name="jpn_depnt_lastname_katakana_lbl">'Field labels'!$B$366</definedName>
    <definedName name="jpn_depnt_lastname_katakana_rng">'New Hire Form'!$113:$114</definedName>
    <definedName name="jpn_depnt_lastname_katakana_toggle">DynamicPicklists!$AW$107</definedName>
    <definedName name="jpn_kanji_addl1_lbl">'Field labels'!$B$367</definedName>
    <definedName name="jpn_kanji_addl1_rng">'New Hire Form'!$179:$180</definedName>
    <definedName name="jpn_kanji_addl1_toggle">DynamicPicklists!$AA$2</definedName>
    <definedName name="jpn_kanji_addl2_lbl">'Field labels'!$B$368</definedName>
    <definedName name="jpn_kanji_addl2_rng">'New Hire Form'!$181:$182</definedName>
    <definedName name="jpn_kanji_addl2_toggle">DynamicPicklists!$AB$2</definedName>
    <definedName name="jpn_kanji_addl3_lbl">'Field labels'!$B$369</definedName>
    <definedName name="jpn_kanji_addl3_rng">'New Hire Form'!$183:$184</definedName>
    <definedName name="jpn_kanji_addl3_toggle">DynamicPicklists!$AC$2</definedName>
    <definedName name="jpn_katakana_addl1_lbl">'Field labels'!$B$370</definedName>
    <definedName name="jpn_katakana_addl1_rng">'New Hire Form'!$185:$186</definedName>
    <definedName name="jpn_katakana_addl1_toggle">DynamicPicklists!$AD$2</definedName>
    <definedName name="jpn_katakana_addl2_lbl">'Field labels'!$B$371</definedName>
    <definedName name="jpn_katakana_addl2_rng">'New Hire Form'!$187:$188</definedName>
    <definedName name="jpn_katakana_addl2_toggle">DynamicPicklists!$AE$2</definedName>
    <definedName name="jpn_katakana_addl3_lbl">'Field labels'!$B$372</definedName>
    <definedName name="jpn_katakana_addl3_rng">'New Hire Form'!$189:$190</definedName>
    <definedName name="jpn_katakana_addl3_toggle">DynamicPicklists!$AF$2</definedName>
    <definedName name="jpn_koseki_eng_lbl">'Field labels'!$B$360</definedName>
    <definedName name="jpn_koseki_eng_rng">'New Hire Form'!$101:$102</definedName>
    <definedName name="jpn_koseki_eng_toggle">DynamicPicklists!$AW$101</definedName>
    <definedName name="jpn_koseki_kanji_lbl">'Field labels'!$B$361</definedName>
    <definedName name="jpn_koseki_kanji_rng">'New Hire Form'!$103:$104</definedName>
    <definedName name="jpn_koseki_kanji_toggle">DynamicPicklists!$AW$102</definedName>
    <definedName name="jpn_koseki_katakana_lbl">'Field labels'!$B$362</definedName>
    <definedName name="jpn_koseki_katakana_rng">'New Hire Form'!$105:$106</definedName>
    <definedName name="jpn_koseki_katakana_toggle">DynamicPicklists!$AW$103</definedName>
    <definedName name="k_toggle">DynamicPicklists!$AW$63</definedName>
    <definedName name="kd_toggle">DynamicPicklists!$CA$61</definedName>
    <definedName name="konfession_label">'Field labels'!$B$117</definedName>
    <definedName name="konfession_rng">'New Hire Form'!$399:$400</definedName>
    <definedName name="kor_add_disctrict_toggle">DynamicPicklists!$AQ$2</definedName>
    <definedName name="kor_add_district">'New Hire Form'!$E$193</definedName>
    <definedName name="kor_add_district_lbl">'Field labels'!$B$698</definedName>
    <definedName name="kor_add_district_rng">'New Hire Form'!$193:$194</definedName>
    <definedName name="kor_add_district1">'New Hire Form'!$G$193</definedName>
    <definedName name="kor_add_district2">'New Hire Form'!$I$193</definedName>
    <definedName name="kronos_lbl">'Field labels'!$B$223</definedName>
    <definedName name="kronos_rng">Auxiliary!$81:$82</definedName>
    <definedName name="la_toggle">DynamicPicklists!$CA$16</definedName>
    <definedName name="lab_agree_label">'Field labels'!$B$162</definedName>
    <definedName name="labor_agreement">'New Hire Form'!$E$544</definedName>
    <definedName name="labor_agreement_range">'New Hire Form'!$544:$545</definedName>
    <definedName name="labor_cont_lbl">'Field labels'!$B$219</definedName>
    <definedName name="labor_cont_rng">Auxiliary!$73:$74</definedName>
    <definedName name="Language">Language!$B$8</definedName>
    <definedName name="Last_Name" localSheetId="3">'Field labels'!$B$10</definedName>
    <definedName name="Last_Name">'New Hire Form'!$E$21</definedName>
    <definedName name="Last_Name_label">'New Hire Form'!$C$21</definedName>
    <definedName name="lc_toggle">DynamicPicklists!$CA$57</definedName>
    <definedName name="legal_name_lbl">'Field labels'!$B$287</definedName>
    <definedName name="legal_name_rng">Auxiliary!$145:$146</definedName>
    <definedName name="legal_name_toggle">DynamicPicklists!$CA$93</definedName>
    <definedName name="ln_local">'Field labels'!$B$16</definedName>
    <definedName name="ln_local_rng">'New Hire Form'!$37:$38</definedName>
    <definedName name="lnl_toggle">DynamicPicklists!$AW$9</definedName>
    <definedName name="loc_trav_lbl">'Field labels'!$B$231</definedName>
    <definedName name="loc_trav_rng">Auxiliary!$93:$94</definedName>
    <definedName name="Locality_label">'Field labels'!$B$54</definedName>
    <definedName name="locality_range">'New Hire Form'!$205:$206</definedName>
    <definedName name="locality_toggle">DynamicPicklists!$M$2</definedName>
    <definedName name="Long_Ser_Leave_dt_rng">'New Hire Form'!$564:$565</definedName>
    <definedName name="Long_Ser_Leave_dt_toggle">DynamicPicklists!$CA$242</definedName>
    <definedName name="Long_Ser_Leave_dt_toggle_lbl">'Field labels'!$B$456</definedName>
    <definedName name="ltp_toggle">DynamicPicklists!$CA$68</definedName>
    <definedName name="lump_sum_lbl">'Field labels'!$B$228</definedName>
    <definedName name="lump_sum_rng">Auxiliary!$87:$88</definedName>
    <definedName name="lunch_vouc_lbl">'Field labels'!$B$218</definedName>
    <definedName name="lunch_vouc_rng">Auxiliary!$71:$72</definedName>
    <definedName name="lv_toggle">DynamicPicklists!$CA$56</definedName>
    <definedName name="Manager">'Field labels'!$B$147</definedName>
    <definedName name="Manager_label">'New Hire Form'!$C$490</definedName>
    <definedName name="MandatortHousing_Date_Lbl">'Field labels'!$B$249</definedName>
    <definedName name="MandatoryHousing_Date_Lbl">'Field labels'!$B$249</definedName>
    <definedName name="MandatoryHousing_Lbl">'Field labels'!$B$248</definedName>
    <definedName name="mar_stat_date_rng">'New Hire Form'!$75:$76</definedName>
    <definedName name="mar_stat_rng">'New Hire Form'!$73:$74</definedName>
    <definedName name="marital_label">'Field labels'!$B$31</definedName>
    <definedName name="marital_status">'New Hire Form'!$E$73</definedName>
    <definedName name="mcp_toggle">DynamicPicklists!$AW$60</definedName>
    <definedName name="med_cert">'New Hire Form'!$E$393</definedName>
    <definedName name="med_cert_label">'Field labels'!$B$114</definedName>
    <definedName name="med_cert_rng">'New Hire Form'!$393:$394</definedName>
    <definedName name="MEX_Aux_rng">Auxiliary!$660:$691</definedName>
    <definedName name="MEX_Bank_Key_lbl">'Field labels'!$B$525</definedName>
    <definedName name="MEX_Bank_Key_rng">'New Hire Form'!$353:$354</definedName>
    <definedName name="MEX_Bank_Key_Toggle">DynamicPicklists!$AW$120</definedName>
    <definedName name="mex_blood_group_lbl">'Field labels'!$B$600</definedName>
    <definedName name="MEX_CLABE_lbl">'Field labels'!$B$526</definedName>
    <definedName name="MEX_CLABE_rng">'New Hire Form'!$355:$356</definedName>
    <definedName name="MEX_CLABE_Toggle">DynamicPicklists!$AW$121</definedName>
    <definedName name="mex_comments_lbl">'Field labels'!$B$592</definedName>
    <definedName name="mex_contract_data_lbl">'Field labels'!$B$589</definedName>
    <definedName name="mex_contribution_lbl">'Field labels'!$B$591</definedName>
    <definedName name="mex_created_by_lbl">'Field labels'!$B$602</definedName>
    <definedName name="mex_curp_lbl">'Field labels'!$B$596</definedName>
    <definedName name="mex_emergency_contact_lbl">'Field labels'!$B$599</definedName>
    <definedName name="mex_hr_name_sign_lbl">'Field labels'!$B$604</definedName>
    <definedName name="mex_marriage_date_lbl">'Field labels'!$B$597</definedName>
    <definedName name="mex_misc_data_lbl">'Field labels'!$B$601</definedName>
    <definedName name="mex_payroll_card_lbl">'Field labels'!$B$598</definedName>
    <definedName name="mex_personal_details_lbl">'Field labels'!$B$593</definedName>
    <definedName name="mex_reg_imss_lbl">'Field labels'!$B$594</definedName>
    <definedName name="mex_rfc_lbl">'Field labels'!$B$595</definedName>
    <definedName name="mex_transfer_bonus_lbl">'Field labels'!$B$590</definedName>
    <definedName name="mex_validated_by_lbl">'Field labels'!$B$603</definedName>
    <definedName name="Mexico_Aux_Toggle">DynamicPicklists!$CA$251</definedName>
    <definedName name="MI_Card_No_lbl">'Field labels'!$B$376</definedName>
    <definedName name="MI_Card_No_rng">Auxiliary!$283:$284</definedName>
    <definedName name="MI_Card_No_toggle">DynamicPicklists!$CA$163</definedName>
    <definedName name="mid_name_lbl">'Field labels'!$B$9</definedName>
    <definedName name="mid_name_rng">'New Hire Form'!$19:$20</definedName>
    <definedName name="midn_toggle">DynamicPicklists!$AW$3</definedName>
    <definedName name="military_stat_lbl">'Field labels'!$B$289</definedName>
    <definedName name="military_stat_rng">Auxiliary!$149:$150</definedName>
    <definedName name="military_stat_toggle">DynamicPicklists!$CA$95</definedName>
    <definedName name="mls_toggle">DynamicPicklists!$CA$65</definedName>
    <definedName name="mn_local">'Field labels'!$B$15</definedName>
    <definedName name="mn_local_rng">'New Hire Form'!$35:$36</definedName>
    <definedName name="mn_toggle">DynamicPicklists!$AW$27</definedName>
    <definedName name="mnl_toggle">DynamicPicklists!$AW$8</definedName>
    <definedName name="ms_date_label">'Field labels'!$B$32</definedName>
    <definedName name="ms_toggle">DynamicPicklists!$AW$15</definedName>
    <definedName name="msd_toggle">DynamicPicklists!$AW$16</definedName>
    <definedName name="mthly_base_sal_lbl">'Field labels'!$B$315</definedName>
    <definedName name="mthly_base_sal_rng">Auxiliary!$203:$204</definedName>
    <definedName name="mthly_base_sal_toggle">DynamicPicklists!$CA$121</definedName>
    <definedName name="Mthly_Comp_Amt_lbl">'Field labels'!$B$397</definedName>
    <definedName name="Mthly_Comp_Amt_rng">Auxiliary!$325:$326</definedName>
    <definedName name="Mthly_Comp_Amt_toggle">DynamicPicklists!$CA$184</definedName>
    <definedName name="Mthly_Comp_Amt1_lbl">'Field labels'!$B$403</definedName>
    <definedName name="Mthly_Comp_Amt1_rng">Auxiliary!$337:$338</definedName>
    <definedName name="Mthly_Comp_Amt1_toggle">DynamicPicklists!$CA$190</definedName>
    <definedName name="Mthly_Comp_Amt2_lbl">'Field labels'!$B$409</definedName>
    <definedName name="Mthly_Comp_Amt2_rng">Auxiliary!$349:$350</definedName>
    <definedName name="Mthly_Comp_Amt2_toggle">DynamicPicklists!$CA$196</definedName>
    <definedName name="mum_name_label">'Field labels'!$B$43</definedName>
    <definedName name="mum_name_range">'New Hire Form'!$147:$148</definedName>
    <definedName name="n_toggle">DynamicPicklists!$AW$17</definedName>
    <definedName name="name_emplr_lbl">'Field labels'!$B$312</definedName>
    <definedName name="name_emplr_rng">Auxiliary!$197:$198</definedName>
    <definedName name="name_emplr_toggle">DynamicPicklists!$CA$118</definedName>
    <definedName name="Name_Information">'Field labels'!$B$6</definedName>
    <definedName name="Name_Information_label">'New Hire Form'!$C$12</definedName>
    <definedName name="name_of_institution_lbl">'Field labels'!$B$345</definedName>
    <definedName name="name_of_institution_rng">Auxiliary!$263:$264</definedName>
    <definedName name="name_of_institution_toggle">DynamicPicklists!$CA$151</definedName>
    <definedName name="name_supvr_lbl">'Field labels'!$B$313</definedName>
    <definedName name="name_supvr_rng">Auxiliary!$199:$200</definedName>
    <definedName name="name_supvr_toggle">DynamicPicklists!$CA$119</definedName>
    <definedName name="nat_range">'New Hire Form'!$77:$78</definedName>
    <definedName name="nat2_range">'New Hire Form'!$91:$92</definedName>
    <definedName name="NatIDTypeList">DynamicPicklists!$B$2:$E$2</definedName>
    <definedName name="NatIDTypeList2">DynamicPicklists!$B$3:$E$3</definedName>
    <definedName name="NatIDTypeList3">DynamicPicklists!$B$4:$E$4</definedName>
    <definedName name="National_ID_Information">'Field labels'!$B$22</definedName>
    <definedName name="National_ID_Information_label">'New Hire Form'!$C$52</definedName>
    <definedName name="NationalID" localSheetId="3">'Field labels'!$B$25</definedName>
    <definedName name="NationalID">'New Hire Form'!$E$59</definedName>
    <definedName name="NationalID_Country" localSheetId="3">'Field labels'!$B$23</definedName>
    <definedName name="NationalID_Country">'New Hire Form'!$E$55</definedName>
    <definedName name="NationalID_Country_label">'New Hire Form'!$C$55</definedName>
    <definedName name="NationalID_Country2">'New Hire Form'!$G$55</definedName>
    <definedName name="NationalID_Country3">'New Hire Form'!$I$55</definedName>
    <definedName name="NationalID_date">'Field labels'!$B$27</definedName>
    <definedName name="NationalID_issue">'Field labels'!$B$28</definedName>
    <definedName name="NationalID_label">'New Hire Form'!$C$59</definedName>
    <definedName name="NationalID_Primary" localSheetId="3">'Field labels'!$B$26</definedName>
    <definedName name="NationalID_Primary">'New Hire Form'!$E$61</definedName>
    <definedName name="NationalID_Primary_label">'New Hire Form'!$C$61</definedName>
    <definedName name="NationalID_Primary2">'New Hire Form'!$G$61</definedName>
    <definedName name="NationalID_Type" localSheetId="3">'Field labels'!$B$24</definedName>
    <definedName name="NationalID_Type">'New Hire Form'!$E$57</definedName>
    <definedName name="NationalID_Type_label">'New Hire Form'!$C$57</definedName>
    <definedName name="NationalID_Type2">'New Hire Form'!$G$57</definedName>
    <definedName name="NationalID_Type3">DynamicPicklists!$B$4:$E$4</definedName>
    <definedName name="Nationality" localSheetId="3">'Field labels'!$B$33</definedName>
    <definedName name="Nationality">'New Hire Form'!$E$77</definedName>
    <definedName name="nationality_aux_lbl">'Field labels'!$B$327</definedName>
    <definedName name="nationality_aux_rng">Auxiliary!$227:$228</definedName>
    <definedName name="nationality_aux_toggle">DynamicPicklists!$CA$133</definedName>
    <definedName name="Nationality_label">'New Hire Form'!$C$77</definedName>
    <definedName name="Nationality2">'New Hire Form'!$E$91</definedName>
    <definedName name="nationality2_label">'Field labels'!$B$34</definedName>
    <definedName name="nature_persn_lbl">'Field labels'!$B$326</definedName>
    <definedName name="nature_persn_rng">Auxiliary!$225:$226</definedName>
    <definedName name="nature_persn_toggle">DynamicPicklists!$CA$132</definedName>
    <definedName name="Neighborhood_Toggle">Table2[[#Headers],[Neighborhood]]</definedName>
    <definedName name="Neighborood_lbl">'Field labels'!$B$463</definedName>
    <definedName name="Neighborood_rng">'New Hire Form'!$227:$228</definedName>
    <definedName name="Neighborood_toggle">DynamicPicklists!$AG$2</definedName>
    <definedName name="nic_application_desc_lbl">'Field labels'!$B$605</definedName>
    <definedName name="nic_applied_date_lbl">'Field labels'!$B$611</definedName>
    <definedName name="nic_applied_payroll_lbl">'Field labels'!$B$613</definedName>
    <definedName name="NIC_Aux_rng">Auxiliary!$692:$709</definedName>
    <definedName name="NIC_Bank_Name_lbl">'Field labels'!$B$527</definedName>
    <definedName name="NIC_Bank_Name_rng">'New Hire Form'!$379:$380</definedName>
    <definedName name="NIC_Bank_Name_Toggle">DynamicPicklists!$AW$122</definedName>
    <definedName name="nic_comments_lbl">'Field labels'!$B$607</definedName>
    <definedName name="nic_creation_date_lbl">'Field labels'!$B$609</definedName>
    <definedName name="nic_date_received_lbl">'Field labels'!$B$610</definedName>
    <definedName name="nic_hr_rep_lbl">'Field labels'!$B$612</definedName>
    <definedName name="nic_new_hire_repl_lbl">'Field labels'!$B$606</definedName>
    <definedName name="nic_signatures_lbl">'Field labels'!$B$608</definedName>
    <definedName name="Nicaragua_Aux_Toggle">DynamicPicklists!$CA$252</definedName>
    <definedName name="nidbgr_toggle">DynamicPicklists!$AW$13</definedName>
    <definedName name="noc_range">'New Hire Form'!$121:$122</definedName>
    <definedName name="noc_toggle">DynamicPicklists!$AW$91</definedName>
    <definedName name="nohi_toggle">DynamicPicklists!$AW$67</definedName>
    <definedName name="nonEC_cont_type">Auxiliary!$E$4</definedName>
    <definedName name="nop_toggle">DynamicPicklists!$CA$29</definedName>
    <definedName name="notice_lbl">'Field labels'!$B$239</definedName>
    <definedName name="np_empl_lbl">'Field labels'!$B$281</definedName>
    <definedName name="np_empl_rng">Auxiliary!$131:$132</definedName>
    <definedName name="np_empl_toggle">DynamicPicklists!$CA$87</definedName>
    <definedName name="np_empr_lbl">'Field labels'!$B$282</definedName>
    <definedName name="np_empr_rng">Auxiliary!$133:$134</definedName>
    <definedName name="np_empr_toggle">DynamicPicklists!$CA$88</definedName>
    <definedName name="num_children_lbl">'Field labels'!$B$322</definedName>
    <definedName name="num_children_rng">Auxiliary!$217:$218</definedName>
    <definedName name="num_children_toggle">DynamicPicklists!$CA$128</definedName>
    <definedName name="num_depnt_lbl">'Field labels'!$B$351</definedName>
    <definedName name="num_depnt_rng">Auxiliary!$275:$276</definedName>
    <definedName name="num_depnt_toggle">DynamicPicklists!$CA$157</definedName>
    <definedName name="Numero_Ben_INSS_lbl">'Field labels'!$B$461</definedName>
    <definedName name="Numero_Ben_INSS_rng">'New Hire Form'!$425:$426</definedName>
    <definedName name="Numero_Ben_INSS_toggle">DynamicPicklists!$AW$112</definedName>
    <definedName name="oe_range">'New Hire Form'!$554:$555</definedName>
    <definedName name="oe_toggle">DynamicPicklists!$CA$21</definedName>
    <definedName name="OH_screen_rng">Auxiliary!$55:$56</definedName>
    <definedName name="Old_Person_deduction_lbl">'Field labels'!$B$439</definedName>
    <definedName name="Old_Person_deduction_rng">Auxiliary!$401:$402</definedName>
    <definedName name="Old_Person_deduction_toggle">DynamicPicklists!$CA$226</definedName>
    <definedName name="only_job">'New Hire Form'!$E$445</definedName>
    <definedName name="only_job_label">'Field labels'!$B$135</definedName>
    <definedName name="only_job_rng">'New Hire Form'!$445:$446</definedName>
    <definedName name="or_toggle">DynamicPicklists!$CA$34</definedName>
    <definedName name="org_unit">'New Hire Form'!$E$546</definedName>
    <definedName name="org_unit_label">'Field labels'!$B$163</definedName>
    <definedName name="org_unit_range">'New Hire Form'!$546:$547</definedName>
    <definedName name="Original_Start_Date">'Field labels'!$B$143</definedName>
    <definedName name="Original_Start_Date_label">'New Hire Form'!$C$476</definedName>
    <definedName name="OS_Worker_lbl">'Field labels'!$B$378</definedName>
    <definedName name="OS_Worker_rng">Auxiliary!$287:$288</definedName>
    <definedName name="OS_Worker_toggle">DynamicPicklists!$CA$165</definedName>
    <definedName name="other_req_lbl">'Field labels'!$B$196</definedName>
    <definedName name="other_req_rng">Auxiliary!$27:$28</definedName>
    <definedName name="ou_toggle">DynamicPicklists!$CA$17</definedName>
    <definedName name="Overtime_Eligibility_label">'Field labels'!$B$167</definedName>
    <definedName name="p45_label">'Field labels'!$B$129</definedName>
    <definedName name="p45_rng">'New Hire Form'!$433:$434</definedName>
    <definedName name="p45_toggle">DynamicPicklists!$AW$75</definedName>
    <definedName name="p45r">'New Hire Form'!$E$433</definedName>
    <definedName name="Participant_Status_lbl">'Field labels'!$B$419</definedName>
    <definedName name="Participant_Status_rng">Auxiliary!$369:$370</definedName>
    <definedName name="Participant_Status_toggle">DynamicPicklists!$CA$206</definedName>
    <definedName name="partner_name_rng">'New Hire Form'!$31:$32</definedName>
    <definedName name="partner_prefix_label">'Field labels'!$B$13</definedName>
    <definedName name="pay_c_toggle">DynamicPicklists!$AW$45</definedName>
    <definedName name="Pay_Change_Reason" localSheetId="3">'Field labels'!$B$179</definedName>
    <definedName name="Pay_Change_Reason">'New Hire Form'!$E$593</definedName>
    <definedName name="Pay_Change_Reason_label">'New Hire Form'!$C$593</definedName>
    <definedName name="Pay_Component" localSheetId="3">'Field labels'!$B$180</definedName>
    <definedName name="Pay_Component">'New Hire Form'!$E$595</definedName>
    <definedName name="Pay_Component_label">'New Hire Form'!$C$595</definedName>
    <definedName name="Pay_Component2">'New Hire Form'!$G$595</definedName>
    <definedName name="Pay_Component3">'New Hire Form'!$I$595</definedName>
    <definedName name="Pay_Component4">'New Hire Form'!$K$595</definedName>
    <definedName name="Pay_Component5">'New Hire Form'!$M$595</definedName>
    <definedName name="Pay_Component6">'New Hire Form'!$O$595</definedName>
    <definedName name="pay_country_rng">'New Hire Form'!$345:$346</definedName>
    <definedName name="pay_cur_toggle">DynamicPicklists!$AW$56</definedName>
    <definedName name="Pay_Group" localSheetId="3">'Field labels'!$B$178</definedName>
    <definedName name="Pay_Group">'New Hire Form'!$E$591</definedName>
    <definedName name="Pay_Group_label">'New Hire Form'!$C$591</definedName>
    <definedName name="pay_info_rng">'New Hire Form'!$338:$387</definedName>
    <definedName name="pay_m_toggle">DynamicPicklists!$AW$44</definedName>
    <definedName name="pay_met_rng">'New Hire Form'!$343:$344</definedName>
    <definedName name="pay_pos_code_rng">'New Hire Form'!$470:$471</definedName>
    <definedName name="Pay_Scale_Area" localSheetId="3">'Field labels'!$B$159</definedName>
    <definedName name="Pay_Scale_Area">'New Hire Form'!$E$536</definedName>
    <definedName name="Pay_Scale_Area_label">'New Hire Form'!$C$536</definedName>
    <definedName name="Pay_Scale_Group" localSheetId="3">'Field labels'!$B$161</definedName>
    <definedName name="Pay_Scale_Group">'New Hire Form'!$E$540</definedName>
    <definedName name="Pay_Scale_Group_label">'New Hire Form'!$C$540</definedName>
    <definedName name="Pay_Scale_Level" localSheetId="3">'Field labels'!$B$160</definedName>
    <definedName name="Pay_Scale_Level">'New Hire Form'!$E$538</definedName>
    <definedName name="Pay_Scale_Level_label">'New Hire Form'!$C$538</definedName>
    <definedName name="Pay_Scale_Type" localSheetId="3">'Field labels'!$B$158</definedName>
    <definedName name="Pay_Scale_Type">'New Hire Form'!$E$534</definedName>
    <definedName name="Pay_Scale_Type_label">'New Hire Form'!$C$534</definedName>
    <definedName name="pay_slip">'New Hire Form'!$E$385</definedName>
    <definedName name="pay_slip_lang_range">'New Hire Form'!$385:$386</definedName>
    <definedName name="pay_slip_language">'Field labels'!$B$111</definedName>
    <definedName name="pay_t_toggle">DynamicPicklists!$AW$43</definedName>
    <definedName name="pay_toggle">DynamicPicklists!$AW$42</definedName>
    <definedName name="Pay_Type">'New Hire Form'!$E$341</definedName>
    <definedName name="Pay_Type_label">'Field labels'!$B$98</definedName>
    <definedName name="pay_type_rng">'New Hire Form'!$341:$342</definedName>
    <definedName name="Payment_Information">'Field labels'!$B$97</definedName>
    <definedName name="Payment_Method">'New Hire Form'!$E$343</definedName>
    <definedName name="Payment_Method_label">'Field labels'!$B$99</definedName>
    <definedName name="payroll_job_code">'New Hire Form'!$E$468</definedName>
    <definedName name="payroll_job_code_label">'Field labels'!$B$140</definedName>
    <definedName name="payroll_job_hun_range">'New Hire Form'!$468:$471</definedName>
    <definedName name="payroll_position_code">'New Hire Form'!$E$470</definedName>
    <definedName name="payroll_position_code_label">'Field labels'!$B$141</definedName>
    <definedName name="pc_lbl">'Field labels'!$B$208</definedName>
    <definedName name="pc_rng">Auxiliary!$51:$52</definedName>
    <definedName name="pcr_toggle">DynamicPicklists!$CA$46</definedName>
    <definedName name="pe_toggle">DynamicPicklists!$AW$30</definedName>
    <definedName name="pen_num_lbl">'Field labels'!$B$279</definedName>
    <definedName name="pen_num_rng">Auxiliary!$127:$128</definedName>
    <definedName name="pen_num_toggle">DynamicPicklists!$CA$85</definedName>
    <definedName name="Pen_Type_Lbl">'Field labels'!$B$354</definedName>
    <definedName name="Pen_Type_Range">'New Hire Form'!$526:$527</definedName>
    <definedName name="Pen_Type_Toggle">DynamicPicklists!$CA$158</definedName>
    <definedName name="pens_fund_rng">'New Hire Form'!$411:$412</definedName>
    <definedName name="pension_fund_label">'Field labels'!$B$123</definedName>
    <definedName name="Pension_Plan_lbl">'Field labels'!$B$418</definedName>
    <definedName name="Pension_Plan_rng">Auxiliary!$367:$368</definedName>
    <definedName name="Pension_Plan_toggle">DynamicPicklists!$CA$205</definedName>
    <definedName name="Per_Aux_rng">Auxiliary!$710:$723</definedName>
    <definedName name="per_cuil_lbl">'Field labels'!$B$615</definedName>
    <definedName name="PER_ECU_Aux_Toggle">DynamicPicklists!$CA$253</definedName>
    <definedName name="per_education_lbl">'Field labels'!$B$616</definedName>
    <definedName name="per_end_date_lbl">'Field labels'!$B$617</definedName>
    <definedName name="per_misc_data_lbl">'Field labels'!$B$619</definedName>
    <definedName name="per_other_studies_lbl">'Field labels'!$B$618</definedName>
    <definedName name="per_personal_details_form_lbl">'Field labels'!$B$614</definedName>
    <definedName name="per_sign_lbl">'Field labels'!$B$620</definedName>
    <definedName name="perc_deduct_rng">Auxiliary!$43:$44</definedName>
    <definedName name="Percentage2">'Field labels'!$B$172</definedName>
    <definedName name="Percentage3">'Field labels'!$B$175</definedName>
    <definedName name="permit_range">'New Hire Form'!$232:$255</definedName>
    <definedName name="pers_dis_range">'New Hire Form'!$141:$142</definedName>
    <definedName name="pers_disab">'New Hire Form'!$E$141</definedName>
    <definedName name="pers_email_label">'Field labels'!$B$72</definedName>
    <definedName name="pers_email_rng">'New Hire Form'!$263:$264</definedName>
    <definedName name="Person_with_Disability_label">'Field labels'!$B$40</definedName>
    <definedName name="Personal_Information">'Field labels'!$B$29</definedName>
    <definedName name="Personal_Information_label">'New Hire Form'!$C$68</definedName>
    <definedName name="pf_empl_contr_lbl">'Field labels'!$B$302</definedName>
    <definedName name="pf_empl_contr_rng">Auxiliary!$179:$180</definedName>
    <definedName name="pf_empl_contr_toggle">DynamicPicklists!$CA$108</definedName>
    <definedName name="pf_mem_dt">'Field labels'!$B$261</definedName>
    <definedName name="pf_mem_dt_toggle">DynamicPicklists!$CA$74</definedName>
    <definedName name="pf_mem_range">'New Hire Form'!$502:$503</definedName>
    <definedName name="pf_num_lbl">'Field labels'!$B$278</definedName>
    <definedName name="pf_num_rng">Auxiliary!$123:$124</definedName>
    <definedName name="pf_num_toggle">DynamicPicklists!$CA$84</definedName>
    <definedName name="pf_toggle">DynamicPicklists!$AW$69</definedName>
    <definedName name="phi_hlth_num_lbl">'Field labels'!$B$311</definedName>
    <definedName name="phi_hlth_num_rng">Auxiliary!$193:$194</definedName>
    <definedName name="phi_hlth_num_toggle">DynamicPicklists!$CA$117</definedName>
    <definedName name="phone_lbl">'Field labels'!$B$209</definedName>
    <definedName name="phone_rng">Auxiliary!$53:$54</definedName>
    <definedName name="phone_type">'New Hire Form'!$E$259</definedName>
    <definedName name="pjc_toggle">DynamicPicklists!$CA$4</definedName>
    <definedName name="pl_toggle">DynamicPicklists!$CA$58</definedName>
    <definedName name="place_of_issue_lbl">'Field labels'!$B$323</definedName>
    <definedName name="place_of_issue_rng">Auxiliary!$219:$220</definedName>
    <definedName name="place_of_issue_toggle">DynamicPicklists!$CA$129</definedName>
    <definedName name="Plan_Comp_Type_lbl">'Field labels'!$B$524</definedName>
    <definedName name="Plan_Comp_Type_rng">'New Hire Form'!$532:$533</definedName>
    <definedName name="Plan_Comp_Type_Toggle">DynamicPicklists!$CA$248</definedName>
    <definedName name="pln_toggle">DynamicPicklists!$AW$6</definedName>
    <definedName name="pob_toggle">DynamicPicklists!$AW$11</definedName>
    <definedName name="Position" localSheetId="3">'Field labels'!$B$139</definedName>
    <definedName name="Position">'New Hire Form'!$E$466</definedName>
    <definedName name="Position_label">'New Hire Form'!$C$466</definedName>
    <definedName name="Post_label">'Field labels'!$B$60</definedName>
    <definedName name="post_range">'New Hire Form'!$221:$222</definedName>
    <definedName name="post_toggle">DynamicPicklists!$S$2</definedName>
    <definedName name="Postal_code_label">'Field labels'!$B$52</definedName>
    <definedName name="postal_code_range">'New Hire Form'!$197:$198</definedName>
    <definedName name="ppc_toggle">DynamicPicklists!$CA$5</definedName>
    <definedName name="ppd_toggle">DynamicPicklists!$CA$50</definedName>
    <definedName name="pped_toggle">DynamicPicklists!$CA$11</definedName>
    <definedName name="pr_toggle">DynamicPicklists!$CA$47</definedName>
    <definedName name="Pref_Language_label">'Field labels'!$B$241</definedName>
    <definedName name="Pref_Last_Name_lbl">'Field labels'!$B$694</definedName>
    <definedName name="Pref_Last_Name_rng">'New Hire Form'!$25:$26</definedName>
    <definedName name="Pref_Last_Name_toggle">DynamicPicklists!$AW$128</definedName>
    <definedName name="pref_lng_range">'New Hire Form'!$93:$94</definedName>
    <definedName name="pref_lng_rng">'New Hire Form'!$93:$94</definedName>
    <definedName name="Pref_Name_lbl">'Field labels'!$B$693</definedName>
    <definedName name="Pref_Name_rng">'New Hire Form'!$23:$24</definedName>
    <definedName name="Pref_Name_toggle">DynamicPicklists!$AW$127</definedName>
    <definedName name="Prem_Acq_Month_lbl">'Field labels'!$B$377</definedName>
    <definedName name="Prem_Acq_Month_rng">Auxiliary!$285:$286</definedName>
    <definedName name="Prem_Acq_Month_toggle">DynamicPicklists!$CA$164</definedName>
    <definedName name="prf_lng_toggle">DynamicPicklists!$AW$84</definedName>
    <definedName name="_xlnm.Print_Area" localSheetId="2">Auxiliary!$A$1:$J$57</definedName>
    <definedName name="_xlnm.Print_Area" localSheetId="1">'New Hire Form'!$B$1:$K$56</definedName>
    <definedName name="prob_durat_lbl">'Field labels'!$B$212</definedName>
    <definedName name="prob_per_end_date_range">'New Hire Form'!$522:$523</definedName>
    <definedName name="prob_period_rng">Auxiliary!$59:$60</definedName>
    <definedName name="prob_prd_lbl">'Field labels'!$B$271</definedName>
    <definedName name="prob_prd_toggle">DynamicPicklists!$CA$77</definedName>
    <definedName name="Prob_stat_toggle">DynamicPicklists!$CA$71</definedName>
    <definedName name="prob_status_range">'New Hire Form'!$524:$525</definedName>
    <definedName name="prob_trial_lbl">'Field labels'!$B$211</definedName>
    <definedName name="prob_trial_rng">Auxiliary!$57:$58</definedName>
    <definedName name="probation_period_lbl">'Field labels'!$B$300</definedName>
    <definedName name="probation_period_rng">Auxiliary!$175:$176</definedName>
    <definedName name="probation_period_toggle">DynamicPicklists!$CA$106</definedName>
    <definedName name="Probation_status_lbl">'Field labels'!$B$245</definedName>
    <definedName name="Probationary_Period_End_Date">'Field labels'!$B$156</definedName>
    <definedName name="Probationary_Period_End_Date_label">'New Hire Form'!$C$522</definedName>
    <definedName name="probt_prd_rng">Auxiliary!$109:$110</definedName>
    <definedName name="proc_indic_lbl">'Field labels'!$B$273</definedName>
    <definedName name="proc_indic_rng">Auxiliary!$113:$114</definedName>
    <definedName name="proc_indic_toggle">DynamicPicklists!$CA$79</definedName>
    <definedName name="prod_line_lbl">'Field labels'!$B$220</definedName>
    <definedName name="prod_line_rng">Auxiliary!$75:$76</definedName>
    <definedName name="prov_of_birth_range">'New Hire Form'!$49:$50</definedName>
    <definedName name="psa_range">'New Hire Form'!$536:$537</definedName>
    <definedName name="psa_toggle">DynamicPicklists!$CA$13</definedName>
    <definedName name="psd_toggle">DynamicPicklists!$CA$42</definedName>
    <definedName name="psg_range">'New Hire Form'!$540:$541</definedName>
    <definedName name="psg_toggle">DynamicPicklists!$CA$15</definedName>
    <definedName name="psl_range">'New Hire Form'!$538:$539</definedName>
    <definedName name="psl_toggle">DynamicPicklists!$AW$57</definedName>
    <definedName name="psl2_toggle">DynamicPicklists!$CA$14</definedName>
    <definedName name="pst_range">'New Hire Form'!$534:$535</definedName>
    <definedName name="pst_toggle">DynamicPicklists!$CA$12</definedName>
    <definedName name="ptp_toggle">DynamicPicklists!$CA$49</definedName>
    <definedName name="pwd_toggle">DynamicPicklists!$AW$24</definedName>
    <definedName name="py_job_code_rng">'New Hire Form'!$468:$469</definedName>
    <definedName name="qual_attd1_lbl">'Field labels'!$B$298</definedName>
    <definedName name="qual_attd1_rng">Auxiliary!$171:$172</definedName>
    <definedName name="qual_attd1_toggle">DynamicPicklists!$CA$104</definedName>
    <definedName name="qual_attd2_lbl">'Field labels'!$B$299</definedName>
    <definedName name="qual_attd2_rng">Auxiliary!$173:$174</definedName>
    <definedName name="qual_attd2_toggle">DynamicPicklists!$CA$105</definedName>
    <definedName name="race_lbl">'Field labels'!$B$247</definedName>
    <definedName name="race_range">'New Hire Form'!$123:$124</definedName>
    <definedName name="race_toggle">DynamicPicklists!$AW$86</definedName>
    <definedName name="rca_lbl">'Field labels'!$B$224</definedName>
    <definedName name="rca_rng">Auxiliary!$83:$84</definedName>
    <definedName name="rca_toggle">DynamicPicklists!$CA$62</definedName>
    <definedName name="Region_label">'Field labels'!$B$56</definedName>
    <definedName name="region_range">'New Hire Form'!$213:$214</definedName>
    <definedName name="region_toggle">DynamicPicklists!$O$2</definedName>
    <definedName name="Religion">'New Hire Form'!$E$97</definedName>
    <definedName name="Religion_Label">'Field labels'!$B$240</definedName>
    <definedName name="religion_range">'New Hire Form'!$97:$98</definedName>
    <definedName name="religion_toggle">DynamicPicklists!$AW$85</definedName>
    <definedName name="Renewal_date_lbl">'Field labels'!$B$259</definedName>
    <definedName name="report_to_lbl">'Field labels'!$B$191</definedName>
    <definedName name="report_to_rng">Auxiliary!$15:$16</definedName>
    <definedName name="Ret_INSS_lbl">'Field labels'!$B$458</definedName>
    <definedName name="Ret_INSS_rng">'New Hire Form'!$419:$420</definedName>
    <definedName name="Ret_INSS_Toggle">DynamicPicklists!$AW$109</definedName>
    <definedName name="Ret_Type_lbl">'Field labels'!$B$462</definedName>
    <definedName name="Ret_Type_rng">'New Hire Form'!$427:$428</definedName>
    <definedName name="Ret_Type_Toggle">DynamicPicklists!$AW$113</definedName>
    <definedName name="rm_dt_lbl">'Field labels'!$B$275</definedName>
    <definedName name="rm_dt_rng">Auxiliary!$117:$118</definedName>
    <definedName name="rm_dt_toggle">DynamicPicklists!$CA$81</definedName>
    <definedName name="rn_toggle">DynamicPicklists!$AW$51</definedName>
    <definedName name="route_no_range">'New Hire Form'!$365:$366</definedName>
    <definedName name="routing_no_label">'Field labels'!$B$106</definedName>
    <definedName name="Routing_Num">'New Hire Form'!$E$365</definedName>
    <definedName name="s_toggle">DynamicPicklists!$CA$51</definedName>
    <definedName name="s2_toggle">DynamicPicklists!$CA$59</definedName>
    <definedName name="sal_ded_lbl">'Field labels'!$B$204</definedName>
    <definedName name="Salutation" localSheetId="3">'Field labels'!$B$7</definedName>
    <definedName name="Salutation">'New Hire Form'!$E$15</definedName>
    <definedName name="Salutation_label">'New Hire Form'!$C$15</definedName>
    <definedName name="Saving_Pln_Type_lbl">'Field labels'!$B$424</definedName>
    <definedName name="Saving_Pln_Type_rng">Auxiliary!$195:$196</definedName>
    <definedName name="Saving_Pln_Type_toggle">DynamicPicklists!$CA$211</definedName>
    <definedName name="sc_toggle">DynamicPicklists!$AW$50</definedName>
    <definedName name="sdat_toggle">DynamicPicklists!$CA$28</definedName>
    <definedName name="Second_Cost_Centre">'Field labels'!$B$171</definedName>
    <definedName name="section_lbl">'Field labels'!$B$221</definedName>
    <definedName name="section_rng">Auxiliary!$77:$78</definedName>
    <definedName name="Seniority_Date">'Field labels'!$B$145</definedName>
    <definedName name="Seniority_Range">'New Hire Form'!$480:$485</definedName>
    <definedName name="Service_Date">'Field labels'!$B$144</definedName>
    <definedName name="Service_Date_label">'New Hire Form'!$C$478</definedName>
    <definedName name="sft_toggle">DynamicPicklists!$CA$32</definedName>
    <definedName name="shift_lbl">'Field labels'!$B$213</definedName>
    <definedName name="shift_rng">Auxiliary!$61:$62</definedName>
    <definedName name="SI_Ent_Reason_lbl">'Field labels'!$B$375</definedName>
    <definedName name="SI_Ent_Reason_rng">Auxiliary!$281:$282</definedName>
    <definedName name="SI_Ent_Reason_toggle">DynamicPicklists!$CA$162</definedName>
    <definedName name="SI_Entitlement_Indicator_lbl">'Field labels'!$B$450</definedName>
    <definedName name="SI_Entitlement_Indicator_rng">Auxiliary!$423:$424</definedName>
    <definedName name="SI_Entitlement_Indicator_toggle">DynamicPicklists!$CA$237</definedName>
    <definedName name="sign_on_bonus_lbl">'Field labels'!$B$232</definedName>
    <definedName name="sign_on_bonus_rng">Auxiliary!$95:$96</definedName>
    <definedName name="sign_rng">Auxiliary!$139:$140</definedName>
    <definedName name="sign_toggle">DynamicPicklists!$CA$91</definedName>
    <definedName name="sing_lbl">'Field labels'!$B$285</definedName>
    <definedName name="site_lbl">'Field labels'!$B$188</definedName>
    <definedName name="site_rng">Auxiliary!$9:$10</definedName>
    <definedName name="sk_change_reason1_lbl">'Field labels'!$B$400</definedName>
    <definedName name="sk_change_reason1_rng">Auxiliary!$331:$332</definedName>
    <definedName name="sk_change_reason1_toggle">DynamicPicklists!$CA$187</definedName>
    <definedName name="sk_change_reason2_lbl">'Field labels'!$B$406</definedName>
    <definedName name="sk_change_reason2_rng">Auxiliary!$343:$344</definedName>
    <definedName name="sk_change_reason2_toggle">DynamicPicklists!$CA$193</definedName>
    <definedName name="sk_change_reason3_lbl">'Field labels'!$B$412</definedName>
    <definedName name="sk_change_reason3_rng">Auxiliary!$355:$356</definedName>
    <definedName name="sk_change_reason3_toggle">DynamicPicklists!$CA$199</definedName>
    <definedName name="sk_emp_pen_dt_lbl">'Field labels'!$B$387</definedName>
    <definedName name="sk_emp_pen_dt_rng">Auxiliary!$305:$306</definedName>
    <definedName name="sk_emp_pen_dt_toggle">DynamicPicklists!$CA$174</definedName>
    <definedName name="sk_emp_pen_EI_lbl">'Field labels'!$B$390</definedName>
    <definedName name="sk_emp_pen_EI_rng">Auxiliary!$311:$312</definedName>
    <definedName name="sk_emp_pen_EI_toggle">DynamicPicklists!$CA$177</definedName>
    <definedName name="sk_emp_pen_lbl">'Field labels'!$B$386</definedName>
    <definedName name="sk_emp_pen_OS_lbl">'Field labels'!$B$389</definedName>
    <definedName name="sk_emp_pen_OS_rng">Auxiliary!$309:$310</definedName>
    <definedName name="sk_emp_pen_OS_toggle">DynamicPicklists!$CA$176</definedName>
    <definedName name="sk_emp_pen_rng">Auxiliary!$303:$304</definedName>
    <definedName name="sk_emp_pen_SI_lbl">'Field labels'!$B$388</definedName>
    <definedName name="sk_emp_pen_SI_rng">Auxiliary!$307:$308</definedName>
    <definedName name="sk_emp_pen_SI_toggle">DynamicPicklists!$CA$175</definedName>
    <definedName name="sk_emp_pen_toggle">DynamicPicklists!$CA$173</definedName>
    <definedName name="sk_Emp_work_comp_Prem_dt_lbl">'Field labels'!$B$408</definedName>
    <definedName name="sk_Emp_work_comp_Prem_dt_rng">Auxiliary!$347:$348</definedName>
    <definedName name="sk_Emp_work_comp_Prem_dt_toggle">DynamicPicklists!$CA$195</definedName>
    <definedName name="sk_Emp_work_comp_Prem_Type_lbl">'Field labels'!$B$407</definedName>
    <definedName name="sk_Emp_work_comp_Prem_Type_rng">Auxiliary!$345:$346</definedName>
    <definedName name="sk_Emp_work_comp_Prem_Type_toggle">DynamicPicklists!$CA$194</definedName>
    <definedName name="sk_exempt1_lbl">'Field labels'!$B$398</definedName>
    <definedName name="sk_exempt1_rng">Auxiliary!$327:$328</definedName>
    <definedName name="sk_exempt1_toggle">DynamicPicklists!$CA$185</definedName>
    <definedName name="sk_exempt2_lbl">'Field labels'!$B$404</definedName>
    <definedName name="sk_exempt2_rng">Auxiliary!$339:$340</definedName>
    <definedName name="sk_exempt2_toggle">DynamicPicklists!$CA$191</definedName>
    <definedName name="sk_exempt3_lbl">'Field labels'!$B$410</definedName>
    <definedName name="sk_exempt3_rng">Auxiliary!$351:$352</definedName>
    <definedName name="sk_exempt3_toggle">DynamicPicklists!$CA$197</definedName>
    <definedName name="sk_med_ins_dt_lbl">'Field labels'!$B$374</definedName>
    <definedName name="sk_med_ins_dt_rng">Auxiliary!$279:$280</definedName>
    <definedName name="sk_med_ins_dt_toggle">DynamicPicklists!$CA$161</definedName>
    <definedName name="sk_med_ins_lbl">'Field labels'!$B$373</definedName>
    <definedName name="sk_Med_Ins_Prem_dt_lbl">'Field labels'!$B$396</definedName>
    <definedName name="sk_Med_Ins_Prem_dt_rng">Auxiliary!$323:$324</definedName>
    <definedName name="sk_Med_Ins_Prem_dt_toggle">DynamicPicklists!$CA$183</definedName>
    <definedName name="sk_Med_Ins_Prem_Type_lbl">'Field labels'!$B$395</definedName>
    <definedName name="sk_Med_Ins_Prem_Type_rng">Auxiliary!$321:$322</definedName>
    <definedName name="sk_Med_Ins_Prem_Type_toggle">DynamicPicklists!$CA$182</definedName>
    <definedName name="sk_med_ins_rng">Auxiliary!$277:$278</definedName>
    <definedName name="sk_med_ins_toggle">DynamicPicklists!$CA$160</definedName>
    <definedName name="sk_nat_pen_dt_lbl">'Field labels'!$B$381</definedName>
    <definedName name="sk_nat_pen_dt_rng">Auxiliary!$293:$294</definedName>
    <definedName name="sk_nat_pen_dt_toggle">DynamicPicklists!$CA$168</definedName>
    <definedName name="sk_nat_pen_EI_lbl">'Field labels'!$B$385</definedName>
    <definedName name="sk_nat_pen_EI_rng">Auxiliary!$301:$302</definedName>
    <definedName name="sk_nat_pen_EI_toggle">DynamicPicklists!$CA$172</definedName>
    <definedName name="sk_nat_pen_lbl">'Field labels'!$B$380</definedName>
    <definedName name="sk_nat_pen_OS_lbl">'Field labels'!$B$384</definedName>
    <definedName name="sk_nat_pen_OS_rng">Auxiliary!$299:$300</definedName>
    <definedName name="sk_nat_pen_OS_toggle">DynamicPicklists!$CA$171</definedName>
    <definedName name="sk_nat_pen_prem_acq_lbl">'Field labels'!$B$383</definedName>
    <definedName name="sk_nat_pen_prem_acq_rng">Auxiliary!$297:$298</definedName>
    <definedName name="sk_nat_pen_prem_acq_toggle">DynamicPicklists!$CA$170</definedName>
    <definedName name="sk_Nat_Pen_Prem_Type_dt_lbl">'Field labels'!$B$402</definedName>
    <definedName name="sk_Nat_Pen_Prem_Type_dt_rng">Auxiliary!$335:$336</definedName>
    <definedName name="sk_Nat_Pen_Prem_Type_dt_toggle">DynamicPicklists!$CA$189</definedName>
    <definedName name="sk_Nat_Pen_Prem_Type_lbl">'Field labels'!$B$401</definedName>
    <definedName name="sk_Nat_Pen_Prem_Type_rng">Auxiliary!$333:$334</definedName>
    <definedName name="sk_Nat_Pen_Prem_Type_toggle">DynamicPicklists!$CA$188</definedName>
    <definedName name="sk_nat_pen_rng">Auxiliary!$291:$292</definedName>
    <definedName name="sk_nat_pen_SI_lbl">'Field labels'!$B$382</definedName>
    <definedName name="sk_nat_pen_SI_rng">Auxiliary!$295:$296</definedName>
    <definedName name="sk_nat_pen_SI_toggle">DynamicPicklists!$CA$169</definedName>
    <definedName name="sk_nat_pen_toggle">DynamicPicklists!$CA$167</definedName>
    <definedName name="sk_start_dt1_lbl">'Field labels'!$B$413</definedName>
    <definedName name="sk_start_dt1_rng">Auxiliary!$357:$358</definedName>
    <definedName name="sk_start_dt1_toggle">DynamicPicklists!$CA$200</definedName>
    <definedName name="sk_start_dt2_lbl">'Field labels'!$B$417</definedName>
    <definedName name="sk_start_dt2_rng">Auxiliary!$365:$366</definedName>
    <definedName name="sk_start_dt2_toggle">DynamicPicklists!$CA$204</definedName>
    <definedName name="sk_wk_comp_dt_lbl">'Field labels'!$B$392</definedName>
    <definedName name="sk_wk_comp_dt_rng">Auxiliary!$315:$316</definedName>
    <definedName name="sk_wk_comp_dt_toggle">DynamicPicklists!$CA$179</definedName>
    <definedName name="sk_wk_comp_ins_lbl">'Field labels'!$B$391</definedName>
    <definedName name="sk_wk_comp_ins_rng">Auxiliary!$313:$314</definedName>
    <definedName name="sk_wk_comp_ins_toggle">DynamicPicklists!$CA$178</definedName>
    <definedName name="sk_wk_comp_OS_lbl">'Field labels'!$B$394</definedName>
    <definedName name="sk_wk_comp_OS_rng">Auxiliary!$319:$320</definedName>
    <definedName name="sk_wk_comp_OS_toggle">DynamicPicklists!$CA$181</definedName>
    <definedName name="sk_wk_comp_SI_lbl">'Field labels'!$B$393</definedName>
    <definedName name="sk_wk_comp_SI_rng">Auxiliary!$317:$318</definedName>
    <definedName name="sk_wk_comp_SI_toggle">DynamicPicklists!$CA$180</definedName>
    <definedName name="sl_toggle">DynamicPicklists!$CA$26</definedName>
    <definedName name="sltr_toggle">DynamicPicklists!$AW$76</definedName>
    <definedName name="sn_toggle">DynamicPicklists!$AW$18</definedName>
    <definedName name="sob_toggle">DynamicPicklists!$CA$69</definedName>
    <definedName name="Social_Benefits_lbl">'Field labels'!$B$250</definedName>
    <definedName name="Social_Ins_Deduction_lbl">'Field labels'!$B$448</definedName>
    <definedName name="Social_Ins_Deduction_rng">Auxiliary!$419:$420</definedName>
    <definedName name="Social_Ins_Deduction_toggle">DynamicPicklists!$CA$235</definedName>
    <definedName name="SocialBenefits_Date_Lbl">'Field labels'!$B$251</definedName>
    <definedName name="Sort_Code">'Field labels'!$B$105</definedName>
    <definedName name="sort_code_range">'New Hire Form'!$363:$364</definedName>
    <definedName name="spouse_emp_stat_lbl">'Field labels'!$B$288</definedName>
    <definedName name="spouse_emp_stat_rng">Auxiliary!$147:$148</definedName>
    <definedName name="spouse_emp_stat_toggle">DynamicPicklists!$CA$94</definedName>
    <definedName name="SSN_aux_rng">Auxiliary!$183:$184</definedName>
    <definedName name="ssn_aux_toggle">DynamicPicklists!$CA$110</definedName>
    <definedName name="ssn_label">'Field labels'!$B$137</definedName>
    <definedName name="SSN_lbl">'Field labels'!$B$304</definedName>
    <definedName name="ssn_range">'New Hire Form'!$449:$450</definedName>
    <definedName name="ssn_toggle">DynamicPicklists!$AW$83</definedName>
    <definedName name="st_fin_lbl">'Field labels'!$B$194</definedName>
    <definedName name="Staircase_label">'Field labels'!$B$58</definedName>
    <definedName name="staircase_range">'New Hire Form'!$217:$218</definedName>
    <definedName name="staircase_toggle">DynamicPicklists!$Q$2</definedName>
    <definedName name="Standard_Weekly_Hours">'Field labels'!$B$151</definedName>
    <definedName name="Standard_Weekly_Hours_label">'New Hire Form'!$C$504</definedName>
    <definedName name="start_date_time_rng">Auxiliary!$13:$14</definedName>
    <definedName name="start_dt_lbl">'Field labels'!$B$292</definedName>
    <definedName name="start_dt_rng">Auxiliary!$155:$156</definedName>
    <definedName name="start_dt_toggle">DynamicPicklists!$CA$98</definedName>
    <definedName name="Start_Dt5_lbl">'Field labels'!$B$446</definedName>
    <definedName name="Start_Dt5_rng">Auxiliary!$415:$416</definedName>
    <definedName name="Start_Dt5_toggle">DynamicPicklists!$CA$233</definedName>
    <definedName name="start_end_time_rng">Auxiliary!$21:$22</definedName>
    <definedName name="start_time_lbl">'Field labels'!$B$190</definedName>
    <definedName name="stat_yrs_exp_lbl">'Field labels'!$B$277</definedName>
    <definedName name="stat_yrs_exp_rng">Auxiliary!$121:$122</definedName>
    <definedName name="stat_yrs_exp_toggle">DynamicPicklists!$CA$83</definedName>
    <definedName name="StockOption_lbl">'Field labels'!$B$254</definedName>
    <definedName name="Street_label">'Field labels'!$B$48</definedName>
    <definedName name="street_range">'New Hire Form'!$159:$160</definedName>
    <definedName name="street_toggle">DynamicPicklists!$V$2</definedName>
    <definedName name="Street_type_label">'Field labels'!$B$61</definedName>
    <definedName name="street_type_range">'New Hire Form'!$223:$224</definedName>
    <definedName name="street_type_toggle">DynamicPicklists!$T$2</definedName>
    <definedName name="strtype">'New Hire Form'!$E$223</definedName>
    <definedName name="strtype2">'New Hire Form'!$G$223</definedName>
    <definedName name="strtype3">'New Hire Form'!$I$223</definedName>
    <definedName name="stud_loan">'New Hire Form'!$E$435</definedName>
    <definedName name="stud_loan_label">'Field labels'!$B$130</definedName>
    <definedName name="stud_loan_rng">'New Hire Form'!$435:$436</definedName>
    <definedName name="Stundent_Worker_Deduction_lbl">'Field labels'!$B$441</definedName>
    <definedName name="Stundent_Worker_Deduction_rng">Auxiliary!$405:$406</definedName>
    <definedName name="Stundent_Worker_Deduction_toggle">DynamicPicklists!$CA$228</definedName>
    <definedName name="Subtype_lbl">'Field labels'!$B$445</definedName>
    <definedName name="Subtype_rng">Auxiliary!$413:$414</definedName>
    <definedName name="Subtype_toggle">DynamicPicklists!$CA$232</definedName>
    <definedName name="tan_toggle">DynamicPicklists!$CA$53</definedName>
    <definedName name="Target_Position">'Field labels'!$B$138</definedName>
    <definedName name="Target_Position_label">'New Hire Form'!$C$463</definedName>
    <definedName name="tariff_lbl">'Field labels'!$B$233</definedName>
    <definedName name="task_type_lbl">'Field labels'!$B$272</definedName>
    <definedName name="task_type_rng">Auxiliary!$111:$112</definedName>
    <definedName name="task_type_toggle">DynamicPicklists!$CA$78</definedName>
    <definedName name="tatigkeit_lbl">'Field labels'!$B$236</definedName>
    <definedName name="tax_class_label">'Field labels'!$B$116</definedName>
    <definedName name="tax_dept_relief_lbl">'Field labels'!$B$325</definedName>
    <definedName name="tax_dept_relief_rng">Auxiliary!$223:$224</definedName>
    <definedName name="tax_dept_relief_toggle">DynamicPicklists!$CA$131</definedName>
    <definedName name="tax_id_label">'Field labels'!$B$115</definedName>
    <definedName name="tax_id_num_lbl">'Field labels'!$B$308</definedName>
    <definedName name="tax_id_num_rng">Auxiliary!$187:$188</definedName>
    <definedName name="tax_id_num_toggle">DynamicPicklists!$CA$114</definedName>
    <definedName name="tax_off_1_rng">Auxiliary!$231:$232</definedName>
    <definedName name="tax_off_lbl">'Field labels'!$B$329</definedName>
    <definedName name="tax_off_rng">'New Hire Form'!$429:$430</definedName>
    <definedName name="tax_off_toggle">DynamicPicklists!$CA$135</definedName>
    <definedName name="tax_office_label">'Field labels'!$B$127</definedName>
    <definedName name="tax_status_lbl">'Field labels'!$B$309</definedName>
    <definedName name="tax_status_rng">Auxiliary!$189:$190</definedName>
    <definedName name="tax_status_toggle">DynamicPicklists!$CA$115</definedName>
    <definedName name="Tax_type_ind_lbl">'Field labels'!$B$435</definedName>
    <definedName name="Tax_type_ind_rng">Auxiliary!$157:$158</definedName>
    <definedName name="Tax_type_ind_toggle">DynamicPicklists!$CA$222</definedName>
    <definedName name="taxclass_rng">'New Hire Form'!$397:$398</definedName>
    <definedName name="taxid_rng">'New Hire Form'!$395:$396</definedName>
    <definedName name="tc_toggle">DynamicPicklists!$AW$62</definedName>
    <definedName name="Third_Cost_Centre">'Field labels'!$B$174</definedName>
    <definedName name="ti_toggle">DynamicPicklists!$AW$61</definedName>
    <definedName name="Tipo_Logradouro_lbl">'Field labels'!$B$464</definedName>
    <definedName name="Tipo_Logradouro_rng">'New Hire Form'!$229:$230</definedName>
    <definedName name="Tipo_Logradouro_toggle">DynamicPicklists!$AH$2</definedName>
    <definedName name="to_toggle">DynamicPicklists!$AW$73</definedName>
    <definedName name="transp_lbl">'Field labels'!$B$133</definedName>
    <definedName name="transp_rng">'New Hire Form'!$441:$442</definedName>
    <definedName name="transp_toggle">DynamicPicklists!$AW$79</definedName>
    <definedName name="transportation">'New Hire Form'!$E$441</definedName>
    <definedName name="trav_allow_lbl">'Field labels'!$B$215</definedName>
    <definedName name="trav_allow_rng">Auxiliary!$65:$66</definedName>
    <definedName name="travel_lbl">'Field labels'!$B$234</definedName>
    <definedName name="type_degree_lbl">'Field labels'!$B$296</definedName>
    <definedName name="type_degree_rng">Auxiliary!$167:$168</definedName>
    <definedName name="type_degree_toggle">DynamicPicklists!$CA$102</definedName>
    <definedName name="type_institut_lbl">'Field labels'!$B$294</definedName>
    <definedName name="type_institut_rng">Auxiliary!$163:$164</definedName>
    <definedName name="type_institut_toggle">DynamicPicklists!$CA$100</definedName>
    <definedName name="UBIGEO_lbl">'Field labels'!$B$528</definedName>
    <definedName name="UBIGEO_rng">'New Hire Form'!$211:$212</definedName>
    <definedName name="UBIGEO_Toggle">DynamicPicklists!$AL$2</definedName>
    <definedName name="uc_range">'New Hire Form'!$550:$551</definedName>
    <definedName name="uc_toggle">DynamicPicklists!$CA$19</definedName>
    <definedName name="ucn_label">'Field labels'!$B$136</definedName>
    <definedName name="ucn_range">'New Hire Form'!$447:$448</definedName>
    <definedName name="ucn_toggle">DynamicPicklists!$AW$82</definedName>
    <definedName name="uen_toggle">DynamicPicklists!$CA$41</definedName>
    <definedName name="un_toggle">DynamicPicklists!$CA$40</definedName>
    <definedName name="Unbanded_Pay_Grade_label">'Field labels'!$B$166</definedName>
    <definedName name="unempl_si_fund_lbl">'Field labels'!$B$337</definedName>
    <definedName name="unempl_si_fund_rng">Auxiliary!$247:$248</definedName>
    <definedName name="unempl_si_fund_toggle">DynamicPicklists!$CA$143</definedName>
    <definedName name="unempl_si_schm_lbl">'Field labels'!$B$338</definedName>
    <definedName name="unempl_si_schm_rng">Auxiliary!$249:$250</definedName>
    <definedName name="unempl_si_schm_toggle">DynamicPicklists!$CA$144</definedName>
    <definedName name="Unemploy_INS_benefit_lbl">'Field labels'!$B$459</definedName>
    <definedName name="Unemploy_INS_benefit_rng">'New Hire Form'!$421:$422</definedName>
    <definedName name="Unemploy_INS_benefit_toggle">DynamicPicklists!$AW$110</definedName>
    <definedName name="union_agree_rng">Auxiliary!$37:$38</definedName>
    <definedName name="union_code">'New Hire Form'!$E$550</definedName>
    <definedName name="Union_Code_label">'Field labels'!$B$165</definedName>
    <definedName name="union_name_lbl">'Field labels'!$B$202</definedName>
    <definedName name="union_name_rng">Auxiliary!$39:$40</definedName>
    <definedName name="union_numb_lbl">'Field labels'!$B$203</definedName>
    <definedName name="union_numb_rng">Auxiliary!$41:$42</definedName>
    <definedName name="upg_range">'New Hire Form'!$552:$553</definedName>
    <definedName name="upg_toggle">DynamicPicklists!$CA$20</definedName>
    <definedName name="uss_toggle">DynamicPicklists!$CA$52</definedName>
    <definedName name="vac_entitl_lbl">'Field labels'!$B$216</definedName>
    <definedName name="vac_entitl_rng">Auxiliary!$67:$68</definedName>
    <definedName name="ve_toggle">DynamicPicklists!$CA$54</definedName>
    <definedName name="ven_aspired_salary_lbl">'Field labels'!$B$485</definedName>
    <definedName name="ven_aux_personl_dtls_lbl">'Field labels'!$B$512</definedName>
    <definedName name="ven_availablity_travel_lbl">'Field labels'!$B$488</definedName>
    <definedName name="ven_blood_group_lbl">'Field labels'!$B$472</definedName>
    <definedName name="ven_brand_lbl">'Field labels'!$B$481</definedName>
    <definedName name="ven_city_to_work_lbl">'Field labels'!$B$489</definedName>
    <definedName name="ven_comments_lbl">'Field labels'!$B$508</definedName>
    <definedName name="ven_complete_offer_lbl">'Field labels'!$B$484</definedName>
    <definedName name="ven_currently_working_lbl">'Field labels'!$B$487</definedName>
    <definedName name="ven_date_lbl">'Field labels'!$B$511</definedName>
    <definedName name="ven_declaration_lbl">'Field labels'!$B$505</definedName>
    <definedName name="ven_drivers_license_lbl">'Field labels'!$B$479</definedName>
    <definedName name="ven_dt_start_working_lbl">'Field labels'!$B$486</definedName>
    <definedName name="ven_duration_lbl">'Field labels'!$B$502</definedName>
    <definedName name="ven_empl_sign_lbl">'Field labels'!$B$507</definedName>
    <definedName name="ven_end_dt_lbl">'Field labels'!$B$494</definedName>
    <definedName name="ven_end_reason_lbl">'Field labels'!$B$495</definedName>
    <definedName name="ven_first_pos_lbl">'Field labels'!$B$496</definedName>
    <definedName name="ven_height_lbl">'Field labels'!$B$476</definedName>
    <definedName name="ven_job_records_prev_lbl">'Field labels'!$B$515</definedName>
    <definedName name="ven_last_pos_lbl">'Field labels'!$B$497</definedName>
    <definedName name="ven_last_wage_lbl">'Field labels'!$B$498</definedName>
    <definedName name="ven_left_handed_lbl">'Field labels'!$B$478</definedName>
    <definedName name="ven_model_lbl">'Field labels'!$B$482</definedName>
    <definedName name="ven_msc_emp_questions_lbl">'Field labels'!$B$517</definedName>
    <definedName name="ven_other_knowldg_lbl">'Field labels'!$B$503</definedName>
    <definedName name="ven_other_knowledge_lbl">'Field labels'!#REF!</definedName>
    <definedName name="ven_own_vehicle_lbl">'Field labels'!$B$480</definedName>
    <definedName name="ven_pant_size_lbl">'Field labels'!$B$474</definedName>
    <definedName name="ven_parish_lbl">'Field labels'!$B$471</definedName>
    <definedName name="ven_place_dt_lbl">'Field labels'!$B$506</definedName>
    <definedName name="ven_place_lbl">'Field labels'!$B$499</definedName>
    <definedName name="ven_rd_effective_dt_lbl">'Field labels'!$B$514</definedName>
    <definedName name="ven_read_lbl">'Field labels'!$B$490</definedName>
    <definedName name="ven_rec_sign_lbl">'Field labels'!$B$510</definedName>
    <definedName name="ven_reviewed_lbl">'Field labels'!$B$509</definedName>
    <definedName name="ven_shirt_size_lbl">'Field labels'!$B$473</definedName>
    <definedName name="ven_shoe_size_lbl">'Field labels'!$B$475</definedName>
    <definedName name="ven_skills_lbl">'Field labels'!$B$513</definedName>
    <definedName name="ven_speaks_lbl">'Field labels'!$B$492</definedName>
    <definedName name="ven_start_dt_lbl">'Field labels'!$B$493</definedName>
    <definedName name="ven_street_name_number_lbl">'Field labels'!$B$470</definedName>
    <definedName name="ven_street_name_number_rng">'New Hire Form'!$163:$164</definedName>
    <definedName name="ven_street_name_number_toggle">DynamicPicklists!$AI$2</definedName>
    <definedName name="ven_time_know_lbl">'Field labels'!$B$504</definedName>
    <definedName name="ven_training_end_dt_lbl">'Field labels'!$B$501</definedName>
    <definedName name="ven_training_lbl">'Field labels'!$B$516</definedName>
    <definedName name="ven_training_start_dt_lbl">'Field labels'!$B$500</definedName>
    <definedName name="ven_weight_lbl">'Field labels'!$B$477</definedName>
    <definedName name="ven_writes_lbl">'Field labels'!$B$491</definedName>
    <definedName name="ven_year_lbl">'Field labels'!$B$483</definedName>
    <definedName name="Venezuela_aux_rng">Auxiliary!$429:$521</definedName>
    <definedName name="Venezuela_aux_toggle">DynamicPicklists!$CA$246</definedName>
    <definedName name="Version_date">'New Hire Form'!$E$605</definedName>
    <definedName name="vis_minor_range">'New Hire Form'!$139:$140</definedName>
    <definedName name="visib_minor">'New Hire Form'!$E$139</definedName>
    <definedName name="wc_toggle">DynamicPicklists!$CA$9</definedName>
    <definedName name="wdp_week_lbl">'Field labels'!$B$262</definedName>
    <definedName name="wdp_week_range">'New Hire Form'!$542:$543</definedName>
    <definedName name="wdp_week_toggle">DynamicPicklists!$CA$75</definedName>
    <definedName name="whp_range">'New Hire Form'!$518:$519</definedName>
    <definedName name="whp_toggle">DynamicPicklists!$CA$72</definedName>
    <definedName name="Widow_Deduction_lbl">'Field labels'!$B$440</definedName>
    <definedName name="Widow_Deduction_rng">Auxiliary!$403:$404</definedName>
    <definedName name="Widow_Deduction_toggle">DynamicPicklists!$CA$227</definedName>
    <definedName name="wkc_range">'New Hire Form'!$520:$521</definedName>
    <definedName name="work_cls_toggle">DynamicPicklists!$CA$73</definedName>
    <definedName name="Work_Contract" localSheetId="3">'Field labels'!$B$154</definedName>
    <definedName name="Work_Contract">'New Hire Form'!$E$510</definedName>
    <definedName name="Work_Contract_label">'New Hire Form'!$C$510</definedName>
    <definedName name="Work_Permit_Type">'New Hire Form'!$E$237</definedName>
    <definedName name="Work_Permit_Type2">'New Hire Form'!$G$237</definedName>
    <definedName name="Work_Schedule_Rule" localSheetId="3">'Field labels'!$B$152</definedName>
    <definedName name="Work_Schedule_Rule">'New Hire Form'!$E$506</definedName>
    <definedName name="Work_Schedule_Rule_label">'New Hire Form'!$C$506</definedName>
    <definedName name="workcont_range">'New Hire Form'!$510:$511</definedName>
    <definedName name="workdays_lbl">'Field labels'!$B$238</definedName>
    <definedName name="WorkerClass_lbl">'Field labels'!$B$253</definedName>
    <definedName name="WorkHrPolicy_lbl">'Field labels'!$B$252</definedName>
    <definedName name="workhrs_lbl">'Field labels'!$B$237</definedName>
    <definedName name="WorkPermit_Validate_Lbl">'Field labels'!$B$258</definedName>
    <definedName name="wp_country">'New Hire Form'!$E$235</definedName>
    <definedName name="wp_country_label">'Field labels'!$B$64</definedName>
    <definedName name="wp_country2">'New Hire Form'!$G$235</definedName>
    <definedName name="wp_expiry_label">'Field labels'!$B$68</definedName>
    <definedName name="wp_info_label">'Field labels'!$B$63</definedName>
    <definedName name="wp_issue_label">'Field labels'!$B$67</definedName>
    <definedName name="wp_number_label">'Field labels'!$B$66</definedName>
    <definedName name="wp_type_label">'Field labels'!$B$65</definedName>
    <definedName name="wpi_toggle">DynamicPicklists!$AW$28</definedName>
    <definedName name="wsr_range">'New Hire Form'!$506:$507</definedName>
    <definedName name="wsr_toggle">DynamicPicklists!$CA$7</definedName>
  </definedNames>
  <calcPr calcId="152511"/>
</workbook>
</file>

<file path=xl/calcChain.xml><?xml version="1.0" encoding="utf-8"?>
<calcChain xmlns="http://schemas.openxmlformats.org/spreadsheetml/2006/main">
  <c r="D43" i="10" l="1"/>
  <c r="E43" i="10" s="1"/>
  <c r="AW1" i="10" l="1"/>
  <c r="AW129" i="10" l="1"/>
  <c r="AW130" i="10"/>
  <c r="AW128" i="10"/>
  <c r="AW127" i="10"/>
  <c r="AW5" i="10"/>
  <c r="AW9" i="10"/>
  <c r="AW13" i="10"/>
  <c r="AW17" i="10"/>
  <c r="AW21" i="10"/>
  <c r="AW25" i="10"/>
  <c r="AW29" i="10"/>
  <c r="AW33" i="10"/>
  <c r="AW37" i="10"/>
  <c r="AW41" i="10"/>
  <c r="AW45" i="10"/>
  <c r="AW49" i="10"/>
  <c r="AW53" i="10"/>
  <c r="AW57" i="10"/>
  <c r="AW61" i="10"/>
  <c r="AW65" i="10"/>
  <c r="AW69" i="10"/>
  <c r="AW73" i="10"/>
  <c r="AW77" i="10"/>
  <c r="AW81" i="10"/>
  <c r="AW85" i="10"/>
  <c r="AW89" i="10"/>
  <c r="AW93" i="10"/>
  <c r="AW97" i="10"/>
  <c r="AW101" i="10"/>
  <c r="AW105" i="10"/>
  <c r="AW109" i="10"/>
  <c r="AW113" i="10"/>
  <c r="AW117" i="10"/>
  <c r="AW121" i="10"/>
  <c r="AW125" i="10"/>
  <c r="AW7" i="10"/>
  <c r="AW15" i="10"/>
  <c r="AW23" i="10"/>
  <c r="AW27" i="10"/>
  <c r="AW35" i="10"/>
  <c r="AW39" i="10"/>
  <c r="AW47" i="10"/>
  <c r="AW51" i="10"/>
  <c r="AW63" i="10"/>
  <c r="AW71" i="10"/>
  <c r="AW79" i="10"/>
  <c r="AW87" i="10"/>
  <c r="AW95" i="10"/>
  <c r="AW103" i="10"/>
  <c r="AW111" i="10"/>
  <c r="AW119" i="10"/>
  <c r="AW8" i="10"/>
  <c r="AW12" i="10"/>
  <c r="AW20" i="10"/>
  <c r="AW32" i="10"/>
  <c r="AW44" i="10"/>
  <c r="AW52" i="10"/>
  <c r="AW68" i="10"/>
  <c r="AW76" i="10"/>
  <c r="AW84" i="10"/>
  <c r="AW92" i="10"/>
  <c r="AW96" i="10"/>
  <c r="AW104" i="10"/>
  <c r="AW112" i="10"/>
  <c r="AW120" i="10"/>
  <c r="AW6" i="10"/>
  <c r="AW10" i="10"/>
  <c r="AW14" i="10"/>
  <c r="AW18" i="10"/>
  <c r="AW22" i="10"/>
  <c r="AW26" i="10"/>
  <c r="AW30" i="10"/>
  <c r="AW34" i="10"/>
  <c r="AW38" i="10"/>
  <c r="AW42" i="10"/>
  <c r="AW46" i="10"/>
  <c r="AW50" i="10"/>
  <c r="AW54" i="10"/>
  <c r="AW58" i="10"/>
  <c r="AW62" i="10"/>
  <c r="AW66" i="10"/>
  <c r="AW70" i="10"/>
  <c r="AW74" i="10"/>
  <c r="AW78" i="10"/>
  <c r="AW82" i="10"/>
  <c r="AW86" i="10"/>
  <c r="AW90" i="10"/>
  <c r="AW94" i="10"/>
  <c r="AW98" i="10"/>
  <c r="AW102" i="10"/>
  <c r="AW106" i="10"/>
  <c r="AW110" i="10"/>
  <c r="AW114" i="10"/>
  <c r="AW118" i="10"/>
  <c r="AW122" i="10"/>
  <c r="AW126" i="10"/>
  <c r="AW3" i="10"/>
  <c r="AW11" i="10"/>
  <c r="AW19" i="10"/>
  <c r="AW31" i="10"/>
  <c r="AW43" i="10"/>
  <c r="AW55" i="10"/>
  <c r="AW59" i="10"/>
  <c r="AW67" i="10"/>
  <c r="AW75" i="10"/>
  <c r="AW83" i="10"/>
  <c r="AW91" i="10"/>
  <c r="AW99" i="10"/>
  <c r="AW107" i="10"/>
  <c r="AW115" i="10"/>
  <c r="AW123" i="10"/>
  <c r="AW4" i="10"/>
  <c r="AW16" i="10"/>
  <c r="AW24" i="10"/>
  <c r="AW28" i="10"/>
  <c r="AW36" i="10"/>
  <c r="AW40" i="10"/>
  <c r="AW48" i="10"/>
  <c r="AW56" i="10"/>
  <c r="AW60" i="10"/>
  <c r="AW64" i="10"/>
  <c r="AW72" i="10"/>
  <c r="AW80" i="10"/>
  <c r="AW88" i="10"/>
  <c r="AW100" i="10"/>
  <c r="AW108" i="10"/>
  <c r="AW116" i="10"/>
  <c r="AW124" i="10"/>
  <c r="T1" i="7"/>
  <c r="W1" i="7" l="1"/>
  <c r="V1" i="7"/>
  <c r="CA1" i="10" s="1"/>
  <c r="U1" i="7"/>
  <c r="A43" i="10" s="1"/>
  <c r="P1" i="7"/>
  <c r="Q1" i="7" s="1"/>
  <c r="B5455" i="5" l="1"/>
  <c r="B5459" i="5"/>
  <c r="B5463" i="5"/>
  <c r="B5467" i="5"/>
  <c r="B698" i="7"/>
  <c r="C193" i="1" s="1"/>
  <c r="B5456" i="5"/>
  <c r="B5460" i="5"/>
  <c r="B5464" i="5"/>
  <c r="B5468" i="5"/>
  <c r="B5457" i="5"/>
  <c r="B5461" i="5"/>
  <c r="B5465" i="5"/>
  <c r="B5469" i="5"/>
  <c r="B5458" i="5"/>
  <c r="B5462" i="5"/>
  <c r="B5466" i="5"/>
  <c r="B5470" i="5"/>
  <c r="B2746" i="5"/>
  <c r="B2742" i="5"/>
  <c r="B2738" i="5"/>
  <c r="B2734" i="5"/>
  <c r="B2730" i="5"/>
  <c r="B2726" i="5"/>
  <c r="B2722" i="5"/>
  <c r="B2718" i="5"/>
  <c r="B2714" i="5"/>
  <c r="B2710" i="5"/>
  <c r="B2706" i="5"/>
  <c r="B2702" i="5"/>
  <c r="B2698" i="5"/>
  <c r="B2745" i="5"/>
  <c r="B2741" i="5"/>
  <c r="B2737" i="5"/>
  <c r="B2733" i="5"/>
  <c r="B2729" i="5"/>
  <c r="B2725" i="5"/>
  <c r="B2721" i="5"/>
  <c r="B2717" i="5"/>
  <c r="B2713" i="5"/>
  <c r="B2709" i="5"/>
  <c r="B2705" i="5"/>
  <c r="B2701" i="5"/>
  <c r="B2697" i="5"/>
  <c r="B2744" i="5"/>
  <c r="B2740" i="5"/>
  <c r="B2736" i="5"/>
  <c r="B2732" i="5"/>
  <c r="B2728" i="5"/>
  <c r="B2724" i="5"/>
  <c r="B2720" i="5"/>
  <c r="B2716" i="5"/>
  <c r="B2712" i="5"/>
  <c r="B2708" i="5"/>
  <c r="B2704" i="5"/>
  <c r="B2700" i="5"/>
  <c r="B2696" i="5"/>
  <c r="B2743" i="5"/>
  <c r="B2739" i="5"/>
  <c r="B2735" i="5"/>
  <c r="B2731" i="5"/>
  <c r="B2727" i="5"/>
  <c r="B2723" i="5"/>
  <c r="B2719" i="5"/>
  <c r="B2715" i="5"/>
  <c r="B2711" i="5"/>
  <c r="B2707" i="5"/>
  <c r="B2703" i="5"/>
  <c r="B2699" i="5"/>
  <c r="B2695" i="5"/>
  <c r="B2794" i="5"/>
  <c r="B2790" i="5"/>
  <c r="B2786" i="5"/>
  <c r="B2782" i="5"/>
  <c r="B2747" i="5"/>
  <c r="B2775" i="5"/>
  <c r="B2771" i="5"/>
  <c r="B2767" i="5"/>
  <c r="B2763" i="5"/>
  <c r="B2759" i="5"/>
  <c r="B2755" i="5"/>
  <c r="B2751" i="5"/>
  <c r="B2788" i="5"/>
  <c r="B2780" i="5"/>
  <c r="B2773" i="5"/>
  <c r="B2765" i="5"/>
  <c r="B2757" i="5"/>
  <c r="B2749" i="5"/>
  <c r="B2787" i="5"/>
  <c r="B2779" i="5"/>
  <c r="B2772" i="5"/>
  <c r="B2764" i="5"/>
  <c r="B2756" i="5"/>
  <c r="B2748" i="5"/>
  <c r="B2793" i="5"/>
  <c r="B2789" i="5"/>
  <c r="B2785" i="5"/>
  <c r="B2781" i="5"/>
  <c r="B2778" i="5"/>
  <c r="B2774" i="5"/>
  <c r="B2770" i="5"/>
  <c r="B2766" i="5"/>
  <c r="B2762" i="5"/>
  <c r="B2758" i="5"/>
  <c r="B2754" i="5"/>
  <c r="B2750" i="5"/>
  <c r="B2792" i="5"/>
  <c r="B2784" i="5"/>
  <c r="B2777" i="5"/>
  <c r="B2769" i="5"/>
  <c r="B2761" i="5"/>
  <c r="B2753" i="5"/>
  <c r="B2791" i="5"/>
  <c r="B2783" i="5"/>
  <c r="B2776" i="5"/>
  <c r="B2768" i="5"/>
  <c r="B2760" i="5"/>
  <c r="B2752" i="5"/>
  <c r="B5623" i="5"/>
  <c r="B5627" i="5"/>
  <c r="B5631" i="5"/>
  <c r="B5635" i="5"/>
  <c r="B5639" i="5"/>
  <c r="B5643" i="5"/>
  <c r="B5647" i="5"/>
  <c r="B5651" i="5"/>
  <c r="B5655" i="5"/>
  <c r="B5659" i="5"/>
  <c r="B5663" i="5"/>
  <c r="B5667" i="5"/>
  <c r="B5671" i="5"/>
  <c r="B5675" i="5"/>
  <c r="B5679" i="5"/>
  <c r="B5683" i="5"/>
  <c r="B5687" i="5"/>
  <c r="B5691" i="5"/>
  <c r="B5695" i="5"/>
  <c r="B5699" i="5"/>
  <c r="B5703" i="5"/>
  <c r="B5707" i="5"/>
  <c r="B5711" i="5"/>
  <c r="B5715" i="5"/>
  <c r="B5719" i="5"/>
  <c r="B5723" i="5"/>
  <c r="B5727" i="5"/>
  <c r="B5731" i="5"/>
  <c r="B5735" i="5"/>
  <c r="B5739" i="5"/>
  <c r="B5743" i="5"/>
  <c r="B5747" i="5"/>
  <c r="B5751" i="5"/>
  <c r="B5755" i="5"/>
  <c r="B5759" i="5"/>
  <c r="B5763" i="5"/>
  <c r="B5767" i="5"/>
  <c r="B5771" i="5"/>
  <c r="B5775" i="5"/>
  <c r="B5779" i="5"/>
  <c r="B5783" i="5"/>
  <c r="B5787" i="5"/>
  <c r="B5791" i="5"/>
  <c r="B5795" i="5"/>
  <c r="B5799" i="5"/>
  <c r="B5803" i="5"/>
  <c r="B5807" i="5"/>
  <c r="B5811" i="5"/>
  <c r="B5815" i="5"/>
  <c r="B5819" i="5"/>
  <c r="B5823" i="5"/>
  <c r="B5827" i="5"/>
  <c r="B5831" i="5"/>
  <c r="B5835" i="5"/>
  <c r="B5839" i="5"/>
  <c r="B5843" i="5"/>
  <c r="B5847" i="5"/>
  <c r="B5851" i="5"/>
  <c r="B5855" i="5"/>
  <c r="B5859" i="5"/>
  <c r="B5863" i="5"/>
  <c r="B5867" i="5"/>
  <c r="B5871" i="5"/>
  <c r="B5875" i="5"/>
  <c r="B5879" i="5"/>
  <c r="B5883" i="5"/>
  <c r="B5887" i="5"/>
  <c r="B5891" i="5"/>
  <c r="B5895" i="5"/>
  <c r="B5899" i="5"/>
  <c r="B5903" i="5"/>
  <c r="B5907" i="5"/>
  <c r="B5911" i="5"/>
  <c r="B5915" i="5"/>
  <c r="B5919" i="5"/>
  <c r="B5923" i="5"/>
  <c r="B5927" i="5"/>
  <c r="B5931" i="5"/>
  <c r="B5935" i="5"/>
  <c r="B5624" i="5"/>
  <c r="B5628" i="5"/>
  <c r="B5632" i="5"/>
  <c r="B5636" i="5"/>
  <c r="B5640" i="5"/>
  <c r="B5644" i="5"/>
  <c r="B5625" i="5"/>
  <c r="B5633" i="5"/>
  <c r="B5641" i="5"/>
  <c r="B5648" i="5"/>
  <c r="B5653" i="5"/>
  <c r="B5658" i="5"/>
  <c r="B5664" i="5"/>
  <c r="B5669" i="5"/>
  <c r="B5674" i="5"/>
  <c r="B5680" i="5"/>
  <c r="B5685" i="5"/>
  <c r="B5690" i="5"/>
  <c r="B5696" i="5"/>
  <c r="B5701" i="5"/>
  <c r="B5706" i="5"/>
  <c r="B5712" i="5"/>
  <c r="B5717" i="5"/>
  <c r="B5722" i="5"/>
  <c r="B5728" i="5"/>
  <c r="B5733" i="5"/>
  <c r="B5738" i="5"/>
  <c r="B5744" i="5"/>
  <c r="B5749" i="5"/>
  <c r="B5754" i="5"/>
  <c r="B5760" i="5"/>
  <c r="B5765" i="5"/>
  <c r="B5770" i="5"/>
  <c r="B5776" i="5"/>
  <c r="B5781" i="5"/>
  <c r="B5786" i="5"/>
  <c r="B5792" i="5"/>
  <c r="B5797" i="5"/>
  <c r="B5802" i="5"/>
  <c r="B5808" i="5"/>
  <c r="B5813" i="5"/>
  <c r="B5818" i="5"/>
  <c r="B5824" i="5"/>
  <c r="B5829" i="5"/>
  <c r="B5834" i="5"/>
  <c r="B5840" i="5"/>
  <c r="B5845" i="5"/>
  <c r="B5850" i="5"/>
  <c r="B5856" i="5"/>
  <c r="B5861" i="5"/>
  <c r="B5866" i="5"/>
  <c r="B5872" i="5"/>
  <c r="B5877" i="5"/>
  <c r="B5882" i="5"/>
  <c r="B5888" i="5"/>
  <c r="B5893" i="5"/>
  <c r="B5898" i="5"/>
  <c r="B5904" i="5"/>
  <c r="B5909" i="5"/>
  <c r="B5914" i="5"/>
  <c r="B5920" i="5"/>
  <c r="B5925" i="5"/>
  <c r="B5930" i="5"/>
  <c r="B5936" i="5"/>
  <c r="B5626" i="5"/>
  <c r="B5634" i="5"/>
  <c r="B5642" i="5"/>
  <c r="B5649" i="5"/>
  <c r="B5654" i="5"/>
  <c r="B5660" i="5"/>
  <c r="B5665" i="5"/>
  <c r="B5670" i="5"/>
  <c r="B5676" i="5"/>
  <c r="B5681" i="5"/>
  <c r="B5686" i="5"/>
  <c r="B5692" i="5"/>
  <c r="B5697" i="5"/>
  <c r="B5702" i="5"/>
  <c r="B5708" i="5"/>
  <c r="B5713" i="5"/>
  <c r="B5718" i="5"/>
  <c r="B5724" i="5"/>
  <c r="B5729" i="5"/>
  <c r="B5734" i="5"/>
  <c r="B5740" i="5"/>
  <c r="B5745" i="5"/>
  <c r="B5750" i="5"/>
  <c r="B5756" i="5"/>
  <c r="B5761" i="5"/>
  <c r="B5766" i="5"/>
  <c r="B5772" i="5"/>
  <c r="B5777" i="5"/>
  <c r="B5782" i="5"/>
  <c r="B5788" i="5"/>
  <c r="B5793" i="5"/>
  <c r="B5798" i="5"/>
  <c r="B5804" i="5"/>
  <c r="B5809" i="5"/>
  <c r="B5814" i="5"/>
  <c r="B5820" i="5"/>
  <c r="B5825" i="5"/>
  <c r="B5830" i="5"/>
  <c r="B5836" i="5"/>
  <c r="B5841" i="5"/>
  <c r="B5846" i="5"/>
  <c r="B5852" i="5"/>
  <c r="B5857" i="5"/>
  <c r="B5862" i="5"/>
  <c r="B5868" i="5"/>
  <c r="B5873" i="5"/>
  <c r="B5878" i="5"/>
  <c r="B5884" i="5"/>
  <c r="B5889" i="5"/>
  <c r="B5894" i="5"/>
  <c r="B5900" i="5"/>
  <c r="B5905" i="5"/>
  <c r="B5910" i="5"/>
  <c r="B5916" i="5"/>
  <c r="B5921" i="5"/>
  <c r="B5926" i="5"/>
  <c r="B5932" i="5"/>
  <c r="B5629" i="5"/>
  <c r="B5637" i="5"/>
  <c r="B5645" i="5"/>
  <c r="B5650" i="5"/>
  <c r="B5656" i="5"/>
  <c r="B5661" i="5"/>
  <c r="B5666" i="5"/>
  <c r="B5672" i="5"/>
  <c r="B5677" i="5"/>
  <c r="B5682" i="5"/>
  <c r="B5688" i="5"/>
  <c r="B5693" i="5"/>
  <c r="B5698" i="5"/>
  <c r="B5704" i="5"/>
  <c r="B5709" i="5"/>
  <c r="B5714" i="5"/>
  <c r="B5720" i="5"/>
  <c r="B5725" i="5"/>
  <c r="B5730" i="5"/>
  <c r="B5736" i="5"/>
  <c r="B5741" i="5"/>
  <c r="B5746" i="5"/>
  <c r="B5752" i="5"/>
  <c r="B5757" i="5"/>
  <c r="B5762" i="5"/>
  <c r="B5768" i="5"/>
  <c r="B5773" i="5"/>
  <c r="B5778" i="5"/>
  <c r="B5784" i="5"/>
  <c r="B5789" i="5"/>
  <c r="B5794" i="5"/>
  <c r="B5800" i="5"/>
  <c r="B5805" i="5"/>
  <c r="B5810" i="5"/>
  <c r="B5816" i="5"/>
  <c r="B5821" i="5"/>
  <c r="B5826" i="5"/>
  <c r="B5832" i="5"/>
  <c r="B5837" i="5"/>
  <c r="B5842" i="5"/>
  <c r="B5848" i="5"/>
  <c r="B5853" i="5"/>
  <c r="B5858" i="5"/>
  <c r="B5864" i="5"/>
  <c r="B5869" i="5"/>
  <c r="B5874" i="5"/>
  <c r="B5880" i="5"/>
  <c r="B5885" i="5"/>
  <c r="B5890" i="5"/>
  <c r="B5896" i="5"/>
  <c r="B5901" i="5"/>
  <c r="B5906" i="5"/>
  <c r="B5912" i="5"/>
  <c r="B5917" i="5"/>
  <c r="B5922" i="5"/>
  <c r="B5630" i="5"/>
  <c r="B5657" i="5"/>
  <c r="B5678" i="5"/>
  <c r="B5700" i="5"/>
  <c r="B5721" i="5"/>
  <c r="B5742" i="5"/>
  <c r="B5764" i="5"/>
  <c r="B5785" i="5"/>
  <c r="B5806" i="5"/>
  <c r="B5828" i="5"/>
  <c r="B5849" i="5"/>
  <c r="B5870" i="5"/>
  <c r="B5892" i="5"/>
  <c r="B5913" i="5"/>
  <c r="B5929" i="5"/>
  <c r="B5638" i="5"/>
  <c r="B5662" i="5"/>
  <c r="B5684" i="5"/>
  <c r="B5705" i="5"/>
  <c r="B5726" i="5"/>
  <c r="B5748" i="5"/>
  <c r="B5769" i="5"/>
  <c r="B5790" i="5"/>
  <c r="B5812" i="5"/>
  <c r="B5833" i="5"/>
  <c r="B5854" i="5"/>
  <c r="B5876" i="5"/>
  <c r="B5897" i="5"/>
  <c r="B5918" i="5"/>
  <c r="B5933" i="5"/>
  <c r="B5646" i="5"/>
  <c r="B5668" i="5"/>
  <c r="B5689" i="5"/>
  <c r="B5710" i="5"/>
  <c r="B5732" i="5"/>
  <c r="B5753" i="5"/>
  <c r="B5774" i="5"/>
  <c r="B5796" i="5"/>
  <c r="B5817" i="5"/>
  <c r="B5838" i="5"/>
  <c r="B5860" i="5"/>
  <c r="B5881" i="5"/>
  <c r="B5902" i="5"/>
  <c r="B5924" i="5"/>
  <c r="B5934" i="5"/>
  <c r="B5652" i="5"/>
  <c r="B5673" i="5"/>
  <c r="B5694" i="5"/>
  <c r="B5716" i="5"/>
  <c r="B5737" i="5"/>
  <c r="B5758" i="5"/>
  <c r="B5780" i="5"/>
  <c r="B5801" i="5"/>
  <c r="B5822" i="5"/>
  <c r="B5844" i="5"/>
  <c r="B5865" i="5"/>
  <c r="B5886" i="5"/>
  <c r="B5908" i="5"/>
  <c r="B5928" i="5"/>
  <c r="B5541" i="5"/>
  <c r="B5544" i="5"/>
  <c r="B5523" i="5"/>
  <c r="B5607" i="5"/>
  <c r="B5569" i="5"/>
  <c r="B5571" i="5"/>
  <c r="B5520" i="5"/>
  <c r="B5603" i="5"/>
  <c r="B5621" i="5"/>
  <c r="B5578" i="5"/>
  <c r="B5609" i="5"/>
  <c r="B5610" i="5"/>
  <c r="B5561" i="5"/>
  <c r="B5521" i="5"/>
  <c r="B5619" i="5"/>
  <c r="B5540" i="5"/>
  <c r="B5618" i="5"/>
  <c r="B5581" i="5"/>
  <c r="B5546" i="5"/>
  <c r="B5545" i="5"/>
  <c r="B5536" i="5"/>
  <c r="B5538" i="5"/>
  <c r="B5566" i="5"/>
  <c r="B5539" i="5"/>
  <c r="B5591" i="5"/>
  <c r="B5600" i="5"/>
  <c r="B5590" i="5"/>
  <c r="B5583" i="5"/>
  <c r="B5567" i="5"/>
  <c r="B5542" i="5"/>
  <c r="B5585" i="5"/>
  <c r="B5612" i="5"/>
  <c r="B5560" i="5"/>
  <c r="B5535" i="5"/>
  <c r="B5556" i="5"/>
  <c r="B5548" i="5"/>
  <c r="B5582" i="5"/>
  <c r="B5563" i="5"/>
  <c r="B5534" i="5"/>
  <c r="B5550" i="5"/>
  <c r="B5549" i="5"/>
  <c r="B5574" i="5"/>
  <c r="B5620" i="5"/>
  <c r="B5525" i="5"/>
  <c r="B5595" i="5"/>
  <c r="B5533" i="5"/>
  <c r="B5617" i="5"/>
  <c r="B5570" i="5"/>
  <c r="B5532" i="5"/>
  <c r="B5588" i="5"/>
  <c r="B5565" i="5"/>
  <c r="B5528" i="5"/>
  <c r="B5562" i="5"/>
  <c r="B5519" i="5"/>
  <c r="B5551" i="5"/>
  <c r="B5515" i="5"/>
  <c r="B5622" i="5"/>
  <c r="B5522" i="5"/>
  <c r="B5613" i="5"/>
  <c r="B5614" i="5"/>
  <c r="B5608" i="5"/>
  <c r="B5514" i="5"/>
  <c r="B5615" i="5"/>
  <c r="B5531" i="5"/>
  <c r="B5580" i="5"/>
  <c r="B5568" i="5"/>
  <c r="B5530" i="5"/>
  <c r="B5558" i="5"/>
  <c r="B5517" i="5"/>
  <c r="B5586" i="5"/>
  <c r="B5524" i="5"/>
  <c r="B5527" i="5"/>
  <c r="B5599" i="5"/>
  <c r="B5512" i="5"/>
  <c r="B5564" i="5"/>
  <c r="B5597" i="5"/>
  <c r="B5537" i="5"/>
  <c r="B5596" i="5"/>
  <c r="B5557" i="5"/>
  <c r="B5552" i="5"/>
  <c r="B5543" i="5"/>
  <c r="B5554" i="5"/>
  <c r="B5611" i="5"/>
  <c r="B5606" i="5"/>
  <c r="B5601" i="5"/>
  <c r="B5555" i="5"/>
  <c r="B5584" i="5"/>
  <c r="B5529" i="5"/>
  <c r="B5559" i="5"/>
  <c r="B5547" i="5"/>
  <c r="B5572" i="5"/>
  <c r="B5589" i="5"/>
  <c r="B5593" i="5"/>
  <c r="B5553" i="5"/>
  <c r="B5579" i="5"/>
  <c r="B5605" i="5"/>
  <c r="B5513" i="5"/>
  <c r="B5573" i="5"/>
  <c r="B5616" i="5"/>
  <c r="B5594" i="5"/>
  <c r="B5576" i="5"/>
  <c r="B5516" i="5"/>
  <c r="B5592" i="5"/>
  <c r="B5518" i="5"/>
  <c r="B5587" i="5"/>
  <c r="B5604" i="5"/>
  <c r="B5575" i="5"/>
  <c r="B5526" i="5"/>
  <c r="B5598" i="5"/>
  <c r="B5602" i="5"/>
  <c r="B5577" i="5"/>
  <c r="B696" i="7"/>
  <c r="C331" i="1" s="1"/>
  <c r="B697" i="7"/>
  <c r="C528" i="1" s="1"/>
  <c r="B600" i="7"/>
  <c r="C682" i="6" s="1"/>
  <c r="B693" i="7"/>
  <c r="C23" i="1" s="1"/>
  <c r="B695" i="7"/>
  <c r="B694" i="7"/>
  <c r="C25" i="1" s="1"/>
  <c r="B684" i="7"/>
  <c r="C850" i="6" s="1"/>
  <c r="B688" i="7"/>
  <c r="C858" i="6" s="1"/>
  <c r="B692" i="7"/>
  <c r="C866" i="6" s="1"/>
  <c r="B675" i="7"/>
  <c r="C832" i="6" s="1"/>
  <c r="B679" i="7"/>
  <c r="C840" i="6" s="1"/>
  <c r="B685" i="7"/>
  <c r="C852" i="6" s="1"/>
  <c r="B689" i="7"/>
  <c r="C860" i="6" s="1"/>
  <c r="B683" i="7"/>
  <c r="C848" i="6" s="1"/>
  <c r="B676" i="7"/>
  <c r="C834" i="6" s="1"/>
  <c r="B680" i="7"/>
  <c r="C842" i="6" s="1"/>
  <c r="B686" i="7"/>
  <c r="C854" i="6" s="1"/>
  <c r="B690" i="7"/>
  <c r="C862" i="6" s="1"/>
  <c r="B682" i="7"/>
  <c r="C846" i="6" s="1"/>
  <c r="B677" i="7"/>
  <c r="C836" i="6" s="1"/>
  <c r="B674" i="7"/>
  <c r="C830" i="6" s="1"/>
  <c r="B687" i="7"/>
  <c r="C856" i="6" s="1"/>
  <c r="B691" i="7"/>
  <c r="C864" i="6" s="1"/>
  <c r="B681" i="7"/>
  <c r="C844" i="6" s="1"/>
  <c r="B678" i="7"/>
  <c r="C838" i="6" s="1"/>
  <c r="CA256" i="10"/>
  <c r="CA257" i="10"/>
  <c r="B672" i="7"/>
  <c r="C826" i="6" s="1"/>
  <c r="B665" i="7"/>
  <c r="C812" i="6" s="1"/>
  <c r="B669" i="7"/>
  <c r="C820" i="6" s="1"/>
  <c r="B658" i="7"/>
  <c r="C798" i="6" s="1"/>
  <c r="B662" i="7"/>
  <c r="C806" i="6" s="1"/>
  <c r="B654" i="7"/>
  <c r="C790" i="6" s="1"/>
  <c r="B648" i="7"/>
  <c r="C778" i="6" s="1"/>
  <c r="B644" i="7"/>
  <c r="C770" i="6" s="1"/>
  <c r="B673" i="7"/>
  <c r="C828" i="6" s="1"/>
  <c r="B666" i="7"/>
  <c r="C814" i="6" s="1"/>
  <c r="B663" i="7"/>
  <c r="C808" i="6" s="1"/>
  <c r="B659" i="7"/>
  <c r="C800" i="6" s="1"/>
  <c r="B655" i="7"/>
  <c r="C792" i="6" s="1"/>
  <c r="B651" i="7"/>
  <c r="C784" i="6" s="1"/>
  <c r="B649" i="7"/>
  <c r="C780" i="6" s="1"/>
  <c r="B643" i="7"/>
  <c r="C768" i="6" s="1"/>
  <c r="B670" i="7"/>
  <c r="B667" i="7"/>
  <c r="C816" i="6" s="1"/>
  <c r="B656" i="7"/>
  <c r="C794" i="6" s="1"/>
  <c r="B660" i="7"/>
  <c r="C802" i="6" s="1"/>
  <c r="B652" i="7"/>
  <c r="C786" i="6" s="1"/>
  <c r="B646" i="7"/>
  <c r="C774" i="6" s="1"/>
  <c r="B650" i="7"/>
  <c r="C782" i="6" s="1"/>
  <c r="B671" i="7"/>
  <c r="C824" i="6" s="1"/>
  <c r="B664" i="7"/>
  <c r="C810" i="6" s="1"/>
  <c r="B668" i="7"/>
  <c r="C818" i="6" s="1"/>
  <c r="B657" i="7"/>
  <c r="C796" i="6" s="1"/>
  <c r="B661" i="7"/>
  <c r="C804" i="6" s="1"/>
  <c r="B653" i="7"/>
  <c r="C788" i="6" s="1"/>
  <c r="B647" i="7"/>
  <c r="C776" i="6" s="1"/>
  <c r="B645" i="7"/>
  <c r="C772" i="6" s="1"/>
  <c r="CA254" i="10"/>
  <c r="CA255" i="10"/>
  <c r="B642" i="7"/>
  <c r="C766" i="6" s="1"/>
  <c r="B635" i="7"/>
  <c r="C752" i="6" s="1"/>
  <c r="B633" i="7"/>
  <c r="C748" i="6" s="1"/>
  <c r="B639" i="7"/>
  <c r="C760" i="6" s="1"/>
  <c r="B638" i="7"/>
  <c r="B634" i="7"/>
  <c r="C750" i="6" s="1"/>
  <c r="B630" i="7"/>
  <c r="C742" i="6" s="1"/>
  <c r="B640" i="7"/>
  <c r="C762" i="6" s="1"/>
  <c r="B637" i="7"/>
  <c r="C756" i="6" s="1"/>
  <c r="B631" i="7"/>
  <c r="C744" i="6" s="1"/>
  <c r="B641" i="7"/>
  <c r="C764" i="6" s="1"/>
  <c r="B636" i="7"/>
  <c r="C754" i="6" s="1"/>
  <c r="B632" i="7"/>
  <c r="C746" i="6" s="1"/>
  <c r="B628" i="7"/>
  <c r="C738" i="6" s="1"/>
  <c r="B623" i="7"/>
  <c r="C728" i="6" s="1"/>
  <c r="B629" i="7"/>
  <c r="B622" i="7"/>
  <c r="C726" i="6" s="1"/>
  <c r="B626" i="7"/>
  <c r="C734" i="6" s="1"/>
  <c r="B625" i="7"/>
  <c r="B621" i="7"/>
  <c r="C724" i="6" s="1"/>
  <c r="B627" i="7"/>
  <c r="C736" i="6" s="1"/>
  <c r="B624" i="7"/>
  <c r="C730" i="6" s="1"/>
  <c r="CA252" i="10"/>
  <c r="CA253" i="10"/>
  <c r="B617" i="7"/>
  <c r="C716" i="6" s="1"/>
  <c r="B620" i="7"/>
  <c r="B616" i="7"/>
  <c r="C714" i="6" s="1"/>
  <c r="B619" i="7"/>
  <c r="B615" i="7"/>
  <c r="C712" i="6" s="1"/>
  <c r="B618" i="7"/>
  <c r="C718" i="6" s="1"/>
  <c r="B614" i="7"/>
  <c r="C710" i="6" s="1"/>
  <c r="B612" i="7"/>
  <c r="C706" i="6" s="1"/>
  <c r="B606" i="7"/>
  <c r="C694" i="6" s="1"/>
  <c r="B609" i="7"/>
  <c r="C700" i="6" s="1"/>
  <c r="B610" i="7"/>
  <c r="C702" i="6" s="1"/>
  <c r="B611" i="7"/>
  <c r="C704" i="6" s="1"/>
  <c r="B607" i="7"/>
  <c r="C696" i="6" s="1"/>
  <c r="B613" i="7"/>
  <c r="B605" i="7"/>
  <c r="C692" i="6" s="1"/>
  <c r="B608" i="7"/>
  <c r="CA250" i="10"/>
  <c r="CA251" i="10"/>
  <c r="B604" i="7"/>
  <c r="C690" i="6" s="1"/>
  <c r="B595" i="7"/>
  <c r="C672" i="6" s="1"/>
  <c r="B593" i="7"/>
  <c r="C668" i="6" s="1"/>
  <c r="B589" i="7"/>
  <c r="C660" i="6" s="1"/>
  <c r="B603" i="7"/>
  <c r="C688" i="6" s="1"/>
  <c r="B596" i="7"/>
  <c r="C674" i="6" s="1"/>
  <c r="B590" i="7"/>
  <c r="C662" i="6" s="1"/>
  <c r="B601" i="7"/>
  <c r="B599" i="7"/>
  <c r="C680" i="6" s="1"/>
  <c r="B597" i="7"/>
  <c r="C676" i="6" s="1"/>
  <c r="B591" i="7"/>
  <c r="C664" i="6" s="1"/>
  <c r="B602" i="7"/>
  <c r="C686" i="6" s="1"/>
  <c r="B594" i="7"/>
  <c r="C670" i="6" s="1"/>
  <c r="B598" i="7"/>
  <c r="C678" i="6" s="1"/>
  <c r="B592" i="7"/>
  <c r="C666" i="6" s="1"/>
  <c r="B586" i="7"/>
  <c r="B585" i="7"/>
  <c r="C652" i="6" s="1"/>
  <c r="B587" i="7"/>
  <c r="C656" i="6" s="1"/>
  <c r="B583" i="7"/>
  <c r="C648" i="6" s="1"/>
  <c r="B588" i="7"/>
  <c r="B584" i="7"/>
  <c r="C650" i="6" s="1"/>
  <c r="B577" i="7"/>
  <c r="C632" i="6" s="1"/>
  <c r="B581" i="7"/>
  <c r="B571" i="7"/>
  <c r="C620" i="6" s="1"/>
  <c r="B575" i="7"/>
  <c r="C628" i="6" s="1"/>
  <c r="B557" i="7"/>
  <c r="C592" i="6" s="1"/>
  <c r="B561" i="7"/>
  <c r="C600" i="6" s="1"/>
  <c r="B565" i="7"/>
  <c r="C608" i="6" s="1"/>
  <c r="B548" i="7"/>
  <c r="C574" i="6" s="1"/>
  <c r="B552" i="7"/>
  <c r="C582" i="6" s="1"/>
  <c r="B556" i="7"/>
  <c r="C590" i="6" s="1"/>
  <c r="B541" i="7"/>
  <c r="C560" i="6" s="1"/>
  <c r="B545" i="7"/>
  <c r="C568" i="6" s="1"/>
  <c r="B578" i="7"/>
  <c r="C634" i="6" s="1"/>
  <c r="B582" i="7"/>
  <c r="C644" i="6" s="1"/>
  <c r="B572" i="7"/>
  <c r="C622" i="6" s="1"/>
  <c r="B570" i="7"/>
  <c r="B558" i="7"/>
  <c r="C594" i="6" s="1"/>
  <c r="B562" i="7"/>
  <c r="C602" i="6" s="1"/>
  <c r="B566" i="7"/>
  <c r="C610" i="6" s="1"/>
  <c r="B549" i="7"/>
  <c r="C576" i="6" s="1"/>
  <c r="B553" i="7"/>
  <c r="C584" i="6" s="1"/>
  <c r="B546" i="7"/>
  <c r="B542" i="7"/>
  <c r="C562" i="6" s="1"/>
  <c r="B538" i="7"/>
  <c r="B579" i="7"/>
  <c r="C636" i="6" s="1"/>
  <c r="B573" i="7"/>
  <c r="C624" i="6" s="1"/>
  <c r="B569" i="7"/>
  <c r="C616" i="6" s="1"/>
  <c r="B559" i="7"/>
  <c r="C596" i="6" s="1"/>
  <c r="B563" i="7"/>
  <c r="C604" i="6" s="1"/>
  <c r="B567" i="7"/>
  <c r="C612" i="6" s="1"/>
  <c r="B550" i="7"/>
  <c r="C578" i="6" s="1"/>
  <c r="B554" i="7"/>
  <c r="C586" i="6" s="1"/>
  <c r="B539" i="7"/>
  <c r="C556" i="6" s="1"/>
  <c r="B543" i="7"/>
  <c r="C564" i="6" s="1"/>
  <c r="B580" i="7"/>
  <c r="C646" i="6" s="1"/>
  <c r="B576" i="7"/>
  <c r="B574" i="7"/>
  <c r="C626" i="6" s="1"/>
  <c r="B568" i="7"/>
  <c r="C614" i="6" s="1"/>
  <c r="B560" i="7"/>
  <c r="C598" i="6" s="1"/>
  <c r="B564" i="7"/>
  <c r="C606" i="6" s="1"/>
  <c r="B547" i="7"/>
  <c r="C572" i="6" s="1"/>
  <c r="B551" i="7"/>
  <c r="C580" i="6" s="1"/>
  <c r="B555" i="7"/>
  <c r="C588" i="6" s="1"/>
  <c r="B540" i="7"/>
  <c r="C558" i="6" s="1"/>
  <c r="B544" i="7"/>
  <c r="C566" i="6" s="1"/>
  <c r="CA7" i="10"/>
  <c r="CA11" i="10"/>
  <c r="CA15" i="10"/>
  <c r="CA19" i="10"/>
  <c r="CA23" i="10"/>
  <c r="CA27" i="10"/>
  <c r="CA31" i="10"/>
  <c r="CA35" i="10"/>
  <c r="CA39" i="10"/>
  <c r="CA43" i="10"/>
  <c r="CA47" i="10"/>
  <c r="CA51" i="10"/>
  <c r="CA55" i="10"/>
  <c r="CA59" i="10"/>
  <c r="CA63" i="10"/>
  <c r="CA67" i="10"/>
  <c r="CA71" i="10"/>
  <c r="CA75" i="10"/>
  <c r="CA79" i="10"/>
  <c r="CA83" i="10"/>
  <c r="CA87" i="10"/>
  <c r="CA91" i="10"/>
  <c r="CA95" i="10"/>
  <c r="CA99" i="10"/>
  <c r="CA103" i="10"/>
  <c r="CA107" i="10"/>
  <c r="CA111" i="10"/>
  <c r="CA115" i="10"/>
  <c r="CA119" i="10"/>
  <c r="CA123" i="10"/>
  <c r="CA127" i="10"/>
  <c r="CA131" i="10"/>
  <c r="CA135" i="10"/>
  <c r="CA139" i="10"/>
  <c r="CA143" i="10"/>
  <c r="CA147" i="10"/>
  <c r="CA151" i="10"/>
  <c r="CA155" i="10"/>
  <c r="CA159" i="10"/>
  <c r="CA163" i="10"/>
  <c r="CA167" i="10"/>
  <c r="CA171" i="10"/>
  <c r="CA175" i="10"/>
  <c r="CA179" i="10"/>
  <c r="CA183" i="10"/>
  <c r="CA187" i="10"/>
  <c r="CA191" i="10"/>
  <c r="CA195" i="10"/>
  <c r="CA199" i="10"/>
  <c r="CA203" i="10"/>
  <c r="CA207" i="10"/>
  <c r="CA211" i="10"/>
  <c r="CA215" i="10"/>
  <c r="CA219" i="10"/>
  <c r="CA223" i="10"/>
  <c r="CA227" i="10"/>
  <c r="CA231" i="10"/>
  <c r="CA235" i="10"/>
  <c r="CA239" i="10"/>
  <c r="CA243" i="10"/>
  <c r="CA247" i="10"/>
  <c r="CA3" i="10"/>
  <c r="CA8" i="10"/>
  <c r="CA12" i="10"/>
  <c r="CA16" i="10"/>
  <c r="CA20" i="10"/>
  <c r="CA24" i="10"/>
  <c r="CA28" i="10"/>
  <c r="CA32" i="10"/>
  <c r="CA36" i="10"/>
  <c r="CA40" i="10"/>
  <c r="CA44" i="10"/>
  <c r="CA48" i="10"/>
  <c r="CA52" i="10"/>
  <c r="CA56" i="10"/>
  <c r="CA60" i="10"/>
  <c r="CA64" i="10"/>
  <c r="CA68" i="10"/>
  <c r="CA72" i="10"/>
  <c r="CA76" i="10"/>
  <c r="CA80" i="10"/>
  <c r="CA84" i="10"/>
  <c r="CA88" i="10"/>
  <c r="CA92" i="10"/>
  <c r="CA96" i="10"/>
  <c r="CA9" i="10"/>
  <c r="CA17" i="10"/>
  <c r="CA25" i="10"/>
  <c r="CA33" i="10"/>
  <c r="CA41" i="10"/>
  <c r="CA49" i="10"/>
  <c r="CA57" i="10"/>
  <c r="CA65" i="10"/>
  <c r="CA73" i="10"/>
  <c r="CA81" i="10"/>
  <c r="CA89" i="10"/>
  <c r="CA97" i="10"/>
  <c r="CA102" i="10"/>
  <c r="CA108" i="10"/>
  <c r="CA113" i="10"/>
  <c r="CA118" i="10"/>
  <c r="CA124" i="10"/>
  <c r="CA129" i="10"/>
  <c r="CA134" i="10"/>
  <c r="CA140" i="10"/>
  <c r="CA145" i="10"/>
  <c r="CA150" i="10"/>
  <c r="CA156" i="10"/>
  <c r="CA161" i="10"/>
  <c r="CA166" i="10"/>
  <c r="CA172" i="10"/>
  <c r="CA177" i="10"/>
  <c r="CA182" i="10"/>
  <c r="CA188" i="10"/>
  <c r="CA193" i="10"/>
  <c r="CA198" i="10"/>
  <c r="CA204" i="10"/>
  <c r="CA209" i="10"/>
  <c r="CA214" i="10"/>
  <c r="CA220" i="10"/>
  <c r="CA225" i="10"/>
  <c r="CA230" i="10"/>
  <c r="CA236" i="10"/>
  <c r="CA241" i="10"/>
  <c r="CA246" i="10"/>
  <c r="CA10" i="10"/>
  <c r="CA18" i="10"/>
  <c r="CA26" i="10"/>
  <c r="CA34" i="10"/>
  <c r="CA42" i="10"/>
  <c r="CA50" i="10"/>
  <c r="CA58" i="10"/>
  <c r="CA66" i="10"/>
  <c r="CA74" i="10"/>
  <c r="CA82" i="10"/>
  <c r="CA90" i="10"/>
  <c r="CA98" i="10"/>
  <c r="CA104" i="10"/>
  <c r="CA109" i="10"/>
  <c r="CA114" i="10"/>
  <c r="CA120" i="10"/>
  <c r="CA125" i="10"/>
  <c r="CA130" i="10"/>
  <c r="CA136" i="10"/>
  <c r="CA141" i="10"/>
  <c r="CA146" i="10"/>
  <c r="CA152" i="10"/>
  <c r="CA157" i="10"/>
  <c r="CA162" i="10"/>
  <c r="CA168" i="10"/>
  <c r="CA173" i="10"/>
  <c r="CA178" i="10"/>
  <c r="CA184" i="10"/>
  <c r="CA189" i="10"/>
  <c r="CA194" i="10"/>
  <c r="CA200" i="10"/>
  <c r="CA205" i="10"/>
  <c r="CA210" i="10"/>
  <c r="CA216" i="10"/>
  <c r="CA221" i="10"/>
  <c r="CA226" i="10"/>
  <c r="CA232" i="10"/>
  <c r="CA237" i="10"/>
  <c r="CA242" i="10"/>
  <c r="CA248" i="10"/>
  <c r="CA5" i="10"/>
  <c r="CA13" i="10"/>
  <c r="CA21" i="10"/>
  <c r="CA29" i="10"/>
  <c r="CA37" i="10"/>
  <c r="CA45" i="10"/>
  <c r="CA53" i="10"/>
  <c r="CA61" i="10"/>
  <c r="CA69" i="10"/>
  <c r="CA77" i="10"/>
  <c r="CA85" i="10"/>
  <c r="CA93" i="10"/>
  <c r="CA100" i="10"/>
  <c r="CA105" i="10"/>
  <c r="CA110" i="10"/>
  <c r="CA116" i="10"/>
  <c r="CA121" i="10"/>
  <c r="CA126" i="10"/>
  <c r="CA132" i="10"/>
  <c r="CA137" i="10"/>
  <c r="CA142" i="10"/>
  <c r="CA148" i="10"/>
  <c r="CA153" i="10"/>
  <c r="CA158" i="10"/>
  <c r="CA164" i="10"/>
  <c r="CA169" i="10"/>
  <c r="CA174" i="10"/>
  <c r="CA180" i="10"/>
  <c r="CA185" i="10"/>
  <c r="CA190" i="10"/>
  <c r="CA196" i="10"/>
  <c r="CA201" i="10"/>
  <c r="CA206" i="10"/>
  <c r="CA212" i="10"/>
  <c r="CA217" i="10"/>
  <c r="CA222" i="10"/>
  <c r="CA228" i="10"/>
  <c r="CA233" i="10"/>
  <c r="CA238" i="10"/>
  <c r="CA244" i="10"/>
  <c r="CA249" i="10"/>
  <c r="CA6" i="10"/>
  <c r="CA14" i="10"/>
  <c r="CA22" i="10"/>
  <c r="CA30" i="10"/>
  <c r="CA38" i="10"/>
  <c r="CA46" i="10"/>
  <c r="CA54" i="10"/>
  <c r="CA62" i="10"/>
  <c r="CA70" i="10"/>
  <c r="CA78" i="10"/>
  <c r="CA86" i="10"/>
  <c r="CA94" i="10"/>
  <c r="CA101" i="10"/>
  <c r="CA106" i="10"/>
  <c r="CA112" i="10"/>
  <c r="CA117" i="10"/>
  <c r="CA122" i="10"/>
  <c r="CA128" i="10"/>
  <c r="CA133" i="10"/>
  <c r="CA138" i="10"/>
  <c r="CA144" i="10"/>
  <c r="CA149" i="10"/>
  <c r="CA154" i="10"/>
  <c r="CA160" i="10"/>
  <c r="CA165" i="10"/>
  <c r="CA170" i="10"/>
  <c r="CA176" i="10"/>
  <c r="CA181" i="10"/>
  <c r="CA186" i="10"/>
  <c r="CA192" i="10"/>
  <c r="CA197" i="10"/>
  <c r="CA202" i="10"/>
  <c r="CA208" i="10"/>
  <c r="CA213" i="10"/>
  <c r="CA218" i="10"/>
  <c r="CA224" i="10"/>
  <c r="CA229" i="10"/>
  <c r="CA234" i="10"/>
  <c r="CA240" i="10"/>
  <c r="CA245" i="10"/>
  <c r="CA4" i="10"/>
  <c r="B66" i="5"/>
  <c r="B70" i="5"/>
  <c r="B537" i="7"/>
  <c r="C167" i="1" s="1"/>
  <c r="B67" i="5"/>
  <c r="B536" i="7"/>
  <c r="C165" i="1" s="1"/>
  <c r="B64" i="5"/>
  <c r="B68" i="5"/>
  <c r="B65" i="5"/>
  <c r="B69" i="5"/>
  <c r="B4480" i="5"/>
  <c r="B4476" i="5"/>
  <c r="B4472" i="5"/>
  <c r="B4468" i="5"/>
  <c r="B4464" i="5"/>
  <c r="B4460" i="5"/>
  <c r="B4456" i="5"/>
  <c r="B4452" i="5"/>
  <c r="B4448" i="5"/>
  <c r="B4444" i="5"/>
  <c r="B4440" i="5"/>
  <c r="B4436" i="5"/>
  <c r="B4432" i="5"/>
  <c r="B4428" i="5"/>
  <c r="B4424" i="5"/>
  <c r="B4420" i="5"/>
  <c r="B4416" i="5"/>
  <c r="B4412" i="5"/>
  <c r="B4408" i="5"/>
  <c r="B4404" i="5"/>
  <c r="B4400" i="5"/>
  <c r="B4396" i="5"/>
  <c r="B4392" i="5"/>
  <c r="B4388" i="5"/>
  <c r="B4384" i="5"/>
  <c r="B4380" i="5"/>
  <c r="B4376" i="5"/>
  <c r="B4372" i="5"/>
  <c r="B4368" i="5"/>
  <c r="B4364" i="5"/>
  <c r="B4360" i="5"/>
  <c r="B4356" i="5"/>
  <c r="B4352" i="5"/>
  <c r="B4348" i="5"/>
  <c r="B4344" i="5"/>
  <c r="B4340" i="5"/>
  <c r="B4336" i="5"/>
  <c r="B4332" i="5"/>
  <c r="B4328" i="5"/>
  <c r="B4324" i="5"/>
  <c r="B4320" i="5"/>
  <c r="B4316" i="5"/>
  <c r="B4312" i="5"/>
  <c r="B4308" i="5"/>
  <c r="B4304" i="5"/>
  <c r="B4300" i="5"/>
  <c r="B4296" i="5"/>
  <c r="B4292" i="5"/>
  <c r="B4288" i="5"/>
  <c r="B4284" i="5"/>
  <c r="B4280" i="5"/>
  <c r="B4276" i="5"/>
  <c r="B4272" i="5"/>
  <c r="B4268" i="5"/>
  <c r="B4264" i="5"/>
  <c r="B4260" i="5"/>
  <c r="B4256" i="5"/>
  <c r="B4252" i="5"/>
  <c r="B4248" i="5"/>
  <c r="B4244" i="5"/>
  <c r="B4240" i="5"/>
  <c r="B4236" i="5"/>
  <c r="B4232" i="5"/>
  <c r="B4228" i="5"/>
  <c r="B4224" i="5"/>
  <c r="B4220" i="5"/>
  <c r="B4216" i="5"/>
  <c r="B4212" i="5"/>
  <c r="B4208" i="5"/>
  <c r="B4204" i="5"/>
  <c r="B4200" i="5"/>
  <c r="B4196" i="5"/>
  <c r="B4192" i="5"/>
  <c r="B4188" i="5"/>
  <c r="B4184" i="5"/>
  <c r="B4180" i="5"/>
  <c r="B4176" i="5"/>
  <c r="B4172" i="5"/>
  <c r="B4168" i="5"/>
  <c r="B4164" i="5"/>
  <c r="B4160" i="5"/>
  <c r="B4156" i="5"/>
  <c r="B4152" i="5"/>
  <c r="B4148" i="5"/>
  <c r="B4144" i="5"/>
  <c r="B4479" i="5"/>
  <c r="B4474" i="5"/>
  <c r="B4469" i="5"/>
  <c r="B4463" i="5"/>
  <c r="B4458" i="5"/>
  <c r="B4453" i="5"/>
  <c r="B4447" i="5"/>
  <c r="B4442" i="5"/>
  <c r="B4437" i="5"/>
  <c r="B4431" i="5"/>
  <c r="B4426" i="5"/>
  <c r="B4421" i="5"/>
  <c r="B4415" i="5"/>
  <c r="B4410" i="5"/>
  <c r="B4405" i="5"/>
  <c r="B4399" i="5"/>
  <c r="B4394" i="5"/>
  <c r="B4389" i="5"/>
  <c r="B4383" i="5"/>
  <c r="B4378" i="5"/>
  <c r="B4373" i="5"/>
  <c r="B4367" i="5"/>
  <c r="B4362" i="5"/>
  <c r="B4357" i="5"/>
  <c r="B4351" i="5"/>
  <c r="B4346" i="5"/>
  <c r="B4341" i="5"/>
  <c r="B4335" i="5"/>
  <c r="B4330" i="5"/>
  <c r="B4325" i="5"/>
  <c r="B4319" i="5"/>
  <c r="B4314" i="5"/>
  <c r="B4309" i="5"/>
  <c r="B4303" i="5"/>
  <c r="B4298" i="5"/>
  <c r="B4293" i="5"/>
  <c r="B4287" i="5"/>
  <c r="B4282" i="5"/>
  <c r="B4277" i="5"/>
  <c r="B4271" i="5"/>
  <c r="B4266" i="5"/>
  <c r="B4261" i="5"/>
  <c r="B4255" i="5"/>
  <c r="B4250" i="5"/>
  <c r="B4245" i="5"/>
  <c r="B4239" i="5"/>
  <c r="B4234" i="5"/>
  <c r="B4229" i="5"/>
  <c r="B4223" i="5"/>
  <c r="B4218" i="5"/>
  <c r="B4213" i="5"/>
  <c r="B4207" i="5"/>
  <c r="B4202" i="5"/>
  <c r="B4197" i="5"/>
  <c r="B4191" i="5"/>
  <c r="B4186" i="5"/>
  <c r="B4181" i="5"/>
  <c r="B4175" i="5"/>
  <c r="B4170" i="5"/>
  <c r="B4165" i="5"/>
  <c r="B4159" i="5"/>
  <c r="B4154" i="5"/>
  <c r="B4149" i="5"/>
  <c r="B4143" i="5"/>
  <c r="B4477" i="5"/>
  <c r="B4471" i="5"/>
  <c r="B4466" i="5"/>
  <c r="B4461" i="5"/>
  <c r="B4455" i="5"/>
  <c r="B4450" i="5"/>
  <c r="B4445" i="5"/>
  <c r="B4439" i="5"/>
  <c r="B4434" i="5"/>
  <c r="B4429" i="5"/>
  <c r="B4423" i="5"/>
  <c r="B4418" i="5"/>
  <c r="B4413" i="5"/>
  <c r="B4407" i="5"/>
  <c r="B4402" i="5"/>
  <c r="B4397" i="5"/>
  <c r="B4391" i="5"/>
  <c r="B4386" i="5"/>
  <c r="B4381" i="5"/>
  <c r="B4375" i="5"/>
  <c r="B4370" i="5"/>
  <c r="B4365" i="5"/>
  <c r="B4359" i="5"/>
  <c r="B4354" i="5"/>
  <c r="B4349" i="5"/>
  <c r="B4343" i="5"/>
  <c r="B4338" i="5"/>
  <c r="B4333" i="5"/>
  <c r="B4327" i="5"/>
  <c r="B4322" i="5"/>
  <c r="B4317" i="5"/>
  <c r="B4311" i="5"/>
  <c r="B4306" i="5"/>
  <c r="B4301" i="5"/>
  <c r="B4295" i="5"/>
  <c r="B4290" i="5"/>
  <c r="B4285" i="5"/>
  <c r="B4279" i="5"/>
  <c r="B4274" i="5"/>
  <c r="B4269" i="5"/>
  <c r="B4263" i="5"/>
  <c r="B4258" i="5"/>
  <c r="B4253" i="5"/>
  <c r="B4247" i="5"/>
  <c r="B4242" i="5"/>
  <c r="B4237" i="5"/>
  <c r="B4231" i="5"/>
  <c r="B4226" i="5"/>
  <c r="B4221" i="5"/>
  <c r="B4215" i="5"/>
  <c r="B4210" i="5"/>
  <c r="B4205" i="5"/>
  <c r="B4199" i="5"/>
  <c r="B4194" i="5"/>
  <c r="B4189" i="5"/>
  <c r="B4183" i="5"/>
  <c r="B4178" i="5"/>
  <c r="B4173" i="5"/>
  <c r="B4167" i="5"/>
  <c r="B4162" i="5"/>
  <c r="B4157" i="5"/>
  <c r="B4151" i="5"/>
  <c r="B4146" i="5"/>
  <c r="B4141" i="5"/>
  <c r="B4137" i="5"/>
  <c r="B4133" i="5"/>
  <c r="B4129" i="5"/>
  <c r="B4125" i="5"/>
  <c r="B4121" i="5"/>
  <c r="B4117" i="5"/>
  <c r="B4113" i="5"/>
  <c r="B4109" i="5"/>
  <c r="B4105" i="5"/>
  <c r="B4101" i="5"/>
  <c r="B4097" i="5"/>
  <c r="B4093" i="5"/>
  <c r="B535" i="7"/>
  <c r="C568" i="1" s="1"/>
  <c r="B39" i="5"/>
  <c r="B43" i="5"/>
  <c r="B47" i="5"/>
  <c r="B51" i="5"/>
  <c r="B55" i="5"/>
  <c r="B57" i="5"/>
  <c r="B61" i="5"/>
  <c r="B4475" i="5"/>
  <c r="B4478" i="5"/>
  <c r="B4465" i="5"/>
  <c r="B4454" i="5"/>
  <c r="B4443" i="5"/>
  <c r="B4433" i="5"/>
  <c r="B4422" i="5"/>
  <c r="B4411" i="5"/>
  <c r="B4401" i="5"/>
  <c r="B4390" i="5"/>
  <c r="B4379" i="5"/>
  <c r="B4369" i="5"/>
  <c r="B4358" i="5"/>
  <c r="B4347" i="5"/>
  <c r="B4337" i="5"/>
  <c r="B4326" i="5"/>
  <c r="B4315" i="5"/>
  <c r="B4305" i="5"/>
  <c r="B4294" i="5"/>
  <c r="B4283" i="5"/>
  <c r="B4273" i="5"/>
  <c r="B4262" i="5"/>
  <c r="B4251" i="5"/>
  <c r="B4241" i="5"/>
  <c r="B4230" i="5"/>
  <c r="B4219" i="5"/>
  <c r="B4209" i="5"/>
  <c r="B4198" i="5"/>
  <c r="B4187" i="5"/>
  <c r="B4177" i="5"/>
  <c r="B4166" i="5"/>
  <c r="B4155" i="5"/>
  <c r="B4145" i="5"/>
  <c r="B4138" i="5"/>
  <c r="B4132" i="5"/>
  <c r="B4127" i="5"/>
  <c r="B4122" i="5"/>
  <c r="B4116" i="5"/>
  <c r="B4111" i="5"/>
  <c r="B4106" i="5"/>
  <c r="B4100" i="5"/>
  <c r="B4095" i="5"/>
  <c r="B40" i="5"/>
  <c r="B45" i="5"/>
  <c r="B50" i="5"/>
  <c r="B56" i="5"/>
  <c r="B59" i="5"/>
  <c r="B4473" i="5"/>
  <c r="B4462" i="5"/>
  <c r="B4451" i="5"/>
  <c r="B4419" i="5"/>
  <c r="B4409" i="5"/>
  <c r="B4377" i="5"/>
  <c r="B4345" i="5"/>
  <c r="B4313" i="5"/>
  <c r="B4259" i="5"/>
  <c r="B4217" i="5"/>
  <c r="B4174" i="5"/>
  <c r="B4142" i="5"/>
  <c r="B4120" i="5"/>
  <c r="B4104" i="5"/>
  <c r="B41" i="5"/>
  <c r="B533" i="7"/>
  <c r="C169" i="1" s="1"/>
  <c r="B4470" i="5"/>
  <c r="B4459" i="5"/>
  <c r="B4449" i="5"/>
  <c r="B4438" i="5"/>
  <c r="B4427" i="5"/>
  <c r="B4417" i="5"/>
  <c r="B4406" i="5"/>
  <c r="B4395" i="5"/>
  <c r="B4385" i="5"/>
  <c r="B4374" i="5"/>
  <c r="B4363" i="5"/>
  <c r="B4353" i="5"/>
  <c r="B4342" i="5"/>
  <c r="B4331" i="5"/>
  <c r="B4321" i="5"/>
  <c r="B4310" i="5"/>
  <c r="B4299" i="5"/>
  <c r="B4289" i="5"/>
  <c r="B4278" i="5"/>
  <c r="B4267" i="5"/>
  <c r="B4257" i="5"/>
  <c r="B4246" i="5"/>
  <c r="B4235" i="5"/>
  <c r="B4225" i="5"/>
  <c r="B4214" i="5"/>
  <c r="B4203" i="5"/>
  <c r="B4193" i="5"/>
  <c r="B4182" i="5"/>
  <c r="B4171" i="5"/>
  <c r="B4161" i="5"/>
  <c r="B4150" i="5"/>
  <c r="B4140" i="5"/>
  <c r="B4135" i="5"/>
  <c r="B4130" i="5"/>
  <c r="B4124" i="5"/>
  <c r="B4119" i="5"/>
  <c r="B4114" i="5"/>
  <c r="B4108" i="5"/>
  <c r="B4103" i="5"/>
  <c r="B4098" i="5"/>
  <c r="B4092" i="5"/>
  <c r="B37" i="5"/>
  <c r="B42" i="5"/>
  <c r="B48" i="5"/>
  <c r="B53" i="5"/>
  <c r="B534" i="7"/>
  <c r="C201" i="1" s="1"/>
  <c r="B62" i="5"/>
  <c r="B4091" i="5"/>
  <c r="B44" i="5"/>
  <c r="B49" i="5"/>
  <c r="B58" i="5"/>
  <c r="B4441" i="5"/>
  <c r="B4398" i="5"/>
  <c r="B4366" i="5"/>
  <c r="B4355" i="5"/>
  <c r="B4323" i="5"/>
  <c r="B4291" i="5"/>
  <c r="B4281" i="5"/>
  <c r="B4249" i="5"/>
  <c r="B4227" i="5"/>
  <c r="B4206" i="5"/>
  <c r="B4185" i="5"/>
  <c r="B4163" i="5"/>
  <c r="B4136" i="5"/>
  <c r="B4126" i="5"/>
  <c r="B4110" i="5"/>
  <c r="B4099" i="5"/>
  <c r="B36" i="5"/>
  <c r="B52" i="5"/>
  <c r="B60" i="5"/>
  <c r="B4467" i="5"/>
  <c r="B4457" i="5"/>
  <c r="B4446" i="5"/>
  <c r="B4435" i="5"/>
  <c r="B4425" i="5"/>
  <c r="B4414" i="5"/>
  <c r="B4403" i="5"/>
  <c r="B4393" i="5"/>
  <c r="B4382" i="5"/>
  <c r="B4371" i="5"/>
  <c r="B4361" i="5"/>
  <c r="B4350" i="5"/>
  <c r="B4339" i="5"/>
  <c r="B4329" i="5"/>
  <c r="B4318" i="5"/>
  <c r="B4307" i="5"/>
  <c r="B4297" i="5"/>
  <c r="B4286" i="5"/>
  <c r="B4275" i="5"/>
  <c r="B4265" i="5"/>
  <c r="B4254" i="5"/>
  <c r="B4243" i="5"/>
  <c r="B4233" i="5"/>
  <c r="B4222" i="5"/>
  <c r="B4211" i="5"/>
  <c r="B4201" i="5"/>
  <c r="B4190" i="5"/>
  <c r="B4179" i="5"/>
  <c r="B4169" i="5"/>
  <c r="B4158" i="5"/>
  <c r="B4147" i="5"/>
  <c r="B4139" i="5"/>
  <c r="B4134" i="5"/>
  <c r="B4128" i="5"/>
  <c r="B4123" i="5"/>
  <c r="B4118" i="5"/>
  <c r="B4112" i="5"/>
  <c r="B4107" i="5"/>
  <c r="B4102" i="5"/>
  <c r="B4096" i="5"/>
  <c r="B38" i="5"/>
  <c r="B54" i="5"/>
  <c r="B63" i="5"/>
  <c r="B4430" i="5"/>
  <c r="B4387" i="5"/>
  <c r="B4334" i="5"/>
  <c r="B4302" i="5"/>
  <c r="B4270" i="5"/>
  <c r="B4238" i="5"/>
  <c r="B4195" i="5"/>
  <c r="B4153" i="5"/>
  <c r="B4131" i="5"/>
  <c r="B4115" i="5"/>
  <c r="B4094" i="5"/>
  <c r="B46" i="5"/>
  <c r="B532" i="7"/>
  <c r="C459" i="1" s="1"/>
  <c r="B531" i="7"/>
  <c r="B530" i="7"/>
  <c r="C381" i="1" s="1"/>
  <c r="B11" i="5"/>
  <c r="B9" i="5"/>
  <c r="B10" i="5"/>
  <c r="B8" i="5"/>
  <c r="B529" i="7"/>
  <c r="C359" i="1" s="1"/>
  <c r="B528" i="7"/>
  <c r="C211" i="1" s="1"/>
  <c r="B28" i="5"/>
  <c r="B527" i="7"/>
  <c r="B29" i="5"/>
  <c r="B26" i="5"/>
  <c r="B27" i="5"/>
  <c r="B526" i="7"/>
  <c r="C355" i="1" s="1"/>
  <c r="B5941" i="5"/>
  <c r="B4644" i="5"/>
  <c r="B5942" i="5"/>
  <c r="B4548" i="5"/>
  <c r="B524" i="7"/>
  <c r="C532" i="1" s="1"/>
  <c r="B4643" i="5"/>
  <c r="B5511" i="5"/>
  <c r="B4526" i="5"/>
  <c r="B523" i="7"/>
  <c r="B525" i="7"/>
  <c r="C353" i="1" s="1"/>
  <c r="B520" i="7"/>
  <c r="C161" i="1" s="1"/>
  <c r="B522" i="7"/>
  <c r="C369" i="1" s="1"/>
  <c r="B521" i="7"/>
  <c r="C99" i="1" s="1"/>
  <c r="B517" i="7"/>
  <c r="C507" i="6" s="1"/>
  <c r="B519" i="7"/>
  <c r="B518" i="7"/>
  <c r="B470" i="7"/>
  <c r="B514" i="7"/>
  <c r="B477" i="7"/>
  <c r="C441" i="6" s="1"/>
  <c r="B481" i="7"/>
  <c r="C449" i="6" s="1"/>
  <c r="B485" i="7"/>
  <c r="C457" i="6" s="1"/>
  <c r="B489" i="7"/>
  <c r="C465" i="6" s="1"/>
  <c r="B509" i="7"/>
  <c r="C516" i="6" s="1"/>
  <c r="B505" i="7"/>
  <c r="B501" i="7"/>
  <c r="C501" i="6" s="1"/>
  <c r="B497" i="7"/>
  <c r="C491" i="6" s="1"/>
  <c r="B493" i="7"/>
  <c r="C483" i="6" s="1"/>
  <c r="B474" i="7"/>
  <c r="C437" i="6" s="1"/>
  <c r="B513" i="7"/>
  <c r="C467" i="6" s="1"/>
  <c r="B478" i="7"/>
  <c r="C443" i="6" s="1"/>
  <c r="B482" i="7"/>
  <c r="C451" i="6" s="1"/>
  <c r="B486" i="7"/>
  <c r="C459" i="6" s="1"/>
  <c r="B490" i="7"/>
  <c r="C471" i="6" s="1"/>
  <c r="B508" i="7"/>
  <c r="C514" i="6" s="1"/>
  <c r="B504" i="7"/>
  <c r="B500" i="7"/>
  <c r="C499" i="6" s="1"/>
  <c r="B496" i="7"/>
  <c r="B492" i="7"/>
  <c r="C479" i="6" s="1"/>
  <c r="B473" i="7"/>
  <c r="C435" i="6" s="1"/>
  <c r="B516" i="7"/>
  <c r="C495" i="6" s="1"/>
  <c r="B512" i="7"/>
  <c r="B479" i="7"/>
  <c r="C445" i="6" s="1"/>
  <c r="B483" i="7"/>
  <c r="C453" i="6" s="1"/>
  <c r="B487" i="7"/>
  <c r="C461" i="6" s="1"/>
  <c r="B511" i="7"/>
  <c r="B507" i="7"/>
  <c r="C512" i="6" s="1"/>
  <c r="B503" i="7"/>
  <c r="C505" i="6" s="1"/>
  <c r="B499" i="7"/>
  <c r="C497" i="6" s="1"/>
  <c r="B495" i="7"/>
  <c r="C487" i="6" s="1"/>
  <c r="B491" i="7"/>
  <c r="C475" i="6" s="1"/>
  <c r="B472" i="7"/>
  <c r="C433" i="6" s="1"/>
  <c r="B515" i="7"/>
  <c r="C481" i="6" s="1"/>
  <c r="B476" i="7"/>
  <c r="C439" i="6" s="1"/>
  <c r="B480" i="7"/>
  <c r="C447" i="6" s="1"/>
  <c r="B484" i="7"/>
  <c r="C455" i="6" s="1"/>
  <c r="B488" i="7"/>
  <c r="C463" i="6" s="1"/>
  <c r="B510" i="7"/>
  <c r="C518" i="6" s="1"/>
  <c r="B506" i="7"/>
  <c r="C510" i="6" s="1"/>
  <c r="B502" i="7"/>
  <c r="C503" i="6" s="1"/>
  <c r="B498" i="7"/>
  <c r="C493" i="6" s="1"/>
  <c r="B494" i="7"/>
  <c r="C485" i="6" s="1"/>
  <c r="B475" i="7"/>
  <c r="B471" i="7"/>
  <c r="C431" i="6" s="1"/>
  <c r="B469" i="7"/>
  <c r="C373" i="1" s="1"/>
  <c r="B464" i="7"/>
  <c r="C229" i="1" s="1"/>
  <c r="B460" i="7"/>
  <c r="C423" i="1" s="1"/>
  <c r="B467" i="7"/>
  <c r="B463" i="7"/>
  <c r="C227" i="1" s="1"/>
  <c r="B466" i="7"/>
  <c r="C516" i="1" s="1"/>
  <c r="B462" i="7"/>
  <c r="C427" i="1" s="1"/>
  <c r="B468" i="7"/>
  <c r="C371" i="1" s="1"/>
  <c r="B465" i="7"/>
  <c r="C514" i="1" s="1"/>
  <c r="B461" i="7"/>
  <c r="C425" i="1" s="1"/>
  <c r="B457" i="7"/>
  <c r="C427" i="6" s="1"/>
  <c r="B459" i="7"/>
  <c r="B458" i="7"/>
  <c r="C419" i="1" s="1"/>
  <c r="B453" i="7"/>
  <c r="C558" i="1" s="1"/>
  <c r="B452" i="7"/>
  <c r="C451" i="1" s="1"/>
  <c r="B454" i="7"/>
  <c r="C560" i="1" s="1"/>
  <c r="B455" i="7"/>
  <c r="C562" i="1" s="1"/>
  <c r="B456" i="7"/>
  <c r="C564" i="1" s="1"/>
  <c r="B437" i="7"/>
  <c r="C397" i="6" s="1"/>
  <c r="B441" i="7"/>
  <c r="C405" i="6" s="1"/>
  <c r="B445" i="7"/>
  <c r="C413" i="6" s="1"/>
  <c r="B449" i="7"/>
  <c r="C421" i="6" s="1"/>
  <c r="B436" i="7"/>
  <c r="C159" i="6" s="1"/>
  <c r="B438" i="7"/>
  <c r="C399" i="6" s="1"/>
  <c r="B442" i="7"/>
  <c r="C407" i="6" s="1"/>
  <c r="B446" i="7"/>
  <c r="C415" i="6" s="1"/>
  <c r="B450" i="7"/>
  <c r="C423" i="6" s="1"/>
  <c r="B440" i="7"/>
  <c r="C403" i="6" s="1"/>
  <c r="B435" i="7"/>
  <c r="C157" i="6" s="1"/>
  <c r="B439" i="7"/>
  <c r="C401" i="6" s="1"/>
  <c r="B443" i="7"/>
  <c r="C409" i="6" s="1"/>
  <c r="B447" i="7"/>
  <c r="C417" i="6" s="1"/>
  <c r="B451" i="7"/>
  <c r="B444" i="7"/>
  <c r="C411" i="6" s="1"/>
  <c r="B448" i="7"/>
  <c r="C419" i="6" s="1"/>
  <c r="B424" i="7"/>
  <c r="C195" i="6" s="1"/>
  <c r="B428" i="7"/>
  <c r="C383" i="6" s="1"/>
  <c r="B432" i="7"/>
  <c r="C391" i="6" s="1"/>
  <c r="B425" i="7"/>
  <c r="C377" i="6" s="1"/>
  <c r="B429" i="7"/>
  <c r="C385" i="6" s="1"/>
  <c r="B433" i="7"/>
  <c r="C393" i="6" s="1"/>
  <c r="B426" i="7"/>
  <c r="C379" i="6" s="1"/>
  <c r="B430" i="7"/>
  <c r="C387" i="6" s="1"/>
  <c r="B434" i="7"/>
  <c r="B427" i="7"/>
  <c r="C381" i="6" s="1"/>
  <c r="B431" i="7"/>
  <c r="C389" i="6" s="1"/>
  <c r="B423" i="7"/>
  <c r="B406" i="7"/>
  <c r="C343" i="6" s="1"/>
  <c r="B376" i="7"/>
  <c r="C283" i="6" s="1"/>
  <c r="B380" i="7"/>
  <c r="C291" i="6" s="1"/>
  <c r="B384" i="7"/>
  <c r="C299" i="6" s="1"/>
  <c r="B388" i="7"/>
  <c r="C307" i="6" s="1"/>
  <c r="B392" i="7"/>
  <c r="C315" i="6" s="1"/>
  <c r="B396" i="7"/>
  <c r="C323" i="6" s="1"/>
  <c r="B400" i="7"/>
  <c r="C331" i="6" s="1"/>
  <c r="B404" i="7"/>
  <c r="C339" i="6" s="1"/>
  <c r="B409" i="7"/>
  <c r="C349" i="6" s="1"/>
  <c r="B413" i="7"/>
  <c r="C357" i="6" s="1"/>
  <c r="B417" i="7"/>
  <c r="C365" i="6" s="1"/>
  <c r="B421" i="7"/>
  <c r="C373" i="6" s="1"/>
  <c r="B418" i="7"/>
  <c r="C367" i="6" s="1"/>
  <c r="B383" i="7"/>
  <c r="C297" i="6" s="1"/>
  <c r="B395" i="7"/>
  <c r="C321" i="6" s="1"/>
  <c r="B408" i="7"/>
  <c r="C347" i="6" s="1"/>
  <c r="B420" i="7"/>
  <c r="C371" i="6" s="1"/>
  <c r="B373" i="7"/>
  <c r="C277" i="6" s="1"/>
  <c r="B377" i="7"/>
  <c r="C285" i="6" s="1"/>
  <c r="B381" i="7"/>
  <c r="C293" i="6" s="1"/>
  <c r="B385" i="7"/>
  <c r="C301" i="6" s="1"/>
  <c r="B389" i="7"/>
  <c r="C309" i="6" s="1"/>
  <c r="B393" i="7"/>
  <c r="C317" i="6" s="1"/>
  <c r="B397" i="7"/>
  <c r="C325" i="6" s="1"/>
  <c r="B401" i="7"/>
  <c r="C333" i="6" s="1"/>
  <c r="B405" i="7"/>
  <c r="C341" i="6" s="1"/>
  <c r="B410" i="7"/>
  <c r="C351" i="6" s="1"/>
  <c r="B414" i="7"/>
  <c r="C359" i="6" s="1"/>
  <c r="B422" i="7"/>
  <c r="B391" i="7"/>
  <c r="C313" i="6" s="1"/>
  <c r="B403" i="7"/>
  <c r="C337" i="6" s="1"/>
  <c r="B416" i="7"/>
  <c r="C363" i="6" s="1"/>
  <c r="B374" i="7"/>
  <c r="C279" i="6" s="1"/>
  <c r="B378" i="7"/>
  <c r="C287" i="6" s="1"/>
  <c r="B382" i="7"/>
  <c r="C295" i="6" s="1"/>
  <c r="B386" i="7"/>
  <c r="C303" i="6" s="1"/>
  <c r="B390" i="7"/>
  <c r="C311" i="6" s="1"/>
  <c r="B394" i="7"/>
  <c r="C319" i="6" s="1"/>
  <c r="B398" i="7"/>
  <c r="C327" i="6" s="1"/>
  <c r="B402" i="7"/>
  <c r="C335" i="6" s="1"/>
  <c r="B407" i="7"/>
  <c r="C345" i="6" s="1"/>
  <c r="B411" i="7"/>
  <c r="C353" i="6" s="1"/>
  <c r="B415" i="7"/>
  <c r="C361" i="6" s="1"/>
  <c r="B419" i="7"/>
  <c r="C369" i="6" s="1"/>
  <c r="B375" i="7"/>
  <c r="C281" i="6" s="1"/>
  <c r="B379" i="7"/>
  <c r="C289" i="6" s="1"/>
  <c r="B387" i="7"/>
  <c r="C305" i="6" s="1"/>
  <c r="B399" i="7"/>
  <c r="C329" i="6" s="1"/>
  <c r="B412" i="7"/>
  <c r="C355" i="6" s="1"/>
  <c r="B359" i="7"/>
  <c r="B5939" i="5"/>
  <c r="B4547" i="5"/>
  <c r="B4525" i="5"/>
  <c r="B4642" i="5"/>
  <c r="B367" i="7"/>
  <c r="C179" i="1" s="1"/>
  <c r="B371" i="7"/>
  <c r="C187" i="1" s="1"/>
  <c r="B364" i="7"/>
  <c r="C109" i="1" s="1"/>
  <c r="B360" i="7"/>
  <c r="C101" i="1" s="1"/>
  <c r="B368" i="7"/>
  <c r="C181" i="1" s="1"/>
  <c r="B372" i="7"/>
  <c r="C189" i="1" s="1"/>
  <c r="B365" i="7"/>
  <c r="C111" i="1" s="1"/>
  <c r="B369" i="7"/>
  <c r="C183" i="1" s="1"/>
  <c r="B362" i="7"/>
  <c r="C105" i="1" s="1"/>
  <c r="B366" i="7"/>
  <c r="C113" i="1" s="1"/>
  <c r="B370" i="7"/>
  <c r="C185" i="1" s="1"/>
  <c r="B363" i="7"/>
  <c r="C107" i="1" s="1"/>
  <c r="B361" i="7"/>
  <c r="C103" i="1" s="1"/>
  <c r="B5510" i="5"/>
  <c r="B5506" i="5"/>
  <c r="B5502" i="5"/>
  <c r="B5498" i="5"/>
  <c r="B5494" i="5"/>
  <c r="B5490" i="5"/>
  <c r="B5486" i="5"/>
  <c r="B5482" i="5"/>
  <c r="B5478" i="5"/>
  <c r="B5474" i="5"/>
  <c r="B222" i="5"/>
  <c r="B218" i="5"/>
  <c r="B214" i="5"/>
  <c r="B210" i="5"/>
  <c r="B206" i="5"/>
  <c r="B202" i="5"/>
  <c r="B198" i="5"/>
  <c r="B194" i="5"/>
  <c r="B190" i="5"/>
  <c r="B186" i="5"/>
  <c r="B182" i="5"/>
  <c r="B178" i="5"/>
  <c r="B174" i="5"/>
  <c r="B170" i="5"/>
  <c r="B166" i="5"/>
  <c r="B5509" i="5"/>
  <c r="B5505" i="5"/>
  <c r="B5501" i="5"/>
  <c r="B5497" i="5"/>
  <c r="B5493" i="5"/>
  <c r="B5489" i="5"/>
  <c r="B5485" i="5"/>
  <c r="B5481" i="5"/>
  <c r="B5477" i="5"/>
  <c r="B5473" i="5"/>
  <c r="B221" i="5"/>
  <c r="B217" i="5"/>
  <c r="B213" i="5"/>
  <c r="B209" i="5"/>
  <c r="B205" i="5"/>
  <c r="B201" i="5"/>
  <c r="B197" i="5"/>
  <c r="B193" i="5"/>
  <c r="B189" i="5"/>
  <c r="B185" i="5"/>
  <c r="B181" i="5"/>
  <c r="B177" i="5"/>
  <c r="B173" i="5"/>
  <c r="B169" i="5"/>
  <c r="B5508" i="5"/>
  <c r="B5504" i="5"/>
  <c r="B5500" i="5"/>
  <c r="B5496" i="5"/>
  <c r="B5492" i="5"/>
  <c r="B5488" i="5"/>
  <c r="B5484" i="5"/>
  <c r="B5480" i="5"/>
  <c r="B5476" i="5"/>
  <c r="B5472" i="5"/>
  <c r="B220" i="5"/>
  <c r="B216" i="5"/>
  <c r="B212" i="5"/>
  <c r="B208" i="5"/>
  <c r="B204" i="5"/>
  <c r="B200" i="5"/>
  <c r="B196" i="5"/>
  <c r="B192" i="5"/>
  <c r="B188" i="5"/>
  <c r="B184" i="5"/>
  <c r="B180" i="5"/>
  <c r="B176" i="5"/>
  <c r="B172" i="5"/>
  <c r="B168" i="5"/>
  <c r="B5507" i="5"/>
  <c r="B5503" i="5"/>
  <c r="B5499" i="5"/>
  <c r="B5495" i="5"/>
  <c r="B5491" i="5"/>
  <c r="B5487" i="5"/>
  <c r="B5483" i="5"/>
  <c r="B5479" i="5"/>
  <c r="B5475" i="5"/>
  <c r="B5471" i="5"/>
  <c r="B219" i="5"/>
  <c r="B215" i="5"/>
  <c r="B211" i="5"/>
  <c r="B195" i="5"/>
  <c r="B179" i="5"/>
  <c r="B207" i="5"/>
  <c r="B191" i="5"/>
  <c r="B175" i="5"/>
  <c r="B203" i="5"/>
  <c r="B187" i="5"/>
  <c r="B171" i="5"/>
  <c r="B199" i="5"/>
  <c r="B183" i="5"/>
  <c r="B167" i="5"/>
  <c r="B4649" i="5"/>
  <c r="B5945" i="5"/>
  <c r="B4532" i="5"/>
  <c r="B4624" i="5"/>
  <c r="B356" i="7"/>
  <c r="C81" i="1" s="1"/>
  <c r="B4573" i="5"/>
  <c r="B357" i="7"/>
  <c r="C83" i="1" s="1"/>
  <c r="B358" i="7"/>
  <c r="C85" i="1" s="1"/>
  <c r="B353" i="7"/>
  <c r="B5940" i="5"/>
  <c r="B355" i="7"/>
  <c r="C498" i="1" s="1"/>
  <c r="B354" i="7"/>
  <c r="C526" i="1" s="1"/>
  <c r="B4565" i="5"/>
  <c r="B4569" i="5"/>
  <c r="B4646" i="5"/>
  <c r="B165" i="5"/>
  <c r="B160" i="5"/>
  <c r="B154" i="5"/>
  <c r="B150" i="5"/>
  <c r="B145" i="5"/>
  <c r="B141" i="5"/>
  <c r="B137" i="5"/>
  <c r="B133" i="5"/>
  <c r="B129" i="5"/>
  <c r="B125" i="5"/>
  <c r="B121" i="5"/>
  <c r="B117" i="5"/>
  <c r="B113" i="5"/>
  <c r="B109" i="5"/>
  <c r="B105" i="5"/>
  <c r="B101" i="5"/>
  <c r="B97" i="5"/>
  <c r="B93" i="5"/>
  <c r="B89" i="5"/>
  <c r="B85" i="5"/>
  <c r="B81" i="5"/>
  <c r="B77" i="5"/>
  <c r="B73" i="5"/>
  <c r="B34" i="5"/>
  <c r="B30" i="5"/>
  <c r="B22" i="5"/>
  <c r="B18" i="5"/>
  <c r="B14" i="5"/>
  <c r="B6" i="5"/>
  <c r="B2" i="5"/>
  <c r="B5937" i="5"/>
  <c r="B5453" i="5"/>
  <c r="B5449" i="5"/>
  <c r="B5445" i="5"/>
  <c r="B5441" i="5"/>
  <c r="B5437" i="5"/>
  <c r="B5433" i="5"/>
  <c r="B5429" i="5"/>
  <c r="B5425" i="5"/>
  <c r="B5421" i="5"/>
  <c r="B5417" i="5"/>
  <c r="B5413" i="5"/>
  <c r="B5409" i="5"/>
  <c r="B5405" i="5"/>
  <c r="B5401" i="5"/>
  <c r="B5397" i="5"/>
  <c r="B5393" i="5"/>
  <c r="B5389" i="5"/>
  <c r="B5385" i="5"/>
  <c r="B5381" i="5"/>
  <c r="B5377" i="5"/>
  <c r="B5373" i="5"/>
  <c r="B5369" i="5"/>
  <c r="B5365" i="5"/>
  <c r="B5361" i="5"/>
  <c r="B5357" i="5"/>
  <c r="B5353" i="5"/>
  <c r="B5349" i="5"/>
  <c r="B5345" i="5"/>
  <c r="B5341" i="5"/>
  <c r="B5337" i="5"/>
  <c r="B5333" i="5"/>
  <c r="B5329" i="5"/>
  <c r="B4566" i="5"/>
  <c r="B4570" i="5"/>
  <c r="B5944" i="5"/>
  <c r="B163" i="5"/>
  <c r="B159" i="5"/>
  <c r="B153" i="5"/>
  <c r="B149" i="5"/>
  <c r="B144" i="5"/>
  <c r="B140" i="5"/>
  <c r="B136" i="5"/>
  <c r="B132" i="5"/>
  <c r="B128" i="5"/>
  <c r="B124" i="5"/>
  <c r="B120" i="5"/>
  <c r="B116" i="5"/>
  <c r="B112" i="5"/>
  <c r="B108" i="5"/>
  <c r="B104" i="5"/>
  <c r="B100" i="5"/>
  <c r="B96" i="5"/>
  <c r="B92" i="5"/>
  <c r="B88" i="5"/>
  <c r="B84" i="5"/>
  <c r="B80" i="5"/>
  <c r="B76" i="5"/>
  <c r="B72" i="5"/>
  <c r="B33" i="5"/>
  <c r="B25" i="5"/>
  <c r="B21" i="5"/>
  <c r="B17" i="5"/>
  <c r="B13" i="5"/>
  <c r="B5" i="5"/>
  <c r="B5946" i="5"/>
  <c r="B5452" i="5"/>
  <c r="B5448" i="5"/>
  <c r="B5444" i="5"/>
  <c r="B5440" i="5"/>
  <c r="B5436" i="5"/>
  <c r="B5432" i="5"/>
  <c r="B5428" i="5"/>
  <c r="B5424" i="5"/>
  <c r="B5420" i="5"/>
  <c r="B5416" i="5"/>
  <c r="B5412" i="5"/>
  <c r="B5408" i="5"/>
  <c r="B5404" i="5"/>
  <c r="B5400" i="5"/>
  <c r="B5396" i="5"/>
  <c r="B5392" i="5"/>
  <c r="B5388" i="5"/>
  <c r="B5384" i="5"/>
  <c r="B5380" i="5"/>
  <c r="B5376" i="5"/>
  <c r="B5372" i="5"/>
  <c r="B5368" i="5"/>
  <c r="B5364" i="5"/>
  <c r="B5360" i="5"/>
  <c r="B5356" i="5"/>
  <c r="B5352" i="5"/>
  <c r="B5348" i="5"/>
  <c r="B5344" i="5"/>
  <c r="B5340" i="5"/>
  <c r="B5336" i="5"/>
  <c r="B5332" i="5"/>
  <c r="B5328" i="5"/>
  <c r="B4567" i="5"/>
  <c r="B4529" i="5"/>
  <c r="B157" i="5"/>
  <c r="B162" i="5"/>
  <c r="B156" i="5"/>
  <c r="B152" i="5"/>
  <c r="B148" i="5"/>
  <c r="B143" i="5"/>
  <c r="B139" i="5"/>
  <c r="B135" i="5"/>
  <c r="B131" i="5"/>
  <c r="B127" i="5"/>
  <c r="B123" i="5"/>
  <c r="B119" i="5"/>
  <c r="B115" i="5"/>
  <c r="B111" i="5"/>
  <c r="B107" i="5"/>
  <c r="B103" i="5"/>
  <c r="B99" i="5"/>
  <c r="B95" i="5"/>
  <c r="B91" i="5"/>
  <c r="B87" i="5"/>
  <c r="B83" i="5"/>
  <c r="B79" i="5"/>
  <c r="B75" i="5"/>
  <c r="B71" i="5"/>
  <c r="B32" i="5"/>
  <c r="B24" i="5"/>
  <c r="B20" i="5"/>
  <c r="B16" i="5"/>
  <c r="B12" i="5"/>
  <c r="B4" i="5"/>
  <c r="B5943" i="5"/>
  <c r="B4568" i="5"/>
  <c r="B155" i="5"/>
  <c r="B138" i="5"/>
  <c r="B122" i="5"/>
  <c r="B106" i="5"/>
  <c r="B90" i="5"/>
  <c r="B74" i="5"/>
  <c r="B19" i="5"/>
  <c r="B5938" i="5"/>
  <c r="B5454" i="5"/>
  <c r="B5446" i="5"/>
  <c r="B5438" i="5"/>
  <c r="B5430" i="5"/>
  <c r="B5422" i="5"/>
  <c r="B5414" i="5"/>
  <c r="B5406" i="5"/>
  <c r="B5398" i="5"/>
  <c r="B5390" i="5"/>
  <c r="B5382" i="5"/>
  <c r="B5374" i="5"/>
  <c r="B5366" i="5"/>
  <c r="B5358" i="5"/>
  <c r="B5350" i="5"/>
  <c r="B5342" i="5"/>
  <c r="B5334" i="5"/>
  <c r="B5326" i="5"/>
  <c r="B5322" i="5"/>
  <c r="B5318" i="5"/>
  <c r="B5314" i="5"/>
  <c r="B5310" i="5"/>
  <c r="B5306" i="5"/>
  <c r="B5302" i="5"/>
  <c r="B5298" i="5"/>
  <c r="B5294" i="5"/>
  <c r="B5290" i="5"/>
  <c r="B5286" i="5"/>
  <c r="B5282" i="5"/>
  <c r="B5278" i="5"/>
  <c r="B5274" i="5"/>
  <c r="B5270" i="5"/>
  <c r="B5266" i="5"/>
  <c r="B5262" i="5"/>
  <c r="B5258" i="5"/>
  <c r="B5254" i="5"/>
  <c r="B5250" i="5"/>
  <c r="B5246" i="5"/>
  <c r="B5242" i="5"/>
  <c r="B5238" i="5"/>
  <c r="B5234" i="5"/>
  <c r="B5230" i="5"/>
  <c r="B5226" i="5"/>
  <c r="B5222" i="5"/>
  <c r="B5218" i="5"/>
  <c r="B5214" i="5"/>
  <c r="B5210" i="5"/>
  <c r="B5206" i="5"/>
  <c r="B5202" i="5"/>
  <c r="B5198" i="5"/>
  <c r="B5194" i="5"/>
  <c r="B5190" i="5"/>
  <c r="B5186" i="5"/>
  <c r="B5182" i="5"/>
  <c r="B5178" i="5"/>
  <c r="B5174" i="5"/>
  <c r="B5170" i="5"/>
  <c r="B5166" i="5"/>
  <c r="B5162" i="5"/>
  <c r="B5158" i="5"/>
  <c r="B5154" i="5"/>
  <c r="B5150" i="5"/>
  <c r="B5146" i="5"/>
  <c r="B5142" i="5"/>
  <c r="B5138" i="5"/>
  <c r="B5134" i="5"/>
  <c r="B5130" i="5"/>
  <c r="B5126" i="5"/>
  <c r="B5122" i="5"/>
  <c r="B5118" i="5"/>
  <c r="B5114" i="5"/>
  <c r="B5110" i="5"/>
  <c r="B5106" i="5"/>
  <c r="B4528" i="5"/>
  <c r="B151" i="5"/>
  <c r="B134" i="5"/>
  <c r="B118" i="5"/>
  <c r="B102" i="5"/>
  <c r="B86" i="5"/>
  <c r="B35" i="5"/>
  <c r="B15" i="5"/>
  <c r="B5451" i="5"/>
  <c r="B5443" i="5"/>
  <c r="B5435" i="5"/>
  <c r="B5427" i="5"/>
  <c r="B5419" i="5"/>
  <c r="B5411" i="5"/>
  <c r="B5403" i="5"/>
  <c r="B5395" i="5"/>
  <c r="B5387" i="5"/>
  <c r="B5379" i="5"/>
  <c r="B5371" i="5"/>
  <c r="B5363" i="5"/>
  <c r="B5355" i="5"/>
  <c r="B5347" i="5"/>
  <c r="B5339" i="5"/>
  <c r="B5331" i="5"/>
  <c r="B5325" i="5"/>
  <c r="B5321" i="5"/>
  <c r="B5317" i="5"/>
  <c r="B5313" i="5"/>
  <c r="B5309" i="5"/>
  <c r="B5305" i="5"/>
  <c r="B5301" i="5"/>
  <c r="B5297" i="5"/>
  <c r="B5293" i="5"/>
  <c r="B5289" i="5"/>
  <c r="B5285" i="5"/>
  <c r="B5281" i="5"/>
  <c r="B5277" i="5"/>
  <c r="B5273" i="5"/>
  <c r="B5269" i="5"/>
  <c r="B5265" i="5"/>
  <c r="B5261" i="5"/>
  <c r="B5257" i="5"/>
  <c r="B5253" i="5"/>
  <c r="B5249" i="5"/>
  <c r="B5245" i="5"/>
  <c r="B5241" i="5"/>
  <c r="B5237" i="5"/>
  <c r="B5233" i="5"/>
  <c r="B5229" i="5"/>
  <c r="B5225" i="5"/>
  <c r="B5221" i="5"/>
  <c r="B5217" i="5"/>
  <c r="B5213" i="5"/>
  <c r="B5209" i="5"/>
  <c r="B5205" i="5"/>
  <c r="B5201" i="5"/>
  <c r="B5197" i="5"/>
  <c r="B5193" i="5"/>
  <c r="B5189" i="5"/>
  <c r="B5185" i="5"/>
  <c r="B5181" i="5"/>
  <c r="B5177" i="5"/>
  <c r="B5173" i="5"/>
  <c r="B5169" i="5"/>
  <c r="B5165" i="5"/>
  <c r="B5161" i="5"/>
  <c r="B5157" i="5"/>
  <c r="B5153" i="5"/>
  <c r="B5149" i="5"/>
  <c r="B5145" i="5"/>
  <c r="B5141" i="5"/>
  <c r="B5137" i="5"/>
  <c r="B5133" i="5"/>
  <c r="B5129" i="5"/>
  <c r="B5125" i="5"/>
  <c r="B5121" i="5"/>
  <c r="B5117" i="5"/>
  <c r="B5113" i="5"/>
  <c r="B158" i="5"/>
  <c r="B147" i="5"/>
  <c r="B130" i="5"/>
  <c r="B114" i="5"/>
  <c r="B98" i="5"/>
  <c r="B82" i="5"/>
  <c r="B31" i="5"/>
  <c r="B7" i="5"/>
  <c r="B5450" i="5"/>
  <c r="B5442" i="5"/>
  <c r="B5434" i="5"/>
  <c r="B5426" i="5"/>
  <c r="B5418" i="5"/>
  <c r="B5410" i="5"/>
  <c r="B5402" i="5"/>
  <c r="B5394" i="5"/>
  <c r="B5386" i="5"/>
  <c r="B5378" i="5"/>
  <c r="B5370" i="5"/>
  <c r="B5362" i="5"/>
  <c r="B5354" i="5"/>
  <c r="B5346" i="5"/>
  <c r="B5338" i="5"/>
  <c r="B5330" i="5"/>
  <c r="B5324" i="5"/>
  <c r="B5320" i="5"/>
  <c r="B5316" i="5"/>
  <c r="B5312" i="5"/>
  <c r="B5308" i="5"/>
  <c r="B5304" i="5"/>
  <c r="B5300" i="5"/>
  <c r="B5296" i="5"/>
  <c r="B5292" i="5"/>
  <c r="B5288" i="5"/>
  <c r="B5284" i="5"/>
  <c r="B5280" i="5"/>
  <c r="B5276" i="5"/>
  <c r="B5272" i="5"/>
  <c r="B5268" i="5"/>
  <c r="B5264" i="5"/>
  <c r="B5260" i="5"/>
  <c r="B5256" i="5"/>
  <c r="B5252" i="5"/>
  <c r="B5248" i="5"/>
  <c r="B5244" i="5"/>
  <c r="B5240" i="5"/>
  <c r="B5236" i="5"/>
  <c r="B5232" i="5"/>
  <c r="B5228" i="5"/>
  <c r="B5224" i="5"/>
  <c r="B5220" i="5"/>
  <c r="B5216" i="5"/>
  <c r="B5212" i="5"/>
  <c r="B5208" i="5"/>
  <c r="B5204" i="5"/>
  <c r="B5200" i="5"/>
  <c r="B5196" i="5"/>
  <c r="B5192" i="5"/>
  <c r="B5188" i="5"/>
  <c r="B5184" i="5"/>
  <c r="B5180" i="5"/>
  <c r="B5176" i="5"/>
  <c r="B5172" i="5"/>
  <c r="B5168" i="5"/>
  <c r="B5164" i="5"/>
  <c r="B5160" i="5"/>
  <c r="B5156" i="5"/>
  <c r="B5152" i="5"/>
  <c r="B5148" i="5"/>
  <c r="B5144" i="5"/>
  <c r="B5140" i="5"/>
  <c r="B5136" i="5"/>
  <c r="B5132" i="5"/>
  <c r="B5128" i="5"/>
  <c r="B5124" i="5"/>
  <c r="B5120" i="5"/>
  <c r="B5116" i="5"/>
  <c r="B5112" i="5"/>
  <c r="B161" i="5"/>
  <c r="B94" i="5"/>
  <c r="B5439" i="5"/>
  <c r="B5407" i="5"/>
  <c r="B5375" i="5"/>
  <c r="B5343" i="5"/>
  <c r="B5319" i="5"/>
  <c r="B5303" i="5"/>
  <c r="B5287" i="5"/>
  <c r="B5271" i="5"/>
  <c r="B5255" i="5"/>
  <c r="B5239" i="5"/>
  <c r="B5223" i="5"/>
  <c r="B5207" i="5"/>
  <c r="B5191" i="5"/>
  <c r="B5175" i="5"/>
  <c r="B5159" i="5"/>
  <c r="B5143" i="5"/>
  <c r="B5127" i="5"/>
  <c r="B5111" i="5"/>
  <c r="B5105" i="5"/>
  <c r="B5101" i="5"/>
  <c r="B5097" i="5"/>
  <c r="B5093" i="5"/>
  <c r="B5089" i="5"/>
  <c r="B5085" i="5"/>
  <c r="B5081" i="5"/>
  <c r="B5077" i="5"/>
  <c r="B5073" i="5"/>
  <c r="B5069" i="5"/>
  <c r="B5065" i="5"/>
  <c r="B5061" i="5"/>
  <c r="B5057" i="5"/>
  <c r="B5053" i="5"/>
  <c r="B5049" i="5"/>
  <c r="B5045" i="5"/>
  <c r="B5041" i="5"/>
  <c r="B5037" i="5"/>
  <c r="B5033" i="5"/>
  <c r="B5029" i="5"/>
  <c r="B5025" i="5"/>
  <c r="B5021" i="5"/>
  <c r="B5017" i="5"/>
  <c r="B5013" i="5"/>
  <c r="B5009" i="5"/>
  <c r="B5005" i="5"/>
  <c r="B5001" i="5"/>
  <c r="B4997" i="5"/>
  <c r="B4993" i="5"/>
  <c r="B4989" i="5"/>
  <c r="B4985" i="5"/>
  <c r="B4981" i="5"/>
  <c r="B4977" i="5"/>
  <c r="B4973" i="5"/>
  <c r="B4969" i="5"/>
  <c r="B4965" i="5"/>
  <c r="B4961" i="5"/>
  <c r="B4957" i="5"/>
  <c r="B4953" i="5"/>
  <c r="B4949" i="5"/>
  <c r="B4945" i="5"/>
  <c r="B4941" i="5"/>
  <c r="B4937" i="5"/>
  <c r="B4933" i="5"/>
  <c r="B4929" i="5"/>
  <c r="B4925" i="5"/>
  <c r="B4921" i="5"/>
  <c r="B4917" i="5"/>
  <c r="B4913" i="5"/>
  <c r="B4909" i="5"/>
  <c r="B4905" i="5"/>
  <c r="B4901" i="5"/>
  <c r="B4897" i="5"/>
  <c r="B4893" i="5"/>
  <c r="B4889" i="5"/>
  <c r="B4885" i="5"/>
  <c r="B4881" i="5"/>
  <c r="B4877" i="5"/>
  <c r="B4873" i="5"/>
  <c r="B4869" i="5"/>
  <c r="B4865" i="5"/>
  <c r="B4861" i="5"/>
  <c r="B4857" i="5"/>
  <c r="B4853" i="5"/>
  <c r="B4849" i="5"/>
  <c r="B4845" i="5"/>
  <c r="B4841" i="5"/>
  <c r="B4837" i="5"/>
  <c r="B4833" i="5"/>
  <c r="B4829" i="5"/>
  <c r="B142" i="5"/>
  <c r="B78" i="5"/>
  <c r="B5431" i="5"/>
  <c r="B5399" i="5"/>
  <c r="B5367" i="5"/>
  <c r="B5335" i="5"/>
  <c r="B5315" i="5"/>
  <c r="B5299" i="5"/>
  <c r="B5283" i="5"/>
  <c r="B5267" i="5"/>
  <c r="B5251" i="5"/>
  <c r="B5235" i="5"/>
  <c r="B5219" i="5"/>
  <c r="B5203" i="5"/>
  <c r="B5187" i="5"/>
  <c r="B5171" i="5"/>
  <c r="B5155" i="5"/>
  <c r="B5139" i="5"/>
  <c r="B5123" i="5"/>
  <c r="B5109" i="5"/>
  <c r="B5104" i="5"/>
  <c r="B5100" i="5"/>
  <c r="B5096" i="5"/>
  <c r="B5092" i="5"/>
  <c r="B5088" i="5"/>
  <c r="B5084" i="5"/>
  <c r="B5080" i="5"/>
  <c r="B5076" i="5"/>
  <c r="B5072" i="5"/>
  <c r="B5068" i="5"/>
  <c r="B5064" i="5"/>
  <c r="B5060" i="5"/>
  <c r="B5056" i="5"/>
  <c r="B5052" i="5"/>
  <c r="B5048" i="5"/>
  <c r="B5044" i="5"/>
  <c r="B5040" i="5"/>
  <c r="B5036" i="5"/>
  <c r="B5032" i="5"/>
  <c r="B5028" i="5"/>
  <c r="B5024" i="5"/>
  <c r="B5020" i="5"/>
  <c r="B5016" i="5"/>
  <c r="B5012" i="5"/>
  <c r="B5008" i="5"/>
  <c r="B5004" i="5"/>
  <c r="B5000" i="5"/>
  <c r="B4996" i="5"/>
  <c r="B4992" i="5"/>
  <c r="B4988" i="5"/>
  <c r="B4984" i="5"/>
  <c r="B4980" i="5"/>
  <c r="B4976" i="5"/>
  <c r="B4972" i="5"/>
  <c r="B4968" i="5"/>
  <c r="B4964" i="5"/>
  <c r="B4960" i="5"/>
  <c r="B4956" i="5"/>
  <c r="B4952" i="5"/>
  <c r="B4948" i="5"/>
  <c r="B4944" i="5"/>
  <c r="B4940" i="5"/>
  <c r="B4936" i="5"/>
  <c r="B4932" i="5"/>
  <c r="B4928" i="5"/>
  <c r="B4924" i="5"/>
  <c r="B4920" i="5"/>
  <c r="B4916" i="5"/>
  <c r="B4912" i="5"/>
  <c r="B4908" i="5"/>
  <c r="B4904" i="5"/>
  <c r="B4900" i="5"/>
  <c r="B4896" i="5"/>
  <c r="B4892" i="5"/>
  <c r="B4888" i="5"/>
  <c r="B4884" i="5"/>
  <c r="B4880" i="5"/>
  <c r="B4876" i="5"/>
  <c r="B4872" i="5"/>
  <c r="B4868" i="5"/>
  <c r="B4864" i="5"/>
  <c r="B4860" i="5"/>
  <c r="B4856" i="5"/>
  <c r="B126" i="5"/>
  <c r="B23" i="5"/>
  <c r="B5423" i="5"/>
  <c r="B5391" i="5"/>
  <c r="B5359" i="5"/>
  <c r="B5327" i="5"/>
  <c r="B5311" i="5"/>
  <c r="B5295" i="5"/>
  <c r="B5279" i="5"/>
  <c r="B5263" i="5"/>
  <c r="B5247" i="5"/>
  <c r="B5231" i="5"/>
  <c r="B5215" i="5"/>
  <c r="B5199" i="5"/>
  <c r="B5183" i="5"/>
  <c r="B5167" i="5"/>
  <c r="B5151" i="5"/>
  <c r="B5135" i="5"/>
  <c r="B5119" i="5"/>
  <c r="B5108" i="5"/>
  <c r="B5103" i="5"/>
  <c r="B5099" i="5"/>
  <c r="B5095" i="5"/>
  <c r="B5091" i="5"/>
  <c r="B5087" i="5"/>
  <c r="B5083" i="5"/>
  <c r="B5079" i="5"/>
  <c r="B5075" i="5"/>
  <c r="B5071" i="5"/>
  <c r="B5067" i="5"/>
  <c r="B5063" i="5"/>
  <c r="B5059" i="5"/>
  <c r="B5055" i="5"/>
  <c r="B5051" i="5"/>
  <c r="B5047" i="5"/>
  <c r="B5043" i="5"/>
  <c r="B5039" i="5"/>
  <c r="B5035" i="5"/>
  <c r="B5031" i="5"/>
  <c r="B5027" i="5"/>
  <c r="B5023" i="5"/>
  <c r="B5019" i="5"/>
  <c r="B5015" i="5"/>
  <c r="B5011" i="5"/>
  <c r="B5007" i="5"/>
  <c r="B5003" i="5"/>
  <c r="B4999" i="5"/>
  <c r="B4995" i="5"/>
  <c r="B4991" i="5"/>
  <c r="B4987" i="5"/>
  <c r="B4983" i="5"/>
  <c r="B4979" i="5"/>
  <c r="B4975" i="5"/>
  <c r="B4971" i="5"/>
  <c r="B4967" i="5"/>
  <c r="B4963" i="5"/>
  <c r="B4959" i="5"/>
  <c r="B4955" i="5"/>
  <c r="B4951" i="5"/>
  <c r="B4947" i="5"/>
  <c r="B4943" i="5"/>
  <c r="B4939" i="5"/>
  <c r="B4935" i="5"/>
  <c r="B4931" i="5"/>
  <c r="B4927" i="5"/>
  <c r="B4923" i="5"/>
  <c r="B4919" i="5"/>
  <c r="B4915" i="5"/>
  <c r="B4911" i="5"/>
  <c r="B4907" i="5"/>
  <c r="B4903" i="5"/>
  <c r="B4899" i="5"/>
  <c r="B4895" i="5"/>
  <c r="B4891" i="5"/>
  <c r="B4887" i="5"/>
  <c r="B4883" i="5"/>
  <c r="B4879" i="5"/>
  <c r="B4875" i="5"/>
  <c r="B4871" i="5"/>
  <c r="B4867" i="5"/>
  <c r="B110" i="5"/>
  <c r="B5415" i="5"/>
  <c r="B5307" i="5"/>
  <c r="B5243" i="5"/>
  <c r="B5179" i="5"/>
  <c r="B5115" i="5"/>
  <c r="B5094" i="5"/>
  <c r="B5078" i="5"/>
  <c r="B5062" i="5"/>
  <c r="B5046" i="5"/>
  <c r="B5030" i="5"/>
  <c r="B5014" i="5"/>
  <c r="B4998" i="5"/>
  <c r="B4982" i="5"/>
  <c r="B4966" i="5"/>
  <c r="B4950" i="5"/>
  <c r="B4934" i="5"/>
  <c r="B4918" i="5"/>
  <c r="B4902" i="5"/>
  <c r="B4886" i="5"/>
  <c r="B4870" i="5"/>
  <c r="B4859" i="5"/>
  <c r="B4852" i="5"/>
  <c r="B4847" i="5"/>
  <c r="B4842" i="5"/>
  <c r="B4836" i="5"/>
  <c r="B4831" i="5"/>
  <c r="B4826" i="5"/>
  <c r="B4822" i="5"/>
  <c r="B4818" i="5"/>
  <c r="B4814" i="5"/>
  <c r="B4810" i="5"/>
  <c r="B4806" i="5"/>
  <c r="B4802" i="5"/>
  <c r="B4798" i="5"/>
  <c r="B4794" i="5"/>
  <c r="B4790" i="5"/>
  <c r="B4786" i="5"/>
  <c r="B4782" i="5"/>
  <c r="B4778" i="5"/>
  <c r="B4774" i="5"/>
  <c r="B4770" i="5"/>
  <c r="B4766" i="5"/>
  <c r="B4762" i="5"/>
  <c r="B4758" i="5"/>
  <c r="B4754" i="5"/>
  <c r="B4750" i="5"/>
  <c r="B4746" i="5"/>
  <c r="B4742" i="5"/>
  <c r="B4738" i="5"/>
  <c r="B4734" i="5"/>
  <c r="B4730" i="5"/>
  <c r="B4726" i="5"/>
  <c r="B4722" i="5"/>
  <c r="B4718" i="5"/>
  <c r="B4714" i="5"/>
  <c r="B4710" i="5"/>
  <c r="B4706" i="5"/>
  <c r="B4702" i="5"/>
  <c r="B4698" i="5"/>
  <c r="B4694" i="5"/>
  <c r="B4690" i="5"/>
  <c r="B4686" i="5"/>
  <c r="B4682" i="5"/>
  <c r="B4678" i="5"/>
  <c r="B4674" i="5"/>
  <c r="B4670" i="5"/>
  <c r="B4666" i="5"/>
  <c r="B4662" i="5"/>
  <c r="B4658" i="5"/>
  <c r="B4654" i="5"/>
  <c r="B4650" i="5"/>
  <c r="B4641" i="5"/>
  <c r="B4637" i="5"/>
  <c r="B4633" i="5"/>
  <c r="B4629" i="5"/>
  <c r="B4625" i="5"/>
  <c r="B4620" i="5"/>
  <c r="B4616" i="5"/>
  <c r="B4612" i="5"/>
  <c r="B4608" i="5"/>
  <c r="B4603" i="5"/>
  <c r="B4599" i="5"/>
  <c r="B4595" i="5"/>
  <c r="B4591" i="5"/>
  <c r="B4587" i="5"/>
  <c r="B4583" i="5"/>
  <c r="B4579" i="5"/>
  <c r="B4575" i="5"/>
  <c r="B4564" i="5"/>
  <c r="B4560" i="5"/>
  <c r="B4556" i="5"/>
  <c r="B4552" i="5"/>
  <c r="B4546" i="5"/>
  <c r="B4542" i="5"/>
  <c r="B4538" i="5"/>
  <c r="B4534" i="5"/>
  <c r="B4527" i="5"/>
  <c r="B4521" i="5"/>
  <c r="B4517" i="5"/>
  <c r="B4513" i="5"/>
  <c r="B4509" i="5"/>
  <c r="B4505" i="5"/>
  <c r="B4501" i="5"/>
  <c r="B4497" i="5"/>
  <c r="B4493" i="5"/>
  <c r="B4489" i="5"/>
  <c r="B4485" i="5"/>
  <c r="B4481" i="5"/>
  <c r="B4087" i="5"/>
  <c r="B4083" i="5"/>
  <c r="B4079" i="5"/>
  <c r="B4075" i="5"/>
  <c r="B4071" i="5"/>
  <c r="B4067" i="5"/>
  <c r="B4063" i="5"/>
  <c r="B4059" i="5"/>
  <c r="B4055" i="5"/>
  <c r="B4051" i="5"/>
  <c r="B4047" i="5"/>
  <c r="B4043" i="5"/>
  <c r="B4039" i="5"/>
  <c r="B4035" i="5"/>
  <c r="B4031" i="5"/>
  <c r="B4027" i="5"/>
  <c r="B4023" i="5"/>
  <c r="B4019" i="5"/>
  <c r="B4015" i="5"/>
  <c r="B4011" i="5"/>
  <c r="B4007" i="5"/>
  <c r="B4003" i="5"/>
  <c r="B3999" i="5"/>
  <c r="B3995" i="5"/>
  <c r="B3991" i="5"/>
  <c r="B3987" i="5"/>
  <c r="B3983" i="5"/>
  <c r="B3979" i="5"/>
  <c r="B3975" i="5"/>
  <c r="B3971" i="5"/>
  <c r="B3967" i="5"/>
  <c r="B3963" i="5"/>
  <c r="B3959" i="5"/>
  <c r="B3955" i="5"/>
  <c r="B3951" i="5"/>
  <c r="B3947" i="5"/>
  <c r="B3943" i="5"/>
  <c r="B3939" i="5"/>
  <c r="B3935" i="5"/>
  <c r="B3931" i="5"/>
  <c r="B3927" i="5"/>
  <c r="B3923" i="5"/>
  <c r="B3919" i="5"/>
  <c r="B3915" i="5"/>
  <c r="B3911" i="5"/>
  <c r="B3907" i="5"/>
  <c r="B3903" i="5"/>
  <c r="B3899" i="5"/>
  <c r="B3895" i="5"/>
  <c r="B3891" i="5"/>
  <c r="B3887" i="5"/>
  <c r="B3883" i="5"/>
  <c r="B3879" i="5"/>
  <c r="B3875" i="5"/>
  <c r="B3871" i="5"/>
  <c r="B3867" i="5"/>
  <c r="B3863" i="5"/>
  <c r="B3859" i="5"/>
  <c r="B3855" i="5"/>
  <c r="B3851" i="5"/>
  <c r="B3847" i="5"/>
  <c r="B3" i="5"/>
  <c r="B5383" i="5"/>
  <c r="B5291" i="5"/>
  <c r="B5227" i="5"/>
  <c r="B5163" i="5"/>
  <c r="B5107" i="5"/>
  <c r="B5090" i="5"/>
  <c r="B5074" i="5"/>
  <c r="B5058" i="5"/>
  <c r="B5042" i="5"/>
  <c r="B5026" i="5"/>
  <c r="B5010" i="5"/>
  <c r="B4994" i="5"/>
  <c r="B4978" i="5"/>
  <c r="B4962" i="5"/>
  <c r="B4946" i="5"/>
  <c r="B4930" i="5"/>
  <c r="B4914" i="5"/>
  <c r="B4898" i="5"/>
  <c r="B4882" i="5"/>
  <c r="B4866" i="5"/>
  <c r="B4858" i="5"/>
  <c r="B4851" i="5"/>
  <c r="B4846" i="5"/>
  <c r="B4840" i="5"/>
  <c r="B4835" i="5"/>
  <c r="B4830" i="5"/>
  <c r="B4825" i="5"/>
  <c r="B4821" i="5"/>
  <c r="B4817" i="5"/>
  <c r="B4813" i="5"/>
  <c r="B4809" i="5"/>
  <c r="B4805" i="5"/>
  <c r="B4801" i="5"/>
  <c r="B4797" i="5"/>
  <c r="B4793" i="5"/>
  <c r="B4789" i="5"/>
  <c r="B4785" i="5"/>
  <c r="B4781" i="5"/>
  <c r="B4777" i="5"/>
  <c r="B4773" i="5"/>
  <c r="B4769" i="5"/>
  <c r="B4765" i="5"/>
  <c r="B4761" i="5"/>
  <c r="B4757" i="5"/>
  <c r="B4753" i="5"/>
  <c r="B4749" i="5"/>
  <c r="B4745" i="5"/>
  <c r="B4741" i="5"/>
  <c r="B4737" i="5"/>
  <c r="B4733" i="5"/>
  <c r="B4729" i="5"/>
  <c r="B4725" i="5"/>
  <c r="B4721" i="5"/>
  <c r="B4717" i="5"/>
  <c r="B4713" i="5"/>
  <c r="B4709" i="5"/>
  <c r="B4705" i="5"/>
  <c r="B4701" i="5"/>
  <c r="B4697" i="5"/>
  <c r="B4693" i="5"/>
  <c r="B4689" i="5"/>
  <c r="B4685" i="5"/>
  <c r="B4681" i="5"/>
  <c r="B4677" i="5"/>
  <c r="B4673" i="5"/>
  <c r="B4669" i="5"/>
  <c r="B4665" i="5"/>
  <c r="B4661" i="5"/>
  <c r="B4657" i="5"/>
  <c r="B4653" i="5"/>
  <c r="B4648" i="5"/>
  <c r="B4640" i="5"/>
  <c r="B4636" i="5"/>
  <c r="B4632" i="5"/>
  <c r="B4628" i="5"/>
  <c r="B4623" i="5"/>
  <c r="B4619" i="5"/>
  <c r="B4615" i="5"/>
  <c r="B4611" i="5"/>
  <c r="B4606" i="5"/>
  <c r="B4602" i="5"/>
  <c r="B4598" i="5"/>
  <c r="B4594" i="5"/>
  <c r="B4590" i="5"/>
  <c r="B4586" i="5"/>
  <c r="B4582" i="5"/>
  <c r="B4578" i="5"/>
  <c r="B4574" i="5"/>
  <c r="B4563" i="5"/>
  <c r="B4559" i="5"/>
  <c r="B4555" i="5"/>
  <c r="B4551" i="5"/>
  <c r="B4545" i="5"/>
  <c r="B4541" i="5"/>
  <c r="B4537" i="5"/>
  <c r="B4533" i="5"/>
  <c r="B4524" i="5"/>
  <c r="B4520" i="5"/>
  <c r="B4516" i="5"/>
  <c r="B4512" i="5"/>
  <c r="B4508" i="5"/>
  <c r="B4504" i="5"/>
  <c r="B4500" i="5"/>
  <c r="B4496" i="5"/>
  <c r="B4492" i="5"/>
  <c r="B4488" i="5"/>
  <c r="B4484" i="5"/>
  <c r="B4090" i="5"/>
  <c r="B4086" i="5"/>
  <c r="B4082" i="5"/>
  <c r="B4078" i="5"/>
  <c r="B4074" i="5"/>
  <c r="B4070" i="5"/>
  <c r="B4066" i="5"/>
  <c r="B4062" i="5"/>
  <c r="B4058" i="5"/>
  <c r="B4054" i="5"/>
  <c r="B4050" i="5"/>
  <c r="B4046" i="5"/>
  <c r="B4042" i="5"/>
  <c r="B4038" i="5"/>
  <c r="B4034" i="5"/>
  <c r="B4030" i="5"/>
  <c r="B4026" i="5"/>
  <c r="B4022" i="5"/>
  <c r="B4018" i="5"/>
  <c r="B4014" i="5"/>
  <c r="B4010" i="5"/>
  <c r="B4006" i="5"/>
  <c r="B4002" i="5"/>
  <c r="B3998" i="5"/>
  <c r="B3994" i="5"/>
  <c r="B3990" i="5"/>
  <c r="B3986" i="5"/>
  <c r="B3982" i="5"/>
  <c r="B3978" i="5"/>
  <c r="B3974" i="5"/>
  <c r="B3970" i="5"/>
  <c r="B3966" i="5"/>
  <c r="B3962" i="5"/>
  <c r="B3958" i="5"/>
  <c r="B3954" i="5"/>
  <c r="B3950" i="5"/>
  <c r="B3946" i="5"/>
  <c r="B3942" i="5"/>
  <c r="B3938" i="5"/>
  <c r="B3934" i="5"/>
  <c r="B3930" i="5"/>
  <c r="B3926" i="5"/>
  <c r="B3922" i="5"/>
  <c r="B3918" i="5"/>
  <c r="B3914" i="5"/>
  <c r="B3910" i="5"/>
  <c r="B3906" i="5"/>
  <c r="B3902" i="5"/>
  <c r="B3898" i="5"/>
  <c r="B3894" i="5"/>
  <c r="B3890" i="5"/>
  <c r="B3886" i="5"/>
  <c r="B3882" i="5"/>
  <c r="B3878" i="5"/>
  <c r="B3874" i="5"/>
  <c r="B3870" i="5"/>
  <c r="B3866" i="5"/>
  <c r="B3862" i="5"/>
  <c r="B3858" i="5"/>
  <c r="B3854" i="5"/>
  <c r="B3850" i="5"/>
  <c r="B3846" i="5"/>
  <c r="B5351" i="5"/>
  <c r="B5275" i="5"/>
  <c r="B5211" i="5"/>
  <c r="B5147" i="5"/>
  <c r="B5102" i="5"/>
  <c r="B5086" i="5"/>
  <c r="B5070" i="5"/>
  <c r="B5054" i="5"/>
  <c r="B5038" i="5"/>
  <c r="B5022" i="5"/>
  <c r="B5006" i="5"/>
  <c r="B4990" i="5"/>
  <c r="B4974" i="5"/>
  <c r="B4958" i="5"/>
  <c r="B4942" i="5"/>
  <c r="B4926" i="5"/>
  <c r="B4910" i="5"/>
  <c r="B4894" i="5"/>
  <c r="B4878" i="5"/>
  <c r="B4863" i="5"/>
  <c r="B4855" i="5"/>
  <c r="B4850" i="5"/>
  <c r="B4844" i="5"/>
  <c r="B4839" i="5"/>
  <c r="B4834" i="5"/>
  <c r="B4828" i="5"/>
  <c r="B4824" i="5"/>
  <c r="B4820" i="5"/>
  <c r="B4816" i="5"/>
  <c r="B4812" i="5"/>
  <c r="B4808" i="5"/>
  <c r="B4804" i="5"/>
  <c r="B4800" i="5"/>
  <c r="B4796" i="5"/>
  <c r="B4792" i="5"/>
  <c r="B4788" i="5"/>
  <c r="B4784" i="5"/>
  <c r="B4780" i="5"/>
  <c r="B4776" i="5"/>
  <c r="B4772" i="5"/>
  <c r="B4768" i="5"/>
  <c r="B4764" i="5"/>
  <c r="B4760" i="5"/>
  <c r="B4756" i="5"/>
  <c r="B4752" i="5"/>
  <c r="B4748" i="5"/>
  <c r="B4744" i="5"/>
  <c r="B4740" i="5"/>
  <c r="B4736" i="5"/>
  <c r="B4732" i="5"/>
  <c r="B4728" i="5"/>
  <c r="B4724" i="5"/>
  <c r="B4720" i="5"/>
  <c r="B4716" i="5"/>
  <c r="B4712" i="5"/>
  <c r="B4708" i="5"/>
  <c r="B4704" i="5"/>
  <c r="B4700" i="5"/>
  <c r="B4696" i="5"/>
  <c r="B4692" i="5"/>
  <c r="B4688" i="5"/>
  <c r="B4684" i="5"/>
  <c r="B4680" i="5"/>
  <c r="B4676" i="5"/>
  <c r="B4672" i="5"/>
  <c r="B4668" i="5"/>
  <c r="B4664" i="5"/>
  <c r="B4660" i="5"/>
  <c r="B4656" i="5"/>
  <c r="B4652" i="5"/>
  <c r="B4647" i="5"/>
  <c r="B4639" i="5"/>
  <c r="B4635" i="5"/>
  <c r="B4631" i="5"/>
  <c r="B4627" i="5"/>
  <c r="B4622" i="5"/>
  <c r="B4618" i="5"/>
  <c r="B4614" i="5"/>
  <c r="B4610" i="5"/>
  <c r="B4605" i="5"/>
  <c r="B4601" i="5"/>
  <c r="B4597" i="5"/>
  <c r="B4593" i="5"/>
  <c r="B4589" i="5"/>
  <c r="B4585" i="5"/>
  <c r="B4581" i="5"/>
  <c r="B4577" i="5"/>
  <c r="B4572" i="5"/>
  <c r="B4562" i="5"/>
  <c r="B4558" i="5"/>
  <c r="B4554" i="5"/>
  <c r="B4550" i="5"/>
  <c r="B4544" i="5"/>
  <c r="B4540" i="5"/>
  <c r="B4536" i="5"/>
  <c r="B4531" i="5"/>
  <c r="B4523" i="5"/>
  <c r="B4519" i="5"/>
  <c r="B4515" i="5"/>
  <c r="B4511" i="5"/>
  <c r="B4507" i="5"/>
  <c r="B4503" i="5"/>
  <c r="B4499" i="5"/>
  <c r="B4495" i="5"/>
  <c r="B4491" i="5"/>
  <c r="B4487" i="5"/>
  <c r="B4483" i="5"/>
  <c r="B4089" i="5"/>
  <c r="B4085" i="5"/>
  <c r="B4081" i="5"/>
  <c r="B4077" i="5"/>
  <c r="B4073" i="5"/>
  <c r="B4069" i="5"/>
  <c r="B4065" i="5"/>
  <c r="B4061" i="5"/>
  <c r="B4057" i="5"/>
  <c r="B4053" i="5"/>
  <c r="B4049" i="5"/>
  <c r="B4045" i="5"/>
  <c r="B4041" i="5"/>
  <c r="B4037" i="5"/>
  <c r="B4033" i="5"/>
  <c r="B4029" i="5"/>
  <c r="B4025" i="5"/>
  <c r="B4021" i="5"/>
  <c r="B4017" i="5"/>
  <c r="B4013" i="5"/>
  <c r="B4009" i="5"/>
  <c r="B4005" i="5"/>
  <c r="B4001" i="5"/>
  <c r="B3997" i="5"/>
  <c r="B3993" i="5"/>
  <c r="B3989" i="5"/>
  <c r="B3985" i="5"/>
  <c r="B3981" i="5"/>
  <c r="B3977" i="5"/>
  <c r="B3973" i="5"/>
  <c r="B3969" i="5"/>
  <c r="B3965" i="5"/>
  <c r="B3961" i="5"/>
  <c r="B3957" i="5"/>
  <c r="B3953" i="5"/>
  <c r="B3949" i="5"/>
  <c r="B3945" i="5"/>
  <c r="B3941" i="5"/>
  <c r="B3937" i="5"/>
  <c r="B3933" i="5"/>
  <c r="B3929" i="5"/>
  <c r="B3925" i="5"/>
  <c r="B3921" i="5"/>
  <c r="B3917" i="5"/>
  <c r="B3913" i="5"/>
  <c r="B3909" i="5"/>
  <c r="B3905" i="5"/>
  <c r="B3901" i="5"/>
  <c r="B3897" i="5"/>
  <c r="B3893" i="5"/>
  <c r="B3889" i="5"/>
  <c r="B3885" i="5"/>
  <c r="B3881" i="5"/>
  <c r="B3877" i="5"/>
  <c r="B3873" i="5"/>
  <c r="B3869" i="5"/>
  <c r="B3865" i="5"/>
  <c r="B3861" i="5"/>
  <c r="B3857" i="5"/>
  <c r="B3853" i="5"/>
  <c r="B3849" i="5"/>
  <c r="B3845" i="5"/>
  <c r="B5447" i="5"/>
  <c r="B5131" i="5"/>
  <c r="B5050" i="5"/>
  <c r="B4986" i="5"/>
  <c r="B4922" i="5"/>
  <c r="B4862" i="5"/>
  <c r="B4838" i="5"/>
  <c r="B4819" i="5"/>
  <c r="B4803" i="5"/>
  <c r="B4787" i="5"/>
  <c r="B4771" i="5"/>
  <c r="B4755" i="5"/>
  <c r="B4739" i="5"/>
  <c r="B4723" i="5"/>
  <c r="B4707" i="5"/>
  <c r="B4691" i="5"/>
  <c r="B4675" i="5"/>
  <c r="B4659" i="5"/>
  <c r="B4638" i="5"/>
  <c r="B4621" i="5"/>
  <c r="B4604" i="5"/>
  <c r="B4588" i="5"/>
  <c r="B4571" i="5"/>
  <c r="B4549" i="5"/>
  <c r="B4530" i="5"/>
  <c r="B4510" i="5"/>
  <c r="B4494" i="5"/>
  <c r="B4088" i="5"/>
  <c r="B4072" i="5"/>
  <c r="B4056" i="5"/>
  <c r="B4040" i="5"/>
  <c r="B4024" i="5"/>
  <c r="B4008" i="5"/>
  <c r="B3992" i="5"/>
  <c r="B3976" i="5"/>
  <c r="B3960" i="5"/>
  <c r="B3944" i="5"/>
  <c r="B3928" i="5"/>
  <c r="B3912" i="5"/>
  <c r="B3896" i="5"/>
  <c r="B3880" i="5"/>
  <c r="B3864" i="5"/>
  <c r="B3848" i="5"/>
  <c r="B3841" i="5"/>
  <c r="B3837" i="5"/>
  <c r="B3833" i="5"/>
  <c r="B3829" i="5"/>
  <c r="B3825" i="5"/>
  <c r="B3821" i="5"/>
  <c r="B3817" i="5"/>
  <c r="B3813" i="5"/>
  <c r="B3809" i="5"/>
  <c r="B3805" i="5"/>
  <c r="B3801" i="5"/>
  <c r="B3797" i="5"/>
  <c r="B3793" i="5"/>
  <c r="B3789" i="5"/>
  <c r="B3785" i="5"/>
  <c r="B3781" i="5"/>
  <c r="B3777" i="5"/>
  <c r="B3773" i="5"/>
  <c r="B3769" i="5"/>
  <c r="B3765" i="5"/>
  <c r="B3761" i="5"/>
  <c r="B3757" i="5"/>
  <c r="B3753" i="5"/>
  <c r="B3749" i="5"/>
  <c r="B3745" i="5"/>
  <c r="B3741" i="5"/>
  <c r="B3737" i="5"/>
  <c r="B3733" i="5"/>
  <c r="B3729" i="5"/>
  <c r="B3725" i="5"/>
  <c r="B3721" i="5"/>
  <c r="B3717" i="5"/>
  <c r="B3713" i="5"/>
  <c r="B3709" i="5"/>
  <c r="B3705" i="5"/>
  <c r="B3701" i="5"/>
  <c r="B3697" i="5"/>
  <c r="B3693" i="5"/>
  <c r="B3689" i="5"/>
  <c r="B3685" i="5"/>
  <c r="B3681" i="5"/>
  <c r="B3677" i="5"/>
  <c r="B3673" i="5"/>
  <c r="B3669" i="5"/>
  <c r="B3665" i="5"/>
  <c r="B3661" i="5"/>
  <c r="B3657" i="5"/>
  <c r="B3653" i="5"/>
  <c r="B3649" i="5"/>
  <c r="B3645" i="5"/>
  <c r="B3641" i="5"/>
  <c r="B3637" i="5"/>
  <c r="B3633" i="5"/>
  <c r="B3629" i="5"/>
  <c r="B3625" i="5"/>
  <c r="B3621" i="5"/>
  <c r="B3617" i="5"/>
  <c r="B3613" i="5"/>
  <c r="B3609" i="5"/>
  <c r="B3605" i="5"/>
  <c r="B3601" i="5"/>
  <c r="B3597" i="5"/>
  <c r="B3593" i="5"/>
  <c r="B3589" i="5"/>
  <c r="B3585" i="5"/>
  <c r="B3581" i="5"/>
  <c r="B3577" i="5"/>
  <c r="B3573" i="5"/>
  <c r="B3569" i="5"/>
  <c r="B3565" i="5"/>
  <c r="B3561" i="5"/>
  <c r="B3557" i="5"/>
  <c r="B3553" i="5"/>
  <c r="B3549" i="5"/>
  <c r="B3545" i="5"/>
  <c r="B3541" i="5"/>
  <c r="B3537" i="5"/>
  <c r="B3533" i="5"/>
  <c r="B3529" i="5"/>
  <c r="B3525" i="5"/>
  <c r="B3521" i="5"/>
  <c r="B3517" i="5"/>
  <c r="B3513" i="5"/>
  <c r="B3509" i="5"/>
  <c r="B3505" i="5"/>
  <c r="B3501" i="5"/>
  <c r="B3497" i="5"/>
  <c r="B3493" i="5"/>
  <c r="B3489" i="5"/>
  <c r="B3485" i="5"/>
  <c r="B3481" i="5"/>
  <c r="B3477" i="5"/>
  <c r="B3473" i="5"/>
  <c r="B3469" i="5"/>
  <c r="B3465" i="5"/>
  <c r="B3461" i="5"/>
  <c r="B3457" i="5"/>
  <c r="B3453" i="5"/>
  <c r="B3449" i="5"/>
  <c r="B3445" i="5"/>
  <c r="B3441" i="5"/>
  <c r="B3437" i="5"/>
  <c r="B3433" i="5"/>
  <c r="B3429" i="5"/>
  <c r="B3425" i="5"/>
  <c r="B3421" i="5"/>
  <c r="B3417" i="5"/>
  <c r="B3413" i="5"/>
  <c r="B3280" i="5"/>
  <c r="B3406" i="5"/>
  <c r="B3402" i="5"/>
  <c r="B3398" i="5"/>
  <c r="B3394" i="5"/>
  <c r="B3390" i="5"/>
  <c r="B3386" i="5"/>
  <c r="B3382" i="5"/>
  <c r="B3378" i="5"/>
  <c r="B3374" i="5"/>
  <c r="B3370" i="5"/>
  <c r="B3366" i="5"/>
  <c r="B3362" i="5"/>
  <c r="B3358" i="5"/>
  <c r="B3354" i="5"/>
  <c r="B3350" i="5"/>
  <c r="B3346" i="5"/>
  <c r="B3342" i="5"/>
  <c r="B3338" i="5"/>
  <c r="B3334" i="5"/>
  <c r="B3330" i="5"/>
  <c r="B3326" i="5"/>
  <c r="B3323" i="5"/>
  <c r="B3319" i="5"/>
  <c r="B3315" i="5"/>
  <c r="B3311" i="5"/>
  <c r="B3307" i="5"/>
  <c r="B3303" i="5"/>
  <c r="B3299" i="5"/>
  <c r="B3295" i="5"/>
  <c r="B3292" i="5"/>
  <c r="B5323" i="5"/>
  <c r="B5098" i="5"/>
  <c r="B5034" i="5"/>
  <c r="B4970" i="5"/>
  <c r="B4906" i="5"/>
  <c r="B4854" i="5"/>
  <c r="B4832" i="5"/>
  <c r="B4815" i="5"/>
  <c r="B4799" i="5"/>
  <c r="B4783" i="5"/>
  <c r="B4767" i="5"/>
  <c r="B4751" i="5"/>
  <c r="B4735" i="5"/>
  <c r="B4719" i="5"/>
  <c r="B4703" i="5"/>
  <c r="B4687" i="5"/>
  <c r="B4671" i="5"/>
  <c r="B4655" i="5"/>
  <c r="B4634" i="5"/>
  <c r="B4617" i="5"/>
  <c r="B4600" i="5"/>
  <c r="B4584" i="5"/>
  <c r="B4561" i="5"/>
  <c r="B4543" i="5"/>
  <c r="B4522" i="5"/>
  <c r="B4506" i="5"/>
  <c r="B4490" i="5"/>
  <c r="B4084" i="5"/>
  <c r="B4068" i="5"/>
  <c r="B4052" i="5"/>
  <c r="B4036" i="5"/>
  <c r="B4020" i="5"/>
  <c r="B4004" i="5"/>
  <c r="B3988" i="5"/>
  <c r="B3972" i="5"/>
  <c r="B3956" i="5"/>
  <c r="B3940" i="5"/>
  <c r="B3924" i="5"/>
  <c r="B3908" i="5"/>
  <c r="B3892" i="5"/>
  <c r="B3876" i="5"/>
  <c r="B3860" i="5"/>
  <c r="B3844" i="5"/>
  <c r="B3840" i="5"/>
  <c r="B3836" i="5"/>
  <c r="B3832" i="5"/>
  <c r="B3828" i="5"/>
  <c r="B3824" i="5"/>
  <c r="B3820" i="5"/>
  <c r="B3816" i="5"/>
  <c r="B3812" i="5"/>
  <c r="B3808" i="5"/>
  <c r="B3804" i="5"/>
  <c r="B3800" i="5"/>
  <c r="B3796" i="5"/>
  <c r="B3792" i="5"/>
  <c r="B3788" i="5"/>
  <c r="B3784" i="5"/>
  <c r="B3780" i="5"/>
  <c r="B3776" i="5"/>
  <c r="B3772" i="5"/>
  <c r="B3768" i="5"/>
  <c r="B3764" i="5"/>
  <c r="B3760" i="5"/>
  <c r="B3756" i="5"/>
  <c r="B3752" i="5"/>
  <c r="B3748" i="5"/>
  <c r="B3744" i="5"/>
  <c r="B3740" i="5"/>
  <c r="B3736" i="5"/>
  <c r="B3732" i="5"/>
  <c r="B3728" i="5"/>
  <c r="B3724" i="5"/>
  <c r="B3720" i="5"/>
  <c r="B3716" i="5"/>
  <c r="B3712" i="5"/>
  <c r="B3708" i="5"/>
  <c r="B3704" i="5"/>
  <c r="B3700" i="5"/>
  <c r="B3696" i="5"/>
  <c r="B3692" i="5"/>
  <c r="B3688" i="5"/>
  <c r="B3684" i="5"/>
  <c r="B3680" i="5"/>
  <c r="B3676" i="5"/>
  <c r="B3672" i="5"/>
  <c r="B3668" i="5"/>
  <c r="B3664" i="5"/>
  <c r="B3660" i="5"/>
  <c r="B3656" i="5"/>
  <c r="B3652" i="5"/>
  <c r="B3648" i="5"/>
  <c r="B3644" i="5"/>
  <c r="B3640" i="5"/>
  <c r="B3636" i="5"/>
  <c r="B3632" i="5"/>
  <c r="B3628" i="5"/>
  <c r="B3624" i="5"/>
  <c r="B3620" i="5"/>
  <c r="B3616" i="5"/>
  <c r="B3612" i="5"/>
  <c r="B3608" i="5"/>
  <c r="B3604" i="5"/>
  <c r="B3600" i="5"/>
  <c r="B3596" i="5"/>
  <c r="B3592" i="5"/>
  <c r="B3588" i="5"/>
  <c r="B3584" i="5"/>
  <c r="B3580" i="5"/>
  <c r="B3576" i="5"/>
  <c r="B3572" i="5"/>
  <c r="B3568" i="5"/>
  <c r="B3564" i="5"/>
  <c r="B3560" i="5"/>
  <c r="B3556" i="5"/>
  <c r="B3552" i="5"/>
  <c r="B3548" i="5"/>
  <c r="B3544" i="5"/>
  <c r="B3540" i="5"/>
  <c r="B3536" i="5"/>
  <c r="B3532" i="5"/>
  <c r="B3528" i="5"/>
  <c r="B3524" i="5"/>
  <c r="B3520" i="5"/>
  <c r="B3516" i="5"/>
  <c r="B3512" i="5"/>
  <c r="B3508" i="5"/>
  <c r="B3504" i="5"/>
  <c r="B3500" i="5"/>
  <c r="B3496" i="5"/>
  <c r="B3492" i="5"/>
  <c r="B3488" i="5"/>
  <c r="B3484" i="5"/>
  <c r="B3480" i="5"/>
  <c r="B3476" i="5"/>
  <c r="B3472" i="5"/>
  <c r="B3468" i="5"/>
  <c r="B3464" i="5"/>
  <c r="B3460" i="5"/>
  <c r="B3456" i="5"/>
  <c r="B3452" i="5"/>
  <c r="B3448" i="5"/>
  <c r="B3444" i="5"/>
  <c r="B3440" i="5"/>
  <c r="B3436" i="5"/>
  <c r="B3432" i="5"/>
  <c r="B3428" i="5"/>
  <c r="B3424" i="5"/>
  <c r="B3420" i="5"/>
  <c r="B3416" i="5"/>
  <c r="B3412" i="5"/>
  <c r="B3409" i="5"/>
  <c r="B3405" i="5"/>
  <c r="B3401" i="5"/>
  <c r="B3397" i="5"/>
  <c r="B3393" i="5"/>
  <c r="B3389" i="5"/>
  <c r="B3385" i="5"/>
  <c r="B3381" i="5"/>
  <c r="B3377" i="5"/>
  <c r="B3373" i="5"/>
  <c r="B3369" i="5"/>
  <c r="B3365" i="5"/>
  <c r="B3361" i="5"/>
  <c r="B3357" i="5"/>
  <c r="B3353" i="5"/>
  <c r="B3349" i="5"/>
  <c r="B3345" i="5"/>
  <c r="B5259" i="5"/>
  <c r="B5082" i="5"/>
  <c r="B5018" i="5"/>
  <c r="B4954" i="5"/>
  <c r="B4890" i="5"/>
  <c r="B4848" i="5"/>
  <c r="B4827" i="5"/>
  <c r="B4811" i="5"/>
  <c r="B4795" i="5"/>
  <c r="B4779" i="5"/>
  <c r="B4763" i="5"/>
  <c r="B4747" i="5"/>
  <c r="B4731" i="5"/>
  <c r="B4715" i="5"/>
  <c r="B4699" i="5"/>
  <c r="B4683" i="5"/>
  <c r="B4667" i="5"/>
  <c r="B4651" i="5"/>
  <c r="B4630" i="5"/>
  <c r="B4613" i="5"/>
  <c r="B4596" i="5"/>
  <c r="B4580" i="5"/>
  <c r="B4557" i="5"/>
  <c r="B4539" i="5"/>
  <c r="B4518" i="5"/>
  <c r="B4502" i="5"/>
  <c r="B4486" i="5"/>
  <c r="B4080" i="5"/>
  <c r="B4064" i="5"/>
  <c r="B4048" i="5"/>
  <c r="B4032" i="5"/>
  <c r="B4016" i="5"/>
  <c r="B4000" i="5"/>
  <c r="B3984" i="5"/>
  <c r="B3968" i="5"/>
  <c r="B3952" i="5"/>
  <c r="B3936" i="5"/>
  <c r="B3920" i="5"/>
  <c r="B3904" i="5"/>
  <c r="B3888" i="5"/>
  <c r="B3872" i="5"/>
  <c r="B3856" i="5"/>
  <c r="B3843" i="5"/>
  <c r="B3839" i="5"/>
  <c r="B3835" i="5"/>
  <c r="B3831" i="5"/>
  <c r="B3827" i="5"/>
  <c r="B3823" i="5"/>
  <c r="B3819" i="5"/>
  <c r="B3815" i="5"/>
  <c r="B3811" i="5"/>
  <c r="B3807" i="5"/>
  <c r="B3803" i="5"/>
  <c r="B3799" i="5"/>
  <c r="B3795" i="5"/>
  <c r="B3791" i="5"/>
  <c r="B3787" i="5"/>
  <c r="B3783" i="5"/>
  <c r="B3779" i="5"/>
  <c r="B3775" i="5"/>
  <c r="B3771" i="5"/>
  <c r="B3767" i="5"/>
  <c r="B3763" i="5"/>
  <c r="B3759" i="5"/>
  <c r="B3755" i="5"/>
  <c r="B3751" i="5"/>
  <c r="B3747" i="5"/>
  <c r="B3743" i="5"/>
  <c r="B3739" i="5"/>
  <c r="B3735" i="5"/>
  <c r="B3731" i="5"/>
  <c r="B3727" i="5"/>
  <c r="B3723" i="5"/>
  <c r="B3719" i="5"/>
  <c r="B3715" i="5"/>
  <c r="B3711" i="5"/>
  <c r="B3707" i="5"/>
  <c r="B3703" i="5"/>
  <c r="B3699" i="5"/>
  <c r="B3695" i="5"/>
  <c r="B3691" i="5"/>
  <c r="B3687" i="5"/>
  <c r="B3683" i="5"/>
  <c r="B3679" i="5"/>
  <c r="B3675" i="5"/>
  <c r="B3671" i="5"/>
  <c r="B3667" i="5"/>
  <c r="B3663" i="5"/>
  <c r="B3659" i="5"/>
  <c r="B3655" i="5"/>
  <c r="B3651" i="5"/>
  <c r="B3647" i="5"/>
  <c r="B3643" i="5"/>
  <c r="B3639" i="5"/>
  <c r="B3635" i="5"/>
  <c r="B3631" i="5"/>
  <c r="B3627" i="5"/>
  <c r="B3623" i="5"/>
  <c r="B3619" i="5"/>
  <c r="B3615" i="5"/>
  <c r="B3611" i="5"/>
  <c r="B3607" i="5"/>
  <c r="B3603" i="5"/>
  <c r="B3599" i="5"/>
  <c r="B3595" i="5"/>
  <c r="B3591" i="5"/>
  <c r="B3587" i="5"/>
  <c r="B3583" i="5"/>
  <c r="B3579" i="5"/>
  <c r="B3575" i="5"/>
  <c r="B3571" i="5"/>
  <c r="B3567" i="5"/>
  <c r="B3563" i="5"/>
  <c r="B3559" i="5"/>
  <c r="B3555" i="5"/>
  <c r="B3551" i="5"/>
  <c r="B3547" i="5"/>
  <c r="B3543" i="5"/>
  <c r="B3539" i="5"/>
  <c r="B3535" i="5"/>
  <c r="B3531" i="5"/>
  <c r="B3527" i="5"/>
  <c r="B3523" i="5"/>
  <c r="B3519" i="5"/>
  <c r="B3515" i="5"/>
  <c r="B3511" i="5"/>
  <c r="B3507" i="5"/>
  <c r="B3503" i="5"/>
  <c r="B3499" i="5"/>
  <c r="B3495" i="5"/>
  <c r="B3491" i="5"/>
  <c r="B3487" i="5"/>
  <c r="B3483" i="5"/>
  <c r="B3479" i="5"/>
  <c r="B3475" i="5"/>
  <c r="B3471" i="5"/>
  <c r="B3467" i="5"/>
  <c r="B3463" i="5"/>
  <c r="B3459" i="5"/>
  <c r="B3455" i="5"/>
  <c r="B3451" i="5"/>
  <c r="B3447" i="5"/>
  <c r="B3443" i="5"/>
  <c r="B3439" i="5"/>
  <c r="B3435" i="5"/>
  <c r="B3431" i="5"/>
  <c r="B3427" i="5"/>
  <c r="B3423" i="5"/>
  <c r="B3419" i="5"/>
  <c r="B3415" i="5"/>
  <c r="B3411" i="5"/>
  <c r="B3408" i="5"/>
  <c r="B3404" i="5"/>
  <c r="B3400" i="5"/>
  <c r="B3396" i="5"/>
  <c r="B3392" i="5"/>
  <c r="B3388" i="5"/>
  <c r="B3384" i="5"/>
  <c r="B3380" i="5"/>
  <c r="B3376" i="5"/>
  <c r="B3372" i="5"/>
  <c r="B3368" i="5"/>
  <c r="B3364" i="5"/>
  <c r="B3360" i="5"/>
  <c r="B3356" i="5"/>
  <c r="B3352" i="5"/>
  <c r="B3348" i="5"/>
  <c r="B3344" i="5"/>
  <c r="B3340" i="5"/>
  <c r="B3336" i="5"/>
  <c r="B5195" i="5"/>
  <c r="B4874" i="5"/>
  <c r="B4791" i="5"/>
  <c r="B4727" i="5"/>
  <c r="B4663" i="5"/>
  <c r="B4592" i="5"/>
  <c r="B4514" i="5"/>
  <c r="B4060" i="5"/>
  <c r="B3996" i="5"/>
  <c r="B3932" i="5"/>
  <c r="B3868" i="5"/>
  <c r="B3834" i="5"/>
  <c r="B3818" i="5"/>
  <c r="B3802" i="5"/>
  <c r="B3786" i="5"/>
  <c r="B3770" i="5"/>
  <c r="B3754" i="5"/>
  <c r="B3738" i="5"/>
  <c r="B3722" i="5"/>
  <c r="B3706" i="5"/>
  <c r="B3690" i="5"/>
  <c r="B3674" i="5"/>
  <c r="B3658" i="5"/>
  <c r="B3642" i="5"/>
  <c r="B3626" i="5"/>
  <c r="B3610" i="5"/>
  <c r="B3594" i="5"/>
  <c r="B3578" i="5"/>
  <c r="B3562" i="5"/>
  <c r="B3546" i="5"/>
  <c r="B3530" i="5"/>
  <c r="B3514" i="5"/>
  <c r="B3498" i="5"/>
  <c r="B3482" i="5"/>
  <c r="B3466" i="5"/>
  <c r="B3450" i="5"/>
  <c r="B3434" i="5"/>
  <c r="B3418" i="5"/>
  <c r="B3403" i="5"/>
  <c r="B3387" i="5"/>
  <c r="B3371" i="5"/>
  <c r="B3355" i="5"/>
  <c r="B3341" i="5"/>
  <c r="B3333" i="5"/>
  <c r="B3328" i="5"/>
  <c r="B3324" i="5"/>
  <c r="B3318" i="5"/>
  <c r="B3313" i="5"/>
  <c r="B3308" i="5"/>
  <c r="B3302" i="5"/>
  <c r="B3297" i="5"/>
  <c r="B3293" i="5"/>
  <c r="B3288" i="5"/>
  <c r="B3284" i="5"/>
  <c r="B3277" i="5"/>
  <c r="B3273" i="5"/>
  <c r="B3269" i="5"/>
  <c r="B3265" i="5"/>
  <c r="B3261" i="5"/>
  <c r="B3257" i="5"/>
  <c r="B3253" i="5"/>
  <c r="B3249" i="5"/>
  <c r="B3245" i="5"/>
  <c r="B3241" i="5"/>
  <c r="B3237" i="5"/>
  <c r="B3233" i="5"/>
  <c r="B3229" i="5"/>
  <c r="B3225" i="5"/>
  <c r="B3221" i="5"/>
  <c r="B3217" i="5"/>
  <c r="B3213" i="5"/>
  <c r="B3209" i="5"/>
  <c r="B3205" i="5"/>
  <c r="B3201" i="5"/>
  <c r="B3197" i="5"/>
  <c r="B3193" i="5"/>
  <c r="B3189" i="5"/>
  <c r="B3185" i="5"/>
  <c r="B3181" i="5"/>
  <c r="B3177" i="5"/>
  <c r="B3173" i="5"/>
  <c r="B3169" i="5"/>
  <c r="B3165" i="5"/>
  <c r="B3161" i="5"/>
  <c r="B3157" i="5"/>
  <c r="B3153" i="5"/>
  <c r="B3149" i="5"/>
  <c r="B3145" i="5"/>
  <c r="B3141" i="5"/>
  <c r="B3137" i="5"/>
  <c r="B3133" i="5"/>
  <c r="B3129" i="5"/>
  <c r="B3125" i="5"/>
  <c r="B3121" i="5"/>
  <c r="B3117" i="5"/>
  <c r="B3113" i="5"/>
  <c r="B3109" i="5"/>
  <c r="B3105" i="5"/>
  <c r="B3101" i="5"/>
  <c r="B3097" i="5"/>
  <c r="B3093" i="5"/>
  <c r="B3089" i="5"/>
  <c r="B3085" i="5"/>
  <c r="B3081" i="5"/>
  <c r="B3077" i="5"/>
  <c r="B3073" i="5"/>
  <c r="B3069" i="5"/>
  <c r="B3065" i="5"/>
  <c r="B3061" i="5"/>
  <c r="B3057" i="5"/>
  <c r="B3053" i="5"/>
  <c r="B3049" i="5"/>
  <c r="B3045" i="5"/>
  <c r="B3041" i="5"/>
  <c r="B3037" i="5"/>
  <c r="B3033" i="5"/>
  <c r="B3029" i="5"/>
  <c r="B3025" i="5"/>
  <c r="B3021" i="5"/>
  <c r="B3017" i="5"/>
  <c r="B3013" i="5"/>
  <c r="B3009" i="5"/>
  <c r="B3005" i="5"/>
  <c r="B3001" i="5"/>
  <c r="B2997" i="5"/>
  <c r="B2993" i="5"/>
  <c r="B2989" i="5"/>
  <c r="B2985" i="5"/>
  <c r="B2981" i="5"/>
  <c r="B2977" i="5"/>
  <c r="B2973" i="5"/>
  <c r="B2969" i="5"/>
  <c r="B2965" i="5"/>
  <c r="B2961" i="5"/>
  <c r="B2957" i="5"/>
  <c r="B2953" i="5"/>
  <c r="B2949" i="5"/>
  <c r="B2945" i="5"/>
  <c r="B2941" i="5"/>
  <c r="B2937" i="5"/>
  <c r="B2933" i="5"/>
  <c r="B2929" i="5"/>
  <c r="B2925" i="5"/>
  <c r="B2921" i="5"/>
  <c r="B2917" i="5"/>
  <c r="B2913" i="5"/>
  <c r="B2909" i="5"/>
  <c r="B2905" i="5"/>
  <c r="B2901" i="5"/>
  <c r="B2897" i="5"/>
  <c r="B2893" i="5"/>
  <c r="B2889" i="5"/>
  <c r="B2885" i="5"/>
  <c r="B2881" i="5"/>
  <c r="B2877" i="5"/>
  <c r="B2873" i="5"/>
  <c r="B2869" i="5"/>
  <c r="B2865" i="5"/>
  <c r="B2861" i="5"/>
  <c r="B2857" i="5"/>
  <c r="B2853" i="5"/>
  <c r="B2849" i="5"/>
  <c r="B2845" i="5"/>
  <c r="B2841" i="5"/>
  <c r="B2837" i="5"/>
  <c r="B2833" i="5"/>
  <c r="B2829" i="5"/>
  <c r="B2825" i="5"/>
  <c r="B2821" i="5"/>
  <c r="B2817" i="5"/>
  <c r="B2813" i="5"/>
  <c r="B2809" i="5"/>
  <c r="B5066" i="5"/>
  <c r="B4843" i="5"/>
  <c r="B4775" i="5"/>
  <c r="B4711" i="5"/>
  <c r="B4645" i="5"/>
  <c r="B4576" i="5"/>
  <c r="B4498" i="5"/>
  <c r="B4044" i="5"/>
  <c r="B3980" i="5"/>
  <c r="B3916" i="5"/>
  <c r="B3852" i="5"/>
  <c r="B3830" i="5"/>
  <c r="B3814" i="5"/>
  <c r="B3798" i="5"/>
  <c r="B3782" i="5"/>
  <c r="B3766" i="5"/>
  <c r="B3750" i="5"/>
  <c r="B3734" i="5"/>
  <c r="B3718" i="5"/>
  <c r="B3702" i="5"/>
  <c r="B3686" i="5"/>
  <c r="B3670" i="5"/>
  <c r="B3654" i="5"/>
  <c r="B3638" i="5"/>
  <c r="B3622" i="5"/>
  <c r="B3606" i="5"/>
  <c r="B3590" i="5"/>
  <c r="B3574" i="5"/>
  <c r="B3558" i="5"/>
  <c r="B3542" i="5"/>
  <c r="B3526" i="5"/>
  <c r="B3510" i="5"/>
  <c r="B3494" i="5"/>
  <c r="B3478" i="5"/>
  <c r="B3462" i="5"/>
  <c r="B3446" i="5"/>
  <c r="B3430" i="5"/>
  <c r="B3414" i="5"/>
  <c r="B3399" i="5"/>
  <c r="B3383" i="5"/>
  <c r="B3367" i="5"/>
  <c r="B3351" i="5"/>
  <c r="B3339" i="5"/>
  <c r="B3332" i="5"/>
  <c r="B3327" i="5"/>
  <c r="B3322" i="5"/>
  <c r="B3317" i="5"/>
  <c r="B3312" i="5"/>
  <c r="B3306" i="5"/>
  <c r="B3301" i="5"/>
  <c r="B3296" i="5"/>
  <c r="B3291" i="5"/>
  <c r="B3287" i="5"/>
  <c r="B3283" i="5"/>
  <c r="B3276" i="5"/>
  <c r="B3272" i="5"/>
  <c r="B3268" i="5"/>
  <c r="B3264" i="5"/>
  <c r="B3260" i="5"/>
  <c r="B3256" i="5"/>
  <c r="B3252" i="5"/>
  <c r="B3248" i="5"/>
  <c r="B3244" i="5"/>
  <c r="B3240" i="5"/>
  <c r="B3236" i="5"/>
  <c r="B3232" i="5"/>
  <c r="B3228" i="5"/>
  <c r="B3224" i="5"/>
  <c r="B3220" i="5"/>
  <c r="B3216" i="5"/>
  <c r="B3212" i="5"/>
  <c r="B3208" i="5"/>
  <c r="B3204" i="5"/>
  <c r="B3200" i="5"/>
  <c r="B3196" i="5"/>
  <c r="B3192" i="5"/>
  <c r="B3188" i="5"/>
  <c r="B3184" i="5"/>
  <c r="B3180" i="5"/>
  <c r="B3176" i="5"/>
  <c r="B3172" i="5"/>
  <c r="B3168" i="5"/>
  <c r="B3164" i="5"/>
  <c r="B3160" i="5"/>
  <c r="B3156" i="5"/>
  <c r="B3152" i="5"/>
  <c r="B3148" i="5"/>
  <c r="B3144" i="5"/>
  <c r="B3140" i="5"/>
  <c r="B3136" i="5"/>
  <c r="B3132" i="5"/>
  <c r="B3128" i="5"/>
  <c r="B3124" i="5"/>
  <c r="B3120" i="5"/>
  <c r="B3116" i="5"/>
  <c r="B3112" i="5"/>
  <c r="B3108" i="5"/>
  <c r="B3104" i="5"/>
  <c r="B3100" i="5"/>
  <c r="B3096" i="5"/>
  <c r="B3092" i="5"/>
  <c r="B3088" i="5"/>
  <c r="B3084" i="5"/>
  <c r="B3080" i="5"/>
  <c r="B3076" i="5"/>
  <c r="B3072" i="5"/>
  <c r="B3068" i="5"/>
  <c r="B3064" i="5"/>
  <c r="B3060" i="5"/>
  <c r="B3056" i="5"/>
  <c r="B3052" i="5"/>
  <c r="B3048" i="5"/>
  <c r="B3044" i="5"/>
  <c r="B3040" i="5"/>
  <c r="B3036" i="5"/>
  <c r="B3032" i="5"/>
  <c r="B3028" i="5"/>
  <c r="B3024" i="5"/>
  <c r="B3020" i="5"/>
  <c r="B3016" i="5"/>
  <c r="B3012" i="5"/>
  <c r="B3008" i="5"/>
  <c r="B3004" i="5"/>
  <c r="B3000" i="5"/>
  <c r="B2996" i="5"/>
  <c r="B2992" i="5"/>
  <c r="B2988" i="5"/>
  <c r="B2984" i="5"/>
  <c r="B2980" i="5"/>
  <c r="B2976" i="5"/>
  <c r="B2972" i="5"/>
  <c r="B2968" i="5"/>
  <c r="B2964" i="5"/>
  <c r="B2960" i="5"/>
  <c r="B2956" i="5"/>
  <c r="B2952" i="5"/>
  <c r="B2948" i="5"/>
  <c r="B2944" i="5"/>
  <c r="B2940" i="5"/>
  <c r="B2936" i="5"/>
  <c r="B2932" i="5"/>
  <c r="B2928" i="5"/>
  <c r="B2924" i="5"/>
  <c r="B2920" i="5"/>
  <c r="B2916" i="5"/>
  <c r="B2912" i="5"/>
  <c r="B2908" i="5"/>
  <c r="B2904" i="5"/>
  <c r="B2900" i="5"/>
  <c r="B2896" i="5"/>
  <c r="B2892" i="5"/>
  <c r="B2888" i="5"/>
  <c r="B2884" i="5"/>
  <c r="B2880" i="5"/>
  <c r="B2876" i="5"/>
  <c r="B2872" i="5"/>
  <c r="B2868" i="5"/>
  <c r="B2864" i="5"/>
  <c r="B2860" i="5"/>
  <c r="B2856" i="5"/>
  <c r="B2852" i="5"/>
  <c r="B2848" i="5"/>
  <c r="B2844" i="5"/>
  <c r="B2840" i="5"/>
  <c r="B2836" i="5"/>
  <c r="B2832" i="5"/>
  <c r="B2828" i="5"/>
  <c r="B2824" i="5"/>
  <c r="B2820" i="5"/>
  <c r="B2816" i="5"/>
  <c r="B5002" i="5"/>
  <c r="B4823" i="5"/>
  <c r="B4759" i="5"/>
  <c r="B4695" i="5"/>
  <c r="B4626" i="5"/>
  <c r="B4553" i="5"/>
  <c r="B4482" i="5"/>
  <c r="B4028" i="5"/>
  <c r="B3964" i="5"/>
  <c r="B3900" i="5"/>
  <c r="B3842" i="5"/>
  <c r="B3826" i="5"/>
  <c r="B3810" i="5"/>
  <c r="B3794" i="5"/>
  <c r="B3778" i="5"/>
  <c r="B3762" i="5"/>
  <c r="B3746" i="5"/>
  <c r="B3730" i="5"/>
  <c r="B3714" i="5"/>
  <c r="B3698" i="5"/>
  <c r="B3682" i="5"/>
  <c r="B3666" i="5"/>
  <c r="B3650" i="5"/>
  <c r="B3634" i="5"/>
  <c r="B3618" i="5"/>
  <c r="B3602" i="5"/>
  <c r="B3586" i="5"/>
  <c r="B3570" i="5"/>
  <c r="B3554" i="5"/>
  <c r="B3538" i="5"/>
  <c r="B3522" i="5"/>
  <c r="B3506" i="5"/>
  <c r="B3490" i="5"/>
  <c r="B3474" i="5"/>
  <c r="B3458" i="5"/>
  <c r="B3442" i="5"/>
  <c r="B3426" i="5"/>
  <c r="B3410" i="5"/>
  <c r="B3395" i="5"/>
  <c r="B3379" i="5"/>
  <c r="B3363" i="5"/>
  <c r="B3347" i="5"/>
  <c r="B3337" i="5"/>
  <c r="B3331" i="5"/>
  <c r="B3325" i="5"/>
  <c r="B3321" i="5"/>
  <c r="B3316" i="5"/>
  <c r="B3310" i="5"/>
  <c r="B3305" i="5"/>
  <c r="B3300" i="5"/>
  <c r="B3278" i="5"/>
  <c r="B3290" i="5"/>
  <c r="B3286" i="5"/>
  <c r="B3282" i="5"/>
  <c r="B3275" i="5"/>
  <c r="B3271" i="5"/>
  <c r="B3267" i="5"/>
  <c r="B3263" i="5"/>
  <c r="B3259" i="5"/>
  <c r="B3255" i="5"/>
  <c r="B3251" i="5"/>
  <c r="B3247" i="5"/>
  <c r="B3243" i="5"/>
  <c r="B3239" i="5"/>
  <c r="B3235" i="5"/>
  <c r="B3231" i="5"/>
  <c r="B3227" i="5"/>
  <c r="B3223" i="5"/>
  <c r="B3219" i="5"/>
  <c r="B3215" i="5"/>
  <c r="B3211" i="5"/>
  <c r="B3207" i="5"/>
  <c r="B3203" i="5"/>
  <c r="B3199" i="5"/>
  <c r="B3195" i="5"/>
  <c r="B3191" i="5"/>
  <c r="B3187" i="5"/>
  <c r="B3183" i="5"/>
  <c r="B3179" i="5"/>
  <c r="B3175" i="5"/>
  <c r="B3171" i="5"/>
  <c r="B3167" i="5"/>
  <c r="B3163" i="5"/>
  <c r="B3159" i="5"/>
  <c r="B3155" i="5"/>
  <c r="B3151" i="5"/>
  <c r="B3147" i="5"/>
  <c r="B3143" i="5"/>
  <c r="B3139" i="5"/>
  <c r="B3135" i="5"/>
  <c r="B3131" i="5"/>
  <c r="B3127" i="5"/>
  <c r="B3123" i="5"/>
  <c r="B3119" i="5"/>
  <c r="B3115" i="5"/>
  <c r="B3111" i="5"/>
  <c r="B3107" i="5"/>
  <c r="B3103" i="5"/>
  <c r="B3099" i="5"/>
  <c r="B3095" i="5"/>
  <c r="B3091" i="5"/>
  <c r="B3087" i="5"/>
  <c r="B3083" i="5"/>
  <c r="B3079" i="5"/>
  <c r="B3075" i="5"/>
  <c r="B3071" i="5"/>
  <c r="B3067" i="5"/>
  <c r="B3063" i="5"/>
  <c r="B3059" i="5"/>
  <c r="B3055" i="5"/>
  <c r="B3051" i="5"/>
  <c r="B3047" i="5"/>
  <c r="B3043" i="5"/>
  <c r="B3039" i="5"/>
  <c r="B3035" i="5"/>
  <c r="B3031" i="5"/>
  <c r="B3027" i="5"/>
  <c r="B3023" i="5"/>
  <c r="B3019" i="5"/>
  <c r="B3015" i="5"/>
  <c r="B3011" i="5"/>
  <c r="B3007" i="5"/>
  <c r="B3003" i="5"/>
  <c r="B2999" i="5"/>
  <c r="B2995" i="5"/>
  <c r="B2991" i="5"/>
  <c r="B2987" i="5"/>
  <c r="B2983" i="5"/>
  <c r="B2979" i="5"/>
  <c r="B2975" i="5"/>
  <c r="B2971" i="5"/>
  <c r="B2967" i="5"/>
  <c r="B2963" i="5"/>
  <c r="B2959" i="5"/>
  <c r="B2955" i="5"/>
  <c r="B2951" i="5"/>
  <c r="B2947" i="5"/>
  <c r="B2943" i="5"/>
  <c r="B2939" i="5"/>
  <c r="B2935" i="5"/>
  <c r="B2931" i="5"/>
  <c r="B2927" i="5"/>
  <c r="B2923" i="5"/>
  <c r="B2919" i="5"/>
  <c r="B2915" i="5"/>
  <c r="B2911" i="5"/>
  <c r="B2907" i="5"/>
  <c r="B2903" i="5"/>
  <c r="B2899" i="5"/>
  <c r="B2895" i="5"/>
  <c r="B2891" i="5"/>
  <c r="B2887" i="5"/>
  <c r="B2883" i="5"/>
  <c r="B2879" i="5"/>
  <c r="B2875" i="5"/>
  <c r="B2871" i="5"/>
  <c r="B2867" i="5"/>
  <c r="B2863" i="5"/>
  <c r="B2859" i="5"/>
  <c r="B2855" i="5"/>
  <c r="B2851" i="5"/>
  <c r="B2847" i="5"/>
  <c r="B2843" i="5"/>
  <c r="B2839" i="5"/>
  <c r="B2835" i="5"/>
  <c r="B2831" i="5"/>
  <c r="B2827" i="5"/>
  <c r="B2823" i="5"/>
  <c r="B2819" i="5"/>
  <c r="B2815" i="5"/>
  <c r="B4938" i="5"/>
  <c r="B4609" i="5"/>
  <c r="B3948" i="5"/>
  <c r="B3806" i="5"/>
  <c r="B3742" i="5"/>
  <c r="B3678" i="5"/>
  <c r="B3614" i="5"/>
  <c r="B3550" i="5"/>
  <c r="B3486" i="5"/>
  <c r="B3422" i="5"/>
  <c r="B3359" i="5"/>
  <c r="B3279" i="5"/>
  <c r="B3304" i="5"/>
  <c r="B3285" i="5"/>
  <c r="B3266" i="5"/>
  <c r="B3250" i="5"/>
  <c r="B3234" i="5"/>
  <c r="B3218" i="5"/>
  <c r="B3202" i="5"/>
  <c r="B3186" i="5"/>
  <c r="B3170" i="5"/>
  <c r="B3154" i="5"/>
  <c r="B3138" i="5"/>
  <c r="B3122" i="5"/>
  <c r="B3106" i="5"/>
  <c r="B3090" i="5"/>
  <c r="B3074" i="5"/>
  <c r="B3058" i="5"/>
  <c r="B3042" i="5"/>
  <c r="B3026" i="5"/>
  <c r="B3010" i="5"/>
  <c r="B2994" i="5"/>
  <c r="B2978" i="5"/>
  <c r="B2962" i="5"/>
  <c r="B2946" i="5"/>
  <c r="B2930" i="5"/>
  <c r="B2914" i="5"/>
  <c r="B2898" i="5"/>
  <c r="B2882" i="5"/>
  <c r="B2866" i="5"/>
  <c r="B2850" i="5"/>
  <c r="B2834" i="5"/>
  <c r="B2818" i="5"/>
  <c r="B2810" i="5"/>
  <c r="B2805" i="5"/>
  <c r="B2801" i="5"/>
  <c r="B2797" i="5"/>
  <c r="B2692" i="5"/>
  <c r="B2688" i="5"/>
  <c r="B2684" i="5"/>
  <c r="B2680" i="5"/>
  <c r="B2676" i="5"/>
  <c r="B2672" i="5"/>
  <c r="B2668" i="5"/>
  <c r="B2664" i="5"/>
  <c r="B2660" i="5"/>
  <c r="B2656" i="5"/>
  <c r="B2652" i="5"/>
  <c r="B2648" i="5"/>
  <c r="B2644" i="5"/>
  <c r="B2640" i="5"/>
  <c r="B2636" i="5"/>
  <c r="B2632" i="5"/>
  <c r="B2628" i="5"/>
  <c r="B2624" i="5"/>
  <c r="B2620" i="5"/>
  <c r="B2616" i="5"/>
  <c r="B2612" i="5"/>
  <c r="B2608" i="5"/>
  <c r="B2604" i="5"/>
  <c r="B2600" i="5"/>
  <c r="B2596" i="5"/>
  <c r="B2592" i="5"/>
  <c r="B2588" i="5"/>
  <c r="B2584" i="5"/>
  <c r="B2580" i="5"/>
  <c r="B2576" i="5"/>
  <c r="B2572" i="5"/>
  <c r="B2568" i="5"/>
  <c r="B2564" i="5"/>
  <c r="B2560" i="5"/>
  <c r="B2556" i="5"/>
  <c r="B2552" i="5"/>
  <c r="B2548" i="5"/>
  <c r="B2544" i="5"/>
  <c r="B2540" i="5"/>
  <c r="B2536" i="5"/>
  <c r="B2532" i="5"/>
  <c r="B2528" i="5"/>
  <c r="B2524" i="5"/>
  <c r="B2520" i="5"/>
  <c r="B2516" i="5"/>
  <c r="B2512" i="5"/>
  <c r="B2508" i="5"/>
  <c r="B2504" i="5"/>
  <c r="B2500" i="5"/>
  <c r="B2496" i="5"/>
  <c r="B2492" i="5"/>
  <c r="B2488" i="5"/>
  <c r="B2484" i="5"/>
  <c r="B2480" i="5"/>
  <c r="B2476" i="5"/>
  <c r="B2472" i="5"/>
  <c r="B2468" i="5"/>
  <c r="B2464" i="5"/>
  <c r="B2460" i="5"/>
  <c r="B2456" i="5"/>
  <c r="B2452" i="5"/>
  <c r="B2448" i="5"/>
  <c r="B2444" i="5"/>
  <c r="B2440" i="5"/>
  <c r="B2436" i="5"/>
  <c r="B2432" i="5"/>
  <c r="B2428" i="5"/>
  <c r="B2424" i="5"/>
  <c r="B2420" i="5"/>
  <c r="B2416" i="5"/>
  <c r="B2412" i="5"/>
  <c r="B2408" i="5"/>
  <c r="B2404" i="5"/>
  <c r="B2400" i="5"/>
  <c r="B2396" i="5"/>
  <c r="B2392" i="5"/>
  <c r="B2388" i="5"/>
  <c r="B2384" i="5"/>
  <c r="B2380" i="5"/>
  <c r="B2376" i="5"/>
  <c r="B2372" i="5"/>
  <c r="B2368" i="5"/>
  <c r="B2364" i="5"/>
  <c r="B2360" i="5"/>
  <c r="B2356" i="5"/>
  <c r="B2352" i="5"/>
  <c r="B2348" i="5"/>
  <c r="B2344" i="5"/>
  <c r="B2340" i="5"/>
  <c r="B2336" i="5"/>
  <c r="B2332" i="5"/>
  <c r="B2328" i="5"/>
  <c r="B2324" i="5"/>
  <c r="B2320" i="5"/>
  <c r="B2316" i="5"/>
  <c r="B2312" i="5"/>
  <c r="B2308" i="5"/>
  <c r="B2304" i="5"/>
  <c r="B2300" i="5"/>
  <c r="B2296" i="5"/>
  <c r="B2292" i="5"/>
  <c r="B2288" i="5"/>
  <c r="B2284" i="5"/>
  <c r="B2280" i="5"/>
  <c r="B2276" i="5"/>
  <c r="B2272" i="5"/>
  <c r="B2268" i="5"/>
  <c r="B2264" i="5"/>
  <c r="B2260" i="5"/>
  <c r="B2256" i="5"/>
  <c r="B2252" i="5"/>
  <c r="B2248" i="5"/>
  <c r="B2244" i="5"/>
  <c r="B2240" i="5"/>
  <c r="B2236" i="5"/>
  <c r="B2232" i="5"/>
  <c r="B2228" i="5"/>
  <c r="B2224" i="5"/>
  <c r="B2220" i="5"/>
  <c r="B2216" i="5"/>
  <c r="B2212" i="5"/>
  <c r="B2208" i="5"/>
  <c r="B2204" i="5"/>
  <c r="B2200" i="5"/>
  <c r="B2196" i="5"/>
  <c r="B2192" i="5"/>
  <c r="B2188" i="5"/>
  <c r="B2184" i="5"/>
  <c r="B2180" i="5"/>
  <c r="B2176" i="5"/>
  <c r="B2172" i="5"/>
  <c r="B2168" i="5"/>
  <c r="B2164" i="5"/>
  <c r="B2160" i="5"/>
  <c r="B2156" i="5"/>
  <c r="B2152" i="5"/>
  <c r="B2148" i="5"/>
  <c r="B2144" i="5"/>
  <c r="B2140" i="5"/>
  <c r="B2136" i="5"/>
  <c r="B2132" i="5"/>
  <c r="B2128" i="5"/>
  <c r="B2124" i="5"/>
  <c r="B2120" i="5"/>
  <c r="B2116" i="5"/>
  <c r="B2112" i="5"/>
  <c r="B2108" i="5"/>
  <c r="B2104" i="5"/>
  <c r="B2100" i="5"/>
  <c r="B2096" i="5"/>
  <c r="B2092" i="5"/>
  <c r="B2088" i="5"/>
  <c r="B2084" i="5"/>
  <c r="B2080" i="5"/>
  <c r="B2076" i="5"/>
  <c r="B2072" i="5"/>
  <c r="B2068" i="5"/>
  <c r="B2064" i="5"/>
  <c r="B2060" i="5"/>
  <c r="B2056" i="5"/>
  <c r="B2052" i="5"/>
  <c r="B2048" i="5"/>
  <c r="B2044" i="5"/>
  <c r="B2040" i="5"/>
  <c r="B2036" i="5"/>
  <c r="B2032" i="5"/>
  <c r="B2028" i="5"/>
  <c r="B2024" i="5"/>
  <c r="B2020" i="5"/>
  <c r="B2016" i="5"/>
  <c r="B2012" i="5"/>
  <c r="B2008" i="5"/>
  <c r="B2004" i="5"/>
  <c r="B2000" i="5"/>
  <c r="B1996" i="5"/>
  <c r="B1992" i="5"/>
  <c r="B1988" i="5"/>
  <c r="B1984" i="5"/>
  <c r="B1980" i="5"/>
  <c r="B1976" i="5"/>
  <c r="B1972" i="5"/>
  <c r="B1968" i="5"/>
  <c r="B1964" i="5"/>
  <c r="B1960" i="5"/>
  <c r="B1956" i="5"/>
  <c r="B1952" i="5"/>
  <c r="B1948" i="5"/>
  <c r="B1944" i="5"/>
  <c r="B1940" i="5"/>
  <c r="B1936" i="5"/>
  <c r="B1932" i="5"/>
  <c r="B1928" i="5"/>
  <c r="B1924" i="5"/>
  <c r="B1920" i="5"/>
  <c r="B1916" i="5"/>
  <c r="B1912" i="5"/>
  <c r="B1908" i="5"/>
  <c r="B1904" i="5"/>
  <c r="B1900" i="5"/>
  <c r="B1896" i="5"/>
  <c r="B1892" i="5"/>
  <c r="B1888" i="5"/>
  <c r="B1884" i="5"/>
  <c r="B1880" i="5"/>
  <c r="B1876" i="5"/>
  <c r="B1872" i="5"/>
  <c r="B1868" i="5"/>
  <c r="B1864" i="5"/>
  <c r="B1860" i="5"/>
  <c r="B1856" i="5"/>
  <c r="B1852" i="5"/>
  <c r="B1848" i="5"/>
  <c r="B1844" i="5"/>
  <c r="B1840" i="5"/>
  <c r="B1836" i="5"/>
  <c r="B1832" i="5"/>
  <c r="B1828" i="5"/>
  <c r="B1824" i="5"/>
  <c r="B1820" i="5"/>
  <c r="B1816" i="5"/>
  <c r="B1812" i="5"/>
  <c r="B1808" i="5"/>
  <c r="B1804" i="5"/>
  <c r="B1800" i="5"/>
  <c r="B1796" i="5"/>
  <c r="B1792" i="5"/>
  <c r="B1788" i="5"/>
  <c r="B1784" i="5"/>
  <c r="B1780" i="5"/>
  <c r="B1776" i="5"/>
  <c r="B1772" i="5"/>
  <c r="B1768" i="5"/>
  <c r="B1764" i="5"/>
  <c r="B1760" i="5"/>
  <c r="B1756" i="5"/>
  <c r="B1752" i="5"/>
  <c r="B1748" i="5"/>
  <c r="B1744" i="5"/>
  <c r="B1740" i="5"/>
  <c r="B1736" i="5"/>
  <c r="B1732" i="5"/>
  <c r="B1728" i="5"/>
  <c r="B1724" i="5"/>
  <c r="B1720" i="5"/>
  <c r="B1716" i="5"/>
  <c r="B1712" i="5"/>
  <c r="B1708" i="5"/>
  <c r="B1704" i="5"/>
  <c r="B1700" i="5"/>
  <c r="B1696" i="5"/>
  <c r="B1692" i="5"/>
  <c r="B1688" i="5"/>
  <c r="B1684" i="5"/>
  <c r="B1680" i="5"/>
  <c r="B1676" i="5"/>
  <c r="B1672" i="5"/>
  <c r="B1668" i="5"/>
  <c r="B1664" i="5"/>
  <c r="B1660" i="5"/>
  <c r="B1656" i="5"/>
  <c r="B1652" i="5"/>
  <c r="B1648" i="5"/>
  <c r="B1644" i="5"/>
  <c r="B1640" i="5"/>
  <c r="B1636" i="5"/>
  <c r="B1632" i="5"/>
  <c r="B1628" i="5"/>
  <c r="B1624" i="5"/>
  <c r="B1620" i="5"/>
  <c r="B1616" i="5"/>
  <c r="B1612" i="5"/>
  <c r="B1608" i="5"/>
  <c r="B1604" i="5"/>
  <c r="B1600" i="5"/>
  <c r="B1596" i="5"/>
  <c r="B1592" i="5"/>
  <c r="B1588" i="5"/>
  <c r="B1584" i="5"/>
  <c r="B1580" i="5"/>
  <c r="B1576" i="5"/>
  <c r="B1572" i="5"/>
  <c r="B1568" i="5"/>
  <c r="B1564" i="5"/>
  <c r="B1560" i="5"/>
  <c r="B1556" i="5"/>
  <c r="B4807" i="5"/>
  <c r="B4535" i="5"/>
  <c r="B3884" i="5"/>
  <c r="B3790" i="5"/>
  <c r="B3726" i="5"/>
  <c r="B3662" i="5"/>
  <c r="B3598" i="5"/>
  <c r="B3534" i="5"/>
  <c r="B3470" i="5"/>
  <c r="B3407" i="5"/>
  <c r="B3343" i="5"/>
  <c r="B3320" i="5"/>
  <c r="B3298" i="5"/>
  <c r="B3281" i="5"/>
  <c r="B3262" i="5"/>
  <c r="B3246" i="5"/>
  <c r="B3230" i="5"/>
  <c r="B3214" i="5"/>
  <c r="B3198" i="5"/>
  <c r="B3182" i="5"/>
  <c r="B3166" i="5"/>
  <c r="B3150" i="5"/>
  <c r="B3134" i="5"/>
  <c r="B3118" i="5"/>
  <c r="B3102" i="5"/>
  <c r="B3086" i="5"/>
  <c r="B3070" i="5"/>
  <c r="B3054" i="5"/>
  <c r="B3038" i="5"/>
  <c r="B3022" i="5"/>
  <c r="B3006" i="5"/>
  <c r="B2990" i="5"/>
  <c r="B2974" i="5"/>
  <c r="B2958" i="5"/>
  <c r="B2942" i="5"/>
  <c r="B2926" i="5"/>
  <c r="B2910" i="5"/>
  <c r="B2894" i="5"/>
  <c r="B2878" i="5"/>
  <c r="B2862" i="5"/>
  <c r="B2846" i="5"/>
  <c r="B2830" i="5"/>
  <c r="B2814" i="5"/>
  <c r="B2808" i="5"/>
  <c r="B2804" i="5"/>
  <c r="B2800" i="5"/>
  <c r="B2796" i="5"/>
  <c r="B2691" i="5"/>
  <c r="B2687" i="5"/>
  <c r="B2683" i="5"/>
  <c r="B2679" i="5"/>
  <c r="B2675" i="5"/>
  <c r="B2671" i="5"/>
  <c r="B2667" i="5"/>
  <c r="B2663" i="5"/>
  <c r="B2659" i="5"/>
  <c r="B2655" i="5"/>
  <c r="B2651" i="5"/>
  <c r="B2647" i="5"/>
  <c r="B2643" i="5"/>
  <c r="B2639" i="5"/>
  <c r="B2635" i="5"/>
  <c r="B2631" i="5"/>
  <c r="B2627" i="5"/>
  <c r="B2623" i="5"/>
  <c r="B2619" i="5"/>
  <c r="B2615" i="5"/>
  <c r="B2611" i="5"/>
  <c r="B2607" i="5"/>
  <c r="B2603" i="5"/>
  <c r="B2599" i="5"/>
  <c r="B2595" i="5"/>
  <c r="B2591" i="5"/>
  <c r="B2587" i="5"/>
  <c r="B2583" i="5"/>
  <c r="B2579" i="5"/>
  <c r="B2575" i="5"/>
  <c r="B2571" i="5"/>
  <c r="B2567" i="5"/>
  <c r="B2563" i="5"/>
  <c r="B2559" i="5"/>
  <c r="B2555" i="5"/>
  <c r="B2551" i="5"/>
  <c r="B2547" i="5"/>
  <c r="B2543" i="5"/>
  <c r="B2539" i="5"/>
  <c r="B2535" i="5"/>
  <c r="B2531" i="5"/>
  <c r="B2527" i="5"/>
  <c r="B2523" i="5"/>
  <c r="B2519" i="5"/>
  <c r="B2515" i="5"/>
  <c r="B2511" i="5"/>
  <c r="B2507" i="5"/>
  <c r="B2503" i="5"/>
  <c r="B2499" i="5"/>
  <c r="B2495" i="5"/>
  <c r="B2491" i="5"/>
  <c r="B2487" i="5"/>
  <c r="B2483" i="5"/>
  <c r="B2479" i="5"/>
  <c r="B2475" i="5"/>
  <c r="B2471" i="5"/>
  <c r="B2467" i="5"/>
  <c r="B2463" i="5"/>
  <c r="B2459" i="5"/>
  <c r="B2455" i="5"/>
  <c r="B2451" i="5"/>
  <c r="B2447" i="5"/>
  <c r="B2443" i="5"/>
  <c r="B2439" i="5"/>
  <c r="B2435" i="5"/>
  <c r="B2431" i="5"/>
  <c r="B2427" i="5"/>
  <c r="B2423" i="5"/>
  <c r="B2419" i="5"/>
  <c r="B2415" i="5"/>
  <c r="B2411" i="5"/>
  <c r="B2407" i="5"/>
  <c r="B2403" i="5"/>
  <c r="B2399" i="5"/>
  <c r="B2395" i="5"/>
  <c r="B2391" i="5"/>
  <c r="B2387" i="5"/>
  <c r="B2383" i="5"/>
  <c r="B2379" i="5"/>
  <c r="B2375" i="5"/>
  <c r="B2371" i="5"/>
  <c r="B2367" i="5"/>
  <c r="B2363" i="5"/>
  <c r="B2359" i="5"/>
  <c r="B2355" i="5"/>
  <c r="B2351" i="5"/>
  <c r="B2347" i="5"/>
  <c r="B2343" i="5"/>
  <c r="B2339" i="5"/>
  <c r="B2335" i="5"/>
  <c r="B2331" i="5"/>
  <c r="B2327" i="5"/>
  <c r="B2323" i="5"/>
  <c r="B2319" i="5"/>
  <c r="B2315" i="5"/>
  <c r="B2311" i="5"/>
  <c r="B2307" i="5"/>
  <c r="B2303" i="5"/>
  <c r="B2299" i="5"/>
  <c r="B2295" i="5"/>
  <c r="B2291" i="5"/>
  <c r="B2287" i="5"/>
  <c r="B2283" i="5"/>
  <c r="B2279" i="5"/>
  <c r="B2275" i="5"/>
  <c r="B2271" i="5"/>
  <c r="B2267" i="5"/>
  <c r="B2263" i="5"/>
  <c r="B2259" i="5"/>
  <c r="B2255" i="5"/>
  <c r="B2251" i="5"/>
  <c r="B2247" i="5"/>
  <c r="B2243" i="5"/>
  <c r="B2239" i="5"/>
  <c r="B2235" i="5"/>
  <c r="B2231" i="5"/>
  <c r="B2227" i="5"/>
  <c r="B2223" i="5"/>
  <c r="B2219" i="5"/>
  <c r="B2215" i="5"/>
  <c r="B2211" i="5"/>
  <c r="B2207" i="5"/>
  <c r="B2203" i="5"/>
  <c r="B2199" i="5"/>
  <c r="B2195" i="5"/>
  <c r="B2191" i="5"/>
  <c r="B2187" i="5"/>
  <c r="B2183" i="5"/>
  <c r="B2179" i="5"/>
  <c r="B2175" i="5"/>
  <c r="B2171" i="5"/>
  <c r="B2167" i="5"/>
  <c r="B2163" i="5"/>
  <c r="B2159" i="5"/>
  <c r="B2155" i="5"/>
  <c r="B2151" i="5"/>
  <c r="B2147" i="5"/>
  <c r="B2143" i="5"/>
  <c r="B2139" i="5"/>
  <c r="B2135" i="5"/>
  <c r="B2131" i="5"/>
  <c r="B2127" i="5"/>
  <c r="B2123" i="5"/>
  <c r="B2119" i="5"/>
  <c r="B2115" i="5"/>
  <c r="B2111" i="5"/>
  <c r="B2107" i="5"/>
  <c r="B2103" i="5"/>
  <c r="B2099" i="5"/>
  <c r="B2095" i="5"/>
  <c r="B2091" i="5"/>
  <c r="B2087" i="5"/>
  <c r="B2083" i="5"/>
  <c r="B2079" i="5"/>
  <c r="B2075" i="5"/>
  <c r="B2071" i="5"/>
  <c r="B2067" i="5"/>
  <c r="B2063" i="5"/>
  <c r="B2059" i="5"/>
  <c r="B2055" i="5"/>
  <c r="B2051" i="5"/>
  <c r="B2047" i="5"/>
  <c r="B2043" i="5"/>
  <c r="B2039" i="5"/>
  <c r="B2035" i="5"/>
  <c r="B2031" i="5"/>
  <c r="B2027" i="5"/>
  <c r="B2023" i="5"/>
  <c r="B2019" i="5"/>
  <c r="B2015" i="5"/>
  <c r="B2011" i="5"/>
  <c r="B2007" i="5"/>
  <c r="B2003" i="5"/>
  <c r="B1999" i="5"/>
  <c r="B1995" i="5"/>
  <c r="B1991" i="5"/>
  <c r="B1987" i="5"/>
  <c r="B1983" i="5"/>
  <c r="B1979" i="5"/>
  <c r="B1975" i="5"/>
  <c r="B1971" i="5"/>
  <c r="B1967" i="5"/>
  <c r="B1963" i="5"/>
  <c r="B1959" i="5"/>
  <c r="B1955" i="5"/>
  <c r="B1951" i="5"/>
  <c r="B1947" i="5"/>
  <c r="B1943" i="5"/>
  <c r="B1939" i="5"/>
  <c r="B1935" i="5"/>
  <c r="B1931" i="5"/>
  <c r="B1927" i="5"/>
  <c r="B1923" i="5"/>
  <c r="B1919" i="5"/>
  <c r="B1915" i="5"/>
  <c r="B1911" i="5"/>
  <c r="B1907" i="5"/>
  <c r="B1903" i="5"/>
  <c r="B1899" i="5"/>
  <c r="B1895" i="5"/>
  <c r="B1891" i="5"/>
  <c r="B1887" i="5"/>
  <c r="B1883" i="5"/>
  <c r="B1879" i="5"/>
  <c r="B1875" i="5"/>
  <c r="B1871" i="5"/>
  <c r="B1867" i="5"/>
  <c r="B1863" i="5"/>
  <c r="B1859" i="5"/>
  <c r="B1855" i="5"/>
  <c r="B1851" i="5"/>
  <c r="B1847" i="5"/>
  <c r="B1843" i="5"/>
  <c r="B1839" i="5"/>
  <c r="B1835" i="5"/>
  <c r="B1831" i="5"/>
  <c r="B1827" i="5"/>
  <c r="B1823" i="5"/>
  <c r="B1819" i="5"/>
  <c r="B1815" i="5"/>
  <c r="B1811" i="5"/>
  <c r="B1807" i="5"/>
  <c r="B1803" i="5"/>
  <c r="B1799" i="5"/>
  <c r="B1795" i="5"/>
  <c r="B1791" i="5"/>
  <c r="B1787" i="5"/>
  <c r="B1783" i="5"/>
  <c r="B1779" i="5"/>
  <c r="B1775" i="5"/>
  <c r="B1771" i="5"/>
  <c r="B1767" i="5"/>
  <c r="B1763" i="5"/>
  <c r="B1759" i="5"/>
  <c r="B1755" i="5"/>
  <c r="B1751" i="5"/>
  <c r="B1747" i="5"/>
  <c r="B1743" i="5"/>
  <c r="B1739" i="5"/>
  <c r="B1735" i="5"/>
  <c r="B1731" i="5"/>
  <c r="B1727" i="5"/>
  <c r="B1723" i="5"/>
  <c r="B1719" i="5"/>
  <c r="B1715" i="5"/>
  <c r="B1711" i="5"/>
  <c r="B1707" i="5"/>
  <c r="B1703" i="5"/>
  <c r="B1699" i="5"/>
  <c r="B1695" i="5"/>
  <c r="B1691" i="5"/>
  <c r="B1687" i="5"/>
  <c r="B1683" i="5"/>
  <c r="B1679" i="5"/>
  <c r="B1675" i="5"/>
  <c r="B1671" i="5"/>
  <c r="B1667" i="5"/>
  <c r="B1663" i="5"/>
  <c r="B1659" i="5"/>
  <c r="B1655" i="5"/>
  <c r="B1651" i="5"/>
  <c r="B1647" i="5"/>
  <c r="B1643" i="5"/>
  <c r="B1639" i="5"/>
  <c r="B1635" i="5"/>
  <c r="B1631" i="5"/>
  <c r="B1627" i="5"/>
  <c r="B1623" i="5"/>
  <c r="B1619" i="5"/>
  <c r="B1615" i="5"/>
  <c r="B4743" i="5"/>
  <c r="B4076" i="5"/>
  <c r="B3838" i="5"/>
  <c r="B3774" i="5"/>
  <c r="B3710" i="5"/>
  <c r="B3646" i="5"/>
  <c r="B3582" i="5"/>
  <c r="B3518" i="5"/>
  <c r="B3454" i="5"/>
  <c r="B3391" i="5"/>
  <c r="B3335" i="5"/>
  <c r="B3314" i="5"/>
  <c r="B3294" i="5"/>
  <c r="B3274" i="5"/>
  <c r="B3258" i="5"/>
  <c r="B3242" i="5"/>
  <c r="B3226" i="5"/>
  <c r="B3210" i="5"/>
  <c r="B3194" i="5"/>
  <c r="B3178" i="5"/>
  <c r="B3162" i="5"/>
  <c r="B3146" i="5"/>
  <c r="B3130" i="5"/>
  <c r="B3114" i="5"/>
  <c r="B3098" i="5"/>
  <c r="B3082" i="5"/>
  <c r="B3066" i="5"/>
  <c r="B3050" i="5"/>
  <c r="B3034" i="5"/>
  <c r="B3018" i="5"/>
  <c r="B3002" i="5"/>
  <c r="B2986" i="5"/>
  <c r="B2970" i="5"/>
  <c r="B2954" i="5"/>
  <c r="B2938" i="5"/>
  <c r="B2922" i="5"/>
  <c r="B2906" i="5"/>
  <c r="B2890" i="5"/>
  <c r="B2874" i="5"/>
  <c r="B2858" i="5"/>
  <c r="B2842" i="5"/>
  <c r="B2826" i="5"/>
  <c r="B2812" i="5"/>
  <c r="B2807" i="5"/>
  <c r="B2803" i="5"/>
  <c r="B2799" i="5"/>
  <c r="B2795" i="5"/>
  <c r="B2694" i="5"/>
  <c r="B2690" i="5"/>
  <c r="B2686" i="5"/>
  <c r="B2682" i="5"/>
  <c r="B2678" i="5"/>
  <c r="B2674" i="5"/>
  <c r="B2670" i="5"/>
  <c r="B2666" i="5"/>
  <c r="B2662" i="5"/>
  <c r="B2658" i="5"/>
  <c r="B2654" i="5"/>
  <c r="B2650" i="5"/>
  <c r="B2646" i="5"/>
  <c r="B2642" i="5"/>
  <c r="B2638" i="5"/>
  <c r="B2634" i="5"/>
  <c r="B2630" i="5"/>
  <c r="B2626" i="5"/>
  <c r="B2622" i="5"/>
  <c r="B2618" i="5"/>
  <c r="B2614" i="5"/>
  <c r="B2610" i="5"/>
  <c r="B2606" i="5"/>
  <c r="B2602" i="5"/>
  <c r="B2598" i="5"/>
  <c r="B2594" i="5"/>
  <c r="B2590" i="5"/>
  <c r="B2586" i="5"/>
  <c r="B2582" i="5"/>
  <c r="B2578" i="5"/>
  <c r="B2574" i="5"/>
  <c r="B2570" i="5"/>
  <c r="B2566" i="5"/>
  <c r="B2562" i="5"/>
  <c r="B2558" i="5"/>
  <c r="B2554" i="5"/>
  <c r="B2550" i="5"/>
  <c r="B2546" i="5"/>
  <c r="B2542" i="5"/>
  <c r="B2538" i="5"/>
  <c r="B2534" i="5"/>
  <c r="B2530" i="5"/>
  <c r="B2526" i="5"/>
  <c r="B2522" i="5"/>
  <c r="B2518" i="5"/>
  <c r="B2514" i="5"/>
  <c r="B2510" i="5"/>
  <c r="B2506" i="5"/>
  <c r="B2502" i="5"/>
  <c r="B2498" i="5"/>
  <c r="B2494" i="5"/>
  <c r="B2490" i="5"/>
  <c r="B2486" i="5"/>
  <c r="B2482" i="5"/>
  <c r="B2478" i="5"/>
  <c r="B2474" i="5"/>
  <c r="B2470" i="5"/>
  <c r="B2466" i="5"/>
  <c r="B2462" i="5"/>
  <c r="B2458" i="5"/>
  <c r="B2454" i="5"/>
  <c r="B2450" i="5"/>
  <c r="B2446" i="5"/>
  <c r="B2442" i="5"/>
  <c r="B2438" i="5"/>
  <c r="B2434" i="5"/>
  <c r="B2430" i="5"/>
  <c r="B2426" i="5"/>
  <c r="B2422" i="5"/>
  <c r="B2418" i="5"/>
  <c r="B2414" i="5"/>
  <c r="B2410" i="5"/>
  <c r="B2406" i="5"/>
  <c r="B2402" i="5"/>
  <c r="B2398" i="5"/>
  <c r="B2394" i="5"/>
  <c r="B2390" i="5"/>
  <c r="B2386" i="5"/>
  <c r="B2382" i="5"/>
  <c r="B2378" i="5"/>
  <c r="B2374" i="5"/>
  <c r="B2370" i="5"/>
  <c r="B2366" i="5"/>
  <c r="B2362" i="5"/>
  <c r="B2358" i="5"/>
  <c r="B2354" i="5"/>
  <c r="B2350" i="5"/>
  <c r="B2346" i="5"/>
  <c r="B2342" i="5"/>
  <c r="B2338" i="5"/>
  <c r="B2334" i="5"/>
  <c r="B2330" i="5"/>
  <c r="B2326" i="5"/>
  <c r="B2322" i="5"/>
  <c r="B2318" i="5"/>
  <c r="B2314" i="5"/>
  <c r="B2310" i="5"/>
  <c r="B2306" i="5"/>
  <c r="B2302" i="5"/>
  <c r="B2298" i="5"/>
  <c r="B2294" i="5"/>
  <c r="B2290" i="5"/>
  <c r="B2286" i="5"/>
  <c r="B2282" i="5"/>
  <c r="B2278" i="5"/>
  <c r="B2274" i="5"/>
  <c r="B2270" i="5"/>
  <c r="B2266" i="5"/>
  <c r="B2262" i="5"/>
  <c r="B2258" i="5"/>
  <c r="B2254" i="5"/>
  <c r="B2250" i="5"/>
  <c r="B2246" i="5"/>
  <c r="B2242" i="5"/>
  <c r="B2238" i="5"/>
  <c r="B2234" i="5"/>
  <c r="B2230" i="5"/>
  <c r="B2226" i="5"/>
  <c r="B2222" i="5"/>
  <c r="B2218" i="5"/>
  <c r="B2214" i="5"/>
  <c r="B2210" i="5"/>
  <c r="B2206" i="5"/>
  <c r="B2202" i="5"/>
  <c r="B2198" i="5"/>
  <c r="B2194" i="5"/>
  <c r="B2190" i="5"/>
  <c r="B2186" i="5"/>
  <c r="B2182" i="5"/>
  <c r="B2178" i="5"/>
  <c r="B2174" i="5"/>
  <c r="B2170" i="5"/>
  <c r="B2166" i="5"/>
  <c r="B2162" i="5"/>
  <c r="B2158" i="5"/>
  <c r="B2154" i="5"/>
  <c r="B2150" i="5"/>
  <c r="B2146" i="5"/>
  <c r="B2142" i="5"/>
  <c r="B2138" i="5"/>
  <c r="B2134" i="5"/>
  <c r="B2130" i="5"/>
  <c r="B2126" i="5"/>
  <c r="B2122" i="5"/>
  <c r="B2118" i="5"/>
  <c r="B2114" i="5"/>
  <c r="B2110" i="5"/>
  <c r="B2106" i="5"/>
  <c r="B2102" i="5"/>
  <c r="B2098" i="5"/>
  <c r="B2094" i="5"/>
  <c r="B2090" i="5"/>
  <c r="B2086" i="5"/>
  <c r="B2082" i="5"/>
  <c r="B2078" i="5"/>
  <c r="B2074" i="5"/>
  <c r="B2070" i="5"/>
  <c r="B2066" i="5"/>
  <c r="B2062" i="5"/>
  <c r="B2058" i="5"/>
  <c r="B2054" i="5"/>
  <c r="B2050" i="5"/>
  <c r="B2046" i="5"/>
  <c r="B2042" i="5"/>
  <c r="B2038" i="5"/>
  <c r="B2034" i="5"/>
  <c r="B2030" i="5"/>
  <c r="B2026" i="5"/>
  <c r="B2022" i="5"/>
  <c r="B2018" i="5"/>
  <c r="B2014" i="5"/>
  <c r="B2010" i="5"/>
  <c r="B2006" i="5"/>
  <c r="B2002" i="5"/>
  <c r="B1998" i="5"/>
  <c r="B1994" i="5"/>
  <c r="B1990" i="5"/>
  <c r="B1986" i="5"/>
  <c r="B1982" i="5"/>
  <c r="B1978" i="5"/>
  <c r="B1974" i="5"/>
  <c r="B1970" i="5"/>
  <c r="B1966" i="5"/>
  <c r="B1962" i="5"/>
  <c r="B1958" i="5"/>
  <c r="B1954" i="5"/>
  <c r="B1950" i="5"/>
  <c r="B1946" i="5"/>
  <c r="B1942" i="5"/>
  <c r="B1938" i="5"/>
  <c r="B1934" i="5"/>
  <c r="B1930" i="5"/>
  <c r="B1926" i="5"/>
  <c r="B1922" i="5"/>
  <c r="B1918" i="5"/>
  <c r="B1914" i="5"/>
  <c r="B1910" i="5"/>
  <c r="B1906" i="5"/>
  <c r="B1902" i="5"/>
  <c r="B1898" i="5"/>
  <c r="B1894" i="5"/>
  <c r="B1890" i="5"/>
  <c r="B1886" i="5"/>
  <c r="B1882" i="5"/>
  <c r="B1878" i="5"/>
  <c r="B1874" i="5"/>
  <c r="B1870" i="5"/>
  <c r="B1866" i="5"/>
  <c r="B1862" i="5"/>
  <c r="B1858" i="5"/>
  <c r="B1854" i="5"/>
  <c r="B1850" i="5"/>
  <c r="B1846" i="5"/>
  <c r="B1842" i="5"/>
  <c r="B1838" i="5"/>
  <c r="B1834" i="5"/>
  <c r="B1830" i="5"/>
  <c r="B1826" i="5"/>
  <c r="B1822" i="5"/>
  <c r="B1818" i="5"/>
  <c r="B1814" i="5"/>
  <c r="B1810" i="5"/>
  <c r="B1806" i="5"/>
  <c r="B1802" i="5"/>
  <c r="B1798" i="5"/>
  <c r="B1794" i="5"/>
  <c r="B1790" i="5"/>
  <c r="B1786" i="5"/>
  <c r="B1782" i="5"/>
  <c r="B1778" i="5"/>
  <c r="B1774" i="5"/>
  <c r="B1770" i="5"/>
  <c r="B1766" i="5"/>
  <c r="B1762" i="5"/>
  <c r="B1758" i="5"/>
  <c r="B1754" i="5"/>
  <c r="B1750" i="5"/>
  <c r="B1746" i="5"/>
  <c r="B1742" i="5"/>
  <c r="B1738" i="5"/>
  <c r="B1734" i="5"/>
  <c r="B1730" i="5"/>
  <c r="B1726" i="5"/>
  <c r="B1722" i="5"/>
  <c r="B1718" i="5"/>
  <c r="B1714" i="5"/>
  <c r="B1710" i="5"/>
  <c r="B1706" i="5"/>
  <c r="B1702" i="5"/>
  <c r="B1698" i="5"/>
  <c r="B1694" i="5"/>
  <c r="B1690" i="5"/>
  <c r="B1686" i="5"/>
  <c r="B1682" i="5"/>
  <c r="B1678" i="5"/>
  <c r="B1674" i="5"/>
  <c r="B1670" i="5"/>
  <c r="B1666" i="5"/>
  <c r="B1662" i="5"/>
  <c r="B1658" i="5"/>
  <c r="B1654" i="5"/>
  <c r="B1650" i="5"/>
  <c r="B1646" i="5"/>
  <c r="B1642" i="5"/>
  <c r="B1638" i="5"/>
  <c r="B1634" i="5"/>
  <c r="B1630" i="5"/>
  <c r="B1626" i="5"/>
  <c r="B1622" i="5"/>
  <c r="B1618" i="5"/>
  <c r="B1614" i="5"/>
  <c r="B1610" i="5"/>
  <c r="B1606" i="5"/>
  <c r="B1602" i="5"/>
  <c r="B1598" i="5"/>
  <c r="B1594" i="5"/>
  <c r="B1590" i="5"/>
  <c r="B1586" i="5"/>
  <c r="B1582" i="5"/>
  <c r="B4679" i="5"/>
  <c r="B3694" i="5"/>
  <c r="B3438" i="5"/>
  <c r="B3289" i="5"/>
  <c r="B3222" i="5"/>
  <c r="B3158" i="5"/>
  <c r="B3094" i="5"/>
  <c r="B3030" i="5"/>
  <c r="B2966" i="5"/>
  <c r="B2902" i="5"/>
  <c r="B2838" i="5"/>
  <c r="B2802" i="5"/>
  <c r="B2689" i="5"/>
  <c r="B2673" i="5"/>
  <c r="B2657" i="5"/>
  <c r="B2641" i="5"/>
  <c r="B2625" i="5"/>
  <c r="B2609" i="5"/>
  <c r="B2593" i="5"/>
  <c r="B2577" i="5"/>
  <c r="B2561" i="5"/>
  <c r="B2545" i="5"/>
  <c r="B2529" i="5"/>
  <c r="B2513" i="5"/>
  <c r="B2497" i="5"/>
  <c r="B2481" i="5"/>
  <c r="B2465" i="5"/>
  <c r="B2449" i="5"/>
  <c r="B2433" i="5"/>
  <c r="B2417" i="5"/>
  <c r="B2401" i="5"/>
  <c r="B2385" i="5"/>
  <c r="B2369" i="5"/>
  <c r="B2353" i="5"/>
  <c r="B2337" i="5"/>
  <c r="B2321" i="5"/>
  <c r="B2305" i="5"/>
  <c r="B2289" i="5"/>
  <c r="B2273" i="5"/>
  <c r="B2257" i="5"/>
  <c r="B2241" i="5"/>
  <c r="B2225" i="5"/>
  <c r="B2209" i="5"/>
  <c r="B2193" i="5"/>
  <c r="B2177" i="5"/>
  <c r="B2161" i="5"/>
  <c r="B2145" i="5"/>
  <c r="B2129" i="5"/>
  <c r="B2113" i="5"/>
  <c r="B2097" i="5"/>
  <c r="B2081" i="5"/>
  <c r="B2065" i="5"/>
  <c r="B2049" i="5"/>
  <c r="B2033" i="5"/>
  <c r="B2017" i="5"/>
  <c r="B2001" i="5"/>
  <c r="B1985" i="5"/>
  <c r="B1969" i="5"/>
  <c r="B1953" i="5"/>
  <c r="B1937" i="5"/>
  <c r="B1921" i="5"/>
  <c r="B1905" i="5"/>
  <c r="B1889" i="5"/>
  <c r="B1873" i="5"/>
  <c r="B1857" i="5"/>
  <c r="B1841" i="5"/>
  <c r="B1825" i="5"/>
  <c r="B1809" i="5"/>
  <c r="B1793" i="5"/>
  <c r="B1777" i="5"/>
  <c r="B1761" i="5"/>
  <c r="B1745" i="5"/>
  <c r="B1729" i="5"/>
  <c r="B1713" i="5"/>
  <c r="B1697" i="5"/>
  <c r="B1681" i="5"/>
  <c r="B1665" i="5"/>
  <c r="B1649" i="5"/>
  <c r="B1633" i="5"/>
  <c r="B1617" i="5"/>
  <c r="B1607" i="5"/>
  <c r="B1599" i="5"/>
  <c r="B1591" i="5"/>
  <c r="B1583" i="5"/>
  <c r="B1577" i="5"/>
  <c r="B1571" i="5"/>
  <c r="B1566" i="5"/>
  <c r="B1561" i="5"/>
  <c r="B1555" i="5"/>
  <c r="B1551" i="5"/>
  <c r="B1547" i="5"/>
  <c r="B1543" i="5"/>
  <c r="B1539" i="5"/>
  <c r="B1535" i="5"/>
  <c r="B1531" i="5"/>
  <c r="B1527" i="5"/>
  <c r="B1523" i="5"/>
  <c r="B1519" i="5"/>
  <c r="B1515" i="5"/>
  <c r="B1511" i="5"/>
  <c r="B1507" i="5"/>
  <c r="B1503" i="5"/>
  <c r="B1499" i="5"/>
  <c r="B1495" i="5"/>
  <c r="B1491" i="5"/>
  <c r="B1487" i="5"/>
  <c r="B1483" i="5"/>
  <c r="B1479" i="5"/>
  <c r="B1475" i="5"/>
  <c r="B1471" i="5"/>
  <c r="B1467" i="5"/>
  <c r="B1463" i="5"/>
  <c r="B1459" i="5"/>
  <c r="B1455" i="5"/>
  <c r="B1451" i="5"/>
  <c r="B1447" i="5"/>
  <c r="B1443" i="5"/>
  <c r="B1439" i="5"/>
  <c r="B1435" i="5"/>
  <c r="B1431" i="5"/>
  <c r="B1427" i="5"/>
  <c r="B1423" i="5"/>
  <c r="B1419" i="5"/>
  <c r="B1415" i="5"/>
  <c r="B1411" i="5"/>
  <c r="B1407" i="5"/>
  <c r="B1403" i="5"/>
  <c r="B1399" i="5"/>
  <c r="B1395" i="5"/>
  <c r="B1391" i="5"/>
  <c r="B1387" i="5"/>
  <c r="B1383" i="5"/>
  <c r="B1379" i="5"/>
  <c r="B1375" i="5"/>
  <c r="B1371" i="5"/>
  <c r="B1367" i="5"/>
  <c r="B1363" i="5"/>
  <c r="B1359" i="5"/>
  <c r="B1355" i="5"/>
  <c r="B1351" i="5"/>
  <c r="B1347" i="5"/>
  <c r="B1343" i="5"/>
  <c r="B1339" i="5"/>
  <c r="B1335" i="5"/>
  <c r="B1331" i="5"/>
  <c r="B1327" i="5"/>
  <c r="B1323" i="5"/>
  <c r="B1319" i="5"/>
  <c r="B1315" i="5"/>
  <c r="B1311" i="5"/>
  <c r="B1307" i="5"/>
  <c r="B1303" i="5"/>
  <c r="B1299" i="5"/>
  <c r="B1295" i="5"/>
  <c r="B1291" i="5"/>
  <c r="B1287" i="5"/>
  <c r="B1283" i="5"/>
  <c r="B1279" i="5"/>
  <c r="B1275" i="5"/>
  <c r="B1271" i="5"/>
  <c r="B1267" i="5"/>
  <c r="B1263" i="5"/>
  <c r="B1259" i="5"/>
  <c r="B1255" i="5"/>
  <c r="B1251" i="5"/>
  <c r="B1247" i="5"/>
  <c r="B1243" i="5"/>
  <c r="B1239" i="5"/>
  <c r="B1235" i="5"/>
  <c r="B1231" i="5"/>
  <c r="B1227" i="5"/>
  <c r="B1223" i="5"/>
  <c r="B1219" i="5"/>
  <c r="B1215" i="5"/>
  <c r="B1211" i="5"/>
  <c r="B1207" i="5"/>
  <c r="B1203" i="5"/>
  <c r="B1199" i="5"/>
  <c r="B1195" i="5"/>
  <c r="B1191" i="5"/>
  <c r="B1187" i="5"/>
  <c r="B1183" i="5"/>
  <c r="B1179" i="5"/>
  <c r="B1175" i="5"/>
  <c r="B1171" i="5"/>
  <c r="B1167" i="5"/>
  <c r="B1163" i="5"/>
  <c r="B1159" i="5"/>
  <c r="B1155" i="5"/>
  <c r="B1151" i="5"/>
  <c r="B1147" i="5"/>
  <c r="B1143" i="5"/>
  <c r="B1139" i="5"/>
  <c r="B1135" i="5"/>
  <c r="B1131" i="5"/>
  <c r="B1127" i="5"/>
  <c r="B1123" i="5"/>
  <c r="B1119" i="5"/>
  <c r="B1115" i="5"/>
  <c r="B1111" i="5"/>
  <c r="B1107" i="5"/>
  <c r="B1103" i="5"/>
  <c r="B1099" i="5"/>
  <c r="B1095" i="5"/>
  <c r="B1091" i="5"/>
  <c r="B1087" i="5"/>
  <c r="B1083" i="5"/>
  <c r="B1079" i="5"/>
  <c r="B1075" i="5"/>
  <c r="B1071" i="5"/>
  <c r="B1067" i="5"/>
  <c r="B1063" i="5"/>
  <c r="B1059" i="5"/>
  <c r="B1055" i="5"/>
  <c r="B1051" i="5"/>
  <c r="B1047" i="5"/>
  <c r="B1043" i="5"/>
  <c r="B1039" i="5"/>
  <c r="B1035" i="5"/>
  <c r="B1031" i="5"/>
  <c r="B1027" i="5"/>
  <c r="B1023" i="5"/>
  <c r="B1019" i="5"/>
  <c r="B1015" i="5"/>
  <c r="B1011" i="5"/>
  <c r="B1007" i="5"/>
  <c r="B1003" i="5"/>
  <c r="B999" i="5"/>
  <c r="B995" i="5"/>
  <c r="B991" i="5"/>
  <c r="B987" i="5"/>
  <c r="B983" i="5"/>
  <c r="B979" i="5"/>
  <c r="B975" i="5"/>
  <c r="B971" i="5"/>
  <c r="B967" i="5"/>
  <c r="B963" i="5"/>
  <c r="B959" i="5"/>
  <c r="B955" i="5"/>
  <c r="B951" i="5"/>
  <c r="B947" i="5"/>
  <c r="B943" i="5"/>
  <c r="B939" i="5"/>
  <c r="B935" i="5"/>
  <c r="B931" i="5"/>
  <c r="B927" i="5"/>
  <c r="B923" i="5"/>
  <c r="B919" i="5"/>
  <c r="B915" i="5"/>
  <c r="B911" i="5"/>
  <c r="B907" i="5"/>
  <c r="B903" i="5"/>
  <c r="B899" i="5"/>
  <c r="B895" i="5"/>
  <c r="B891" i="5"/>
  <c r="B887" i="5"/>
  <c r="B883" i="5"/>
  <c r="B879" i="5"/>
  <c r="B875" i="5"/>
  <c r="B871" i="5"/>
  <c r="B867" i="5"/>
  <c r="B863" i="5"/>
  <c r="B859" i="5"/>
  <c r="B855" i="5"/>
  <c r="B851" i="5"/>
  <c r="B847" i="5"/>
  <c r="B843" i="5"/>
  <c r="B839" i="5"/>
  <c r="B835" i="5"/>
  <c r="B831" i="5"/>
  <c r="B827" i="5"/>
  <c r="B823" i="5"/>
  <c r="B819" i="5"/>
  <c r="B815" i="5"/>
  <c r="B811" i="5"/>
  <c r="B807" i="5"/>
  <c r="B803" i="5"/>
  <c r="B799" i="5"/>
  <c r="B795" i="5"/>
  <c r="B791" i="5"/>
  <c r="B787" i="5"/>
  <c r="B783" i="5"/>
  <c r="B779" i="5"/>
  <c r="B775" i="5"/>
  <c r="B771" i="5"/>
  <c r="B767" i="5"/>
  <c r="B763" i="5"/>
  <c r="B759" i="5"/>
  <c r="B755" i="5"/>
  <c r="B751" i="5"/>
  <c r="B747" i="5"/>
  <c r="B743" i="5"/>
  <c r="B739" i="5"/>
  <c r="B735" i="5"/>
  <c r="B731" i="5"/>
  <c r="B727" i="5"/>
  <c r="B723" i="5"/>
  <c r="B719" i="5"/>
  <c r="B715" i="5"/>
  <c r="B711" i="5"/>
  <c r="B707" i="5"/>
  <c r="B703" i="5"/>
  <c r="B699" i="5"/>
  <c r="B695" i="5"/>
  <c r="B691" i="5"/>
  <c r="B687" i="5"/>
  <c r="B683" i="5"/>
  <c r="B679" i="5"/>
  <c r="B675" i="5"/>
  <c r="B671" i="5"/>
  <c r="B667" i="5"/>
  <c r="B663" i="5"/>
  <c r="B659" i="5"/>
  <c r="B655" i="5"/>
  <c r="B651" i="5"/>
  <c r="B647" i="5"/>
  <c r="B643" i="5"/>
  <c r="B639" i="5"/>
  <c r="B635" i="5"/>
  <c r="B631" i="5"/>
  <c r="B627" i="5"/>
  <c r="B623" i="5"/>
  <c r="B619" i="5"/>
  <c r="B615" i="5"/>
  <c r="B611" i="5"/>
  <c r="B607" i="5"/>
  <c r="B603" i="5"/>
  <c r="B599" i="5"/>
  <c r="B595" i="5"/>
  <c r="B591" i="5"/>
  <c r="B587" i="5"/>
  <c r="B583" i="5"/>
  <c r="B579" i="5"/>
  <c r="B575" i="5"/>
  <c r="B571" i="5"/>
  <c r="B567" i="5"/>
  <c r="B563" i="5"/>
  <c r="B559" i="5"/>
  <c r="B555" i="5"/>
  <c r="B551" i="5"/>
  <c r="B547" i="5"/>
  <c r="B543" i="5"/>
  <c r="B539" i="5"/>
  <c r="B535" i="5"/>
  <c r="B531" i="5"/>
  <c r="B527" i="5"/>
  <c r="B523" i="5"/>
  <c r="B519" i="5"/>
  <c r="B515" i="5"/>
  <c r="B511" i="5"/>
  <c r="B507" i="5"/>
  <c r="B503" i="5"/>
  <c r="B499" i="5"/>
  <c r="B495" i="5"/>
  <c r="B491" i="5"/>
  <c r="B487" i="5"/>
  <c r="B483" i="5"/>
  <c r="B479" i="5"/>
  <c r="B4012" i="5"/>
  <c r="B3630" i="5"/>
  <c r="B3375" i="5"/>
  <c r="B3270" i="5"/>
  <c r="B3206" i="5"/>
  <c r="B3142" i="5"/>
  <c r="B3078" i="5"/>
  <c r="B3014" i="5"/>
  <c r="B2950" i="5"/>
  <c r="B2886" i="5"/>
  <c r="B2822" i="5"/>
  <c r="B2798" i="5"/>
  <c r="B2685" i="5"/>
  <c r="B2669" i="5"/>
  <c r="B2653" i="5"/>
  <c r="B2637" i="5"/>
  <c r="B2621" i="5"/>
  <c r="B2605" i="5"/>
  <c r="B2589" i="5"/>
  <c r="B2573" i="5"/>
  <c r="B2557" i="5"/>
  <c r="B2541" i="5"/>
  <c r="B2525" i="5"/>
  <c r="B2509" i="5"/>
  <c r="B2493" i="5"/>
  <c r="B2477" i="5"/>
  <c r="B2461" i="5"/>
  <c r="B2445" i="5"/>
  <c r="B2429" i="5"/>
  <c r="B2413" i="5"/>
  <c r="B2397" i="5"/>
  <c r="B2381" i="5"/>
  <c r="B2365" i="5"/>
  <c r="B2349" i="5"/>
  <c r="B2333" i="5"/>
  <c r="B2317" i="5"/>
  <c r="B2301" i="5"/>
  <c r="B2285" i="5"/>
  <c r="B2269" i="5"/>
  <c r="B2253" i="5"/>
  <c r="B2237" i="5"/>
  <c r="B2221" i="5"/>
  <c r="B2205" i="5"/>
  <c r="B2189" i="5"/>
  <c r="B2173" i="5"/>
  <c r="B2157" i="5"/>
  <c r="B2141" i="5"/>
  <c r="B2125" i="5"/>
  <c r="B2109" i="5"/>
  <c r="B2093" i="5"/>
  <c r="B2077" i="5"/>
  <c r="B2061" i="5"/>
  <c r="B2045" i="5"/>
  <c r="B2029" i="5"/>
  <c r="B2013" i="5"/>
  <c r="B1997" i="5"/>
  <c r="B1981" i="5"/>
  <c r="B1965" i="5"/>
  <c r="B1949" i="5"/>
  <c r="B1933" i="5"/>
  <c r="B1917" i="5"/>
  <c r="B1901" i="5"/>
  <c r="B1885" i="5"/>
  <c r="B1869" i="5"/>
  <c r="B1853" i="5"/>
  <c r="B1837" i="5"/>
  <c r="B1821" i="5"/>
  <c r="B1805" i="5"/>
  <c r="B1789" i="5"/>
  <c r="B1773" i="5"/>
  <c r="B1757" i="5"/>
  <c r="B1741" i="5"/>
  <c r="B1725" i="5"/>
  <c r="B1709" i="5"/>
  <c r="B1693" i="5"/>
  <c r="B1677" i="5"/>
  <c r="B1661" i="5"/>
  <c r="B1645" i="5"/>
  <c r="B1629" i="5"/>
  <c r="B1613" i="5"/>
  <c r="B1605" i="5"/>
  <c r="B1597" i="5"/>
  <c r="B1589" i="5"/>
  <c r="B1581" i="5"/>
  <c r="B1575" i="5"/>
  <c r="B1570" i="5"/>
  <c r="B1565" i="5"/>
  <c r="B1559" i="5"/>
  <c r="B1554" i="5"/>
  <c r="B1550" i="5"/>
  <c r="B1546" i="5"/>
  <c r="B1542" i="5"/>
  <c r="B1538" i="5"/>
  <c r="B1534" i="5"/>
  <c r="B1530" i="5"/>
  <c r="B1526" i="5"/>
  <c r="B1522" i="5"/>
  <c r="B1518" i="5"/>
  <c r="B1514" i="5"/>
  <c r="B1510" i="5"/>
  <c r="B1506" i="5"/>
  <c r="B1502" i="5"/>
  <c r="B1498" i="5"/>
  <c r="B1494" i="5"/>
  <c r="B1490" i="5"/>
  <c r="B1486" i="5"/>
  <c r="B1482" i="5"/>
  <c r="B1478" i="5"/>
  <c r="B1474" i="5"/>
  <c r="B1470" i="5"/>
  <c r="B1466" i="5"/>
  <c r="B1462" i="5"/>
  <c r="B1458" i="5"/>
  <c r="B1454" i="5"/>
  <c r="B1450" i="5"/>
  <c r="B1446" i="5"/>
  <c r="B1442" i="5"/>
  <c r="B1438" i="5"/>
  <c r="B1434" i="5"/>
  <c r="B1430" i="5"/>
  <c r="B1426" i="5"/>
  <c r="B1422" i="5"/>
  <c r="B1418" i="5"/>
  <c r="B1414" i="5"/>
  <c r="B1410" i="5"/>
  <c r="B1406" i="5"/>
  <c r="B1402" i="5"/>
  <c r="B1398" i="5"/>
  <c r="B1394" i="5"/>
  <c r="B1390" i="5"/>
  <c r="B1386" i="5"/>
  <c r="B1382" i="5"/>
  <c r="B1378" i="5"/>
  <c r="B1374" i="5"/>
  <c r="B1370" i="5"/>
  <c r="B1366" i="5"/>
  <c r="B1362" i="5"/>
  <c r="B1358" i="5"/>
  <c r="B1354" i="5"/>
  <c r="B1350" i="5"/>
  <c r="B1346" i="5"/>
  <c r="B1342" i="5"/>
  <c r="B1338" i="5"/>
  <c r="B1334" i="5"/>
  <c r="B1330" i="5"/>
  <c r="B1326" i="5"/>
  <c r="B1322" i="5"/>
  <c r="B1318" i="5"/>
  <c r="B1314" i="5"/>
  <c r="B1310" i="5"/>
  <c r="B1306" i="5"/>
  <c r="B1302" i="5"/>
  <c r="B1298" i="5"/>
  <c r="B1294" i="5"/>
  <c r="B1290" i="5"/>
  <c r="B1286" i="5"/>
  <c r="B1282" i="5"/>
  <c r="B1278" i="5"/>
  <c r="B1274" i="5"/>
  <c r="B1270" i="5"/>
  <c r="B1266" i="5"/>
  <c r="B1262" i="5"/>
  <c r="B1258" i="5"/>
  <c r="B1254" i="5"/>
  <c r="B1250" i="5"/>
  <c r="B1246" i="5"/>
  <c r="B1242" i="5"/>
  <c r="B1238" i="5"/>
  <c r="B1234" i="5"/>
  <c r="B1230" i="5"/>
  <c r="B1226" i="5"/>
  <c r="B1222" i="5"/>
  <c r="B1218" i="5"/>
  <c r="B1214" i="5"/>
  <c r="B1210" i="5"/>
  <c r="B1206" i="5"/>
  <c r="B1202" i="5"/>
  <c r="B1198" i="5"/>
  <c r="B1194" i="5"/>
  <c r="B1190" i="5"/>
  <c r="B1186" i="5"/>
  <c r="B1182" i="5"/>
  <c r="B1178" i="5"/>
  <c r="B1174" i="5"/>
  <c r="B1170" i="5"/>
  <c r="B1166" i="5"/>
  <c r="B1162" i="5"/>
  <c r="B1158" i="5"/>
  <c r="B1154" i="5"/>
  <c r="B1150" i="5"/>
  <c r="B1146" i="5"/>
  <c r="B1142" i="5"/>
  <c r="B1138" i="5"/>
  <c r="B1134" i="5"/>
  <c r="B1130" i="5"/>
  <c r="B1126" i="5"/>
  <c r="B1122" i="5"/>
  <c r="B1118" i="5"/>
  <c r="B1114" i="5"/>
  <c r="B1110" i="5"/>
  <c r="B1106" i="5"/>
  <c r="B1102" i="5"/>
  <c r="B1098" i="5"/>
  <c r="B1094" i="5"/>
  <c r="B1090" i="5"/>
  <c r="B1086" i="5"/>
  <c r="B1082" i="5"/>
  <c r="B1078" i="5"/>
  <c r="B1074" i="5"/>
  <c r="B1070" i="5"/>
  <c r="B1066" i="5"/>
  <c r="B1062" i="5"/>
  <c r="B1058" i="5"/>
  <c r="B1054" i="5"/>
  <c r="B1050" i="5"/>
  <c r="B1046" i="5"/>
  <c r="B1042" i="5"/>
  <c r="B1038" i="5"/>
  <c r="B1034" i="5"/>
  <c r="B1030" i="5"/>
  <c r="B1026" i="5"/>
  <c r="B1022" i="5"/>
  <c r="B1018" i="5"/>
  <c r="B1014" i="5"/>
  <c r="B1010" i="5"/>
  <c r="B1006" i="5"/>
  <c r="B1002" i="5"/>
  <c r="B998" i="5"/>
  <c r="B994" i="5"/>
  <c r="B990" i="5"/>
  <c r="B986" i="5"/>
  <c r="B982" i="5"/>
  <c r="B978" i="5"/>
  <c r="B974" i="5"/>
  <c r="B970" i="5"/>
  <c r="B966" i="5"/>
  <c r="B962" i="5"/>
  <c r="B958" i="5"/>
  <c r="B954" i="5"/>
  <c r="B950" i="5"/>
  <c r="B946" i="5"/>
  <c r="B942" i="5"/>
  <c r="B938" i="5"/>
  <c r="B934" i="5"/>
  <c r="B930" i="5"/>
  <c r="B926" i="5"/>
  <c r="B922" i="5"/>
  <c r="B918" i="5"/>
  <c r="B914" i="5"/>
  <c r="B910" i="5"/>
  <c r="B906" i="5"/>
  <c r="B902" i="5"/>
  <c r="B898" i="5"/>
  <c r="B894" i="5"/>
  <c r="B890" i="5"/>
  <c r="B886" i="5"/>
  <c r="B882" i="5"/>
  <c r="B878" i="5"/>
  <c r="B874" i="5"/>
  <c r="B870" i="5"/>
  <c r="B866" i="5"/>
  <c r="B862" i="5"/>
  <c r="B858" i="5"/>
  <c r="B854" i="5"/>
  <c r="B850" i="5"/>
  <c r="B846" i="5"/>
  <c r="B842" i="5"/>
  <c r="B838" i="5"/>
  <c r="B834" i="5"/>
  <c r="B830" i="5"/>
  <c r="B826" i="5"/>
  <c r="B822" i="5"/>
  <c r="B818" i="5"/>
  <c r="B814" i="5"/>
  <c r="B810" i="5"/>
  <c r="B806" i="5"/>
  <c r="B802" i="5"/>
  <c r="B798" i="5"/>
  <c r="B794" i="5"/>
  <c r="B790" i="5"/>
  <c r="B786" i="5"/>
  <c r="B782" i="5"/>
  <c r="B778" i="5"/>
  <c r="B774" i="5"/>
  <c r="B770" i="5"/>
  <c r="B766" i="5"/>
  <c r="B762" i="5"/>
  <c r="B758" i="5"/>
  <c r="B754" i="5"/>
  <c r="B750" i="5"/>
  <c r="B746" i="5"/>
  <c r="B742" i="5"/>
  <c r="B738" i="5"/>
  <c r="B734" i="5"/>
  <c r="B730" i="5"/>
  <c r="B726" i="5"/>
  <c r="B722" i="5"/>
  <c r="B718" i="5"/>
  <c r="B714" i="5"/>
  <c r="B710" i="5"/>
  <c r="B706" i="5"/>
  <c r="B702" i="5"/>
  <c r="B698" i="5"/>
  <c r="B694" i="5"/>
  <c r="B690" i="5"/>
  <c r="B686" i="5"/>
  <c r="B682" i="5"/>
  <c r="B678" i="5"/>
  <c r="B674" i="5"/>
  <c r="B670" i="5"/>
  <c r="B666" i="5"/>
  <c r="B662" i="5"/>
  <c r="B658" i="5"/>
  <c r="B654" i="5"/>
  <c r="B650" i="5"/>
  <c r="B646" i="5"/>
  <c r="B642" i="5"/>
  <c r="B638" i="5"/>
  <c r="B634" i="5"/>
  <c r="B630" i="5"/>
  <c r="B626" i="5"/>
  <c r="B622" i="5"/>
  <c r="B618" i="5"/>
  <c r="B614" i="5"/>
  <c r="B610" i="5"/>
  <c r="B606" i="5"/>
  <c r="B602" i="5"/>
  <c r="B598" i="5"/>
  <c r="B594" i="5"/>
  <c r="B590" i="5"/>
  <c r="B586" i="5"/>
  <c r="B582" i="5"/>
  <c r="B578" i="5"/>
  <c r="B574" i="5"/>
  <c r="B570" i="5"/>
  <c r="B566" i="5"/>
  <c r="B562" i="5"/>
  <c r="B3822" i="5"/>
  <c r="B3566" i="5"/>
  <c r="B3329" i="5"/>
  <c r="B3254" i="5"/>
  <c r="B3190" i="5"/>
  <c r="B3126" i="5"/>
  <c r="B3062" i="5"/>
  <c r="B2998" i="5"/>
  <c r="B2934" i="5"/>
  <c r="B2870" i="5"/>
  <c r="B2811" i="5"/>
  <c r="B2681" i="5"/>
  <c r="B2665" i="5"/>
  <c r="B2649" i="5"/>
  <c r="B2633" i="5"/>
  <c r="B2617" i="5"/>
  <c r="B2601" i="5"/>
  <c r="B2585" i="5"/>
  <c r="B2569" i="5"/>
  <c r="B2553" i="5"/>
  <c r="B2537" i="5"/>
  <c r="B2521" i="5"/>
  <c r="B2505" i="5"/>
  <c r="B2489" i="5"/>
  <c r="B2473" i="5"/>
  <c r="B2457" i="5"/>
  <c r="B2441" i="5"/>
  <c r="B2425" i="5"/>
  <c r="B2409" i="5"/>
  <c r="B2393" i="5"/>
  <c r="B2377" i="5"/>
  <c r="B2361" i="5"/>
  <c r="B2345" i="5"/>
  <c r="B2329" i="5"/>
  <c r="B2313" i="5"/>
  <c r="B2297" i="5"/>
  <c r="B2281" i="5"/>
  <c r="B2265" i="5"/>
  <c r="B2249" i="5"/>
  <c r="B2233" i="5"/>
  <c r="B2217" i="5"/>
  <c r="B2201" i="5"/>
  <c r="B2185" i="5"/>
  <c r="B2169" i="5"/>
  <c r="B2153" i="5"/>
  <c r="B2137" i="5"/>
  <c r="B2121" i="5"/>
  <c r="B2105" i="5"/>
  <c r="B2089" i="5"/>
  <c r="B2073" i="5"/>
  <c r="B2057" i="5"/>
  <c r="B2041" i="5"/>
  <c r="B2025" i="5"/>
  <c r="B2009" i="5"/>
  <c r="B1993" i="5"/>
  <c r="B1977" i="5"/>
  <c r="B1961" i="5"/>
  <c r="B1945" i="5"/>
  <c r="B1929" i="5"/>
  <c r="B1913" i="5"/>
  <c r="B1897" i="5"/>
  <c r="B1881" i="5"/>
  <c r="B1865" i="5"/>
  <c r="B1849" i="5"/>
  <c r="B1833" i="5"/>
  <c r="B1817" i="5"/>
  <c r="B1801" i="5"/>
  <c r="B1785" i="5"/>
  <c r="B1769" i="5"/>
  <c r="B1753" i="5"/>
  <c r="B1737" i="5"/>
  <c r="B1721" i="5"/>
  <c r="B1705" i="5"/>
  <c r="B1689" i="5"/>
  <c r="B1673" i="5"/>
  <c r="B1657" i="5"/>
  <c r="B1641" i="5"/>
  <c r="B1625" i="5"/>
  <c r="B1611" i="5"/>
  <c r="B1603" i="5"/>
  <c r="B1595" i="5"/>
  <c r="B1587" i="5"/>
  <c r="B1579" i="5"/>
  <c r="B1574" i="5"/>
  <c r="B1569" i="5"/>
  <c r="B1563" i="5"/>
  <c r="B1558" i="5"/>
  <c r="B1553" i="5"/>
  <c r="B1549" i="5"/>
  <c r="B1545" i="5"/>
  <c r="B1541" i="5"/>
  <c r="B1537" i="5"/>
  <c r="B1533" i="5"/>
  <c r="B1529" i="5"/>
  <c r="B1525" i="5"/>
  <c r="B1521" i="5"/>
  <c r="B1517" i="5"/>
  <c r="B1513" i="5"/>
  <c r="B1509" i="5"/>
  <c r="B1505" i="5"/>
  <c r="B1501" i="5"/>
  <c r="B1497" i="5"/>
  <c r="B1493" i="5"/>
  <c r="B1489" i="5"/>
  <c r="B1485" i="5"/>
  <c r="B1481" i="5"/>
  <c r="B1477" i="5"/>
  <c r="B1473" i="5"/>
  <c r="B1469" i="5"/>
  <c r="B1465" i="5"/>
  <c r="B1461" i="5"/>
  <c r="B1457" i="5"/>
  <c r="B1453" i="5"/>
  <c r="B1449" i="5"/>
  <c r="B1445" i="5"/>
  <c r="B1441" i="5"/>
  <c r="B1437" i="5"/>
  <c r="B1433" i="5"/>
  <c r="B1429" i="5"/>
  <c r="B1425" i="5"/>
  <c r="B1421" i="5"/>
  <c r="B1417" i="5"/>
  <c r="B1413" i="5"/>
  <c r="B1409" i="5"/>
  <c r="B1405" i="5"/>
  <c r="B1401" i="5"/>
  <c r="B1397" i="5"/>
  <c r="B1393" i="5"/>
  <c r="B1389" i="5"/>
  <c r="B1385" i="5"/>
  <c r="B1381" i="5"/>
  <c r="B1377" i="5"/>
  <c r="B1373" i="5"/>
  <c r="B1369" i="5"/>
  <c r="B1365" i="5"/>
  <c r="B1361" i="5"/>
  <c r="B1357" i="5"/>
  <c r="B1353" i="5"/>
  <c r="B1349" i="5"/>
  <c r="B1345" i="5"/>
  <c r="B1341" i="5"/>
  <c r="B1337" i="5"/>
  <c r="B1333" i="5"/>
  <c r="B1329" i="5"/>
  <c r="B1325" i="5"/>
  <c r="B1321" i="5"/>
  <c r="B1317" i="5"/>
  <c r="B1313" i="5"/>
  <c r="B1309" i="5"/>
  <c r="B1305" i="5"/>
  <c r="B1301" i="5"/>
  <c r="B1297" i="5"/>
  <c r="B1293" i="5"/>
  <c r="B1289" i="5"/>
  <c r="B1285" i="5"/>
  <c r="B1281" i="5"/>
  <c r="B1277" i="5"/>
  <c r="B1273" i="5"/>
  <c r="B1269" i="5"/>
  <c r="B1265" i="5"/>
  <c r="B1261" i="5"/>
  <c r="B1257" i="5"/>
  <c r="B1253" i="5"/>
  <c r="B1249" i="5"/>
  <c r="B1245" i="5"/>
  <c r="B1241" i="5"/>
  <c r="B1237" i="5"/>
  <c r="B1233" i="5"/>
  <c r="B1229" i="5"/>
  <c r="B1225" i="5"/>
  <c r="B1221" i="5"/>
  <c r="B1217" i="5"/>
  <c r="B1213" i="5"/>
  <c r="B1209" i="5"/>
  <c r="B1205" i="5"/>
  <c r="B1201" i="5"/>
  <c r="B1197" i="5"/>
  <c r="B1193" i="5"/>
  <c r="B1189" i="5"/>
  <c r="B1185" i="5"/>
  <c r="B1181" i="5"/>
  <c r="B1177" i="5"/>
  <c r="B1173" i="5"/>
  <c r="B1169" i="5"/>
  <c r="B1165" i="5"/>
  <c r="B1161" i="5"/>
  <c r="B1157" i="5"/>
  <c r="B1153" i="5"/>
  <c r="B1149" i="5"/>
  <c r="B1145" i="5"/>
  <c r="B1141" i="5"/>
  <c r="B1137" i="5"/>
  <c r="B1133" i="5"/>
  <c r="B1129" i="5"/>
  <c r="B1125" i="5"/>
  <c r="B1121" i="5"/>
  <c r="B1117" i="5"/>
  <c r="B1113" i="5"/>
  <c r="B1109" i="5"/>
  <c r="B1105" i="5"/>
  <c r="B1101" i="5"/>
  <c r="B1097" i="5"/>
  <c r="B1093" i="5"/>
  <c r="B1089" i="5"/>
  <c r="B1085" i="5"/>
  <c r="B1081" i="5"/>
  <c r="B1077" i="5"/>
  <c r="B1073" i="5"/>
  <c r="B1069" i="5"/>
  <c r="B1065" i="5"/>
  <c r="B1061" i="5"/>
  <c r="B1057" i="5"/>
  <c r="B1053" i="5"/>
  <c r="B1049" i="5"/>
  <c r="B1045" i="5"/>
  <c r="B1041" i="5"/>
  <c r="B1037" i="5"/>
  <c r="B1033" i="5"/>
  <c r="B1029" i="5"/>
  <c r="B1025" i="5"/>
  <c r="B1021" i="5"/>
  <c r="B1017" i="5"/>
  <c r="B1013" i="5"/>
  <c r="B1009" i="5"/>
  <c r="B1005" i="5"/>
  <c r="B1001" i="5"/>
  <c r="B997" i="5"/>
  <c r="B993" i="5"/>
  <c r="B989" i="5"/>
  <c r="B985" i="5"/>
  <c r="B981" i="5"/>
  <c r="B977" i="5"/>
  <c r="B973" i="5"/>
  <c r="B969" i="5"/>
  <c r="B965" i="5"/>
  <c r="B961" i="5"/>
  <c r="B957" i="5"/>
  <c r="B953" i="5"/>
  <c r="B949" i="5"/>
  <c r="B945" i="5"/>
  <c r="B941" i="5"/>
  <c r="B937" i="5"/>
  <c r="B933" i="5"/>
  <c r="B929" i="5"/>
  <c r="B925" i="5"/>
  <c r="B921" i="5"/>
  <c r="B917" i="5"/>
  <c r="B913" i="5"/>
  <c r="B909" i="5"/>
  <c r="B905" i="5"/>
  <c r="B901" i="5"/>
  <c r="B897" i="5"/>
  <c r="B893" i="5"/>
  <c r="B889" i="5"/>
  <c r="B885" i="5"/>
  <c r="B881" i="5"/>
  <c r="B877" i="5"/>
  <c r="B873" i="5"/>
  <c r="B869" i="5"/>
  <c r="B865" i="5"/>
  <c r="B861" i="5"/>
  <c r="B857" i="5"/>
  <c r="B853" i="5"/>
  <c r="B849" i="5"/>
  <c r="B845" i="5"/>
  <c r="B841" i="5"/>
  <c r="B837" i="5"/>
  <c r="B833" i="5"/>
  <c r="B829" i="5"/>
  <c r="B825" i="5"/>
  <c r="B821" i="5"/>
  <c r="B817" i="5"/>
  <c r="B813" i="5"/>
  <c r="B809" i="5"/>
  <c r="B805" i="5"/>
  <c r="B801" i="5"/>
  <c r="B797" i="5"/>
  <c r="B793" i="5"/>
  <c r="B789" i="5"/>
  <c r="B785" i="5"/>
  <c r="B781" i="5"/>
  <c r="B777" i="5"/>
  <c r="B773" i="5"/>
  <c r="B769" i="5"/>
  <c r="B765" i="5"/>
  <c r="B761" i="5"/>
  <c r="B757" i="5"/>
  <c r="B753" i="5"/>
  <c r="B749" i="5"/>
  <c r="B745" i="5"/>
  <c r="B741" i="5"/>
  <c r="B737" i="5"/>
  <c r="B733" i="5"/>
  <c r="B729" i="5"/>
  <c r="B725" i="5"/>
  <c r="B721" i="5"/>
  <c r="B717" i="5"/>
  <c r="B713" i="5"/>
  <c r="B709" i="5"/>
  <c r="B705" i="5"/>
  <c r="B701" i="5"/>
  <c r="B697" i="5"/>
  <c r="B693" i="5"/>
  <c r="B689" i="5"/>
  <c r="B685" i="5"/>
  <c r="B681" i="5"/>
  <c r="B677" i="5"/>
  <c r="B673" i="5"/>
  <c r="B669" i="5"/>
  <c r="B665" i="5"/>
  <c r="B661" i="5"/>
  <c r="B657" i="5"/>
  <c r="B653" i="5"/>
  <c r="B649" i="5"/>
  <c r="B645" i="5"/>
  <c r="B641" i="5"/>
  <c r="B637" i="5"/>
  <c r="B633" i="5"/>
  <c r="B629" i="5"/>
  <c r="B625" i="5"/>
  <c r="B621" i="5"/>
  <c r="B617" i="5"/>
  <c r="B613" i="5"/>
  <c r="B609" i="5"/>
  <c r="B605" i="5"/>
  <c r="B601" i="5"/>
  <c r="B597" i="5"/>
  <c r="B593" i="5"/>
  <c r="B589" i="5"/>
  <c r="B585" i="5"/>
  <c r="B581" i="5"/>
  <c r="B577" i="5"/>
  <c r="B573" i="5"/>
  <c r="B569" i="5"/>
  <c r="B565" i="5"/>
  <c r="B561" i="5"/>
  <c r="B557" i="5"/>
  <c r="B553" i="5"/>
  <c r="B3758" i="5"/>
  <c r="B3174" i="5"/>
  <c r="B2918" i="5"/>
  <c r="B2645" i="5"/>
  <c r="B2581" i="5"/>
  <c r="B2517" i="5"/>
  <c r="B2453" i="5"/>
  <c r="B2389" i="5"/>
  <c r="B2325" i="5"/>
  <c r="B2261" i="5"/>
  <c r="B2197" i="5"/>
  <c r="B2133" i="5"/>
  <c r="B2069" i="5"/>
  <c r="B2005" i="5"/>
  <c r="B1941" i="5"/>
  <c r="B1877" i="5"/>
  <c r="B1813" i="5"/>
  <c r="B1749" i="5"/>
  <c r="B1685" i="5"/>
  <c r="B1621" i="5"/>
  <c r="B1585" i="5"/>
  <c r="B1562" i="5"/>
  <c r="B1544" i="5"/>
  <c r="B1528" i="5"/>
  <c r="B1512" i="5"/>
  <c r="B1496" i="5"/>
  <c r="B1480" i="5"/>
  <c r="B1464" i="5"/>
  <c r="B1448" i="5"/>
  <c r="B1432" i="5"/>
  <c r="B1416" i="5"/>
  <c r="B1400" i="5"/>
  <c r="B1384" i="5"/>
  <c r="B1368" i="5"/>
  <c r="B1352" i="5"/>
  <c r="B1336" i="5"/>
  <c r="B1320" i="5"/>
  <c r="B1304" i="5"/>
  <c r="B1288" i="5"/>
  <c r="B1272" i="5"/>
  <c r="B1256" i="5"/>
  <c r="B1240" i="5"/>
  <c r="B1224" i="5"/>
  <c r="B1208" i="5"/>
  <c r="B1192" i="5"/>
  <c r="B1176" i="5"/>
  <c r="B1160" i="5"/>
  <c r="B1144" i="5"/>
  <c r="B1128" i="5"/>
  <c r="B1112" i="5"/>
  <c r="B1096" i="5"/>
  <c r="B1080" i="5"/>
  <c r="B1064" i="5"/>
  <c r="B1048" i="5"/>
  <c r="B1032" i="5"/>
  <c r="B1016" i="5"/>
  <c r="B1000" i="5"/>
  <c r="B984" i="5"/>
  <c r="B968" i="5"/>
  <c r="B952" i="5"/>
  <c r="B936" i="5"/>
  <c r="B920" i="5"/>
  <c r="B904" i="5"/>
  <c r="B888" i="5"/>
  <c r="B872" i="5"/>
  <c r="B856" i="5"/>
  <c r="B840" i="5"/>
  <c r="B824" i="5"/>
  <c r="B808" i="5"/>
  <c r="B792" i="5"/>
  <c r="B776" i="5"/>
  <c r="B760" i="5"/>
  <c r="B744" i="5"/>
  <c r="B728" i="5"/>
  <c r="B712" i="5"/>
  <c r="B696" i="5"/>
  <c r="B680" i="5"/>
  <c r="B664" i="5"/>
  <c r="B648" i="5"/>
  <c r="B632" i="5"/>
  <c r="B616" i="5"/>
  <c r="B600" i="5"/>
  <c r="B584" i="5"/>
  <c r="B568" i="5"/>
  <c r="B556" i="5"/>
  <c r="B549" i="5"/>
  <c r="B544" i="5"/>
  <c r="B538" i="5"/>
  <c r="B533" i="5"/>
  <c r="B528" i="5"/>
  <c r="B522" i="5"/>
  <c r="B517" i="5"/>
  <c r="B512" i="5"/>
  <c r="B506" i="5"/>
  <c r="B501" i="5"/>
  <c r="B496" i="5"/>
  <c r="B490" i="5"/>
  <c r="B485" i="5"/>
  <c r="B480" i="5"/>
  <c r="B475" i="5"/>
  <c r="B471" i="5"/>
  <c r="B467" i="5"/>
  <c r="B463" i="5"/>
  <c r="B459" i="5"/>
  <c r="B455" i="5"/>
  <c r="B451" i="5"/>
  <c r="B447" i="5"/>
  <c r="B443" i="5"/>
  <c r="B439" i="5"/>
  <c r="B435" i="5"/>
  <c r="B431" i="5"/>
  <c r="B427" i="5"/>
  <c r="B423" i="5"/>
  <c r="B419" i="5"/>
  <c r="B415" i="5"/>
  <c r="B411" i="5"/>
  <c r="B407" i="5"/>
  <c r="B403" i="5"/>
  <c r="B399" i="5"/>
  <c r="B395" i="5"/>
  <c r="B391" i="5"/>
  <c r="B387" i="5"/>
  <c r="B383" i="5"/>
  <c r="B379" i="5"/>
  <c r="B375" i="5"/>
  <c r="B371" i="5"/>
  <c r="B367" i="5"/>
  <c r="B363" i="5"/>
  <c r="B359" i="5"/>
  <c r="B355" i="5"/>
  <c r="B351" i="5"/>
  <c r="B347" i="5"/>
  <c r="B343" i="5"/>
  <c r="B339" i="5"/>
  <c r="B335" i="5"/>
  <c r="B331" i="5"/>
  <c r="B327" i="5"/>
  <c r="B323" i="5"/>
  <c r="B319" i="5"/>
  <c r="B315" i="5"/>
  <c r="B311" i="5"/>
  <c r="B307" i="5"/>
  <c r="B303" i="5"/>
  <c r="B299" i="5"/>
  <c r="B295" i="5"/>
  <c r="B291" i="5"/>
  <c r="B287" i="5"/>
  <c r="B283" i="5"/>
  <c r="B279" i="5"/>
  <c r="B275" i="5"/>
  <c r="B271" i="5"/>
  <c r="B267" i="5"/>
  <c r="B263" i="5"/>
  <c r="B259" i="5"/>
  <c r="B255" i="5"/>
  <c r="B251" i="5"/>
  <c r="B247" i="5"/>
  <c r="B243" i="5"/>
  <c r="B239" i="5"/>
  <c r="B235" i="5"/>
  <c r="B231" i="5"/>
  <c r="B227" i="5"/>
  <c r="B223" i="5"/>
  <c r="B2982" i="5"/>
  <c r="B2533" i="5"/>
  <c r="B2341" i="5"/>
  <c r="B2149" i="5"/>
  <c r="B1957" i="5"/>
  <c r="B1765" i="5"/>
  <c r="B1637" i="5"/>
  <c r="B1548" i="5"/>
  <c r="B1516" i="5"/>
  <c r="B1468" i="5"/>
  <c r="B1420" i="5"/>
  <c r="B1372" i="5"/>
  <c r="B1340" i="5"/>
  <c r="B1308" i="5"/>
  <c r="B1260" i="5"/>
  <c r="B1212" i="5"/>
  <c r="B1164" i="5"/>
  <c r="B1116" i="5"/>
  <c r="B1068" i="5"/>
  <c r="B1020" i="5"/>
  <c r="B972" i="5"/>
  <c r="B940" i="5"/>
  <c r="B892" i="5"/>
  <c r="B844" i="5"/>
  <c r="B812" i="5"/>
  <c r="B764" i="5"/>
  <c r="B716" i="5"/>
  <c r="B668" i="5"/>
  <c r="B604" i="5"/>
  <c r="B558" i="5"/>
  <c r="B540" i="5"/>
  <c r="B524" i="5"/>
  <c r="B508" i="5"/>
  <c r="B492" i="5"/>
  <c r="B476" i="5"/>
  <c r="B464" i="5"/>
  <c r="B452" i="5"/>
  <c r="B440" i="5"/>
  <c r="B428" i="5"/>
  <c r="B416" i="5"/>
  <c r="B404" i="5"/>
  <c r="B392" i="5"/>
  <c r="B380" i="5"/>
  <c r="B368" i="5"/>
  <c r="B360" i="5"/>
  <c r="B348" i="5"/>
  <c r="B336" i="5"/>
  <c r="B324" i="5"/>
  <c r="B312" i="5"/>
  <c r="B300" i="5"/>
  <c r="B288" i="5"/>
  <c r="B276" i="5"/>
  <c r="B264" i="5"/>
  <c r="B252" i="5"/>
  <c r="B244" i="5"/>
  <c r="B236" i="5"/>
  <c r="B224" i="5"/>
  <c r="B3502" i="5"/>
  <c r="B3110" i="5"/>
  <c r="B2854" i="5"/>
  <c r="B2693" i="5"/>
  <c r="B2629" i="5"/>
  <c r="B2565" i="5"/>
  <c r="B2501" i="5"/>
  <c r="B2437" i="5"/>
  <c r="B2373" i="5"/>
  <c r="B2309" i="5"/>
  <c r="B2245" i="5"/>
  <c r="B2181" i="5"/>
  <c r="B2117" i="5"/>
  <c r="B2053" i="5"/>
  <c r="B1989" i="5"/>
  <c r="B1925" i="5"/>
  <c r="B1861" i="5"/>
  <c r="B1797" i="5"/>
  <c r="B1733" i="5"/>
  <c r="B1669" i="5"/>
  <c r="B1609" i="5"/>
  <c r="B1578" i="5"/>
  <c r="B1557" i="5"/>
  <c r="B1540" i="5"/>
  <c r="B1524" i="5"/>
  <c r="B1508" i="5"/>
  <c r="B1492" i="5"/>
  <c r="B1476" i="5"/>
  <c r="B1460" i="5"/>
  <c r="B1444" i="5"/>
  <c r="B1428" i="5"/>
  <c r="B1412" i="5"/>
  <c r="B1396" i="5"/>
  <c r="B1380" i="5"/>
  <c r="B1364" i="5"/>
  <c r="B1348" i="5"/>
  <c r="B1332" i="5"/>
  <c r="B1316" i="5"/>
  <c r="B1300" i="5"/>
  <c r="B1284" i="5"/>
  <c r="B1268" i="5"/>
  <c r="B1252" i="5"/>
  <c r="B1236" i="5"/>
  <c r="B1220" i="5"/>
  <c r="B1204" i="5"/>
  <c r="B1188" i="5"/>
  <c r="B1172" i="5"/>
  <c r="B1156" i="5"/>
  <c r="B1140" i="5"/>
  <c r="B1124" i="5"/>
  <c r="B1108" i="5"/>
  <c r="B1092" i="5"/>
  <c r="B1076" i="5"/>
  <c r="B1060" i="5"/>
  <c r="B1044" i="5"/>
  <c r="B1028" i="5"/>
  <c r="B1012" i="5"/>
  <c r="B996" i="5"/>
  <c r="B980" i="5"/>
  <c r="B964" i="5"/>
  <c r="B948" i="5"/>
  <c r="B932" i="5"/>
  <c r="B916" i="5"/>
  <c r="B900" i="5"/>
  <c r="B884" i="5"/>
  <c r="B868" i="5"/>
  <c r="B852" i="5"/>
  <c r="B836" i="5"/>
  <c r="B820" i="5"/>
  <c r="B804" i="5"/>
  <c r="B788" i="5"/>
  <c r="B772" i="5"/>
  <c r="B756" i="5"/>
  <c r="B740" i="5"/>
  <c r="B724" i="5"/>
  <c r="B708" i="5"/>
  <c r="B692" i="5"/>
  <c r="B676" i="5"/>
  <c r="B660" i="5"/>
  <c r="B644" i="5"/>
  <c r="B628" i="5"/>
  <c r="B612" i="5"/>
  <c r="B596" i="5"/>
  <c r="B580" i="5"/>
  <c r="B564" i="5"/>
  <c r="B554" i="5"/>
  <c r="B548" i="5"/>
  <c r="B542" i="5"/>
  <c r="B537" i="5"/>
  <c r="B532" i="5"/>
  <c r="B526" i="5"/>
  <c r="B521" i="5"/>
  <c r="B516" i="5"/>
  <c r="B510" i="5"/>
  <c r="B505" i="5"/>
  <c r="B500" i="5"/>
  <c r="B494" i="5"/>
  <c r="B489" i="5"/>
  <c r="B484" i="5"/>
  <c r="B478" i="5"/>
  <c r="B474" i="5"/>
  <c r="B470" i="5"/>
  <c r="B466" i="5"/>
  <c r="B462" i="5"/>
  <c r="B458" i="5"/>
  <c r="B454" i="5"/>
  <c r="B450" i="5"/>
  <c r="B446" i="5"/>
  <c r="B442" i="5"/>
  <c r="B438" i="5"/>
  <c r="B434" i="5"/>
  <c r="B430" i="5"/>
  <c r="B426" i="5"/>
  <c r="B422" i="5"/>
  <c r="B418" i="5"/>
  <c r="B414" i="5"/>
  <c r="B410" i="5"/>
  <c r="B406" i="5"/>
  <c r="B402" i="5"/>
  <c r="B398" i="5"/>
  <c r="B394" i="5"/>
  <c r="B390" i="5"/>
  <c r="B386" i="5"/>
  <c r="B382" i="5"/>
  <c r="B378" i="5"/>
  <c r="B374" i="5"/>
  <c r="B370" i="5"/>
  <c r="B366" i="5"/>
  <c r="B362" i="5"/>
  <c r="B358" i="5"/>
  <c r="B354" i="5"/>
  <c r="B350" i="5"/>
  <c r="B346" i="5"/>
  <c r="B342" i="5"/>
  <c r="B338" i="5"/>
  <c r="B334" i="5"/>
  <c r="B330" i="5"/>
  <c r="B326" i="5"/>
  <c r="B322" i="5"/>
  <c r="B318" i="5"/>
  <c r="B314" i="5"/>
  <c r="B310" i="5"/>
  <c r="B306" i="5"/>
  <c r="B302" i="5"/>
  <c r="B298" i="5"/>
  <c r="B294" i="5"/>
  <c r="B290" i="5"/>
  <c r="B286" i="5"/>
  <c r="B282" i="5"/>
  <c r="B278" i="5"/>
  <c r="B274" i="5"/>
  <c r="B270" i="5"/>
  <c r="B266" i="5"/>
  <c r="B262" i="5"/>
  <c r="B258" i="5"/>
  <c r="B254" i="5"/>
  <c r="B250" i="5"/>
  <c r="B246" i="5"/>
  <c r="B242" i="5"/>
  <c r="B238" i="5"/>
  <c r="B234" i="5"/>
  <c r="B230" i="5"/>
  <c r="B226" i="5"/>
  <c r="B352" i="7"/>
  <c r="B2277" i="5"/>
  <c r="B2085" i="5"/>
  <c r="B1893" i="5"/>
  <c r="B1593" i="5"/>
  <c r="B1532" i="5"/>
  <c r="B1484" i="5"/>
  <c r="B1436" i="5"/>
  <c r="B1388" i="5"/>
  <c r="B1324" i="5"/>
  <c r="B1292" i="5"/>
  <c r="B1244" i="5"/>
  <c r="B1196" i="5"/>
  <c r="B1132" i="5"/>
  <c r="B1084" i="5"/>
  <c r="B1036" i="5"/>
  <c r="B1004" i="5"/>
  <c r="B956" i="5"/>
  <c r="B908" i="5"/>
  <c r="B860" i="5"/>
  <c r="B796" i="5"/>
  <c r="B748" i="5"/>
  <c r="B684" i="5"/>
  <c r="B636" i="5"/>
  <c r="B620" i="5"/>
  <c r="B572" i="5"/>
  <c r="B545" i="5"/>
  <c r="B529" i="5"/>
  <c r="B513" i="5"/>
  <c r="B497" i="5"/>
  <c r="B481" i="5"/>
  <c r="B468" i="5"/>
  <c r="B456" i="5"/>
  <c r="B444" i="5"/>
  <c r="B432" i="5"/>
  <c r="B420" i="5"/>
  <c r="B412" i="5"/>
  <c r="B400" i="5"/>
  <c r="B388" i="5"/>
  <c r="B376" i="5"/>
  <c r="B356" i="5"/>
  <c r="B344" i="5"/>
  <c r="B332" i="5"/>
  <c r="B320" i="5"/>
  <c r="B308" i="5"/>
  <c r="B296" i="5"/>
  <c r="B284" i="5"/>
  <c r="B268" i="5"/>
  <c r="B256" i="5"/>
  <c r="B248" i="5"/>
  <c r="B232" i="5"/>
  <c r="B3309" i="5"/>
  <c r="B3046" i="5"/>
  <c r="B2806" i="5"/>
  <c r="B2677" i="5"/>
  <c r="B2613" i="5"/>
  <c r="B2549" i="5"/>
  <c r="B2485" i="5"/>
  <c r="B2421" i="5"/>
  <c r="B2357" i="5"/>
  <c r="B2293" i="5"/>
  <c r="B2229" i="5"/>
  <c r="B2165" i="5"/>
  <c r="B2101" i="5"/>
  <c r="B2037" i="5"/>
  <c r="B1973" i="5"/>
  <c r="B1909" i="5"/>
  <c r="B1845" i="5"/>
  <c r="B1781" i="5"/>
  <c r="B1717" i="5"/>
  <c r="B1653" i="5"/>
  <c r="B1601" i="5"/>
  <c r="B1573" i="5"/>
  <c r="B1552" i="5"/>
  <c r="B1536" i="5"/>
  <c r="B1520" i="5"/>
  <c r="B1504" i="5"/>
  <c r="B1488" i="5"/>
  <c r="B1472" i="5"/>
  <c r="B1456" i="5"/>
  <c r="B1440" i="5"/>
  <c r="B1424" i="5"/>
  <c r="B1408" i="5"/>
  <c r="B1392" i="5"/>
  <c r="B1376" i="5"/>
  <c r="B1360" i="5"/>
  <c r="B1344" i="5"/>
  <c r="B1328" i="5"/>
  <c r="B1312" i="5"/>
  <c r="B1296" i="5"/>
  <c r="B1280" i="5"/>
  <c r="B1264" i="5"/>
  <c r="B1248" i="5"/>
  <c r="B1232" i="5"/>
  <c r="B1216" i="5"/>
  <c r="B1200" i="5"/>
  <c r="B1184" i="5"/>
  <c r="B1168" i="5"/>
  <c r="B1152" i="5"/>
  <c r="B1136" i="5"/>
  <c r="B1120" i="5"/>
  <c r="B1104" i="5"/>
  <c r="B1088" i="5"/>
  <c r="B1072" i="5"/>
  <c r="B1056" i="5"/>
  <c r="B1040" i="5"/>
  <c r="B1024" i="5"/>
  <c r="B1008" i="5"/>
  <c r="B992" i="5"/>
  <c r="B976" i="5"/>
  <c r="B960" i="5"/>
  <c r="B944" i="5"/>
  <c r="B928" i="5"/>
  <c r="B912" i="5"/>
  <c r="B896" i="5"/>
  <c r="B880" i="5"/>
  <c r="B864" i="5"/>
  <c r="B848" i="5"/>
  <c r="B832" i="5"/>
  <c r="B816" i="5"/>
  <c r="B800" i="5"/>
  <c r="B784" i="5"/>
  <c r="B768" i="5"/>
  <c r="B752" i="5"/>
  <c r="B736" i="5"/>
  <c r="B720" i="5"/>
  <c r="B704" i="5"/>
  <c r="B688" i="5"/>
  <c r="B672" i="5"/>
  <c r="B656" i="5"/>
  <c r="B640" i="5"/>
  <c r="B624" i="5"/>
  <c r="B608" i="5"/>
  <c r="B592" i="5"/>
  <c r="B576" i="5"/>
  <c r="B560" i="5"/>
  <c r="B552" i="5"/>
  <c r="B546" i="5"/>
  <c r="B541" i="5"/>
  <c r="B536" i="5"/>
  <c r="B530" i="5"/>
  <c r="B525" i="5"/>
  <c r="B520" i="5"/>
  <c r="B514" i="5"/>
  <c r="B509" i="5"/>
  <c r="B504" i="5"/>
  <c r="B498" i="5"/>
  <c r="B493" i="5"/>
  <c r="B488" i="5"/>
  <c r="B482" i="5"/>
  <c r="B477" i="5"/>
  <c r="B473" i="5"/>
  <c r="B469" i="5"/>
  <c r="B465" i="5"/>
  <c r="B461" i="5"/>
  <c r="B457" i="5"/>
  <c r="B453" i="5"/>
  <c r="B449" i="5"/>
  <c r="B445" i="5"/>
  <c r="B441" i="5"/>
  <c r="B437" i="5"/>
  <c r="B433" i="5"/>
  <c r="B429" i="5"/>
  <c r="B425" i="5"/>
  <c r="B421" i="5"/>
  <c r="B417" i="5"/>
  <c r="B413" i="5"/>
  <c r="B409" i="5"/>
  <c r="B405" i="5"/>
  <c r="B401" i="5"/>
  <c r="B397" i="5"/>
  <c r="B393" i="5"/>
  <c r="B389" i="5"/>
  <c r="B385" i="5"/>
  <c r="B381" i="5"/>
  <c r="B377" i="5"/>
  <c r="B373" i="5"/>
  <c r="B369" i="5"/>
  <c r="B365" i="5"/>
  <c r="B361" i="5"/>
  <c r="B357" i="5"/>
  <c r="B353" i="5"/>
  <c r="B349" i="5"/>
  <c r="B345" i="5"/>
  <c r="B341" i="5"/>
  <c r="B337" i="5"/>
  <c r="B333" i="5"/>
  <c r="B329" i="5"/>
  <c r="B325" i="5"/>
  <c r="B321" i="5"/>
  <c r="B317" i="5"/>
  <c r="B313" i="5"/>
  <c r="B309" i="5"/>
  <c r="B305" i="5"/>
  <c r="B301" i="5"/>
  <c r="B297" i="5"/>
  <c r="B293" i="5"/>
  <c r="B289" i="5"/>
  <c r="B285" i="5"/>
  <c r="B281" i="5"/>
  <c r="B277" i="5"/>
  <c r="B273" i="5"/>
  <c r="B269" i="5"/>
  <c r="B265" i="5"/>
  <c r="B261" i="5"/>
  <c r="B257" i="5"/>
  <c r="B253" i="5"/>
  <c r="B249" i="5"/>
  <c r="B245" i="5"/>
  <c r="B241" i="5"/>
  <c r="B237" i="5"/>
  <c r="B233" i="5"/>
  <c r="B229" i="5"/>
  <c r="B225" i="5"/>
  <c r="B3238" i="5"/>
  <c r="B2661" i="5"/>
  <c r="B2597" i="5"/>
  <c r="B2469" i="5"/>
  <c r="B2405" i="5"/>
  <c r="B2213" i="5"/>
  <c r="B2021" i="5"/>
  <c r="B1829" i="5"/>
  <c r="B1701" i="5"/>
  <c r="B1567" i="5"/>
  <c r="B1500" i="5"/>
  <c r="B1452" i="5"/>
  <c r="B1404" i="5"/>
  <c r="B1356" i="5"/>
  <c r="B1276" i="5"/>
  <c r="B1228" i="5"/>
  <c r="B1180" i="5"/>
  <c r="B1148" i="5"/>
  <c r="B1100" i="5"/>
  <c r="B1052" i="5"/>
  <c r="B988" i="5"/>
  <c r="B924" i="5"/>
  <c r="B876" i="5"/>
  <c r="B828" i="5"/>
  <c r="B780" i="5"/>
  <c r="B732" i="5"/>
  <c r="B700" i="5"/>
  <c r="B652" i="5"/>
  <c r="B588" i="5"/>
  <c r="B550" i="5"/>
  <c r="B534" i="5"/>
  <c r="B518" i="5"/>
  <c r="B502" i="5"/>
  <c r="B486" i="5"/>
  <c r="B472" i="5"/>
  <c r="B460" i="5"/>
  <c r="B448" i="5"/>
  <c r="B436" i="5"/>
  <c r="B424" i="5"/>
  <c r="B408" i="5"/>
  <c r="B396" i="5"/>
  <c r="B384" i="5"/>
  <c r="B372" i="5"/>
  <c r="B364" i="5"/>
  <c r="B352" i="5"/>
  <c r="B340" i="5"/>
  <c r="B328" i="5"/>
  <c r="B316" i="5"/>
  <c r="B304" i="5"/>
  <c r="B292" i="5"/>
  <c r="B280" i="5"/>
  <c r="B272" i="5"/>
  <c r="B260" i="5"/>
  <c r="B240" i="5"/>
  <c r="B228" i="5"/>
  <c r="B344" i="7"/>
  <c r="C261" i="6" s="1"/>
  <c r="B348" i="7"/>
  <c r="C269" i="6" s="1"/>
  <c r="B345" i="7"/>
  <c r="C263" i="6" s="1"/>
  <c r="B349" i="7"/>
  <c r="C271" i="6" s="1"/>
  <c r="B346" i="7"/>
  <c r="C265" i="6" s="1"/>
  <c r="B350" i="7"/>
  <c r="C273" i="6" s="1"/>
  <c r="B347" i="7"/>
  <c r="C267" i="6" s="1"/>
  <c r="B351" i="7"/>
  <c r="B324" i="7"/>
  <c r="C221" i="6" s="1"/>
  <c r="B328" i="7"/>
  <c r="C229" i="6" s="1"/>
  <c r="B332" i="7"/>
  <c r="C237" i="6" s="1"/>
  <c r="B336" i="7"/>
  <c r="C245" i="6" s="1"/>
  <c r="B340" i="7"/>
  <c r="C253" i="6" s="1"/>
  <c r="B325" i="7"/>
  <c r="C223" i="6" s="1"/>
  <c r="B329" i="7"/>
  <c r="C231" i="6" s="1"/>
  <c r="B333" i="7"/>
  <c r="C239" i="6" s="1"/>
  <c r="B337" i="7"/>
  <c r="C247" i="6" s="1"/>
  <c r="B341" i="7"/>
  <c r="C255" i="6" s="1"/>
  <c r="B322" i="7"/>
  <c r="C217" i="6" s="1"/>
  <c r="B326" i="7"/>
  <c r="C225" i="6" s="1"/>
  <c r="B330" i="7"/>
  <c r="C233" i="6" s="1"/>
  <c r="B334" i="7"/>
  <c r="C241" i="6" s="1"/>
  <c r="B338" i="7"/>
  <c r="C249" i="6" s="1"/>
  <c r="B342" i="7"/>
  <c r="C257" i="6" s="1"/>
  <c r="B323" i="7"/>
  <c r="C219" i="6" s="1"/>
  <c r="B327" i="7"/>
  <c r="C227" i="6" s="1"/>
  <c r="B331" i="7"/>
  <c r="C235" i="6" s="1"/>
  <c r="B335" i="7"/>
  <c r="C243" i="6" s="1"/>
  <c r="B339" i="7"/>
  <c r="C251" i="6" s="1"/>
  <c r="B343" i="7"/>
  <c r="C259" i="6" s="1"/>
  <c r="B321" i="7"/>
  <c r="C215" i="6" s="1"/>
  <c r="B320" i="7"/>
  <c r="C213" i="6" s="1"/>
  <c r="B308" i="7"/>
  <c r="C187" i="6" s="1"/>
  <c r="B312" i="7"/>
  <c r="C197" i="6" s="1"/>
  <c r="B316" i="7"/>
  <c r="C205" i="6" s="1"/>
  <c r="B309" i="7"/>
  <c r="C189" i="6" s="1"/>
  <c r="B313" i="7"/>
  <c r="C199" i="6" s="1"/>
  <c r="B317" i="7"/>
  <c r="C207" i="6" s="1"/>
  <c r="B310" i="7"/>
  <c r="C191" i="6" s="1"/>
  <c r="B314" i="7"/>
  <c r="C201" i="6" s="1"/>
  <c r="B318" i="7"/>
  <c r="C209" i="6" s="1"/>
  <c r="B311" i="7"/>
  <c r="C193" i="6" s="1"/>
  <c r="B315" i="7"/>
  <c r="C203" i="6" s="1"/>
  <c r="B319" i="7"/>
  <c r="C211" i="6" s="1"/>
  <c r="B287" i="7"/>
  <c r="C145" i="6" s="1"/>
  <c r="B291" i="7"/>
  <c r="C153" i="6" s="1"/>
  <c r="B295" i="7"/>
  <c r="C165" i="6" s="1"/>
  <c r="B299" i="7"/>
  <c r="C173" i="6" s="1"/>
  <c r="B303" i="7"/>
  <c r="C181" i="6" s="1"/>
  <c r="B307" i="7"/>
  <c r="C143" i="6" s="1"/>
  <c r="B288" i="7"/>
  <c r="C147" i="6" s="1"/>
  <c r="B292" i="7"/>
  <c r="B296" i="7"/>
  <c r="C167" i="6" s="1"/>
  <c r="B300" i="7"/>
  <c r="C175" i="6" s="1"/>
  <c r="B304" i="7"/>
  <c r="C183" i="6" s="1"/>
  <c r="B289" i="7"/>
  <c r="C149" i="6" s="1"/>
  <c r="B293" i="7"/>
  <c r="B297" i="7"/>
  <c r="C169" i="6" s="1"/>
  <c r="B301" i="7"/>
  <c r="C177" i="6" s="1"/>
  <c r="B305" i="7"/>
  <c r="C185" i="6" s="1"/>
  <c r="B290" i="7"/>
  <c r="C151" i="6" s="1"/>
  <c r="B294" i="7"/>
  <c r="C163" i="6" s="1"/>
  <c r="B298" i="7"/>
  <c r="C171" i="6" s="1"/>
  <c r="B302" i="7"/>
  <c r="C179" i="6" s="1"/>
  <c r="B306" i="7"/>
  <c r="C125" i="6" s="1"/>
  <c r="B281" i="7"/>
  <c r="C131" i="6" s="1"/>
  <c r="B282" i="7"/>
  <c r="C133" i="6" s="1"/>
  <c r="B285" i="7"/>
  <c r="C139" i="6" s="1"/>
  <c r="B283" i="7"/>
  <c r="C135" i="6" s="1"/>
  <c r="B286" i="7"/>
  <c r="B284" i="7"/>
  <c r="C137" i="6" s="1"/>
  <c r="B270" i="7"/>
  <c r="C500" i="1" s="1"/>
  <c r="B272" i="7"/>
  <c r="C111" i="6" s="1"/>
  <c r="B276" i="7"/>
  <c r="C119" i="6" s="1"/>
  <c r="B280" i="7"/>
  <c r="C129" i="6" s="1"/>
  <c r="B278" i="7"/>
  <c r="B279" i="7"/>
  <c r="C127" i="6" s="1"/>
  <c r="B273" i="7"/>
  <c r="C113" i="6" s="1"/>
  <c r="B277" i="7"/>
  <c r="C121" i="6" s="1"/>
  <c r="B271" i="7"/>
  <c r="C109" i="6" s="1"/>
  <c r="B274" i="7"/>
  <c r="C115" i="6" s="1"/>
  <c r="B275" i="7"/>
  <c r="C117" i="6" s="1"/>
  <c r="B267" i="7"/>
  <c r="B269" i="7"/>
  <c r="B268" i="7"/>
  <c r="C175" i="1" s="1"/>
  <c r="B266" i="7"/>
  <c r="C89" i="1" s="1"/>
  <c r="B264" i="7"/>
  <c r="C79" i="1" s="1"/>
  <c r="B265" i="7"/>
  <c r="B262" i="7"/>
  <c r="B263" i="7"/>
  <c r="C119" i="1" s="1"/>
  <c r="B43" i="10"/>
  <c r="B261" i="7"/>
  <c r="C502" i="1" s="1"/>
  <c r="B260" i="7"/>
  <c r="B259" i="7"/>
  <c r="C253" i="1" s="1"/>
  <c r="B258" i="7"/>
  <c r="C251" i="1" s="1"/>
  <c r="B257" i="7"/>
  <c r="C249" i="1" s="1"/>
  <c r="B256" i="7"/>
  <c r="C247" i="1" s="1"/>
  <c r="B255" i="7"/>
  <c r="C239" i="1" s="1"/>
  <c r="B253" i="7"/>
  <c r="C520" i="1" s="1"/>
  <c r="B249" i="7"/>
  <c r="C127" i="1" s="1"/>
  <c r="B252" i="7"/>
  <c r="C518" i="1" s="1"/>
  <c r="B248" i="7"/>
  <c r="C125" i="1" s="1"/>
  <c r="B251" i="7"/>
  <c r="C131" i="1" s="1"/>
  <c r="B247" i="7"/>
  <c r="C123" i="1" s="1"/>
  <c r="B254" i="7"/>
  <c r="C484" i="1" s="1"/>
  <c r="B250" i="7"/>
  <c r="C129" i="1" s="1"/>
  <c r="B5" i="7"/>
  <c r="C9" i="1" s="1"/>
  <c r="B242" i="7"/>
  <c r="B246" i="7"/>
  <c r="B243" i="7"/>
  <c r="B241" i="7"/>
  <c r="B244" i="7"/>
  <c r="B240" i="7"/>
  <c r="B245" i="7"/>
  <c r="C524" i="1" s="1"/>
  <c r="B72" i="7"/>
  <c r="G263" i="1" s="1"/>
  <c r="B137" i="7"/>
  <c r="C449" i="1" s="1"/>
  <c r="B104" i="7"/>
  <c r="C361" i="1" s="1"/>
  <c r="B237" i="7"/>
  <c r="C105" i="6" s="1"/>
  <c r="B234" i="7"/>
  <c r="C99" i="6" s="1"/>
  <c r="B238" i="7"/>
  <c r="C107" i="6" s="1"/>
  <c r="B136" i="7"/>
  <c r="C447" i="1" s="1"/>
  <c r="B235" i="7"/>
  <c r="C101" i="6" s="1"/>
  <c r="B239" i="7"/>
  <c r="B236" i="7"/>
  <c r="C103" i="6" s="1"/>
  <c r="B233" i="7"/>
  <c r="C97" i="6" s="1"/>
  <c r="B83" i="7"/>
  <c r="B95" i="7"/>
  <c r="B96" i="7"/>
  <c r="C329" i="1" s="1"/>
  <c r="B14" i="7"/>
  <c r="C33" i="1" s="1"/>
  <c r="B15" i="7"/>
  <c r="C35" i="1" s="1"/>
  <c r="B16" i="7"/>
  <c r="C37" i="1" s="1"/>
  <c r="B126" i="7"/>
  <c r="B27" i="7"/>
  <c r="C63" i="1" s="1"/>
  <c r="B28" i="7"/>
  <c r="C65" i="1" s="1"/>
  <c r="B84" i="7"/>
  <c r="C303" i="1" s="1"/>
  <c r="B94" i="7"/>
  <c r="B32" i="7"/>
  <c r="C75" i="1" s="1"/>
  <c r="B19" i="7"/>
  <c r="C45" i="1" s="1"/>
  <c r="B88" i="7"/>
  <c r="C311" i="1" s="1"/>
  <c r="B86" i="7"/>
  <c r="C307" i="1" s="1"/>
  <c r="B87" i="7"/>
  <c r="C309" i="1" s="1"/>
  <c r="B153" i="7"/>
  <c r="C508" i="1" s="1"/>
  <c r="B9" i="7"/>
  <c r="B118" i="7"/>
  <c r="C401" i="1" s="1"/>
  <c r="B119" i="7"/>
  <c r="C403" i="1" s="1"/>
  <c r="B77" i="7"/>
  <c r="C288" i="1" s="1"/>
  <c r="B78" i="7"/>
  <c r="C291" i="1" s="1"/>
  <c r="B82" i="7"/>
  <c r="B91" i="7"/>
  <c r="C317" i="1" s="1"/>
  <c r="B89" i="7"/>
  <c r="C313" i="1" s="1"/>
  <c r="B81" i="7"/>
  <c r="C297" i="1" s="1"/>
  <c r="B79" i="7"/>
  <c r="C293" i="1" s="1"/>
  <c r="B85" i="7"/>
  <c r="B92" i="7"/>
  <c r="C319" i="1" s="1"/>
  <c r="B80" i="7"/>
  <c r="C295" i="1" s="1"/>
  <c r="B93" i="7"/>
  <c r="B90" i="7"/>
  <c r="C315" i="1" s="1"/>
  <c r="B133" i="7"/>
  <c r="C441" i="1" s="1"/>
  <c r="B134" i="7"/>
  <c r="B132" i="7"/>
  <c r="C439" i="1" s="1"/>
  <c r="B203" i="7"/>
  <c r="C41" i="6" s="1"/>
  <c r="B204" i="7"/>
  <c r="C43" i="6" s="1"/>
  <c r="B106" i="7"/>
  <c r="C365" i="1" s="1"/>
  <c r="B169" i="7"/>
  <c r="B101" i="7"/>
  <c r="C347" i="1" s="1"/>
  <c r="B168" i="7"/>
  <c r="B208" i="7"/>
  <c r="C51" i="6" s="1"/>
  <c r="B209" i="7"/>
  <c r="C53" i="6" s="1"/>
  <c r="B227" i="7"/>
  <c r="B224" i="7"/>
  <c r="C83" i="6" s="1"/>
  <c r="B228" i="7"/>
  <c r="C87" i="6" s="1"/>
  <c r="B232" i="7"/>
  <c r="B223" i="7"/>
  <c r="C81" i="6" s="1"/>
  <c r="B218" i="7"/>
  <c r="C71" i="6" s="1"/>
  <c r="B185" i="7"/>
  <c r="B225" i="7"/>
  <c r="C85" i="6" s="1"/>
  <c r="B229" i="7"/>
  <c r="C89" i="6" s="1"/>
  <c r="B220" i="7"/>
  <c r="C75" i="6" s="1"/>
  <c r="B215" i="7"/>
  <c r="C65" i="6" s="1"/>
  <c r="B219" i="7"/>
  <c r="C73" i="6" s="1"/>
  <c r="B184" i="7"/>
  <c r="B226" i="7"/>
  <c r="C23" i="6" s="1"/>
  <c r="B230" i="7"/>
  <c r="C91" i="6" s="1"/>
  <c r="B221" i="7"/>
  <c r="C77" i="6" s="1"/>
  <c r="B216" i="7"/>
  <c r="C67" i="6" s="1"/>
  <c r="B231" i="7"/>
  <c r="C93" i="6" s="1"/>
  <c r="B222" i="7"/>
  <c r="C79" i="6" s="1"/>
  <c r="B217" i="7"/>
  <c r="C69" i="6" s="1"/>
  <c r="B214" i="7"/>
  <c r="C63" i="6" s="1"/>
  <c r="B210" i="7"/>
  <c r="C55" i="6" s="1"/>
  <c r="B202" i="7"/>
  <c r="C39" i="6" s="1"/>
  <c r="B198" i="7"/>
  <c r="C31" i="6" s="1"/>
  <c r="B194" i="7"/>
  <c r="C21" i="6" s="1"/>
  <c r="B190" i="7"/>
  <c r="C13" i="6" s="1"/>
  <c r="B186" i="7"/>
  <c r="C4" i="6" s="1"/>
  <c r="B212" i="7"/>
  <c r="C59" i="6" s="1"/>
  <c r="B200" i="7"/>
  <c r="C35" i="6" s="1"/>
  <c r="B192" i="7"/>
  <c r="C17" i="6" s="1"/>
  <c r="B211" i="7"/>
  <c r="C57" i="6" s="1"/>
  <c r="B199" i="7"/>
  <c r="C33" i="6" s="1"/>
  <c r="B191" i="7"/>
  <c r="C15" i="6" s="1"/>
  <c r="B213" i="7"/>
  <c r="C61" i="6" s="1"/>
  <c r="B207" i="7"/>
  <c r="B201" i="7"/>
  <c r="C37" i="6" s="1"/>
  <c r="B197" i="7"/>
  <c r="C29" i="6" s="1"/>
  <c r="B193" i="7"/>
  <c r="C19" i="6" s="1"/>
  <c r="B189" i="7"/>
  <c r="C11" i="6" s="1"/>
  <c r="B206" i="7"/>
  <c r="B196" i="7"/>
  <c r="C27" i="6" s="1"/>
  <c r="B188" i="7"/>
  <c r="C9" i="6" s="1"/>
  <c r="B205" i="7"/>
  <c r="C45" i="6" s="1"/>
  <c r="B195" i="7"/>
  <c r="C25" i="6" s="1"/>
  <c r="B187" i="7"/>
  <c r="C7" i="6" s="1"/>
  <c r="B112" i="7"/>
  <c r="B43" i="7"/>
  <c r="C147" i="1" s="1"/>
  <c r="B42" i="7"/>
  <c r="B113" i="7"/>
  <c r="C391" i="1" s="1"/>
  <c r="B114" i="7"/>
  <c r="C393" i="1" s="1"/>
  <c r="B120" i="7"/>
  <c r="B124" i="7"/>
  <c r="C413" i="1" s="1"/>
  <c r="B129" i="7"/>
  <c r="C433" i="1" s="1"/>
  <c r="B115" i="7"/>
  <c r="C395" i="1" s="1"/>
  <c r="B121" i="7"/>
  <c r="C407" i="1" s="1"/>
  <c r="B125" i="7"/>
  <c r="C415" i="1" s="1"/>
  <c r="B130" i="7"/>
  <c r="C435" i="1" s="1"/>
  <c r="B116" i="7"/>
  <c r="C397" i="1" s="1"/>
  <c r="B122" i="7"/>
  <c r="C409" i="1" s="1"/>
  <c r="B127" i="7"/>
  <c r="B131" i="7"/>
  <c r="C437" i="1" s="1"/>
  <c r="B117" i="7"/>
  <c r="C399" i="1" s="1"/>
  <c r="B123" i="7"/>
  <c r="C411" i="1" s="1"/>
  <c r="B128" i="7"/>
  <c r="C431" i="1" s="1"/>
  <c r="B135" i="7"/>
  <c r="B65" i="7"/>
  <c r="B66" i="7"/>
  <c r="B63" i="7"/>
  <c r="C232" i="1" s="1"/>
  <c r="B67" i="7"/>
  <c r="C243" i="1" s="1"/>
  <c r="B64" i="7"/>
  <c r="C235" i="1" s="1"/>
  <c r="B68" i="7"/>
  <c r="B69" i="7"/>
  <c r="B70" i="7"/>
  <c r="G259" i="1" s="1"/>
  <c r="B71" i="7"/>
  <c r="G261" i="1" s="1"/>
  <c r="B75" i="7"/>
  <c r="G271" i="1" s="1"/>
  <c r="B76" i="7"/>
  <c r="G273" i="1" s="1"/>
  <c r="B73" i="7"/>
  <c r="B74" i="7"/>
  <c r="G269" i="1" s="1"/>
  <c r="B31" i="7"/>
  <c r="B34" i="7"/>
  <c r="C91" i="1" s="1"/>
  <c r="B11" i="7"/>
  <c r="B20" i="7"/>
  <c r="B145" i="7"/>
  <c r="B37" i="7"/>
  <c r="C135" i="1" s="1"/>
  <c r="B41" i="7"/>
  <c r="C143" i="1" s="1"/>
  <c r="B38" i="7"/>
  <c r="C137" i="1" s="1"/>
  <c r="B44" i="7"/>
  <c r="B35" i="7"/>
  <c r="C95" i="1" s="1"/>
  <c r="B39" i="7"/>
  <c r="C139" i="1" s="1"/>
  <c r="B36" i="7"/>
  <c r="B40" i="7"/>
  <c r="C141" i="1" s="1"/>
  <c r="B183" i="7"/>
  <c r="B179" i="7"/>
  <c r="B175" i="7"/>
  <c r="C583" i="1" s="1"/>
  <c r="B171" i="7"/>
  <c r="C575" i="1" s="1"/>
  <c r="B165" i="7"/>
  <c r="C550" i="1" s="1"/>
  <c r="B161" i="7"/>
  <c r="B152" i="7"/>
  <c r="C506" i="1" s="1"/>
  <c r="B148" i="7"/>
  <c r="B109" i="7"/>
  <c r="B60" i="7"/>
  <c r="C221" i="1" s="1"/>
  <c r="B52" i="7"/>
  <c r="B22" i="7"/>
  <c r="B7" i="7"/>
  <c r="C15" i="1" s="1"/>
  <c r="B182" i="7"/>
  <c r="B178" i="7"/>
  <c r="B174" i="7"/>
  <c r="C581" i="1" s="1"/>
  <c r="B170" i="7"/>
  <c r="C572" i="1" s="1"/>
  <c r="B164" i="7"/>
  <c r="C548" i="1" s="1"/>
  <c r="B160" i="7"/>
  <c r="B156" i="7"/>
  <c r="B151" i="7"/>
  <c r="C504" i="1" s="1"/>
  <c r="B147" i="7"/>
  <c r="C490" i="1" s="1"/>
  <c r="B142" i="7"/>
  <c r="B138" i="7"/>
  <c r="C463" i="1" s="1"/>
  <c r="B108" i="7"/>
  <c r="C375" i="1" s="1"/>
  <c r="B102" i="7"/>
  <c r="B97" i="7"/>
  <c r="C338" i="1" s="1"/>
  <c r="B59" i="7"/>
  <c r="C219" i="1" s="1"/>
  <c r="B55" i="7"/>
  <c r="B51" i="7"/>
  <c r="B47" i="7"/>
  <c r="B33" i="7"/>
  <c r="B25" i="7"/>
  <c r="B21" i="7"/>
  <c r="B12" i="7"/>
  <c r="B6" i="7"/>
  <c r="C12" i="1" s="1"/>
  <c r="B2" i="7"/>
  <c r="C2" i="1" s="1"/>
  <c r="B181" i="7"/>
  <c r="B177" i="7"/>
  <c r="B173" i="7"/>
  <c r="C579" i="1" s="1"/>
  <c r="B167" i="7"/>
  <c r="C554" i="1" s="1"/>
  <c r="B163" i="7"/>
  <c r="C546" i="1" s="1"/>
  <c r="B159" i="7"/>
  <c r="C536" i="1" s="1"/>
  <c r="B155" i="7"/>
  <c r="B150" i="7"/>
  <c r="B146" i="7"/>
  <c r="C487" i="1" s="1"/>
  <c r="B141" i="7"/>
  <c r="C470" i="1" s="1"/>
  <c r="B111" i="7"/>
  <c r="C385" i="1" s="1"/>
  <c r="B107" i="7"/>
  <c r="B100" i="7"/>
  <c r="C345" i="1" s="1"/>
  <c r="B62" i="7"/>
  <c r="B58" i="7"/>
  <c r="C217" i="1" s="1"/>
  <c r="B54" i="7"/>
  <c r="B50" i="7"/>
  <c r="B46" i="7"/>
  <c r="B30" i="7"/>
  <c r="C71" i="1" s="1"/>
  <c r="B24" i="7"/>
  <c r="C57" i="1" s="1"/>
  <c r="B18" i="7"/>
  <c r="C43" i="1" s="1"/>
  <c r="B10" i="7"/>
  <c r="B180" i="7"/>
  <c r="B176" i="7"/>
  <c r="C585" i="1" s="1"/>
  <c r="B172" i="7"/>
  <c r="C577" i="1" s="1"/>
  <c r="B166" i="7"/>
  <c r="C552" i="1" s="1"/>
  <c r="B162" i="7"/>
  <c r="C544" i="1" s="1"/>
  <c r="B158" i="7"/>
  <c r="B154" i="7"/>
  <c r="B149" i="7"/>
  <c r="C494" i="1" s="1"/>
  <c r="B144" i="7"/>
  <c r="B140" i="7"/>
  <c r="C468" i="1" s="1"/>
  <c r="B110" i="7"/>
  <c r="C383" i="1" s="1"/>
  <c r="B105" i="7"/>
  <c r="B99" i="7"/>
  <c r="C343" i="1" s="1"/>
  <c r="B61" i="7"/>
  <c r="C223" i="1" s="1"/>
  <c r="B57" i="7"/>
  <c r="C215" i="1" s="1"/>
  <c r="B53" i="7"/>
  <c r="B49" i="7"/>
  <c r="B45" i="7"/>
  <c r="B29" i="7"/>
  <c r="C68" i="1" s="1"/>
  <c r="B23" i="7"/>
  <c r="B17" i="7"/>
  <c r="B8" i="7"/>
  <c r="B4" i="7"/>
  <c r="C7" i="1" s="1"/>
  <c r="B157" i="7"/>
  <c r="B143" i="7"/>
  <c r="C476" i="1" s="1"/>
  <c r="B139" i="7"/>
  <c r="B103" i="7"/>
  <c r="B98" i="7"/>
  <c r="C341" i="1" s="1"/>
  <c r="B56" i="7"/>
  <c r="B48" i="7"/>
  <c r="B26" i="7"/>
  <c r="C61" i="1" s="1"/>
  <c r="B13" i="7"/>
  <c r="B3" i="7"/>
  <c r="C5" i="1" s="1"/>
  <c r="C333" i="1" l="1"/>
  <c r="C281" i="1"/>
  <c r="C285" i="1"/>
  <c r="C335" i="1"/>
  <c r="C191" i="1"/>
  <c r="C283" i="1"/>
  <c r="C161" i="6"/>
  <c r="A4" i="10"/>
  <c r="C822" i="6"/>
  <c r="C758" i="6"/>
  <c r="C740" i="6"/>
  <c r="C732" i="6"/>
  <c r="C722" i="6"/>
  <c r="C720" i="6"/>
  <c r="C708" i="6"/>
  <c r="C698" i="6"/>
  <c r="C684" i="6"/>
  <c r="C658" i="6"/>
  <c r="C654" i="6"/>
  <c r="C570" i="6"/>
  <c r="C640" i="6"/>
  <c r="C638" i="6"/>
  <c r="C642" i="6"/>
  <c r="C554" i="6"/>
  <c r="C630" i="6"/>
  <c r="C618" i="6"/>
  <c r="C163" i="1"/>
  <c r="C542" i="1"/>
  <c r="C199" i="1"/>
  <c r="C457" i="1"/>
  <c r="C379" i="1"/>
  <c r="C357" i="1"/>
  <c r="C209" i="1"/>
  <c r="C377" i="1"/>
  <c r="C351" i="1"/>
  <c r="C534" i="1"/>
  <c r="C453" i="1"/>
  <c r="C455" i="1"/>
  <c r="C522" i="6"/>
  <c r="C520" i="6"/>
  <c r="C429" i="6"/>
  <c r="C509" i="6"/>
  <c r="C469" i="6"/>
  <c r="C477" i="6"/>
  <c r="C473" i="6"/>
  <c r="C489" i="6"/>
  <c r="C40" i="1"/>
  <c r="C349" i="1"/>
  <c r="C225" i="1"/>
  <c r="C421" i="1"/>
  <c r="C417" i="1"/>
  <c r="C425" i="6"/>
  <c r="C566" i="1"/>
  <c r="C395" i="6"/>
  <c r="C375" i="6"/>
  <c r="C155" i="6"/>
  <c r="C275" i="6"/>
  <c r="C115" i="1"/>
  <c r="C177" i="1"/>
  <c r="C87" i="1"/>
  <c r="C117" i="1"/>
  <c r="C141" i="6"/>
  <c r="C123" i="6"/>
  <c r="C97" i="1"/>
  <c r="C121" i="1"/>
  <c r="C496" i="1"/>
  <c r="C93" i="1"/>
  <c r="G2" i="10"/>
  <c r="C245" i="1"/>
  <c r="C241" i="1"/>
  <c r="C237" i="1"/>
  <c r="C482" i="1"/>
  <c r="C133" i="1"/>
  <c r="C275" i="1"/>
  <c r="G275" i="1"/>
  <c r="C279" i="1"/>
  <c r="G279" i="1"/>
  <c r="C277" i="1"/>
  <c r="G277" i="1"/>
  <c r="C480" i="1"/>
  <c r="C530" i="1"/>
  <c r="C273" i="1"/>
  <c r="C145" i="1"/>
  <c r="C263" i="1"/>
  <c r="C363" i="1"/>
  <c r="C95" i="6"/>
  <c r="C327" i="1"/>
  <c r="C323" i="1"/>
  <c r="C19" i="1"/>
  <c r="C17" i="1"/>
  <c r="C31" i="1"/>
  <c r="C27" i="1"/>
  <c r="C59" i="1"/>
  <c r="C429" i="1"/>
  <c r="C321" i="1"/>
  <c r="C301" i="1"/>
  <c r="C299" i="1"/>
  <c r="A12" i="10"/>
  <c r="A11" i="10"/>
  <c r="A10" i="10"/>
  <c r="A9" i="10"/>
  <c r="A5" i="10"/>
  <c r="A8" i="10"/>
  <c r="A7" i="10"/>
  <c r="A6" i="10"/>
  <c r="A3" i="10"/>
  <c r="C305" i="1"/>
  <c r="C405" i="1"/>
  <c r="C443" i="1"/>
  <c r="C445" i="1"/>
  <c r="C47" i="6"/>
  <c r="C556" i="1"/>
  <c r="C367" i="1"/>
  <c r="C49" i="6"/>
  <c r="C388" i="1"/>
  <c r="C2" i="6"/>
  <c r="C73" i="1"/>
  <c r="C261" i="1"/>
  <c r="C259" i="1"/>
  <c r="C256" i="1"/>
  <c r="C269" i="1"/>
  <c r="C266" i="1"/>
  <c r="C271" i="1"/>
  <c r="C47" i="1"/>
  <c r="C49" i="1"/>
  <c r="C29" i="1"/>
  <c r="C512" i="1"/>
  <c r="C478" i="1"/>
  <c r="C213" i="1"/>
  <c r="C173" i="1"/>
  <c r="C205" i="1"/>
  <c r="C203" i="1"/>
  <c r="C195" i="1"/>
  <c r="C150" i="1"/>
  <c r="C197" i="1"/>
  <c r="C207" i="1"/>
  <c r="C159" i="1"/>
  <c r="C171" i="1"/>
  <c r="C157" i="1"/>
  <c r="C155" i="1"/>
  <c r="C601" i="1"/>
  <c r="C597" i="1"/>
  <c r="C599" i="1"/>
  <c r="C588" i="1"/>
  <c r="C591" i="1"/>
  <c r="C595" i="1"/>
  <c r="C593" i="1"/>
  <c r="C522" i="1"/>
  <c r="C466" i="1"/>
  <c r="C153" i="1"/>
  <c r="C77" i="1"/>
  <c r="C540" i="1"/>
  <c r="C510" i="1"/>
  <c r="C21" i="1"/>
  <c r="A2" i="10"/>
  <c r="C538" i="1"/>
  <c r="C492" i="1"/>
  <c r="C55" i="1"/>
  <c r="C52" i="1"/>
  <c r="C473" i="1"/>
  <c r="AP2" i="10" l="1"/>
  <c r="AQ2" i="10"/>
  <c r="AO2" i="10"/>
  <c r="AK2" i="10"/>
  <c r="AG2" i="10"/>
  <c r="AC2" i="10"/>
  <c r="Y2" i="10"/>
  <c r="U2" i="10"/>
  <c r="Q2" i="10"/>
  <c r="M2" i="10"/>
  <c r="I2" i="10"/>
  <c r="AN2" i="10"/>
  <c r="AJ2" i="10"/>
  <c r="AF2" i="10"/>
  <c r="AB2" i="10"/>
  <c r="X2" i="10"/>
  <c r="T2" i="10"/>
  <c r="P2" i="10"/>
  <c r="L2" i="10"/>
  <c r="H2" i="10"/>
  <c r="AM2" i="10"/>
  <c r="AI2" i="10"/>
  <c r="AE2" i="10"/>
  <c r="AA2" i="10"/>
  <c r="W2" i="10"/>
  <c r="S2" i="10"/>
  <c r="O2" i="10"/>
  <c r="K2" i="10"/>
  <c r="AL2" i="10"/>
  <c r="AH2" i="10"/>
  <c r="AD2" i="10"/>
  <c r="Z2" i="10"/>
  <c r="V2" i="10"/>
  <c r="R2" i="10"/>
  <c r="N2" i="10"/>
  <c r="J2" i="10"/>
  <c r="B4" i="10"/>
  <c r="C4" i="10"/>
  <c r="D4" i="10"/>
  <c r="E4" i="10"/>
  <c r="E2" i="10"/>
  <c r="B2" i="10"/>
  <c r="D6" i="10"/>
  <c r="E6" i="10"/>
  <c r="D9" i="10"/>
  <c r="E9" i="10"/>
  <c r="D7" i="10"/>
  <c r="E7" i="10"/>
  <c r="D10" i="10"/>
  <c r="E10" i="10"/>
  <c r="D8" i="10"/>
  <c r="E8" i="10"/>
  <c r="D11" i="10"/>
  <c r="E11" i="10"/>
  <c r="D3" i="10"/>
  <c r="E3" i="10"/>
  <c r="D5" i="10"/>
  <c r="E5" i="10"/>
  <c r="D12" i="10"/>
  <c r="E12" i="10"/>
  <c r="C2" i="10"/>
  <c r="D2" i="10"/>
  <c r="B8" i="10"/>
  <c r="C8" i="10"/>
  <c r="B11" i="10"/>
  <c r="C11" i="10"/>
  <c r="B6" i="10"/>
  <c r="C6" i="10"/>
  <c r="B9" i="10"/>
  <c r="C9" i="10"/>
  <c r="B7" i="10"/>
  <c r="C7" i="10"/>
  <c r="B10" i="10"/>
  <c r="C10" i="10"/>
  <c r="B3" i="10"/>
  <c r="C3" i="10"/>
  <c r="B5" i="10"/>
  <c r="C5" i="10"/>
  <c r="B12" i="10"/>
  <c r="C12" i="10"/>
</calcChain>
</file>

<file path=xl/sharedStrings.xml><?xml version="1.0" encoding="utf-8"?>
<sst xmlns="http://schemas.openxmlformats.org/spreadsheetml/2006/main" count="39278" uniqueCount="9059">
  <si>
    <t>Identity</t>
  </si>
  <si>
    <t>Personal Information</t>
  </si>
  <si>
    <t>Job Information</t>
  </si>
  <si>
    <t>Pay Scale Group</t>
  </si>
  <si>
    <t xml:space="preserve">Pay Scale Level </t>
  </si>
  <si>
    <t>Dr.</t>
  </si>
  <si>
    <t>II</t>
  </si>
  <si>
    <t>III</t>
  </si>
  <si>
    <t>JD</t>
  </si>
  <si>
    <t>MD</t>
  </si>
  <si>
    <t>IV</t>
  </si>
  <si>
    <t>Afghanistan</t>
  </si>
  <si>
    <t>Albania</t>
  </si>
  <si>
    <t>Algeria</t>
  </si>
  <si>
    <t>American Samoa</t>
  </si>
  <si>
    <t>Andorra</t>
  </si>
  <si>
    <t>Angola</t>
  </si>
  <si>
    <t>Anguilla</t>
  </si>
  <si>
    <t>Antarctica</t>
  </si>
  <si>
    <t>Antigua and Barbuda</t>
  </si>
  <si>
    <t>Armenia</t>
  </si>
  <si>
    <t>Aruba</t>
  </si>
  <si>
    <t>Australia</t>
  </si>
  <si>
    <t>Austria</t>
  </si>
  <si>
    <t>Azerbaijan</t>
  </si>
  <si>
    <t>Bahrain</t>
  </si>
  <si>
    <t>Bangladesh</t>
  </si>
  <si>
    <t>Barbados</t>
  </si>
  <si>
    <t>Belarus</t>
  </si>
  <si>
    <t>Belize</t>
  </si>
  <si>
    <t>Benin</t>
  </si>
  <si>
    <t>Bhutan</t>
  </si>
  <si>
    <t>Bolivia, Plurinational State of</t>
  </si>
  <si>
    <t>Bosnia and Herzegovina</t>
  </si>
  <si>
    <t>Botswana</t>
  </si>
  <si>
    <t>Bouvet Island</t>
  </si>
  <si>
    <t>British Indian Ocean Territory</t>
  </si>
  <si>
    <t>Brunei Darussalam</t>
  </si>
  <si>
    <t>Bulgaria</t>
  </si>
  <si>
    <t>Burkina Faso</t>
  </si>
  <si>
    <t>Burundi</t>
  </si>
  <si>
    <t>Cambodia</t>
  </si>
  <si>
    <t>Cameroon</t>
  </si>
  <si>
    <t>Cape Verde</t>
  </si>
  <si>
    <t>Cayman Islands</t>
  </si>
  <si>
    <t>Central African Republic</t>
  </si>
  <si>
    <t>Chad</t>
  </si>
  <si>
    <t>Chile</t>
  </si>
  <si>
    <t>Christmas Island</t>
  </si>
  <si>
    <t>Cocos (Keeling) Islands</t>
  </si>
  <si>
    <t>Comoros</t>
  </si>
  <si>
    <t>Congo</t>
  </si>
  <si>
    <t>Congo, the Democratic Republic of the</t>
  </si>
  <si>
    <t>Cook Islands</t>
  </si>
  <si>
    <t>Cuba</t>
  </si>
  <si>
    <t>Djibouti</t>
  </si>
  <si>
    <t>Dominica</t>
  </si>
  <si>
    <t>El Salvador</t>
  </si>
  <si>
    <t>Equatorial Guinea</t>
  </si>
  <si>
    <t>Eritrea</t>
  </si>
  <si>
    <t>Estonia</t>
  </si>
  <si>
    <t>Ethiopia</t>
  </si>
  <si>
    <t>Falkland Islands (Malvinas)</t>
  </si>
  <si>
    <t>Faroe Islands</t>
  </si>
  <si>
    <t>Fiji</t>
  </si>
  <si>
    <t>French Guiana</t>
  </si>
  <si>
    <t>French Polynesia</t>
  </si>
  <si>
    <t>French Southern Territories</t>
  </si>
  <si>
    <t>Gabon</t>
  </si>
  <si>
    <t>Gambia</t>
  </si>
  <si>
    <t>Georgia</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</si>
  <si>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</si>
  <si>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</si>
  <si>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</si>
  <si>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</si>
  <si>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</si>
  <si>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</si>
  <si>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</si>
  <si>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</si>
  <si>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</si>
  <si>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</si>
  <si>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</si>
  <si>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</si>
  <si>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</si>
  <si>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</si>
  <si>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</si>
  <si>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</si>
  <si>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</si>
  <si>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Iceland</t>
  </si>
  <si>
    <t>Iran, Islamic Republic of</t>
  </si>
  <si>
    <t>Iraq</t>
  </si>
  <si>
    <t>Isle of Man</t>
  </si>
  <si>
    <t>Jamaica</t>
  </si>
  <si>
    <t>Jersey</t>
  </si>
  <si>
    <t>Jordan</t>
  </si>
  <si>
    <t>Kazakhstan</t>
  </si>
  <si>
    <t>Kenya</t>
  </si>
  <si>
    <t>Kiribati</t>
  </si>
  <si>
    <t>Korea, Democratic People's Republic of</t>
  </si>
  <si>
    <t>Korea, Republic of</t>
  </si>
  <si>
    <t>Kyrgyzstan</t>
  </si>
  <si>
    <t>Lao People's Democratic Republic</t>
  </si>
  <si>
    <t>Latvia</t>
  </si>
  <si>
    <t>Lebanon</t>
  </si>
  <si>
    <t>Lesotho</t>
  </si>
  <si>
    <t>Liberia</t>
  </si>
  <si>
    <t>Libyan Arab Jamahiriya</t>
  </si>
  <si>
    <t>Liechtenstein</t>
  </si>
  <si>
    <t>Lithuania</t>
  </si>
  <si>
    <t>Macedonia, the former Yugoslav Republic of</t>
  </si>
  <si>
    <t>Madagascar</t>
  </si>
  <si>
    <t>Malawi</t>
  </si>
  <si>
    <t>Maldives</t>
  </si>
  <si>
    <t>Mali</t>
  </si>
  <si>
    <t>Malta</t>
  </si>
  <si>
    <t>Marshall Islands</t>
  </si>
  <si>
    <t>Martinique</t>
  </si>
  <si>
    <t>Mauritania</t>
  </si>
  <si>
    <t>Mauritius</t>
  </si>
  <si>
    <t>Mayotte</t>
  </si>
  <si>
    <t>Micronesia, Federated States of</t>
  </si>
  <si>
    <t>Moldova, Republic of</t>
  </si>
  <si>
    <t>Monaco</t>
  </si>
  <si>
    <t>Mongolia</t>
  </si>
  <si>
    <t>Montenegro</t>
  </si>
  <si>
    <t>Montserrat</t>
  </si>
  <si>
    <t>Morocco</t>
  </si>
  <si>
    <t>Mozambique</t>
  </si>
  <si>
    <t>Myanmar</t>
  </si>
  <si>
    <t>Namibia</t>
  </si>
  <si>
    <t>Nauru</t>
  </si>
  <si>
    <t>Nepal</t>
  </si>
  <si>
    <t>Netherlands Antilles</t>
  </si>
  <si>
    <t>New Caledonia</t>
  </si>
  <si>
    <t>Nicaragua</t>
  </si>
  <si>
    <t>Niger</t>
  </si>
  <si>
    <t>Nigeria</t>
  </si>
  <si>
    <t>Niue</t>
  </si>
  <si>
    <t>Norfolk Island</t>
  </si>
  <si>
    <t>Northern Mariana Islands</t>
  </si>
  <si>
    <t>Oman</t>
  </si>
  <si>
    <t>Pakistan</t>
  </si>
  <si>
    <t>Palau</t>
  </si>
  <si>
    <t>Palestinian Territory, Occupied</t>
  </si>
  <si>
    <t>Panama</t>
  </si>
  <si>
    <t>Papua New Guinea</t>
  </si>
  <si>
    <t>Paraguay</t>
  </si>
  <si>
    <t>Peru</t>
  </si>
  <si>
    <t>Pitcairn</t>
  </si>
  <si>
    <t>Puerto Rico</t>
  </si>
  <si>
    <t>Qatar</t>
  </si>
  <si>
    <t>Romania</t>
  </si>
  <si>
    <t>Russian Federation</t>
  </si>
  <si>
    <t>Rwanda</t>
  </si>
  <si>
    <t>Reunion</t>
  </si>
  <si>
    <t>Saint-Barthelemy</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</si>
  <si>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</si>
  <si>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</si>
  <si>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</si>
  <si>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</si>
  <si>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</si>
  <si>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</si>
  <si>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</si>
  <si>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</si>
  <si>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</si>
  <si>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Senegal</t>
  </si>
  <si>
    <t>Serbia</t>
  </si>
  <si>
    <t>Seychelles</t>
  </si>
  <si>
    <t>Sierra Leone</t>
  </si>
  <si>
    <t>Slovakia</t>
  </si>
  <si>
    <t>Slovenia</t>
  </si>
  <si>
    <t>Solomon Islands</t>
  </si>
  <si>
    <t>Somalia</t>
  </si>
  <si>
    <t>South Georgia and the South Sandwich Islands</t>
  </si>
  <si>
    <t>Sri Lanka</t>
  </si>
  <si>
    <t>Sudan</t>
  </si>
  <si>
    <t>Suriname</t>
  </si>
  <si>
    <t>Svalbard and Jan Mayen</t>
  </si>
  <si>
    <t>Swaziland</t>
  </si>
  <si>
    <t>Syrian Arab Republic</t>
  </si>
  <si>
    <t>Tajikistan</t>
  </si>
  <si>
    <t>Tanzania, United Republic of</t>
  </si>
  <si>
    <t>Timor-Leste</t>
  </si>
  <si>
    <t>Togo</t>
  </si>
  <si>
    <t>Tokelau</t>
  </si>
  <si>
    <t>Tonga</t>
  </si>
  <si>
    <t>Trinidad and Tobago</t>
  </si>
  <si>
    <t>Tunisia</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</si>
  <si>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</si>
  <si>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</si>
  <si>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</si>
  <si>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</si>
  <si>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</si>
  <si>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</si>
  <si>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</si>
  <si>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</si>
  <si>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</si>
  <si>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</si>
  <si>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</si>
  <si>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</si>
  <si>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</si>
  <si>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</si>
  <si>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</si>
  <si>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</si>
  <si>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</si>
  <si>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</si>
  <si>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</si>
  <si>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</si>
  <si>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</si>
  <si>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Aland Islands</t>
  </si>
  <si>
    <t>(Refer to country of Birth)</t>
  </si>
  <si>
    <t>Albanian</t>
  </si>
  <si>
    <t>Armenian</t>
  </si>
  <si>
    <t>Bosnian</t>
  </si>
  <si>
    <t>Bulgarian</t>
  </si>
  <si>
    <t>Cantonese</t>
  </si>
  <si>
    <t>Catalan</t>
  </si>
  <si>
    <t>Cambodian/Kampuchea</t>
  </si>
  <si>
    <t>Croatian</t>
  </si>
  <si>
    <t>Estonian</t>
  </si>
  <si>
    <t>Farsi</t>
  </si>
  <si>
    <t>Filipino</t>
  </si>
  <si>
    <t>Fijian</t>
  </si>
  <si>
    <t>Flemish</t>
  </si>
  <si>
    <t>Fukien</t>
  </si>
  <si>
    <t>Gaelic</t>
  </si>
  <si>
    <t>Gujarati</t>
  </si>
  <si>
    <t>Hindustani</t>
  </si>
  <si>
    <t>Hmong</t>
  </si>
  <si>
    <t>Hindi</t>
  </si>
  <si>
    <t>Ibo</t>
  </si>
  <si>
    <t>Icelandic</t>
  </si>
  <si>
    <t>Ilocano</t>
  </si>
  <si>
    <t>Indonesian</t>
  </si>
  <si>
    <t>Irish</t>
  </si>
  <si>
    <t>Islandic</t>
  </si>
  <si>
    <t>Javanese</t>
  </si>
  <si>
    <t>Kannada</t>
  </si>
  <si>
    <t>Kiswahili</t>
  </si>
  <si>
    <t>Laos</t>
  </si>
  <si>
    <t>Lingala</t>
  </si>
  <si>
    <t>Maltese</t>
  </si>
  <si>
    <t>Mandarin</t>
  </si>
  <si>
    <t>Mandinka</t>
  </si>
  <si>
    <t>Marathi</t>
  </si>
  <si>
    <t>Persian</t>
  </si>
  <si>
    <t>Philippine</t>
  </si>
  <si>
    <t>Sanskrit</t>
  </si>
  <si>
    <t>Sicician</t>
  </si>
  <si>
    <t>Sinhalese</t>
  </si>
  <si>
    <t>Slovak</t>
  </si>
  <si>
    <t>Samoan</t>
  </si>
  <si>
    <t>Swahili</t>
  </si>
  <si>
    <t>Tagalog</t>
  </si>
  <si>
    <t>Telugu</t>
  </si>
  <si>
    <t>Taiwanese</t>
  </si>
  <si>
    <t>Urdu</t>
  </si>
  <si>
    <t>Wolof</t>
  </si>
  <si>
    <t>Yiddish</t>
  </si>
  <si>
    <t>Yoruba</t>
  </si>
  <si>
    <t>Esperanto</t>
  </si>
  <si>
    <t>Faroese</t>
  </si>
  <si>
    <t>Macedonian</t>
  </si>
  <si>
    <t>Somali</t>
  </si>
  <si>
    <t>Tigrinya</t>
  </si>
  <si>
    <t>Uzbek</t>
  </si>
  <si>
    <t>Frisian</t>
  </si>
  <si>
    <t>Georgian</t>
  </si>
  <si>
    <t>Shona</t>
  </si>
  <si>
    <t>Zulu</t>
  </si>
  <si>
    <t>Oriya</t>
  </si>
  <si>
    <t>Other</t>
  </si>
  <si>
    <t>Generic object</t>
  </si>
  <si>
    <t>Foundation Object</t>
  </si>
  <si>
    <t>EC User</t>
  </si>
  <si>
    <t>Matrix Manager</t>
  </si>
  <si>
    <t>Passport</t>
  </si>
  <si>
    <t>POL-ID Card</t>
  </si>
  <si>
    <t>POL-Passport</t>
  </si>
  <si>
    <t>NOR-Residence Permit</t>
  </si>
  <si>
    <t>NOR-Entry Visa Type D</t>
  </si>
  <si>
    <t>POL-Work Visa</t>
  </si>
  <si>
    <t>ROU-Permanent  Workers  WA</t>
  </si>
  <si>
    <t>ROU-Highly Qualified Workers WA</t>
  </si>
  <si>
    <t>ROU-Seasonal Workers WA</t>
  </si>
  <si>
    <t>ROU-Probationary Workers WA</t>
  </si>
  <si>
    <t>ROU-Sportsmen WA</t>
  </si>
  <si>
    <t>ROU-Nominal WA</t>
  </si>
  <si>
    <t>ROU-Cross-border Workers WA</t>
  </si>
  <si>
    <t>ROU-Exception WA</t>
  </si>
  <si>
    <t>Hire/Rehire</t>
  </si>
  <si>
    <t>USD</t>
  </si>
  <si>
    <t>Identity_Salutation</t>
  </si>
  <si>
    <t>Identity_Suffix</t>
  </si>
  <si>
    <t>Identity_Country of Birth</t>
  </si>
  <si>
    <t>Personal Information_Gender</t>
  </si>
  <si>
    <t>Personal Information_Marital Status</t>
  </si>
  <si>
    <t>Personal Information_Native Preferred Language</t>
  </si>
  <si>
    <t>Personal Information_Email Type</t>
  </si>
  <si>
    <t>Personal Information_Phone Type</t>
  </si>
  <si>
    <t>Personal Information_Address Type</t>
  </si>
  <si>
    <t>Emergency Contact info_Relationship</t>
  </si>
  <si>
    <t>Dependents_Relationship</t>
  </si>
  <si>
    <t>Job Information_Position</t>
  </si>
  <si>
    <t>Job Information_Company</t>
  </si>
  <si>
    <t>Job Information_Manager</t>
  </si>
  <si>
    <t>Job Information_Employee Type</t>
  </si>
  <si>
    <t>Job Information_Employee Class</t>
  </si>
  <si>
    <t>Job Information_Personnel area</t>
  </si>
  <si>
    <t>Job Information_Personnel Subarea</t>
  </si>
  <si>
    <t>Job Relationships_Relationship Type</t>
  </si>
  <si>
    <t>Job Relationships_Name</t>
  </si>
  <si>
    <t>Work Permit Information_Document Type</t>
  </si>
  <si>
    <t>Personal Information_Country</t>
  </si>
  <si>
    <t>Version:</t>
  </si>
  <si>
    <t>Name Information</t>
  </si>
  <si>
    <t>Biographical Information</t>
  </si>
  <si>
    <t>National ID Information</t>
  </si>
  <si>
    <t>Salutation</t>
  </si>
  <si>
    <t>Target Position</t>
  </si>
  <si>
    <t>Country</t>
  </si>
  <si>
    <t>Employment details</t>
  </si>
  <si>
    <t>Service Date (DD/MM/YYYY)</t>
  </si>
  <si>
    <t>Compensation Information</t>
  </si>
  <si>
    <t>Personal Information_County</t>
  </si>
  <si>
    <t>Emergency Contact info_IsPrimary</t>
  </si>
  <si>
    <t>Global information: Personal Information_HealthCare Provider</t>
  </si>
  <si>
    <t>Miss</t>
  </si>
  <si>
    <t>Argentina</t>
  </si>
  <si>
    <t>Bahamas</t>
  </si>
  <si>
    <t>Belgium</t>
  </si>
  <si>
    <t>Bermuda</t>
  </si>
  <si>
    <t>Brazil</t>
  </si>
  <si>
    <t>Canada</t>
  </si>
  <si>
    <t>China</t>
  </si>
  <si>
    <t>Colombia</t>
  </si>
  <si>
    <t>Costa Rica</t>
  </si>
  <si>
    <t>Croatia</t>
  </si>
  <si>
    <t>Cyprus</t>
  </si>
  <si>
    <t>Czech Republic</t>
  </si>
  <si>
    <t>Denmark</t>
  </si>
  <si>
    <t>Dominican Republic</t>
  </si>
  <si>
    <t>Ecuador</t>
  </si>
  <si>
    <t>Egypt</t>
  </si>
  <si>
    <t>Finland</t>
  </si>
  <si>
    <t>France</t>
  </si>
  <si>
    <t>Germany</t>
  </si>
  <si>
    <t>Hungary</t>
  </si>
  <si>
    <t>India</t>
  </si>
  <si>
    <t>Indonesia</t>
  </si>
  <si>
    <t>Ireland</t>
  </si>
  <si>
    <t>Israel</t>
  </si>
  <si>
    <t>Italy</t>
  </si>
  <si>
    <t>Japan</t>
  </si>
  <si>
    <t>Kuwait</t>
  </si>
  <si>
    <t>Luxembourg</t>
  </si>
  <si>
    <t>Malaysia</t>
  </si>
  <si>
    <t>Mexico</t>
  </si>
  <si>
    <t>Netherlands</t>
  </si>
  <si>
    <t>New Zealand</t>
  </si>
  <si>
    <t>Norway</t>
  </si>
  <si>
    <t>Philippines</t>
  </si>
  <si>
    <t>Poland</t>
  </si>
  <si>
    <t>Portugal</t>
  </si>
  <si>
    <t>Saudi Arabia</t>
  </si>
  <si>
    <t>Singapore</t>
  </si>
  <si>
    <t>South Africa</t>
  </si>
  <si>
    <t>Spain</t>
  </si>
  <si>
    <t>Sweden</t>
  </si>
  <si>
    <t>Switzerland</t>
  </si>
  <si>
    <t>Taiwan</t>
  </si>
  <si>
    <t>Thailand</t>
  </si>
  <si>
    <t>Turkey</t>
  </si>
  <si>
    <t>Female</t>
  </si>
  <si>
    <t>Male</t>
  </si>
  <si>
    <t>Unknown</t>
  </si>
  <si>
    <t>Single</t>
  </si>
  <si>
    <t>Widow</t>
  </si>
  <si>
    <t>Married</t>
  </si>
  <si>
    <t>Cohabitation</t>
  </si>
  <si>
    <t>Separated</t>
  </si>
  <si>
    <t>Divorced</t>
  </si>
  <si>
    <t>Head of Household</t>
  </si>
  <si>
    <t>Partnership</t>
  </si>
  <si>
    <t>Cohabitation with Contract (Netherlands)</t>
  </si>
  <si>
    <t>Cohabitation without Contract (Netherlands)</t>
  </si>
  <si>
    <t>PACS (France)</t>
  </si>
  <si>
    <t>Afrikaans</t>
  </si>
  <si>
    <t>Amharic</t>
  </si>
  <si>
    <t>Arabic</t>
  </si>
  <si>
    <t>Bengali</t>
  </si>
  <si>
    <t>Burmese</t>
  </si>
  <si>
    <t>Chinese</t>
  </si>
  <si>
    <t>Czech</t>
  </si>
  <si>
    <t>Sign Language(Dactylogy)</t>
  </si>
  <si>
    <t>Danish</t>
  </si>
  <si>
    <t>Dutch</t>
  </si>
  <si>
    <t>English</t>
  </si>
  <si>
    <t>Finnish</t>
  </si>
  <si>
    <t>French</t>
  </si>
  <si>
    <t>German</t>
  </si>
  <si>
    <t>Greek</t>
  </si>
  <si>
    <t>Hebrew</t>
  </si>
  <si>
    <t>Hungarian</t>
  </si>
  <si>
    <t>Italian</t>
  </si>
  <si>
    <t>Japanese</t>
  </si>
  <si>
    <t>Korean</t>
  </si>
  <si>
    <t>Latin</t>
  </si>
  <si>
    <t>Latvian</t>
  </si>
  <si>
    <t>Lithuanian</t>
  </si>
  <si>
    <t>Malay</t>
  </si>
  <si>
    <t>Norwegian</t>
  </si>
  <si>
    <t>Polish</t>
  </si>
  <si>
    <t>Punjabi</t>
  </si>
  <si>
    <t>Portuguese</t>
  </si>
  <si>
    <t>Rumanian</t>
  </si>
  <si>
    <t>Russian</t>
  </si>
  <si>
    <t>Serbo-Croat</t>
  </si>
  <si>
    <t>Spanish</t>
  </si>
  <si>
    <t>Swedish</t>
  </si>
  <si>
    <t>Tamil</t>
  </si>
  <si>
    <t>Thai</t>
  </si>
  <si>
    <t>Turkish</t>
  </si>
  <si>
    <t>Ukranian</t>
  </si>
  <si>
    <t>Vietnamese</t>
  </si>
  <si>
    <t>Personal</t>
  </si>
  <si>
    <t>Business</t>
  </si>
  <si>
    <t>Home</t>
  </si>
  <si>
    <t>Business1</t>
  </si>
  <si>
    <t>Cell</t>
  </si>
  <si>
    <t>Cell1</t>
  </si>
  <si>
    <t>Fax</t>
  </si>
  <si>
    <t>Permanent</t>
  </si>
  <si>
    <t>Mailing</t>
  </si>
  <si>
    <t>Buckinghamshire</t>
  </si>
  <si>
    <t>Cambridgeshire</t>
  </si>
  <si>
    <t>Cumbria</t>
  </si>
  <si>
    <t>Derbyshire</t>
  </si>
  <si>
    <t>Devon</t>
  </si>
  <si>
    <t>Dorset</t>
  </si>
  <si>
    <t>East Sussex</t>
  </si>
  <si>
    <t>Essex</t>
  </si>
  <si>
    <t>Gloucestershire</t>
  </si>
  <si>
    <t>Hampshire</t>
  </si>
  <si>
    <t>Hertfordshire</t>
  </si>
  <si>
    <t>Kent</t>
  </si>
  <si>
    <t>Lancashire</t>
  </si>
  <si>
    <t>Leicestershire</t>
  </si>
  <si>
    <t>Lincolnshire</t>
  </si>
  <si>
    <t>Norfolk</t>
  </si>
  <si>
    <t>North Yorkshire</t>
  </si>
  <si>
    <t>Northamptonshire</t>
  </si>
  <si>
    <t>Nottinghamshire</t>
  </si>
  <si>
    <t>Oxfordshire</t>
  </si>
  <si>
    <t>Somerset</t>
  </si>
  <si>
    <t>Staffordshire</t>
  </si>
  <si>
    <t>Suffolk</t>
  </si>
  <si>
    <t>Surrey</t>
  </si>
  <si>
    <t>Warwickshire</t>
  </si>
  <si>
    <t>West Sussex</t>
  </si>
  <si>
    <t>Worcestershire</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</si>
  <si>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</si>
  <si>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</si>
  <si>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</si>
  <si>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</si>
  <si>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</si>
  <si>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</si>
  <si>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</si>
  <si>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</si>
  <si>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</si>
  <si>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</si>
  <si>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</si>
  <si>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</si>
  <si>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</si>
  <si>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</si>
  <si>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</si>
  <si>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</si>
  <si>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</si>
  <si>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</si>
  <si>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</si>
  <si>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</si>
  <si>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</si>
  <si>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</si>
  <si>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</si>
  <si>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</si>
  <si>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</si>
  <si>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</si>
  <si>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</si>
  <si>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</si>
  <si>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</si>
  <si>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</si>
  <si>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</si>
  <si>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</si>
  <si>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Barnsley</t>
  </si>
  <si>
    <t>Birmingham</t>
  </si>
  <si>
    <t>Bolton</t>
  </si>
  <si>
    <t>Bradford</t>
  </si>
  <si>
    <t>Bury</t>
  </si>
  <si>
    <t>Calderdale</t>
  </si>
  <si>
    <t>Coventry</t>
  </si>
  <si>
    <t>Doncaster</t>
  </si>
  <si>
    <t>Dudley</t>
  </si>
  <si>
    <t>Gateshead</t>
  </si>
  <si>
    <t>Kirklees</t>
  </si>
  <si>
    <t>Knowsley</t>
  </si>
  <si>
    <t>Leeds</t>
  </si>
  <si>
    <t>Liverpool</t>
  </si>
  <si>
    <t>Manchester</t>
  </si>
  <si>
    <t>Newcastle upon Tyne</t>
  </si>
  <si>
    <t>North Tyneside</t>
  </si>
  <si>
    <t>Oldham</t>
  </si>
  <si>
    <t>Rochdale</t>
  </si>
  <si>
    <t>Rotherham</t>
  </si>
  <si>
    <t>Saint Helens !St. Helens</t>
  </si>
  <si>
    <t>Salford</t>
  </si>
  <si>
    <t>Sandwell</t>
  </si>
  <si>
    <t>Sefton</t>
  </si>
  <si>
    <t>Sheffield</t>
  </si>
  <si>
    <t>Solihull</t>
  </si>
  <si>
    <t>South Tyneside</t>
  </si>
  <si>
    <t>Stockport</t>
  </si>
  <si>
    <t>Sunderland</t>
  </si>
  <si>
    <t>Tameside</t>
  </si>
  <si>
    <t>Trafford</t>
  </si>
  <si>
    <t>Wakefield</t>
  </si>
  <si>
    <t>Walsall</t>
  </si>
  <si>
    <t>Wigan</t>
  </si>
  <si>
    <t>Wirral</t>
  </si>
  <si>
    <t>Wolverhampton</t>
  </si>
  <si>
    <t>Bath and North East Somerset</t>
  </si>
  <si>
    <t>Blackburn with Darwen</t>
  </si>
  <si>
    <t>Bedford</t>
  </si>
  <si>
    <t>Blackpool</t>
  </si>
  <si>
    <t>Bournemouth</t>
  </si>
  <si>
    <t>Bracknell Forest</t>
  </si>
  <si>
    <t>Brighton and Hove</t>
  </si>
  <si>
    <t>Bristol, City of</t>
  </si>
  <si>
    <t>Central Bedfordshire</t>
  </si>
  <si>
    <t>Cheshire East</t>
  </si>
  <si>
    <t>Cheshire West and Chester</t>
  </si>
  <si>
    <t>Cornwall</t>
  </si>
  <si>
    <t>Darlington</t>
  </si>
  <si>
    <t>Derby</t>
  </si>
  <si>
    <t>Durham, County</t>
  </si>
  <si>
    <t>East Riding of Yorkshire</t>
  </si>
  <si>
    <t>Halton</t>
  </si>
  <si>
    <t>Hartlepool</t>
  </si>
  <si>
    <t>Herefordshire</t>
  </si>
  <si>
    <t>Isle of Wight</t>
  </si>
  <si>
    <t>Kingston upon Hull</t>
  </si>
  <si>
    <t>Leicester</t>
  </si>
  <si>
    <t>Luton</t>
  </si>
  <si>
    <t>Medway</t>
  </si>
  <si>
    <t>Middlesbrough</t>
  </si>
  <si>
    <t>Milton Keynes</t>
  </si>
  <si>
    <t>North East Lincolnshire</t>
  </si>
  <si>
    <t>North Lincolnshire</t>
  </si>
  <si>
    <t>North Somerset</t>
  </si>
  <si>
    <t>Northumberland</t>
  </si>
  <si>
    <t>Nottingham</t>
  </si>
  <si>
    <t>Peterborough</t>
  </si>
  <si>
    <t>Plymouth</t>
  </si>
  <si>
    <t>Poole</t>
  </si>
  <si>
    <t>Portsmouth</t>
  </si>
  <si>
    <t>Reading</t>
  </si>
  <si>
    <t>Redcar and Cleveland</t>
  </si>
  <si>
    <t>Rutland</t>
  </si>
  <si>
    <t>Shropshire</t>
  </si>
  <si>
    <t>Slough</t>
  </si>
  <si>
    <t>South Gloucestershire</t>
  </si>
  <si>
    <t>Southampton</t>
  </si>
  <si>
    <t>Southend-on-Sea</t>
  </si>
  <si>
    <t>Stockton-on-Tees</t>
  </si>
  <si>
    <t>Stoke-on-Trent</t>
  </si>
  <si>
    <t>Swindon</t>
  </si>
  <si>
    <t>Telford and Wrekin</t>
  </si>
  <si>
    <t>Thurrock</t>
  </si>
  <si>
    <t>Torbay</t>
  </si>
  <si>
    <t>Warrington</t>
  </si>
  <si>
    <t>West Berkshire</t>
  </si>
  <si>
    <t>Wiltshire</t>
  </si>
  <si>
    <t>Windsor and Maidenhead</t>
  </si>
  <si>
    <t>Wokingham</t>
  </si>
  <si>
    <t>York</t>
  </si>
  <si>
    <t>London, City of</t>
  </si>
  <si>
    <t>Antrim</t>
  </si>
  <si>
    <t>Ards</t>
  </si>
  <si>
    <t>Armagh</t>
  </si>
  <si>
    <t>Ballymena</t>
  </si>
  <si>
    <t>Ballymoney</t>
  </si>
  <si>
    <t>Banbridge</t>
  </si>
  <si>
    <t>Belfast</t>
  </si>
  <si>
    <t>Carrickfergus</t>
  </si>
  <si>
    <t>Castlereagh</t>
  </si>
  <si>
    <t>Coleraine</t>
  </si>
  <si>
    <t>Cookstown</t>
  </si>
  <si>
    <t>Craigavon</t>
  </si>
  <si>
    <t>Derry</t>
  </si>
  <si>
    <t>Down</t>
  </si>
  <si>
    <t>Dungannon and South Tyrone</t>
  </si>
  <si>
    <t>Fermanagh</t>
  </si>
  <si>
    <t>Larne</t>
  </si>
  <si>
    <t>Limavady</t>
  </si>
  <si>
    <t>Lisburn</t>
  </si>
  <si>
    <t>Magherafelt</t>
  </si>
  <si>
    <t>Moyle</t>
  </si>
  <si>
    <t>Newry and Mourne District</t>
  </si>
  <si>
    <t>Newtownabbey</t>
  </si>
  <si>
    <t>North Down</t>
  </si>
  <si>
    <t>Omagh</t>
  </si>
  <si>
    <t>Strabane</t>
  </si>
  <si>
    <t>Aberdeen City</t>
  </si>
  <si>
    <t>Aberdeenshire</t>
  </si>
  <si>
    <t>Angus</t>
  </si>
  <si>
    <t>Argyll and Bute</t>
  </si>
  <si>
    <t>Clackmannanshire</t>
  </si>
  <si>
    <t>Dumfries and Galloway</t>
  </si>
  <si>
    <t>Dundee City</t>
  </si>
  <si>
    <t>East Ayrshire</t>
  </si>
  <si>
    <t>East Dunbartonshire</t>
  </si>
  <si>
    <t>East Lothian</t>
  </si>
  <si>
    <t>East Renfrewshire</t>
  </si>
  <si>
    <t>Edinburgh, City of</t>
  </si>
  <si>
    <t>Eilean Siar</t>
  </si>
  <si>
    <t>Falkirk</t>
  </si>
  <si>
    <t>Fife</t>
  </si>
  <si>
    <t>Glasgow City</t>
  </si>
  <si>
    <t>Highland</t>
  </si>
  <si>
    <t>Inverclyde</t>
  </si>
  <si>
    <t>Midlothian</t>
  </si>
  <si>
    <t>Moray</t>
  </si>
  <si>
    <t>North Ayrshire</t>
  </si>
  <si>
    <t>North Lanarkshire</t>
  </si>
  <si>
    <t>Orkney Islands</t>
  </si>
  <si>
    <t>Perth and Kinross</t>
  </si>
  <si>
    <t>Renfrewshire</t>
  </si>
  <si>
    <t>Scottish Borders, The</t>
  </si>
  <si>
    <t>Shetland Islands</t>
  </si>
  <si>
    <t>South Ayrshire</t>
  </si>
  <si>
    <t>South Lanarkshire</t>
  </si>
  <si>
    <t>Stirling</t>
  </si>
  <si>
    <t>West Dunbartonshire</t>
  </si>
  <si>
    <t>West Lothian</t>
  </si>
  <si>
    <t>Blaenau Gwent</t>
  </si>
  <si>
    <t>Bridgend</t>
  </si>
  <si>
    <t>Caerphilly</t>
  </si>
  <si>
    <t>Cardiff</t>
  </si>
  <si>
    <t>Carmarthenshire</t>
  </si>
  <si>
    <t>Ceredigion</t>
  </si>
  <si>
    <t>Conwy</t>
  </si>
  <si>
    <t>Denbighshire</t>
  </si>
  <si>
    <t>Flintshire</t>
  </si>
  <si>
    <t>Gwynedd</t>
  </si>
  <si>
    <t>Isle of Anglesey</t>
  </si>
  <si>
    <t>Merthyr Tydfil</t>
  </si>
  <si>
    <t>Monmouthshire</t>
  </si>
  <si>
    <t>Neath Port Talbot</t>
  </si>
  <si>
    <t>Newport</t>
  </si>
  <si>
    <t>Pembrokeshire</t>
  </si>
  <si>
    <t>Powys</t>
  </si>
  <si>
    <t>Rhondda, Cynon, Taff</t>
  </si>
  <si>
    <t>Swansea</t>
  </si>
  <si>
    <t>Torfaen</t>
  </si>
  <si>
    <t>Vale of Glamorgan, The</t>
  </si>
  <si>
    <t>Wrexham</t>
  </si>
  <si>
    <t>Spouse</t>
  </si>
  <si>
    <t>Child</t>
  </si>
  <si>
    <t>Parent</t>
  </si>
  <si>
    <t>Sibling</t>
  </si>
  <si>
    <t>Yes</t>
  </si>
  <si>
    <t>No</t>
  </si>
  <si>
    <t>BUPA-FA</t>
  </si>
  <si>
    <t>BUPA-MA</t>
  </si>
  <si>
    <t>BUPA-SI</t>
  </si>
  <si>
    <t>BUPA-SP</t>
  </si>
  <si>
    <t>Child of Domestic Partner</t>
  </si>
  <si>
    <t>Stepchild</t>
  </si>
  <si>
    <t>Divorced Spouse</t>
  </si>
  <si>
    <t>Domestic Partner</t>
  </si>
  <si>
    <t>Father</t>
  </si>
  <si>
    <t>Registered Partner</t>
  </si>
  <si>
    <t>Mother</t>
  </si>
  <si>
    <t>Related Persons</t>
  </si>
  <si>
    <t>Brother</t>
  </si>
  <si>
    <t>Sister</t>
  </si>
  <si>
    <t>Hourly Full Time</t>
  </si>
  <si>
    <t>Salaried Full Time</t>
  </si>
  <si>
    <t>Hourly Part Time</t>
  </si>
  <si>
    <t>Salaried Part Time</t>
  </si>
  <si>
    <t>Assignee Inbound Long Term</t>
  </si>
  <si>
    <t>Apprentice</t>
  </si>
  <si>
    <t>Assignee Inbound Short Term</t>
  </si>
  <si>
    <t>Temporary</t>
  </si>
  <si>
    <t>Casual</t>
  </si>
  <si>
    <t>Trainee</t>
  </si>
  <si>
    <t>Assignee Inbound Commuter</t>
  </si>
  <si>
    <t>Assignee Outbound Long Term</t>
  </si>
  <si>
    <t>Assignee Outbound Short Term</t>
  </si>
  <si>
    <t>Assignee Outbound Commuter</t>
  </si>
  <si>
    <t>Probation</t>
  </si>
  <si>
    <t>Replacement</t>
  </si>
  <si>
    <t>Fixed Term Contract</t>
  </si>
  <si>
    <t>Base Salary</t>
  </si>
  <si>
    <t>Mr.</t>
  </si>
  <si>
    <t>Mrs.</t>
  </si>
  <si>
    <t>Ms.</t>
  </si>
  <si>
    <t>Jr</t>
  </si>
  <si>
    <t>Sr</t>
  </si>
  <si>
    <t>PhD</t>
  </si>
  <si>
    <t>Côte d’Ivoire</t>
  </si>
  <si>
    <t>GBR-Cargill Texturising Solutions-031</t>
  </si>
  <si>
    <t>GBR-CarVal Investors LLC-002</t>
  </si>
  <si>
    <t>GBR-CarVal Investors LLC-025</t>
  </si>
  <si>
    <t>GBR-CarVal Investors LLC-003</t>
  </si>
  <si>
    <t>GBR-Cargill Texturising Solutions-020</t>
  </si>
  <si>
    <t>FO_Band</t>
  </si>
  <si>
    <t>Executive (1)</t>
  </si>
  <si>
    <t>Group (2)</t>
  </si>
  <si>
    <t>Senior Manager II (3)</t>
  </si>
  <si>
    <t>Senior Manager I (4)</t>
  </si>
  <si>
    <t>Manager II (5)</t>
  </si>
  <si>
    <t>Senior Advisor (6)</t>
  </si>
  <si>
    <t>Manager I (7)</t>
  </si>
  <si>
    <t>Advisor (8)</t>
  </si>
  <si>
    <t>Supervisor II (9)</t>
  </si>
  <si>
    <t>Senior Professional (10)</t>
  </si>
  <si>
    <t>Supervisor I (11)</t>
  </si>
  <si>
    <t>Professional (12)</t>
  </si>
  <si>
    <t>Associate Professional (13)</t>
  </si>
  <si>
    <t>Senior Support Staff (14)</t>
  </si>
  <si>
    <t>Support Staff (15)</t>
  </si>
  <si>
    <t>Associate Support Staff (16)</t>
  </si>
  <si>
    <t>Unbanded (17)</t>
  </si>
  <si>
    <t>FO_Businesses (and Functions)</t>
  </si>
  <si>
    <t>Black River Asset Management</t>
  </si>
  <si>
    <t>Cargill Business Services</t>
  </si>
  <si>
    <t>Corporate Affairs</t>
  </si>
  <si>
    <t>Cotton</t>
  </si>
  <si>
    <t>ETM Shared Resources</t>
  </si>
  <si>
    <t>Feed &amp; Nutrition</t>
  </si>
  <si>
    <t>FIBI Shared Resources</t>
  </si>
  <si>
    <t>Finance</t>
  </si>
  <si>
    <t>Global Information Technology</t>
  </si>
  <si>
    <t>Human Resources</t>
  </si>
  <si>
    <t>Law</t>
  </si>
  <si>
    <t>Metals</t>
  </si>
  <si>
    <t>Ocean Transportation</t>
  </si>
  <si>
    <t>Premix &amp; Nutrition</t>
  </si>
  <si>
    <t>Risk Management</t>
  </si>
  <si>
    <t>Starches &amp; Sweeteners Europe</t>
  </si>
  <si>
    <t>Texturizing Solutions</t>
  </si>
  <si>
    <t>Toshoku</t>
  </si>
  <si>
    <t>Trade &amp; Structured Finance</t>
  </si>
  <si>
    <t>World Trading</t>
  </si>
  <si>
    <t>FO_Company</t>
  </si>
  <si>
    <t>FO_Enterprise</t>
  </si>
  <si>
    <t>Agricultural Supply Chain</t>
  </si>
  <si>
    <t>Animal Nutrition</t>
  </si>
  <si>
    <t>Corporate</t>
  </si>
  <si>
    <t>Energy, Transportation &amp; Metals</t>
  </si>
  <si>
    <t xml:space="preserve">Food Ingredients &amp; Bio-Industrial </t>
  </si>
  <si>
    <t>Joint Ventures/Other</t>
  </si>
  <si>
    <t>FO_Frequency</t>
  </si>
  <si>
    <t>FO_Group</t>
  </si>
  <si>
    <t>FO_Location</t>
  </si>
  <si>
    <t>GBR - HEREFORD - GRANDSTAND ROAD</t>
  </si>
  <si>
    <t>GBR - HULL - 45 MORLEY STREET</t>
  </si>
  <si>
    <t>GBR - LICHFIELD - LICHFIELD OFFICE</t>
  </si>
  <si>
    <t>GBR - LIVERPOOL - BROCKLEBANK</t>
  </si>
  <si>
    <t>GBR - LIVERPOOL - COTTON</t>
  </si>
  <si>
    <t>GBR - LIVERPOOL - S2</t>
  </si>
  <si>
    <t>GBR - LIVERPOOL - SEAFORTH</t>
  </si>
  <si>
    <t>GBR - LIVERPOOL - SPEKE</t>
  </si>
  <si>
    <t>GBR - LONDON - 77 QUEEN VICTORIA STREET</t>
  </si>
  <si>
    <t>GBR - THIRSK - DALTON</t>
  </si>
  <si>
    <t>GBR - WEYBRIDGE - VELOCITY V1</t>
  </si>
  <si>
    <t>GBR - WOKING - FORMAT HOUSE</t>
  </si>
  <si>
    <t>GBR - WORKSOP - MANTON WOOD ENTERPRISE PARK</t>
  </si>
  <si>
    <t>GBR - YORK - WIGGINTON ROAD</t>
  </si>
  <si>
    <t>FO_Event Reason</t>
  </si>
  <si>
    <t>GBR - LINCOLN - WITHAM ST HUGHS</t>
  </si>
  <si>
    <t>CASC EMEA BOSC</t>
  </si>
  <si>
    <t>CASC EMEA Shared Resources</t>
  </si>
  <si>
    <t>Cocoa &amp; Chocolate</t>
  </si>
  <si>
    <t>Additional Information</t>
  </si>
  <si>
    <t xml:space="preserve"> - Please select from drop downs</t>
  </si>
  <si>
    <t xml:space="preserve"> - Please details enter if none of the above apply</t>
  </si>
  <si>
    <t>If FTC, contract length</t>
  </si>
  <si>
    <t xml:space="preserve"> - Please enter details if applicable</t>
  </si>
  <si>
    <t xml:space="preserve"> - Please enter details</t>
  </si>
  <si>
    <t xml:space="preserve"> - Please enter details or tbc</t>
  </si>
  <si>
    <t xml:space="preserve"> - Please enter details orf person or, eg, reception in location or tbc</t>
  </si>
  <si>
    <t xml:space="preserve"> - Please enter HR contact who will approve contractual documentation</t>
  </si>
  <si>
    <t>Break arrangement if applicable</t>
  </si>
  <si>
    <t>Car Grade</t>
  </si>
  <si>
    <t xml:space="preserve"> - Please select from drop downs if applicable</t>
  </si>
  <si>
    <t>Other requirements,eg, learning agreement, retention schedule</t>
  </si>
  <si>
    <t>HR Induction Date</t>
  </si>
  <si>
    <t>HR Induction Time</t>
  </si>
  <si>
    <t>Hire Right Check</t>
  </si>
  <si>
    <t>Applicable Union agreement</t>
  </si>
  <si>
    <t>Union name (if applicable)</t>
  </si>
  <si>
    <t>Date of agreement (if applicable)</t>
  </si>
  <si>
    <t>Agreement available from</t>
  </si>
  <si>
    <t>Amex required</t>
  </si>
  <si>
    <t xml:space="preserve"> - DD/MM/YYYY or tbc</t>
  </si>
  <si>
    <t xml:space="preserve"> - Y/N</t>
  </si>
  <si>
    <t xml:space="preserve"> - eg, Human Resources, Plant Superintendant</t>
  </si>
  <si>
    <t>GBR - MANCHESTER - GUINNESS ROAD</t>
  </si>
  <si>
    <t>Cocoa &amp; Chocolate Europe</t>
  </si>
  <si>
    <t>GEOS Europe</t>
  </si>
  <si>
    <t>Malt</t>
  </si>
  <si>
    <t>Global Edible Oil Solutions</t>
  </si>
  <si>
    <t>Face to face OH Screening Required</t>
  </si>
  <si>
    <t>Starches &amp; Sweeteners NA</t>
  </si>
  <si>
    <t>CAN Shared Resources</t>
  </si>
  <si>
    <t>CASC EMEA Grain</t>
  </si>
  <si>
    <t>CASC EMEA Oilseeds</t>
  </si>
  <si>
    <t xml:space="preserve">Probationary Period End Date </t>
  </si>
  <si>
    <t>Romanian</t>
  </si>
  <si>
    <t>US English (default)</t>
  </si>
  <si>
    <t>Selected</t>
  </si>
  <si>
    <t>Field</t>
  </si>
  <si>
    <t>Company</t>
  </si>
  <si>
    <t>Amount</t>
  </si>
  <si>
    <t>Currency</t>
  </si>
  <si>
    <t>Frequency</t>
  </si>
  <si>
    <t>Hire date</t>
  </si>
  <si>
    <t>Event reason</t>
  </si>
  <si>
    <t>First Name</t>
  </si>
  <si>
    <t>Last Name</t>
  </si>
  <si>
    <t>National ID Card Type</t>
  </si>
  <si>
    <t>National ID</t>
  </si>
  <si>
    <t>Is Primary</t>
  </si>
  <si>
    <t>Gender</t>
  </si>
  <si>
    <t>Nationality</t>
  </si>
  <si>
    <t>Manager</t>
  </si>
  <si>
    <t>Employee Type</t>
  </si>
  <si>
    <t>Employee Class</t>
  </si>
  <si>
    <t xml:space="preserve">Standard Weekly Hours </t>
  </si>
  <si>
    <t>Work Schedule Rule</t>
  </si>
  <si>
    <t>Work Contract</t>
  </si>
  <si>
    <t>Pay Scale Type</t>
  </si>
  <si>
    <t>Pay Scale Area</t>
  </si>
  <si>
    <t>Pay Group</t>
  </si>
  <si>
    <t>Pay Change Reason</t>
  </si>
  <si>
    <t>Pay Component</t>
  </si>
  <si>
    <t>Dutch (Nederlands)</t>
  </si>
  <si>
    <t>French (Français)</t>
  </si>
  <si>
    <t>German (Deutsch)</t>
  </si>
  <si>
    <t>Hungarian (Magyar)</t>
  </si>
  <si>
    <t>Italian (Italiano)</t>
  </si>
  <si>
    <t>Norwegian (Norsk)</t>
  </si>
  <si>
    <t>Polish (Polski)</t>
  </si>
  <si>
    <t>Portuguese (Português)</t>
  </si>
  <si>
    <t>Romanian (Română)</t>
  </si>
  <si>
    <t>Spanish (Español)</t>
  </si>
  <si>
    <t>Turkish (Türkçe)</t>
  </si>
  <si>
    <t>Imiona i Nazwisko</t>
  </si>
  <si>
    <t>Zwrot grzecznościowy</t>
  </si>
  <si>
    <t>Imię</t>
  </si>
  <si>
    <t>Nazwisko</t>
  </si>
  <si>
    <t>Informacje Biograficzne</t>
  </si>
  <si>
    <t>Data urodzenia (DD/MM/RRRR)</t>
  </si>
  <si>
    <t>Numer Identyfikacyjny</t>
  </si>
  <si>
    <t>Kraj</t>
  </si>
  <si>
    <t>Rodzaj numeru identyfikacyjnego</t>
  </si>
  <si>
    <t>Czy główny</t>
  </si>
  <si>
    <t>Dane osobowe</t>
  </si>
  <si>
    <t>Płeć</t>
  </si>
  <si>
    <t>Obywatelstwo</t>
  </si>
  <si>
    <t>Date of Birth</t>
  </si>
  <si>
    <t>Original Start Date</t>
  </si>
  <si>
    <t>Service Date</t>
  </si>
  <si>
    <t>Position</t>
  </si>
  <si>
    <t>HIDE</t>
  </si>
  <si>
    <t>Herr</t>
  </si>
  <si>
    <t>Úr</t>
  </si>
  <si>
    <t>Sig.</t>
  </si>
  <si>
    <t>Pan</t>
  </si>
  <si>
    <t>Sr.</t>
  </si>
  <si>
    <t>Bay</t>
  </si>
  <si>
    <t>Mevr.</t>
  </si>
  <si>
    <t>Mme</t>
  </si>
  <si>
    <t>Frau</t>
  </si>
  <si>
    <t>Asszony</t>
  </si>
  <si>
    <t>Sig.ra</t>
  </si>
  <si>
    <t>Pani</t>
  </si>
  <si>
    <t>Sra.</t>
  </si>
  <si>
    <t>Bayan</t>
  </si>
  <si>
    <t>dr</t>
  </si>
  <si>
    <t>Mlle</t>
  </si>
  <si>
    <t>Hölgy</t>
  </si>
  <si>
    <t>Sig.na</t>
  </si>
  <si>
    <t>Mna.</t>
  </si>
  <si>
    <t>Jr.</t>
  </si>
  <si>
    <t>Jun.</t>
  </si>
  <si>
    <t>Ifj.</t>
  </si>
  <si>
    <t>Hijo</t>
  </si>
  <si>
    <t>Sen.</t>
  </si>
  <si>
    <t>Id.</t>
  </si>
  <si>
    <t>Padre</t>
  </si>
  <si>
    <t>Docteur en droit</t>
  </si>
  <si>
    <t>J.D.</t>
  </si>
  <si>
    <t>Dottore in Giurisprudenza</t>
  </si>
  <si>
    <t>lic.</t>
  </si>
  <si>
    <t>Docteur en médecine</t>
  </si>
  <si>
    <t>M.D.</t>
  </si>
  <si>
    <t>Dottore in Medicina</t>
  </si>
  <si>
    <t>mgr</t>
  </si>
  <si>
    <t>Docteur</t>
  </si>
  <si>
    <t>Ph.D.</t>
  </si>
  <si>
    <t>Dottore di Ricerca</t>
  </si>
  <si>
    <t>Argentinië</t>
  </si>
  <si>
    <t>Argentine</t>
  </si>
  <si>
    <t>Argentinien</t>
  </si>
  <si>
    <t>Argentína</t>
  </si>
  <si>
    <t>Argentyna</t>
  </si>
  <si>
    <t>Arjantin</t>
  </si>
  <si>
    <t>Australië</t>
  </si>
  <si>
    <t>Australie</t>
  </si>
  <si>
    <t>Australien</t>
  </si>
  <si>
    <t>Ausztrália</t>
  </si>
  <si>
    <t>Austrália</t>
  </si>
  <si>
    <t>Avustralya</t>
  </si>
  <si>
    <t>Oostenrijk</t>
  </si>
  <si>
    <t>Autriche</t>
  </si>
  <si>
    <t>Österreich</t>
  </si>
  <si>
    <t>Ausztria</t>
  </si>
  <si>
    <t>Áustria</t>
  </si>
  <si>
    <t>Avusturya</t>
  </si>
  <si>
    <t>Bahama’s</t>
  </si>
  <si>
    <t>Bahama-szigetek</t>
  </si>
  <si>
    <t>Bahamy</t>
  </si>
  <si>
    <t>Bahamalar</t>
  </si>
  <si>
    <t>België</t>
  </si>
  <si>
    <t>Belgique</t>
  </si>
  <si>
    <t>Belgien</t>
  </si>
  <si>
    <t>Belgio</t>
  </si>
  <si>
    <t>Belgia</t>
  </si>
  <si>
    <t>Bélgica</t>
  </si>
  <si>
    <t>Belçika</t>
  </si>
  <si>
    <t>Bermudes</t>
  </si>
  <si>
    <t>Bermudy</t>
  </si>
  <si>
    <t>Bermudas</t>
  </si>
  <si>
    <t>Brazilië</t>
  </si>
  <si>
    <t>Brésil</t>
  </si>
  <si>
    <t>Brasilien</t>
  </si>
  <si>
    <t>Brazília</t>
  </si>
  <si>
    <t>Brasile</t>
  </si>
  <si>
    <t>Brazylia</t>
  </si>
  <si>
    <t>Brasil</t>
  </si>
  <si>
    <t>Brezilya</t>
  </si>
  <si>
    <t>Kanada</t>
  </si>
  <si>
    <t>Canadá</t>
  </si>
  <si>
    <t>Chili</t>
  </si>
  <si>
    <t>Cile</t>
  </si>
  <si>
    <t>Şili</t>
  </si>
  <si>
    <t>Chine</t>
  </si>
  <si>
    <t>Kína</t>
  </si>
  <si>
    <t>Cina</t>
  </si>
  <si>
    <t>Chiny</t>
  </si>
  <si>
    <t>Çin</t>
  </si>
  <si>
    <t>Colombie</t>
  </si>
  <si>
    <t>Kolumbien</t>
  </si>
  <si>
    <t>Kolumbia</t>
  </si>
  <si>
    <t>Colômbia</t>
  </si>
  <si>
    <t>Kolombiya</t>
  </si>
  <si>
    <t>Kostaryka</t>
  </si>
  <si>
    <t>Kosta Rika</t>
  </si>
  <si>
    <t>Kroatië</t>
  </si>
  <si>
    <t>Croatie</t>
  </si>
  <si>
    <t>Kroatien</t>
  </si>
  <si>
    <t>Horvátország</t>
  </si>
  <si>
    <t>Croazia</t>
  </si>
  <si>
    <t>Chorwacja</t>
  </si>
  <si>
    <t>Croácia</t>
  </si>
  <si>
    <t>Hırvatistan</t>
  </si>
  <si>
    <t>Chypre</t>
  </si>
  <si>
    <t>Zypern</t>
  </si>
  <si>
    <t>Ciprus</t>
  </si>
  <si>
    <t>Cipro</t>
  </si>
  <si>
    <t>Cypr</t>
  </si>
  <si>
    <t>Chipre</t>
  </si>
  <si>
    <t>Kıbrıs</t>
  </si>
  <si>
    <t>Tsjechië</t>
  </si>
  <si>
    <t>République tchèque</t>
  </si>
  <si>
    <t>Tschechische Republik</t>
  </si>
  <si>
    <t>Cseh Köztársaság</t>
  </si>
  <si>
    <t>Repubblica Ceca</t>
  </si>
  <si>
    <t>Republika Czeska</t>
  </si>
  <si>
    <t>República Checa</t>
  </si>
  <si>
    <t>Çek Cumhuriyeti</t>
  </si>
  <si>
    <t>Denemarken</t>
  </si>
  <si>
    <t>Danemark</t>
  </si>
  <si>
    <t>Dänemark</t>
  </si>
  <si>
    <t>Dánia</t>
  </si>
  <si>
    <t>Danimarca</t>
  </si>
  <si>
    <t>Dania</t>
  </si>
  <si>
    <t>Dinamarca</t>
  </si>
  <si>
    <t>Danimarka</t>
  </si>
  <si>
    <t>Dominicaanse Republiek</t>
  </si>
  <si>
    <t>République dominicaine</t>
  </si>
  <si>
    <t>Dominikanische Republik</t>
  </si>
  <si>
    <t>Dominikai Köztársaság</t>
  </si>
  <si>
    <t>Repubblica Dominicana</t>
  </si>
  <si>
    <t>Republika Dominikany</t>
  </si>
  <si>
    <t>República Dominicana</t>
  </si>
  <si>
    <t>Dominik Cumhuriyeti</t>
  </si>
  <si>
    <t>Équateur</t>
  </si>
  <si>
    <t>Ekwador</t>
  </si>
  <si>
    <t>Equador</t>
  </si>
  <si>
    <t>Ekvator</t>
  </si>
  <si>
    <t>Egypte</t>
  </si>
  <si>
    <t>Égypte</t>
  </si>
  <si>
    <t>Ägypten</t>
  </si>
  <si>
    <t>Egyiptom</t>
  </si>
  <si>
    <t>Egitto</t>
  </si>
  <si>
    <t>Egipt</t>
  </si>
  <si>
    <t>Egito</t>
  </si>
  <si>
    <t>Mısır</t>
  </si>
  <si>
    <t>Finlande</t>
  </si>
  <si>
    <t>Finnland</t>
  </si>
  <si>
    <t>Finnország</t>
  </si>
  <si>
    <t>Finlandia</t>
  </si>
  <si>
    <t>Finlândia</t>
  </si>
  <si>
    <t>Finlandiya</t>
  </si>
  <si>
    <t>Frankrijk</t>
  </si>
  <si>
    <t>Frankreich</t>
  </si>
  <si>
    <t>Franciaország</t>
  </si>
  <si>
    <t>Francia</t>
  </si>
  <si>
    <t>Francja</t>
  </si>
  <si>
    <t>França</t>
  </si>
  <si>
    <t>Fransa</t>
  </si>
  <si>
    <t>Frans-Guyana</t>
  </si>
  <si>
    <t>Guyane française</t>
  </si>
  <si>
    <t>Französisch-Guayana</t>
  </si>
  <si>
    <t>Francia Guyana</t>
  </si>
  <si>
    <t>Guyana francese</t>
  </si>
  <si>
    <t>Gujana Francuska</t>
  </si>
  <si>
    <t>Guiana Francesa</t>
  </si>
  <si>
    <t>Guayana Francesa</t>
  </si>
  <si>
    <t>Frans-Polynesië</t>
  </si>
  <si>
    <t>Polynésie française</t>
  </si>
  <si>
    <t>Französisch-Polynesien</t>
  </si>
  <si>
    <t>Francia Polinézia</t>
  </si>
  <si>
    <t>Polinesia francese</t>
  </si>
  <si>
    <t>Polinezja Francuska</t>
  </si>
  <si>
    <t>Polinésia Francesa</t>
  </si>
  <si>
    <t>Polinesia francesa</t>
  </si>
  <si>
    <t>Franse Zuidelijke Gebieden</t>
  </si>
  <si>
    <t>Territoires du Sud</t>
  </si>
  <si>
    <t>Französische Süd- und Antarktisgebiete</t>
  </si>
  <si>
    <t>Francia déli területek</t>
  </si>
  <si>
    <t>Terre australi e antartiche francesi</t>
  </si>
  <si>
    <t>Francuskie Terytoria Południowe</t>
  </si>
  <si>
    <t>Terras Austrais e Antárticas Francesas</t>
  </si>
  <si>
    <t>Territorios Franceses del Sur</t>
  </si>
  <si>
    <t>Duitsland</t>
  </si>
  <si>
    <t>Allemagne</t>
  </si>
  <si>
    <t>Deutschland</t>
  </si>
  <si>
    <t>Németország</t>
  </si>
  <si>
    <t>Germania</t>
  </si>
  <si>
    <t>Niemcy</t>
  </si>
  <si>
    <t>Alemanha</t>
  </si>
  <si>
    <t>Almanya</t>
  </si>
  <si>
    <t>Hongarije</t>
  </si>
  <si>
    <t>Hongrie</t>
  </si>
  <si>
    <t>Ungarn</t>
  </si>
  <si>
    <t>Magyarország</t>
  </si>
  <si>
    <t>Ungheria</t>
  </si>
  <si>
    <t>Węgry</t>
  </si>
  <si>
    <t>Hungria</t>
  </si>
  <si>
    <t>Macaristan</t>
  </si>
  <si>
    <t>Inde</t>
  </si>
  <si>
    <t>Indien</t>
  </si>
  <si>
    <t>Indie</t>
  </si>
  <si>
    <t>Índia</t>
  </si>
  <si>
    <t>Hindistan</t>
  </si>
  <si>
    <t>Indonesië</t>
  </si>
  <si>
    <t>Indonésie</t>
  </si>
  <si>
    <t>Indonesien</t>
  </si>
  <si>
    <t>Indonézia</t>
  </si>
  <si>
    <t>Indonezja</t>
  </si>
  <si>
    <t>Indonésia</t>
  </si>
  <si>
    <t>Endonezya</t>
  </si>
  <si>
    <t>Ierland</t>
  </si>
  <si>
    <t>Irlande</t>
  </si>
  <si>
    <t>Irland</t>
  </si>
  <si>
    <t>Írország</t>
  </si>
  <si>
    <t>Irlanda</t>
  </si>
  <si>
    <t>Irlandia</t>
  </si>
  <si>
    <t>İrlanda</t>
  </si>
  <si>
    <t>Israël</t>
  </si>
  <si>
    <t>Izrael</t>
  </si>
  <si>
    <t>Israele</t>
  </si>
  <si>
    <t>İsrail</t>
  </si>
  <si>
    <t>Italië</t>
  </si>
  <si>
    <t>Italie</t>
  </si>
  <si>
    <t>Italien</t>
  </si>
  <si>
    <t>Olaszország</t>
  </si>
  <si>
    <t>Italia</t>
  </si>
  <si>
    <t>Włochy</t>
  </si>
  <si>
    <t>Itália</t>
  </si>
  <si>
    <t>İtalya</t>
  </si>
  <si>
    <t>Japon</t>
  </si>
  <si>
    <t>Japán</t>
  </si>
  <si>
    <t>Giappone</t>
  </si>
  <si>
    <t>Japonia</t>
  </si>
  <si>
    <t>Japão</t>
  </si>
  <si>
    <t>Japonya</t>
  </si>
  <si>
    <t>Koeweit</t>
  </si>
  <si>
    <t>Koweït</t>
  </si>
  <si>
    <t>Kuvait</t>
  </si>
  <si>
    <t>Kuwejt</t>
  </si>
  <si>
    <t>Kuveyt</t>
  </si>
  <si>
    <t>Luxemburg</t>
  </si>
  <si>
    <t>Lussemburgo</t>
  </si>
  <si>
    <t>Luksemburg</t>
  </si>
  <si>
    <t>Luxemburgo</t>
  </si>
  <si>
    <t>Lüksemburg</t>
  </si>
  <si>
    <t>Maleisië</t>
  </si>
  <si>
    <t>Malaisie</t>
  </si>
  <si>
    <t>Malajzia</t>
  </si>
  <si>
    <t>Malesia</t>
  </si>
  <si>
    <t>Malezja</t>
  </si>
  <si>
    <t>Malásia</t>
  </si>
  <si>
    <t>Malezya</t>
  </si>
  <si>
    <t>Mexique</t>
  </si>
  <si>
    <t>Mexiko</t>
  </si>
  <si>
    <t>Mexikó</t>
  </si>
  <si>
    <t>Messico</t>
  </si>
  <si>
    <t>Meksyk</t>
  </si>
  <si>
    <t>México</t>
  </si>
  <si>
    <t>Meksika</t>
  </si>
  <si>
    <t>Népal</t>
  </si>
  <si>
    <t>Nepál</t>
  </si>
  <si>
    <t>Nederland</t>
  </si>
  <si>
    <t>Pays-Bas</t>
  </si>
  <si>
    <t>Niederlande</t>
  </si>
  <si>
    <t>Hollandia</t>
  </si>
  <si>
    <t>Paesi Bassi</t>
  </si>
  <si>
    <t>Holandia</t>
  </si>
  <si>
    <t>Países Baixos</t>
  </si>
  <si>
    <t>Hollanda</t>
  </si>
  <si>
    <t>Nieuw-Caledonië</t>
  </si>
  <si>
    <t>Nouvelle-Calédonie</t>
  </si>
  <si>
    <t>Neukaledonien</t>
  </si>
  <si>
    <t>Új-Kaledónia</t>
  </si>
  <si>
    <t>Nuova Caledonia</t>
  </si>
  <si>
    <t>Nowa Kaledonia</t>
  </si>
  <si>
    <t>Nova Caledónia</t>
  </si>
  <si>
    <t>Nueva Caledonia</t>
  </si>
  <si>
    <t>Nieuw-Zeeland</t>
  </si>
  <si>
    <t>Nouvelle-Zélande</t>
  </si>
  <si>
    <t>Neuseeland</t>
  </si>
  <si>
    <t>Új-Zéland</t>
  </si>
  <si>
    <t>Nuova Zelanda</t>
  </si>
  <si>
    <t>Nowa Zelandia</t>
  </si>
  <si>
    <t>Nova Zelândia</t>
  </si>
  <si>
    <t>Yeni Zelanda</t>
  </si>
  <si>
    <t>Noorwegen</t>
  </si>
  <si>
    <t>Norvège</t>
  </si>
  <si>
    <t>Norwegen</t>
  </si>
  <si>
    <t>Norvégia</t>
  </si>
  <si>
    <t>Norvegia</t>
  </si>
  <si>
    <t>Norwegia</t>
  </si>
  <si>
    <t>Noruega</t>
  </si>
  <si>
    <t>Norveç</t>
  </si>
  <si>
    <t>Pakisztán</t>
  </si>
  <si>
    <t>Paquistão</t>
  </si>
  <si>
    <t>Pérou</t>
  </si>
  <si>
    <t>Filipijnen</t>
  </si>
  <si>
    <t>Philippinen</t>
  </si>
  <si>
    <t>Fülöp-szigetek</t>
  </si>
  <si>
    <t>Filippine</t>
  </si>
  <si>
    <t>Filipiny</t>
  </si>
  <si>
    <t>Filipinas</t>
  </si>
  <si>
    <t>Filipinler</t>
  </si>
  <si>
    <t>Polen</t>
  </si>
  <si>
    <t>Pologne</t>
  </si>
  <si>
    <t>Lengyelország</t>
  </si>
  <si>
    <t>Polonia</t>
  </si>
  <si>
    <t>Polska</t>
  </si>
  <si>
    <t>Polónia</t>
  </si>
  <si>
    <t>Polonya</t>
  </si>
  <si>
    <t>Portugália</t>
  </si>
  <si>
    <t>Portogallo</t>
  </si>
  <si>
    <t>Portugalia</t>
  </si>
  <si>
    <t>Portekiz</t>
  </si>
  <si>
    <t>Saint-Pierre en Miquelon</t>
  </si>
  <si>
    <t>Saint-Pierre-et-Miquelon</t>
  </si>
  <si>
    <t>Saint-Pierre und Miquelon</t>
  </si>
  <si>
    <t>Saint Pierre és Miquelon</t>
  </si>
  <si>
    <t>Saint-Pierre e Miquelon</t>
  </si>
  <si>
    <t>Saint Pierre i Miquelon</t>
  </si>
  <si>
    <t>San Pedro y Miquelón</t>
  </si>
  <si>
    <t>Saoedi-Arabië</t>
  </si>
  <si>
    <t>Arabie saoudite</t>
  </si>
  <si>
    <t>Saudi-Arabien</t>
  </si>
  <si>
    <t>Szaúd-Arábia</t>
  </si>
  <si>
    <t>Arabia Saudita</t>
  </si>
  <si>
    <t>Arabia Saudyjska</t>
  </si>
  <si>
    <t>Arábia Saudita</t>
  </si>
  <si>
    <t>Suudi Arabistan</t>
  </si>
  <si>
    <t>Singapour</t>
  </si>
  <si>
    <t>Singapur</t>
  </si>
  <si>
    <t>Szingapúr</t>
  </si>
  <si>
    <t>Singapura</t>
  </si>
  <si>
    <t>Zuid-Afrika</t>
  </si>
  <si>
    <t>Afrique du Sud</t>
  </si>
  <si>
    <t>Südafrika</t>
  </si>
  <si>
    <t>Dél-Afrika</t>
  </si>
  <si>
    <t>Sudafrica</t>
  </si>
  <si>
    <t>Afryka Południowa</t>
  </si>
  <si>
    <t>África do Sul</t>
  </si>
  <si>
    <t>Güney Afrika</t>
  </si>
  <si>
    <t>Spanje</t>
  </si>
  <si>
    <t>Espagne</t>
  </si>
  <si>
    <t>Spanien</t>
  </si>
  <si>
    <t>Spanyolország</t>
  </si>
  <si>
    <t>Spagna</t>
  </si>
  <si>
    <t>Hiszpania</t>
  </si>
  <si>
    <t>Espanha</t>
  </si>
  <si>
    <t>İspanya</t>
  </si>
  <si>
    <t>Zweden</t>
  </si>
  <si>
    <t>Suède</t>
  </si>
  <si>
    <t>Schweden</t>
  </si>
  <si>
    <t>Svédország</t>
  </si>
  <si>
    <t>Svezia</t>
  </si>
  <si>
    <t>Szwecja</t>
  </si>
  <si>
    <t>Suécia</t>
  </si>
  <si>
    <t>İsveç</t>
  </si>
  <si>
    <t>Zwitserland</t>
  </si>
  <si>
    <t>Suisse</t>
  </si>
  <si>
    <t>Schweiz</t>
  </si>
  <si>
    <t>Svájc</t>
  </si>
  <si>
    <t>Svizzera</t>
  </si>
  <si>
    <t>Szwajcaria</t>
  </si>
  <si>
    <t>Suíça</t>
  </si>
  <si>
    <t>İsviçre</t>
  </si>
  <si>
    <t>Thaïlande</t>
  </si>
  <si>
    <t>Thaiföld</t>
  </si>
  <si>
    <t>Thailandia</t>
  </si>
  <si>
    <t>Tajlandia</t>
  </si>
  <si>
    <t>Tailândia</t>
  </si>
  <si>
    <t>Tayland</t>
  </si>
  <si>
    <t>Turkije</t>
  </si>
  <si>
    <t>Turquie</t>
  </si>
  <si>
    <t>Türkei</t>
  </si>
  <si>
    <t>Törökország</t>
  </si>
  <si>
    <t>Turchia</t>
  </si>
  <si>
    <t>Turcja</t>
  </si>
  <si>
    <t>Turquia</t>
  </si>
  <si>
    <t>Türkiye</t>
  </si>
  <si>
    <t>Oekraïne</t>
  </si>
  <si>
    <t>Ukrajna</t>
  </si>
  <si>
    <t>Ucraina</t>
  </si>
  <si>
    <t>Ukraina</t>
  </si>
  <si>
    <t>Ucrânia</t>
  </si>
  <si>
    <t>Ukrayna</t>
  </si>
  <si>
    <t>Verenigd Koninkrijk</t>
  </si>
  <si>
    <t>Royaume-Uni</t>
  </si>
  <si>
    <t>Großbritannien</t>
  </si>
  <si>
    <t>Egyesült Királyság</t>
  </si>
  <si>
    <t>Regno Unito</t>
  </si>
  <si>
    <t>Wlk. Brytania</t>
  </si>
  <si>
    <t>Reino Unido</t>
  </si>
  <si>
    <t>Birleşik Krallık</t>
  </si>
  <si>
    <t>Verenigde Staten</t>
  </si>
  <si>
    <t>États-Unis</t>
  </si>
  <si>
    <t>Vereinigte Staaten</t>
  </si>
  <si>
    <t>Egyesült Államok</t>
  </si>
  <si>
    <t>Stati Uniti</t>
  </si>
  <si>
    <t>Stany Zjednoczone</t>
  </si>
  <si>
    <t>Estados Unidos da América</t>
  </si>
  <si>
    <t>Birleşik Devletler</t>
  </si>
  <si>
    <t>Wallis en Futuna</t>
  </si>
  <si>
    <t>Wallis-et-Futuna</t>
  </si>
  <si>
    <t>Wallis und Futuna</t>
  </si>
  <si>
    <t>Wallis és Futuna</t>
  </si>
  <si>
    <t>Wallis e Futuna</t>
  </si>
  <si>
    <t>Wallis i Futuna</t>
  </si>
  <si>
    <t>Islas Wallis y Futuna</t>
  </si>
  <si>
    <t>Onbekend</t>
  </si>
  <si>
    <t>Inconnu</t>
  </si>
  <si>
    <t>Unbekannt</t>
  </si>
  <si>
    <t>Ismeretlen</t>
  </si>
  <si>
    <t>Sconosciuto</t>
  </si>
  <si>
    <t>Nieznany</t>
  </si>
  <si>
    <t>Desconhecido</t>
  </si>
  <si>
    <t>Bilinmiyor</t>
  </si>
  <si>
    <t>Alleenstaand</t>
  </si>
  <si>
    <t>Célibataire</t>
  </si>
  <si>
    <t>Unverheiratet</t>
  </si>
  <si>
    <t>Egyedülálló</t>
  </si>
  <si>
    <t>Celibe/Nubile</t>
  </si>
  <si>
    <t>Stanu wolnego</t>
  </si>
  <si>
    <t>Solteiro</t>
  </si>
  <si>
    <t>Bekar</t>
  </si>
  <si>
    <t>Weduwe/weduwnaar</t>
  </si>
  <si>
    <t>Verwitwet</t>
  </si>
  <si>
    <t>Özvegy</t>
  </si>
  <si>
    <t>Vedovo/a</t>
  </si>
  <si>
    <t>Wdowiec/wdowa</t>
  </si>
  <si>
    <t>Viúvo</t>
  </si>
  <si>
    <t>Dul</t>
  </si>
  <si>
    <t>Getrouwd</t>
  </si>
  <si>
    <t>Marié(e)</t>
  </si>
  <si>
    <t>Verheiratet</t>
  </si>
  <si>
    <t>Házas</t>
  </si>
  <si>
    <t>Coniugato/a</t>
  </si>
  <si>
    <t>Żonaty/zamężna</t>
  </si>
  <si>
    <t>Casado</t>
  </si>
  <si>
    <t>Evli</t>
  </si>
  <si>
    <t>Samenwonend</t>
  </si>
  <si>
    <t>Zusammenlebend</t>
  </si>
  <si>
    <t>Együttélés</t>
  </si>
  <si>
    <t>Convivente</t>
  </si>
  <si>
    <t>W konkubinacie</t>
  </si>
  <si>
    <t>Coabitação</t>
  </si>
  <si>
    <t>Birlikte Yaşama</t>
  </si>
  <si>
    <t>Gescheiden</t>
  </si>
  <si>
    <t>Getrennt</t>
  </si>
  <si>
    <t>Külön élő</t>
  </si>
  <si>
    <t>Separato/a</t>
  </si>
  <si>
    <t>Mieszkający osobno</t>
  </si>
  <si>
    <t>Separado</t>
  </si>
  <si>
    <t>Ayrı Yaşayan</t>
  </si>
  <si>
    <t>Geschieden</t>
  </si>
  <si>
    <t>Elvált</t>
  </si>
  <si>
    <t>Divorziato/a</t>
  </si>
  <si>
    <t>Rozwiedziony/-a</t>
  </si>
  <si>
    <t>Divorciado</t>
  </si>
  <si>
    <t>Boşanmış</t>
  </si>
  <si>
    <t>Gezinshoofd</t>
  </si>
  <si>
    <t>Chef de famille</t>
  </si>
  <si>
    <t>Haushaltsvorstand</t>
  </si>
  <si>
    <t>Háztartás feje</t>
  </si>
  <si>
    <t>Capofamiglia</t>
  </si>
  <si>
    <t>Głowa gospodarstwa domowego</t>
  </si>
  <si>
    <t>Cabeça de casal</t>
  </si>
  <si>
    <t>Evin Reisi</t>
  </si>
  <si>
    <t>Vennootschap onder firma</t>
  </si>
  <si>
    <t>Partenariat</t>
  </si>
  <si>
    <t>Partnerschaft</t>
  </si>
  <si>
    <t>Társas vállalkozás</t>
  </si>
  <si>
    <t>Partner</t>
  </si>
  <si>
    <t>W związku partnerskim</t>
  </si>
  <si>
    <t>Parceria</t>
  </si>
  <si>
    <t>Partner İlişkisi</t>
  </si>
  <si>
    <t>Samenwonend met contract (Nederland)</t>
  </si>
  <si>
    <t>Lebensgemeinschaft mit Vertrag (Niederlande)</t>
  </si>
  <si>
    <t>Szerződésen alapuló együttélés (Hollandia)</t>
  </si>
  <si>
    <t>Convivente con contratto (Paesi Bassi)</t>
  </si>
  <si>
    <t>W konkubinacie objętym umową (Holandia)</t>
  </si>
  <si>
    <t>Coabitação com contrato (Países Baixos)</t>
  </si>
  <si>
    <t>Sözleşmeli Birlikte Yaşama (Hollanda)</t>
  </si>
  <si>
    <t>Samenwonend zonder contract (Nederland)</t>
  </si>
  <si>
    <t>Lebensgemeinschaft ohne Vertrag (Niederlande)</t>
  </si>
  <si>
    <t>Szerződés nélküli együttélés (Hollandia)</t>
  </si>
  <si>
    <t>Convivente senza contratto (Paesi Bassi)</t>
  </si>
  <si>
    <t>W konkubinacie nieobjętym umową (Holandia)</t>
  </si>
  <si>
    <t>Coabitação sem contrato (Países Baixos)</t>
  </si>
  <si>
    <t>Sözleşme olmadan Birlikte Yaşama (Hollanda)</t>
  </si>
  <si>
    <t>PACS-samenlevingscontract (Frankrijk)</t>
  </si>
  <si>
    <t>Ziviler Solidaritätspakt (Frankreich)</t>
  </si>
  <si>
    <t>Bejegyzett élettársi kapcsolat (PACS Franciaország)</t>
  </si>
  <si>
    <t>PACS (Francia)</t>
  </si>
  <si>
    <t>PACS (Francja)</t>
  </si>
  <si>
    <t>PACS (França)</t>
  </si>
  <si>
    <t>PACS (Fransa)</t>
  </si>
  <si>
    <t>Amhaars</t>
  </si>
  <si>
    <t>Amharique</t>
  </si>
  <si>
    <t>Amharisch</t>
  </si>
  <si>
    <t>Amhara</t>
  </si>
  <si>
    <t>Amarico</t>
  </si>
  <si>
    <t>Amharski</t>
  </si>
  <si>
    <t>Amárico</t>
  </si>
  <si>
    <t>Amhárico</t>
  </si>
  <si>
    <t>Amharikçe</t>
  </si>
  <si>
    <t>Arabisch</t>
  </si>
  <si>
    <t>Arabe</t>
  </si>
  <si>
    <t>Arab</t>
  </si>
  <si>
    <t>Arabo</t>
  </si>
  <si>
    <t>Arabski</t>
  </si>
  <si>
    <t>Árabe</t>
  </si>
  <si>
    <t>Arapça</t>
  </si>
  <si>
    <t>Bengaals</t>
  </si>
  <si>
    <t>Bengáli</t>
  </si>
  <si>
    <t>Bengalese</t>
  </si>
  <si>
    <t>Bengalski</t>
  </si>
  <si>
    <t>Bengalês</t>
  </si>
  <si>
    <t>Bengalí</t>
  </si>
  <si>
    <t>Bengalce</t>
  </si>
  <si>
    <t>Burmees</t>
  </si>
  <si>
    <t>Birman</t>
  </si>
  <si>
    <t>Burmesisch</t>
  </si>
  <si>
    <t>Burmai</t>
  </si>
  <si>
    <t>Birmano</t>
  </si>
  <si>
    <t>Birmański</t>
  </si>
  <si>
    <t>Burmês</t>
  </si>
  <si>
    <t>Burmaca</t>
  </si>
  <si>
    <t>Chinees</t>
  </si>
  <si>
    <t>Chinois</t>
  </si>
  <si>
    <t>Chinesisch</t>
  </si>
  <si>
    <t>Kínai</t>
  </si>
  <si>
    <t>Cinese</t>
  </si>
  <si>
    <t>Chiński</t>
  </si>
  <si>
    <t>Chinês</t>
  </si>
  <si>
    <t>Chino</t>
  </si>
  <si>
    <t>Çinli</t>
  </si>
  <si>
    <t>Tsjechisch</t>
  </si>
  <si>
    <t>Tchèque</t>
  </si>
  <si>
    <t>Tschechisch</t>
  </si>
  <si>
    <t>Cseh</t>
  </si>
  <si>
    <t>Ceco</t>
  </si>
  <si>
    <t>Czeski</t>
  </si>
  <si>
    <t>Checo</t>
  </si>
  <si>
    <t>Çekçe</t>
  </si>
  <si>
    <t>Deens</t>
  </si>
  <si>
    <t>Danois</t>
  </si>
  <si>
    <t>Dänisch</t>
  </si>
  <si>
    <t>Dán</t>
  </si>
  <si>
    <t>Danese</t>
  </si>
  <si>
    <t>Duński</t>
  </si>
  <si>
    <t>Dinamarquês</t>
  </si>
  <si>
    <t>Danés</t>
  </si>
  <si>
    <t>Danca</t>
  </si>
  <si>
    <t>Nederlands</t>
  </si>
  <si>
    <t>Néerlandais</t>
  </si>
  <si>
    <t>Niederländisch</t>
  </si>
  <si>
    <t>Holland</t>
  </si>
  <si>
    <t>Olandese</t>
  </si>
  <si>
    <t>Niderlandzki</t>
  </si>
  <si>
    <t>Neerlandês</t>
  </si>
  <si>
    <t>Holandés</t>
  </si>
  <si>
    <t>Felemenkçe</t>
  </si>
  <si>
    <t>Engels</t>
  </si>
  <si>
    <t>Anglais</t>
  </si>
  <si>
    <t>Englisch</t>
  </si>
  <si>
    <t>Angol</t>
  </si>
  <si>
    <t>Inglese</t>
  </si>
  <si>
    <t>Angielski</t>
  </si>
  <si>
    <t>Inglês</t>
  </si>
  <si>
    <t>Inglés</t>
  </si>
  <si>
    <t>İngilizce</t>
  </si>
  <si>
    <t>Fins</t>
  </si>
  <si>
    <t>Finnois</t>
  </si>
  <si>
    <t>Finnisch</t>
  </si>
  <si>
    <t>Finn</t>
  </si>
  <si>
    <t>Finlandese</t>
  </si>
  <si>
    <t>Fiński</t>
  </si>
  <si>
    <t>Finlandês</t>
  </si>
  <si>
    <t>Finlandés</t>
  </si>
  <si>
    <t>Fince</t>
  </si>
  <si>
    <t>Frans</t>
  </si>
  <si>
    <t>Français</t>
  </si>
  <si>
    <t>Französisch</t>
  </si>
  <si>
    <t>Francese</t>
  </si>
  <si>
    <t>Francuski</t>
  </si>
  <si>
    <t>Francês</t>
  </si>
  <si>
    <t>Francés</t>
  </si>
  <si>
    <t>Fransızca</t>
  </si>
  <si>
    <t>Duits</t>
  </si>
  <si>
    <t>Allemand</t>
  </si>
  <si>
    <t>Deutsch</t>
  </si>
  <si>
    <t>Német</t>
  </si>
  <si>
    <t>Tedesco</t>
  </si>
  <si>
    <t>Niemiecki</t>
  </si>
  <si>
    <t>Alemão</t>
  </si>
  <si>
    <t>Alemán</t>
  </si>
  <si>
    <t>Alman</t>
  </si>
  <si>
    <t>Grieks</t>
  </si>
  <si>
    <t>Grec</t>
  </si>
  <si>
    <t>Griechisch</t>
  </si>
  <si>
    <t>Görög</t>
  </si>
  <si>
    <t>Greco</t>
  </si>
  <si>
    <t>Grecki</t>
  </si>
  <si>
    <t>Grego</t>
  </si>
  <si>
    <t>Griego</t>
  </si>
  <si>
    <t>Yunanca</t>
  </si>
  <si>
    <t>Hebreeuws</t>
  </si>
  <si>
    <t>Hébreu</t>
  </si>
  <si>
    <t>Hebräisch</t>
  </si>
  <si>
    <t>Héber</t>
  </si>
  <si>
    <t>Ebraico</t>
  </si>
  <si>
    <t>Hebrajski</t>
  </si>
  <si>
    <t>Hebraico</t>
  </si>
  <si>
    <t>Hebreo</t>
  </si>
  <si>
    <t>İbranice</t>
  </si>
  <si>
    <t>Hintçe</t>
  </si>
  <si>
    <t>Hongaars</t>
  </si>
  <si>
    <t>Hongrois</t>
  </si>
  <si>
    <t>Ungarisch</t>
  </si>
  <si>
    <t>Magyar</t>
  </si>
  <si>
    <t>Ungherese</t>
  </si>
  <si>
    <t>Węgierski</t>
  </si>
  <si>
    <t>Húngaro</t>
  </si>
  <si>
    <t>Macarca</t>
  </si>
  <si>
    <t>Italiaans</t>
  </si>
  <si>
    <t>Italienisch</t>
  </si>
  <si>
    <t>Olasz</t>
  </si>
  <si>
    <t>Italiano</t>
  </si>
  <si>
    <t>Włoski</t>
  </si>
  <si>
    <t>İtalyanca</t>
  </si>
  <si>
    <t>Japans</t>
  </si>
  <si>
    <t>Japonais</t>
  </si>
  <si>
    <t>Japanisch</t>
  </si>
  <si>
    <t>Giapponese</t>
  </si>
  <si>
    <t>Japoński</t>
  </si>
  <si>
    <t>Japonês</t>
  </si>
  <si>
    <t>Japonés</t>
  </si>
  <si>
    <t>Kisuaheli</t>
  </si>
  <si>
    <t>Szuahéli</t>
  </si>
  <si>
    <t>Kisvahili Dili</t>
  </si>
  <si>
    <t>Koreaans</t>
  </si>
  <si>
    <t>Coréen</t>
  </si>
  <si>
    <t>Koreanisch</t>
  </si>
  <si>
    <t>Koreai</t>
  </si>
  <si>
    <t>Coreano</t>
  </si>
  <si>
    <t>Koreański</t>
  </si>
  <si>
    <t>Koreli</t>
  </si>
  <si>
    <t>Latijn</t>
  </si>
  <si>
    <t>Latein</t>
  </si>
  <si>
    <t>Latino</t>
  </si>
  <si>
    <t>Łacina</t>
  </si>
  <si>
    <t>Latim</t>
  </si>
  <si>
    <t>Latín</t>
  </si>
  <si>
    <t>Latince</t>
  </si>
  <si>
    <t>Lets</t>
  </si>
  <si>
    <t>Letton</t>
  </si>
  <si>
    <t>Lettisch</t>
  </si>
  <si>
    <t>Lett</t>
  </si>
  <si>
    <t>Lettone</t>
  </si>
  <si>
    <t>Łotewski</t>
  </si>
  <si>
    <t>Letão</t>
  </si>
  <si>
    <t>Letón</t>
  </si>
  <si>
    <t>Letonca</t>
  </si>
  <si>
    <t>Litouws</t>
  </si>
  <si>
    <t>Lituanien</t>
  </si>
  <si>
    <t>Litauisch</t>
  </si>
  <si>
    <t>Litván</t>
  </si>
  <si>
    <t>Lituano</t>
  </si>
  <si>
    <t>Litewski</t>
  </si>
  <si>
    <t>Litvanca</t>
  </si>
  <si>
    <t>Maleis</t>
  </si>
  <si>
    <t>Malaisien</t>
  </si>
  <si>
    <t>Malaiisch</t>
  </si>
  <si>
    <t>Maláj</t>
  </si>
  <si>
    <t>Malajski</t>
  </si>
  <si>
    <t>Malaio</t>
  </si>
  <si>
    <t>Malayo</t>
  </si>
  <si>
    <t>Malayca</t>
  </si>
  <si>
    <t>Noors</t>
  </si>
  <si>
    <t>Norvégien</t>
  </si>
  <si>
    <t>Norwegisch</t>
  </si>
  <si>
    <t>Norvég</t>
  </si>
  <si>
    <t>Norvegese</t>
  </si>
  <si>
    <t>Norweski</t>
  </si>
  <si>
    <t>Norueguês</t>
  </si>
  <si>
    <t>Noruego</t>
  </si>
  <si>
    <t>Norveççe</t>
  </si>
  <si>
    <t>Pools</t>
  </si>
  <si>
    <t>Polonais</t>
  </si>
  <si>
    <t>Polnisch</t>
  </si>
  <si>
    <t>Lengyel</t>
  </si>
  <si>
    <t>Polacco</t>
  </si>
  <si>
    <t>Polski</t>
  </si>
  <si>
    <t>Polaco</t>
  </si>
  <si>
    <t>Lehçe</t>
  </si>
  <si>
    <t>Pendjabi</t>
  </si>
  <si>
    <t>Pandzsábi</t>
  </si>
  <si>
    <t>Pendżabski</t>
  </si>
  <si>
    <t>Punyabí</t>
  </si>
  <si>
    <t>Pencapça</t>
  </si>
  <si>
    <t>Portugees</t>
  </si>
  <si>
    <t>Portugais</t>
  </si>
  <si>
    <t>Portugiesisch</t>
  </si>
  <si>
    <t>Portugál</t>
  </si>
  <si>
    <t>Portoghese</t>
  </si>
  <si>
    <t>Portugalski</t>
  </si>
  <si>
    <t>Português</t>
  </si>
  <si>
    <t>Portugués</t>
  </si>
  <si>
    <t>Portekizce</t>
  </si>
  <si>
    <t>Roemeens</t>
  </si>
  <si>
    <t>Roumain</t>
  </si>
  <si>
    <t>Rumänisch</t>
  </si>
  <si>
    <t>Román</t>
  </si>
  <si>
    <t>Romeno</t>
  </si>
  <si>
    <t>Rumuński</t>
  </si>
  <si>
    <t>Rumano</t>
  </si>
  <si>
    <t>Romence</t>
  </si>
  <si>
    <t>Russisch</t>
  </si>
  <si>
    <t>Russe</t>
  </si>
  <si>
    <t>Orosz</t>
  </si>
  <si>
    <t>Russo</t>
  </si>
  <si>
    <t>Rosyjski</t>
  </si>
  <si>
    <t>Ruso</t>
  </si>
  <si>
    <t>Rusça</t>
  </si>
  <si>
    <t>Spaans</t>
  </si>
  <si>
    <t>Espagnol</t>
  </si>
  <si>
    <t>Spanisch</t>
  </si>
  <si>
    <t>Spanyol</t>
  </si>
  <si>
    <t>Spagnolo</t>
  </si>
  <si>
    <t>Hiszpański</t>
  </si>
  <si>
    <t>Castelhano</t>
  </si>
  <si>
    <t>Español</t>
  </si>
  <si>
    <t>İspanyolca</t>
  </si>
  <si>
    <t>Suajili</t>
  </si>
  <si>
    <t>Svahili Dili</t>
  </si>
  <si>
    <t>Zweeds</t>
  </si>
  <si>
    <t>Suédois</t>
  </si>
  <si>
    <t>Schwedisch</t>
  </si>
  <si>
    <t>Svéd</t>
  </si>
  <si>
    <t>Svedese</t>
  </si>
  <si>
    <t>Szwedzki</t>
  </si>
  <si>
    <t>Sueco</t>
  </si>
  <si>
    <t>İsveççe</t>
  </si>
  <si>
    <t>Tamoul</t>
  </si>
  <si>
    <t>Tamilski</t>
  </si>
  <si>
    <t>Tamilce</t>
  </si>
  <si>
    <t>Telugu Dili</t>
  </si>
  <si>
    <t>Thaï</t>
  </si>
  <si>
    <t>Thailandese</t>
  </si>
  <si>
    <t>Tajlandzki</t>
  </si>
  <si>
    <t>Tailandês</t>
  </si>
  <si>
    <t>Tailandés</t>
  </si>
  <si>
    <t>Tayca</t>
  </si>
  <si>
    <t>Turks</t>
  </si>
  <si>
    <t>Turque</t>
  </si>
  <si>
    <t>Türkisch</t>
  </si>
  <si>
    <t>Török</t>
  </si>
  <si>
    <t>Turco</t>
  </si>
  <si>
    <t>Turecki</t>
  </si>
  <si>
    <t>Türkçe</t>
  </si>
  <si>
    <t>Vietnamees</t>
  </si>
  <si>
    <t>Vietnamien</t>
  </si>
  <si>
    <t>Vietnamesisch</t>
  </si>
  <si>
    <t>Vietnámi</t>
  </si>
  <si>
    <t>Vietnamita</t>
  </si>
  <si>
    <t>Wietnamski</t>
  </si>
  <si>
    <t>Vietnamca</t>
  </si>
  <si>
    <t>Persoonlijk</t>
  </si>
  <si>
    <t>Personnel</t>
  </si>
  <si>
    <t>Persönlich</t>
  </si>
  <si>
    <t>Személyes</t>
  </si>
  <si>
    <t>Personale</t>
  </si>
  <si>
    <t>Prywatny</t>
  </si>
  <si>
    <t>Pessoal</t>
  </si>
  <si>
    <t>Personel</t>
  </si>
  <si>
    <t>Domowy</t>
  </si>
  <si>
    <t>Bedrijf1</t>
  </si>
  <si>
    <t>Geschäftlich1</t>
  </si>
  <si>
    <t>Üzleti1</t>
  </si>
  <si>
    <t>Ufficio1</t>
  </si>
  <si>
    <t>Służbowy1</t>
  </si>
  <si>
    <t>Empresa1</t>
  </si>
  <si>
    <t>Cel</t>
  </si>
  <si>
    <t>Mobil</t>
  </si>
  <si>
    <t>Cellulare</t>
  </si>
  <si>
    <t>Komórkowy</t>
  </si>
  <si>
    <t>Telemóvel</t>
  </si>
  <si>
    <t>Cel1</t>
  </si>
  <si>
    <t>Mobil1</t>
  </si>
  <si>
    <t>Cellulare1</t>
  </si>
  <si>
    <t>Komórkowy1</t>
  </si>
  <si>
    <t>Telemóvel1</t>
  </si>
  <si>
    <t>Faks</t>
  </si>
  <si>
    <t>Vast</t>
  </si>
  <si>
    <t>Állandó</t>
  </si>
  <si>
    <t>Permanente</t>
  </si>
  <si>
    <t>Sürekli</t>
  </si>
  <si>
    <t>Courrier</t>
  </si>
  <si>
    <t>Post</t>
  </si>
  <si>
    <t>Indirizzo postale</t>
  </si>
  <si>
    <t>Korespondencja</t>
  </si>
  <si>
    <t>Correo</t>
  </si>
  <si>
    <t>Posta</t>
  </si>
  <si>
    <t>Echtgenoot/echtgenote</t>
  </si>
  <si>
    <t>Conjoint</t>
  </si>
  <si>
    <t>Ehepartner</t>
  </si>
  <si>
    <t>Házastárs</t>
  </si>
  <si>
    <t>Coniuge</t>
  </si>
  <si>
    <t>Małżonek</t>
  </si>
  <si>
    <t>Cônjuge</t>
  </si>
  <si>
    <t>Cónyuge</t>
  </si>
  <si>
    <t>Eş</t>
  </si>
  <si>
    <t>Kind</t>
  </si>
  <si>
    <t>Enfant</t>
  </si>
  <si>
    <t>Gyermek</t>
  </si>
  <si>
    <t>Figlio/a</t>
  </si>
  <si>
    <t>Dziecko</t>
  </si>
  <si>
    <t>Filho</t>
  </si>
  <si>
    <t>Çocuk</t>
  </si>
  <si>
    <t>Ouder</t>
  </si>
  <si>
    <t>Elternteil</t>
  </si>
  <si>
    <t>Szülő</t>
  </si>
  <si>
    <t>Genitore</t>
  </si>
  <si>
    <t>Rodzic</t>
  </si>
  <si>
    <t>Progenitor</t>
  </si>
  <si>
    <t>Padres</t>
  </si>
  <si>
    <t>Ebeveyn</t>
  </si>
  <si>
    <t>Broer/zuster</t>
  </si>
  <si>
    <t>Fratrie</t>
  </si>
  <si>
    <t>Geschwisterteil</t>
  </si>
  <si>
    <t>Testvér</t>
  </si>
  <si>
    <t>Fratello/Sorella</t>
  </si>
  <si>
    <t>Rodzeństwo</t>
  </si>
  <si>
    <t>Irmão</t>
  </si>
  <si>
    <t>Hermanos</t>
  </si>
  <si>
    <t>Kardeş</t>
  </si>
  <si>
    <t>Nie</t>
  </si>
  <si>
    <t>Kind van autochtone partner</t>
  </si>
  <si>
    <t>Élettárs gyermeke</t>
  </si>
  <si>
    <t>Figlio/a di partner coppia di fatto</t>
  </si>
  <si>
    <t>Filho de companheiro</t>
  </si>
  <si>
    <t>Hijo de colaborador doméstico</t>
  </si>
  <si>
    <t>Ev arkadaşının çocuğu</t>
  </si>
  <si>
    <t>Stiefkind</t>
  </si>
  <si>
    <t>Fogadott gyermek</t>
  </si>
  <si>
    <t>Figliastro/a</t>
  </si>
  <si>
    <t>Pasierb/pasierbica</t>
  </si>
  <si>
    <t>Enteado</t>
  </si>
  <si>
    <t>Üvey çocuk</t>
  </si>
  <si>
    <t>Gescheiden echtgenoot/echtgenote</t>
  </si>
  <si>
    <t>Geschiedener Ehepartner</t>
  </si>
  <si>
    <t>Elvált házastárs</t>
  </si>
  <si>
    <t>Coniuge divorziato</t>
  </si>
  <si>
    <t>Małżonek rozwiedziony</t>
  </si>
  <si>
    <t>Ex-cônjuge</t>
  </si>
  <si>
    <t>Cónyuge divorciado</t>
  </si>
  <si>
    <t>Boşanmış eş</t>
  </si>
  <si>
    <t>Autochtone partner</t>
  </si>
  <si>
    <t>Lebenspartner</t>
  </si>
  <si>
    <t>Élettárs</t>
  </si>
  <si>
    <t>Partner coppia di fatto</t>
  </si>
  <si>
    <t>Companheiro</t>
  </si>
  <si>
    <t>Colaborador doméstico</t>
  </si>
  <si>
    <t>Ev arkadaşı</t>
  </si>
  <si>
    <t>Vader</t>
  </si>
  <si>
    <t>Père</t>
  </si>
  <si>
    <t>Vater</t>
  </si>
  <si>
    <t>Apa</t>
  </si>
  <si>
    <t>Ojciec</t>
  </si>
  <si>
    <t>Pai</t>
  </si>
  <si>
    <t>Baba</t>
  </si>
  <si>
    <t>Geregistreerd partnerschap</t>
  </si>
  <si>
    <t>Regisztrált élettárs</t>
  </si>
  <si>
    <t>Partner registrato</t>
  </si>
  <si>
    <t>Companheiro registado</t>
  </si>
  <si>
    <t>Colaborador registrado</t>
  </si>
  <si>
    <t>Hayat arkadaşı</t>
  </si>
  <si>
    <t>Moeder</t>
  </si>
  <si>
    <t>Mère</t>
  </si>
  <si>
    <t>Mutter</t>
  </si>
  <si>
    <t>Anya</t>
  </si>
  <si>
    <t>Madre</t>
  </si>
  <si>
    <t>Matka</t>
  </si>
  <si>
    <t>Mãe</t>
  </si>
  <si>
    <t>Anne</t>
  </si>
  <si>
    <t>Gerelateerde personen</t>
  </si>
  <si>
    <t>Verwandte Personen</t>
  </si>
  <si>
    <t>Hozzátartozók</t>
  </si>
  <si>
    <t>Persone con vincolo di parentela</t>
  </si>
  <si>
    <t>Pessoas relacionadas</t>
  </si>
  <si>
    <t>Personas relacionadas</t>
  </si>
  <si>
    <t>İlgili kişiler</t>
  </si>
  <si>
    <t>Broer</t>
  </si>
  <si>
    <t>Bruder</t>
  </si>
  <si>
    <t>Fivér</t>
  </si>
  <si>
    <t>Fratello</t>
  </si>
  <si>
    <t>Ağabey</t>
  </si>
  <si>
    <t>Zus</t>
  </si>
  <si>
    <t>Schwester</t>
  </si>
  <si>
    <t>Nővér</t>
  </si>
  <si>
    <t>Sorella</t>
  </si>
  <si>
    <t>Irmã</t>
  </si>
  <si>
    <t>Abla</t>
  </si>
  <si>
    <t>Naam</t>
  </si>
  <si>
    <t>Aanhef</t>
  </si>
  <si>
    <t>Voornaam</t>
  </si>
  <si>
    <t>Achternaam</t>
  </si>
  <si>
    <t>Persoonsgegevens</t>
  </si>
  <si>
    <t>Land</t>
  </si>
  <si>
    <t>Identiteitsbewijs</t>
  </si>
  <si>
    <t>Is primair</t>
  </si>
  <si>
    <t>Geboortedatum (DD/MM/YYYY)</t>
  </si>
  <si>
    <t>Geslacht</t>
  </si>
  <si>
    <t>Nationaliteit</t>
  </si>
  <si>
    <t>Civilité</t>
  </si>
  <si>
    <t>Prénom</t>
  </si>
  <si>
    <t>Nom</t>
  </si>
  <si>
    <t>Informations biographiques</t>
  </si>
  <si>
    <t>Date de naissance (DD/MM/YYYY)</t>
  </si>
  <si>
    <t>Documents d'identité</t>
  </si>
  <si>
    <t>Pays</t>
  </si>
  <si>
    <t>Document principal</t>
  </si>
  <si>
    <t>Informations personnelles</t>
  </si>
  <si>
    <t>Sexe</t>
  </si>
  <si>
    <t>Nationalité</t>
  </si>
  <si>
    <t>Informationen zum Namen</t>
  </si>
  <si>
    <t>Anrede</t>
  </si>
  <si>
    <t>Vorname</t>
  </si>
  <si>
    <t>Nachname</t>
  </si>
  <si>
    <t>Biografische Informationen</t>
  </si>
  <si>
    <t>Geburtsdatum (DD/MM/YYYY)</t>
  </si>
  <si>
    <t>Ausweisinfo</t>
  </si>
  <si>
    <t>Ausweistyp</t>
  </si>
  <si>
    <t>Ausweisnummer</t>
  </si>
  <si>
    <t>Ist primär</t>
  </si>
  <si>
    <t>Persönliche Informationen</t>
  </si>
  <si>
    <t>Geschlecht</t>
  </si>
  <si>
    <t>Staatsangehörigkeit</t>
  </si>
  <si>
    <t>Névinformáció</t>
  </si>
  <si>
    <t>Megszólítás</t>
  </si>
  <si>
    <t>Utónév</t>
  </si>
  <si>
    <t>Vezetéknév</t>
  </si>
  <si>
    <t>Életrajzi adatok</t>
  </si>
  <si>
    <t>Születési idő (DD/MM/YYYY)</t>
  </si>
  <si>
    <t>Állampolgári azonosító információ</t>
  </si>
  <si>
    <t>Ország</t>
  </si>
  <si>
    <t>Állampolgári azonosítókártya típusa</t>
  </si>
  <si>
    <t>Elsődleges</t>
  </si>
  <si>
    <t>Személyes adatok</t>
  </si>
  <si>
    <t>Nem</t>
  </si>
  <si>
    <t>Állampolgárság</t>
  </si>
  <si>
    <t>Nome</t>
  </si>
  <si>
    <t>Formula iniziale di saluto</t>
  </si>
  <si>
    <t>Cognome</t>
  </si>
  <si>
    <t>Dati biografici</t>
  </si>
  <si>
    <t>Data di nascita (DD/MM/YYYY)</t>
  </si>
  <si>
    <t>Dati documento d’identità</t>
  </si>
  <si>
    <t>Paese</t>
  </si>
  <si>
    <t>Informazioni documento d'identità nazionale</t>
  </si>
  <si>
    <t>Documento d'identità</t>
  </si>
  <si>
    <t>È principale</t>
  </si>
  <si>
    <t>Dati personali</t>
  </si>
  <si>
    <t>Nazionalità</t>
  </si>
  <si>
    <t>Hilsen</t>
  </si>
  <si>
    <t>Fornavn</t>
  </si>
  <si>
    <t>Etternavn</t>
  </si>
  <si>
    <t>Fødselsdato (DD/MM/YYYY)</t>
  </si>
  <si>
    <t>Nasjonalt ID Informasjon</t>
  </si>
  <si>
    <t>Er primær</t>
  </si>
  <si>
    <t>Nasjonalt ID Korttype</t>
  </si>
  <si>
    <t>Nasjonalt ID</t>
  </si>
  <si>
    <t>Kjønn</t>
  </si>
  <si>
    <t>Nasjonalitet</t>
  </si>
  <si>
    <t>Saudação</t>
  </si>
  <si>
    <t>Nome próprio</t>
  </si>
  <si>
    <t>Apelido</t>
  </si>
  <si>
    <t>Informação biográfica</t>
  </si>
  <si>
    <t>Informação de ID nacional</t>
  </si>
  <si>
    <t>País</t>
  </si>
  <si>
    <t>Tipo de Identificação</t>
  </si>
  <si>
    <t>N.º de Identificação</t>
  </si>
  <si>
    <t>Informação pessoal</t>
  </si>
  <si>
    <t>Género</t>
  </si>
  <si>
    <t>Nacionalidade</t>
  </si>
  <si>
    <t>Informații despre nume</t>
  </si>
  <si>
    <t>Formulă de adresare</t>
  </si>
  <si>
    <t>Prenume</t>
  </si>
  <si>
    <t>Nume de familie</t>
  </si>
  <si>
    <t>Informaţii biografice</t>
  </si>
  <si>
    <t>Informaţii ID naţional</t>
  </si>
  <si>
    <t>Ţară</t>
  </si>
  <si>
    <t>Tip carte de identitate naţională</t>
  </si>
  <si>
    <t>Este primar</t>
  </si>
  <si>
    <t>Informaţii personale</t>
  </si>
  <si>
    <t>Sex</t>
  </si>
  <si>
    <t>Naţionalitate</t>
  </si>
  <si>
    <t>Información de nombre</t>
  </si>
  <si>
    <t>Saludo</t>
  </si>
  <si>
    <t>Nombre</t>
  </si>
  <si>
    <t>Apellidos</t>
  </si>
  <si>
    <t>Información biográfica</t>
  </si>
  <si>
    <t>Tipo de documento</t>
  </si>
  <si>
    <t>Es principal</t>
  </si>
  <si>
    <t>Información personal</t>
  </si>
  <si>
    <t>Sexo</t>
  </si>
  <si>
    <t>Nacionalidad</t>
  </si>
  <si>
    <t>Ad Bilgisi</t>
  </si>
  <si>
    <t>Hitap</t>
  </si>
  <si>
    <t>Adı</t>
  </si>
  <si>
    <t>Soyadı</t>
  </si>
  <si>
    <t>Biyografik Bilgi</t>
  </si>
  <si>
    <t>Ulusal Kimlik Bilgileri</t>
  </si>
  <si>
    <t>Ülke</t>
  </si>
  <si>
    <t>Resmi Kimlik Kartı Türü</t>
  </si>
  <si>
    <t>Birincil</t>
  </si>
  <si>
    <t>Vatandaşlık No</t>
  </si>
  <si>
    <t>Kişisel Bilgiler</t>
  </si>
  <si>
    <t>Cinsiyet</t>
  </si>
  <si>
    <t>Uyruk</t>
  </si>
  <si>
    <t xml:space="preserve">Label
</t>
  </si>
  <si>
    <t>National ID Description1</t>
  </si>
  <si>
    <t>National ID Description2</t>
  </si>
  <si>
    <t>National ID Description3</t>
  </si>
  <si>
    <t>National ID Description4</t>
  </si>
  <si>
    <t>TFN - Tax File Number</t>
  </si>
  <si>
    <t>Resident Identity Card</t>
  </si>
  <si>
    <t>Social Security Number</t>
  </si>
  <si>
    <t>Cédula de Identidad ID</t>
  </si>
  <si>
    <t>Cédula de Identidad y Electoral (CIE)</t>
  </si>
  <si>
    <t>Número de Cédula de Identidad (SSN)</t>
  </si>
  <si>
    <t>Documento Personal de Identificación</t>
  </si>
  <si>
    <t>Tarjeta de Identidad</t>
  </si>
  <si>
    <t>HKID - HKID Number</t>
  </si>
  <si>
    <t>Permanent Account Number</t>
  </si>
  <si>
    <t>Nomor Induk Kependudukan</t>
  </si>
  <si>
    <t>Pension Number</t>
  </si>
  <si>
    <t>IC (Identification Card Number)</t>
  </si>
  <si>
    <t>CURP (Clave Única de Registro de Población)</t>
  </si>
  <si>
    <t>National Identity Card Number</t>
  </si>
  <si>
    <t>Documento Nacional de Identidad</t>
  </si>
  <si>
    <t>Thai National Identification Number</t>
  </si>
  <si>
    <t>Individual Taxpayer Identification Number (CPF)</t>
  </si>
  <si>
    <t>Selected country</t>
  </si>
  <si>
    <t>Acquisition in Progress</t>
  </si>
  <si>
    <t>Intern</t>
  </si>
  <si>
    <t/>
  </si>
  <si>
    <t>No Pay Group</t>
  </si>
  <si>
    <t>Annually-1 (1)</t>
  </si>
  <si>
    <t>Biweekly-26 (5)</t>
  </si>
  <si>
    <t>Daily-365 (7)</t>
  </si>
  <si>
    <t>Hourly-0 (8)</t>
  </si>
  <si>
    <t>Hourly-2080 (15)</t>
  </si>
  <si>
    <t>Monthly-12 (3)</t>
  </si>
  <si>
    <t>Monthly-13 (9)</t>
  </si>
  <si>
    <t>Monthly-13.46 (10)</t>
  </si>
  <si>
    <t>Monthly-13.5 (11)</t>
  </si>
  <si>
    <t>Monthly-13.92 (12)</t>
  </si>
  <si>
    <t>Monthly-13.96 (13)</t>
  </si>
  <si>
    <t>Monthly-14 (14)</t>
  </si>
  <si>
    <t>Monthly-16 (16)</t>
  </si>
  <si>
    <t>Quarterly-4 (2)</t>
  </si>
  <si>
    <t>Semimonthly-24 (4)</t>
  </si>
  <si>
    <t>Weekly-52 (6)</t>
  </si>
  <si>
    <t>New Hire Form</t>
  </si>
  <si>
    <t>Street</t>
  </si>
  <si>
    <t>House number</t>
  </si>
  <si>
    <t>Extra address line</t>
  </si>
  <si>
    <t>City</t>
  </si>
  <si>
    <t>Care of</t>
  </si>
  <si>
    <t>Locality</t>
  </si>
  <si>
    <t>Apartment</t>
  </si>
  <si>
    <t>Building</t>
  </si>
  <si>
    <t>Staircase</t>
  </si>
  <si>
    <t>Floor</t>
  </si>
  <si>
    <t>Street type</t>
  </si>
  <si>
    <t>Name of Addressee</t>
  </si>
  <si>
    <t xml:space="preserve">Canton / Province / Region / State </t>
  </si>
  <si>
    <t>True</t>
  </si>
  <si>
    <t>False</t>
  </si>
  <si>
    <t>Please select your language:</t>
  </si>
  <si>
    <t>Please select your country:</t>
  </si>
  <si>
    <t>CountrySheet</t>
  </si>
  <si>
    <t>Address Type</t>
  </si>
  <si>
    <t>Typ Adresu</t>
  </si>
  <si>
    <t>Numer domu</t>
  </si>
  <si>
    <t>Numer mieszkania</t>
  </si>
  <si>
    <t>Miejscowość</t>
  </si>
  <si>
    <t>Postal code</t>
  </si>
  <si>
    <t>Kod pocztowy</t>
  </si>
  <si>
    <t>Województwo</t>
  </si>
  <si>
    <t>Gmina</t>
  </si>
  <si>
    <t>Poczta</t>
  </si>
  <si>
    <t>Birth Name Prefix</t>
  </si>
  <si>
    <t>Partner’s Last Name Prefix</t>
  </si>
  <si>
    <t>Department / Province of Birth</t>
  </si>
  <si>
    <t>County / District / Department</t>
  </si>
  <si>
    <t>Employee Sub-Type</t>
  </si>
  <si>
    <t>Employee Sub-Type_BEL</t>
  </si>
  <si>
    <t>Employee Sub-Type_CHE</t>
  </si>
  <si>
    <t>Employee Sub-Type_ESP</t>
  </si>
  <si>
    <t>Employee Sub-Type_FRA</t>
  </si>
  <si>
    <t>Employee Sub-Type_HUN</t>
  </si>
  <si>
    <t>Employee Sub-Type_ITA</t>
  </si>
  <si>
    <t>Employee Sub-Type_POL</t>
  </si>
  <si>
    <t>Blue Collars no ADV</t>
  </si>
  <si>
    <t>Blue Collars weekend</t>
  </si>
  <si>
    <t>Blue Collars with ADV</t>
  </si>
  <si>
    <t>Commuters in</t>
  </si>
  <si>
    <t>Commuters out</t>
  </si>
  <si>
    <t>Expats out DOSZ</t>
  </si>
  <si>
    <t>Expats out SI</t>
  </si>
  <si>
    <t>Inpats no SI</t>
  </si>
  <si>
    <t>Inpats SI</t>
  </si>
  <si>
    <t>Short term assignment</t>
  </si>
  <si>
    <t>Survivors</t>
  </si>
  <si>
    <t>White Collars 40h/week</t>
  </si>
  <si>
    <t>White Collars no ADV</t>
  </si>
  <si>
    <t>White Collars weekend</t>
  </si>
  <si>
    <t>White Collars with ADV</t>
  </si>
  <si>
    <t>Commissions</t>
  </si>
  <si>
    <t>Monthly paid employee</t>
  </si>
  <si>
    <t>Workers hourly rate</t>
  </si>
  <si>
    <t>Expatriates</t>
  </si>
  <si>
    <t>Inpatriates</t>
  </si>
  <si>
    <t>Monthly</t>
  </si>
  <si>
    <t>Norte w/o ExtraPym</t>
  </si>
  <si>
    <t>Trainees</t>
  </si>
  <si>
    <t>Weekly</t>
  </si>
  <si>
    <t>Blue Collar Monthly</t>
  </si>
  <si>
    <t>Blue Collar Monthly Seas</t>
  </si>
  <si>
    <t>Expat</t>
  </si>
  <si>
    <t>White Collar Monthly</t>
  </si>
  <si>
    <t>Blue Collar</t>
  </si>
  <si>
    <t>Executive</t>
  </si>
  <si>
    <t>White Collar</t>
  </si>
  <si>
    <t>Blue Collar Production</t>
  </si>
  <si>
    <t>Contract Type</t>
  </si>
  <si>
    <t>Contract_Type_FRA</t>
  </si>
  <si>
    <t>Contract_Type_GBR</t>
  </si>
  <si>
    <t>Contract_Type_POL</t>
  </si>
  <si>
    <t>Contrat à Durée Indéterminé</t>
  </si>
  <si>
    <t>CONTRAT INPAT</t>
  </si>
  <si>
    <t>Contrat à Durée Déterminé</t>
  </si>
  <si>
    <t>Contrat de Stage</t>
  </si>
  <si>
    <t>Plant</t>
  </si>
  <si>
    <t>Staff</t>
  </si>
  <si>
    <t>Labor Agreement</t>
  </si>
  <si>
    <t>Organizational Unit</t>
  </si>
  <si>
    <t>Address</t>
  </si>
  <si>
    <t>No organisational unit [00000000]</t>
  </si>
  <si>
    <t>Admin [21200001]</t>
  </si>
  <si>
    <t>CPN admin [21200002]</t>
  </si>
  <si>
    <t>CRM [21200003]</t>
  </si>
  <si>
    <t>CTS - Sales [21200004]</t>
  </si>
  <si>
    <t>EHS [21200005]</t>
  </si>
  <si>
    <t>Sales [21200006]</t>
  </si>
  <si>
    <t>CFN-Sales-Poultry&amp;Rabbit [21200007]</t>
  </si>
  <si>
    <t>CFN - Sales - Hog [21200008]</t>
  </si>
  <si>
    <t>CFN - Sales - Ruminant [21200009]</t>
  </si>
  <si>
    <t>Sales Admin [21200010]</t>
  </si>
  <si>
    <t>Sales CPN [21200011]</t>
  </si>
  <si>
    <t>CFN-Sales-Purina Distrib. [21200012]</t>
  </si>
  <si>
    <t>Feed [21200013]</t>
  </si>
  <si>
    <t>Application team [21200014]</t>
  </si>
  <si>
    <t>HR [21200015]</t>
  </si>
  <si>
    <t>HRSSC [21200016]</t>
  </si>
  <si>
    <t>Input [21200017]</t>
  </si>
  <si>
    <t>ITSB [21200018]</t>
  </si>
  <si>
    <t>Legal [21200019]</t>
  </si>
  <si>
    <t>Merchandising [21200020]</t>
  </si>
  <si>
    <t>Laboratory [21200021]</t>
  </si>
  <si>
    <t>Trade Execution [21200022]</t>
  </si>
  <si>
    <t>Freight Mgnt [21200024]</t>
  </si>
  <si>
    <t>Logistics Compliance [21200025]</t>
  </si>
  <si>
    <t>Supply Chain [21200026]</t>
  </si>
  <si>
    <t>Supply Chain CPN [21200027]</t>
  </si>
  <si>
    <t>RMS [21200028]</t>
  </si>
  <si>
    <t>Marketing [21200029]</t>
  </si>
  <si>
    <t>Finance [21200030]</t>
  </si>
  <si>
    <t>Petfood [21200031]</t>
  </si>
  <si>
    <t>Petfood admin [21200032]</t>
  </si>
  <si>
    <t>Premix [21200033]</t>
  </si>
  <si>
    <t>SMT [21200034]</t>
  </si>
  <si>
    <t>SSE - Admin [21200035]</t>
  </si>
  <si>
    <t>SSE - Sales [21200036]</t>
  </si>
  <si>
    <t>Silo [21200037]</t>
  </si>
  <si>
    <t>Operations [21200038]</t>
  </si>
  <si>
    <t>General Management [21200039]</t>
  </si>
  <si>
    <t>NGFI [21200040]</t>
  </si>
  <si>
    <t>Planning [21200041]</t>
  </si>
  <si>
    <t>Customer Demand [21200042]</t>
  </si>
  <si>
    <t>CAO Cargill B.V.</t>
  </si>
  <si>
    <t>CAO Chocolate</t>
  </si>
  <si>
    <t>CAO COCOA</t>
  </si>
  <si>
    <t>CAO IGMA</t>
  </si>
  <si>
    <t>CAO PROVIMI</t>
  </si>
  <si>
    <t>CAO ZOR</t>
  </si>
  <si>
    <t>NON CAO Expats</t>
  </si>
  <si>
    <t>NON CAO Inpats</t>
  </si>
  <si>
    <t>NON CAO Non Active</t>
  </si>
  <si>
    <t>NON CAO P/T-FT/PT</t>
  </si>
  <si>
    <t>NON CAO Stagair</t>
  </si>
  <si>
    <t>Payroll Job Code</t>
  </si>
  <si>
    <t>Payroll Position Code</t>
  </si>
  <si>
    <t>Adminisztrátor [21000001]</t>
  </si>
  <si>
    <t>Alapanyag gazdálkodó [21000002]</t>
  </si>
  <si>
    <t>Alapanyaggazd.menedzser [21000003]</t>
  </si>
  <si>
    <t>Analitikus [21000004]</t>
  </si>
  <si>
    <t>Analitikus. laborvezető h [21000005]</t>
  </si>
  <si>
    <t>Anyaggazdálkodó [21000006]</t>
  </si>
  <si>
    <t>Anyaggazdálkodó - logiszt [21000007]</t>
  </si>
  <si>
    <t>Árazási specialista [21000008]</t>
  </si>
  <si>
    <t>Árazási vezető [21000009]</t>
  </si>
  <si>
    <t>Belső auditor és adó konz [21000010]</t>
  </si>
  <si>
    <t>Belső-ellenőr [21000011]</t>
  </si>
  <si>
    <t>Beruházási ea. [21000012]</t>
  </si>
  <si>
    <t>Beszerzési igazgató [21000013]</t>
  </si>
  <si>
    <t>Beszerzési ügyintéző [21000014]</t>
  </si>
  <si>
    <t>Bony. támogatás specialis [21000015]</t>
  </si>
  <si>
    <t>Bony.támogatás csop.vez.h [21000016]</t>
  </si>
  <si>
    <t>Bonyolítási asszisztens [21000017]</t>
  </si>
  <si>
    <t>Bonyolítási csop.vez.hely [21000018]</t>
  </si>
  <si>
    <t>Bonyolítási csopvez. [21000019]</t>
  </si>
  <si>
    <t>Bonyolítási specialista [21000020]</t>
  </si>
  <si>
    <t>Bonyolító [21000021]</t>
  </si>
  <si>
    <t>Cargill Feed Nutrition Or [21000022]</t>
  </si>
  <si>
    <t>Credit asszisztens [21000023]</t>
  </si>
  <si>
    <t>Credit Manager [21000024]</t>
  </si>
  <si>
    <t>Dél-D.Régió üzemelési vez [21000025]</t>
  </si>
  <si>
    <t>Délkelet-európai Kockázat [21000026]</t>
  </si>
  <si>
    <t>Délkelet-európai Termelés [21000027]</t>
  </si>
  <si>
    <t>EHS koordinátor [21000028]</t>
  </si>
  <si>
    <t>Elnök vezérigazgató [21000029]</t>
  </si>
  <si>
    <t>Energetikus-körny.véd ea- [21000030]</t>
  </si>
  <si>
    <t>Értékesítési asszisztens [21000031]</t>
  </si>
  <si>
    <t>Értékesítési igazgató [21000032]</t>
  </si>
  <si>
    <t>Értékesítési képviselő [21000033]</t>
  </si>
  <si>
    <t>Értékesítési specialista [21000034]</t>
  </si>
  <si>
    <t>Formulázási csoportvezető [21000035]</t>
  </si>
  <si>
    <t>Formulázó [21000036]</t>
  </si>
  <si>
    <t>Főkönyvelő [21000037]</t>
  </si>
  <si>
    <t>Főkönyvelő helyettes [21000038]</t>
  </si>
  <si>
    <t>Gazdasági vezérigazgató h [21000039]</t>
  </si>
  <si>
    <t>Gépkezelő [21000040]</t>
  </si>
  <si>
    <t>Gépkocsivezető [21000041]</t>
  </si>
  <si>
    <t>Gondnoksági assziszt [21000042]</t>
  </si>
  <si>
    <t>HR Manager [21000043]</t>
  </si>
  <si>
    <t>Id.-nyelvű levelező [21000044]</t>
  </si>
  <si>
    <t>Input adminisztrátor-mérl [21000045]</t>
  </si>
  <si>
    <t>Input bonyolítás csop.vez [21000046]</t>
  </si>
  <si>
    <t>Input Igazgató [21000047]</t>
  </si>
  <si>
    <t>Input raktáros [21000048]</t>
  </si>
  <si>
    <t>Irodai asszisztens [21000049]</t>
  </si>
  <si>
    <t>IT menedzser MIS [21000050]</t>
  </si>
  <si>
    <t>IT specialista [21000051]</t>
  </si>
  <si>
    <t>IT support [21000052]</t>
  </si>
  <si>
    <t>Junior dealer Manager [21000053]</t>
  </si>
  <si>
    <t>Junior készletgazdálkodó [21000054]</t>
  </si>
  <si>
    <t>Junior pénzügyi elemző [21000055]</t>
  </si>
  <si>
    <t>Junior pénzügyi munkatárs [21000056]</t>
  </si>
  <si>
    <t>Karbantartó [21000057]</t>
  </si>
  <si>
    <t>Kelet-Magyarországi Érték [21000058]</t>
  </si>
  <si>
    <t>keresk. menedzsment gyako [21000059]</t>
  </si>
  <si>
    <t>Kereskedelmi asszisztens [21000060]</t>
  </si>
  <si>
    <t>Kereskedelmi igazgató [21000061]</t>
  </si>
  <si>
    <t>Kereskedelmi vez.ig.helye [21000062]</t>
  </si>
  <si>
    <t>Készletgazd. asszisztens [21000063]</t>
  </si>
  <si>
    <t>Készletgazdálkodó [21000064]</t>
  </si>
  <si>
    <t>Kiemelt ügyfélkapcsolati [21000065]</t>
  </si>
  <si>
    <t>Kiemelt ügyfélkapcsolati [21000066]</t>
  </si>
  <si>
    <t>Kockázatkezelési üzletág [21000067]</t>
  </si>
  <si>
    <t>Könyvelő [21000068]</t>
  </si>
  <si>
    <t>Körzetigazgató [21000069]</t>
  </si>
  <si>
    <t>Külföldi üzletkötő [21000070]</t>
  </si>
  <si>
    <t>Labor asszisztens [21000071]</t>
  </si>
  <si>
    <t>Laboráns [21000072]</t>
  </si>
  <si>
    <t>Laboráns MEO [21000073]</t>
  </si>
  <si>
    <t>Laborvezető [21000074]</t>
  </si>
  <si>
    <t>Lakatos [21000075]</t>
  </si>
  <si>
    <t>Large account Manager [21000076]</t>
  </si>
  <si>
    <t>Large Feeder poultry and [21000077]</t>
  </si>
  <si>
    <t>Logisztikai specialista [21000078]</t>
  </si>
  <si>
    <t>Logisztikai tanácsadó [21000079]</t>
  </si>
  <si>
    <t>Magyarországi minőségbizt [21000080]</t>
  </si>
  <si>
    <t>Management Accountant [21000081]</t>
  </si>
  <si>
    <t>Marketing koordinátor [21000082]</t>
  </si>
  <si>
    <t>Marketing specialista [21000083]</t>
  </si>
  <si>
    <t>Marketing vezető Aghorizo [21000084]</t>
  </si>
  <si>
    <t>Megb. adminisztrációs cso [21000085]</t>
  </si>
  <si>
    <t>Mérlegkezelő [21000086]</t>
  </si>
  <si>
    <t>Minőségbiztosítási Manage [21000087]</t>
  </si>
  <si>
    <t>Minőségellenőr [21000088]</t>
  </si>
  <si>
    <t>Minőségellenőr telepvez.h [21000089]</t>
  </si>
  <si>
    <t>Munkaügyi előadó [21000090]</t>
  </si>
  <si>
    <t>Munkaügyi és bérszámfejté [21000091]</t>
  </si>
  <si>
    <t>Munkaügyi oszt.vez.h. [21000092]</t>
  </si>
  <si>
    <t>Munkavédelmi munkatárs [21000093]</t>
  </si>
  <si>
    <t>Műszaki Manager [21000094]</t>
  </si>
  <si>
    <t>műszakvezető [21000095]</t>
  </si>
  <si>
    <t>Műtrágya Koordinátor [21000096]</t>
  </si>
  <si>
    <t>Műtrágya üzletág igazgató [21000097]</t>
  </si>
  <si>
    <t>NGFI csoportvezető [21000098]</t>
  </si>
  <si>
    <t>Növényvédelmi szaktanácsa [21000099]</t>
  </si>
  <si>
    <t>Növényvédelmi üzletág iga [21000100]</t>
  </si>
  <si>
    <t>Növényvédőszer-koordináto [21000101]</t>
  </si>
  <si>
    <t>Nyugat-Magyarországi Érté [21000102]</t>
  </si>
  <si>
    <t>Osztályügyintéző [21000103]</t>
  </si>
  <si>
    <t>PAT koordinátor -labor.ve [21000104]</t>
  </si>
  <si>
    <t>Pénzügyi asszisztens [21000105]</t>
  </si>
  <si>
    <t>Pénzügyi elemző [21000106]</t>
  </si>
  <si>
    <t>Pénzügyi igazgató [21000107]</t>
  </si>
  <si>
    <t>Pénzügyi munkatárs [21000108]</t>
  </si>
  <si>
    <t>Pénzügyi osztályvez. [21000109]</t>
  </si>
  <si>
    <t>Pénzügyi ügyintéző [21000110]</t>
  </si>
  <si>
    <t>Programozó [21000111]</t>
  </si>
  <si>
    <t>Programozó MIS [21000112]</t>
  </si>
  <si>
    <t>PURINA Disztribúció igazg [21000113]</t>
  </si>
  <si>
    <t>Purina Disztribúció Fejle [21000114]</t>
  </si>
  <si>
    <t>QC Manager and ISO / HACC [21000115]</t>
  </si>
  <si>
    <t>Rakodó [21000116]</t>
  </si>
  <si>
    <t>Rakodógép- kezelő [21000117]</t>
  </si>
  <si>
    <t>Raktári dolgozó [21000118]</t>
  </si>
  <si>
    <t>Raktári gépkezelő [21000119]</t>
  </si>
  <si>
    <t>Raktáros-minőségellenőr [21000120]</t>
  </si>
  <si>
    <t>Raktáros-targoncás [21000121]</t>
  </si>
  <si>
    <t>Reg.Ops vezető-villamos m [21000122]</t>
  </si>
  <si>
    <t>Regionális EHS Manager [21000123]</t>
  </si>
  <si>
    <t>Rendész [21000124]</t>
  </si>
  <si>
    <t>Rendszer asszisztens [21000125]</t>
  </si>
  <si>
    <t>Rendszergazda [21000126]</t>
  </si>
  <si>
    <t>Sales administration [21000127]</t>
  </si>
  <si>
    <t>Sales Manager [21000128]</t>
  </si>
  <si>
    <t>Segédmunkás [21000129]</t>
  </si>
  <si>
    <t>Segédmunkás(Meo-s kisegít [21000130]</t>
  </si>
  <si>
    <t>Senior adminisztrátor [21000131]</t>
  </si>
  <si>
    <t>Senior üzletkötő [21000132]</t>
  </si>
  <si>
    <t>Sertés nagyüzemi speciali [21000133]</t>
  </si>
  <si>
    <t>Siló vezérlős [21000134]</t>
  </si>
  <si>
    <t>Silókezelő [21000135]</t>
  </si>
  <si>
    <t>Silókezelő-villanyszerelő [21000136]</t>
  </si>
  <si>
    <t>Stratégiai beszerzési vez [21000137]</t>
  </si>
  <si>
    <t>Stratégiai Marketing- és [21000138]</t>
  </si>
  <si>
    <t>Supply Chain Manager [21000139]</t>
  </si>
  <si>
    <t>Szállítmányozási assziszt [21000140]</t>
  </si>
  <si>
    <t>Szállítmányozási csop.vez [21000141]</t>
  </si>
  <si>
    <t>Szállítmányozási koordiná [21000142]</t>
  </si>
  <si>
    <t>Számlázási munkatárs [21000143]</t>
  </si>
  <si>
    <t>Számviteli munkatárs [21000144]</t>
  </si>
  <si>
    <t>Szárítógép-kezelő [21000145]</t>
  </si>
  <si>
    <t>Szarvasmarha Ágazat igazg [21000146]</t>
  </si>
  <si>
    <t>Takarmánygyártó [21000147]</t>
  </si>
  <si>
    <t>Targoncavezető [21000148]</t>
  </si>
  <si>
    <t>Technológia Igazgató [21000149]</t>
  </si>
  <si>
    <t>Telepi controller [21000150]</t>
  </si>
  <si>
    <t>Telepvezető [21000151]</t>
  </si>
  <si>
    <t>Telepvezető helyettes [21000152]</t>
  </si>
  <si>
    <t>Termékfejlesztési Menedzs [21000154]</t>
  </si>
  <si>
    <t>Termékfejlesztési special [21000155]</t>
  </si>
  <si>
    <t>Termelési igazgató [21000156]</t>
  </si>
  <si>
    <t>Termelési ügyintéző [21000157]</t>
  </si>
  <si>
    <t>Termelési vezető [21000158]</t>
  </si>
  <si>
    <t>Területi értékesítési kép [21000159]</t>
  </si>
  <si>
    <t>Tervezés csoportvezető [21000160]</t>
  </si>
  <si>
    <t>Tervezés csoportvezető-he [21000161]</t>
  </si>
  <si>
    <t>Titkárnő [21000162]</t>
  </si>
  <si>
    <t>Trader [21000163]</t>
  </si>
  <si>
    <t>Traktoros [21000164]</t>
  </si>
  <si>
    <t>Treasury munkatárs [21000165]</t>
  </si>
  <si>
    <t>Uszályellenőr [21000166]</t>
  </si>
  <si>
    <t>Üzemeltetési vezérigazgat [21000167]</t>
  </si>
  <si>
    <t>Üzemvezető [21000168]</t>
  </si>
  <si>
    <t>Üzletkötő [21000169]</t>
  </si>
  <si>
    <t>Üzletkötő asszisztens [21000170]</t>
  </si>
  <si>
    <t>Vállalati jogtanácsos [21000171]</t>
  </si>
  <si>
    <t>Végfelhasználói ért. igaz [21000172]</t>
  </si>
  <si>
    <t>Vegyész analitikus [21000173]</t>
  </si>
  <si>
    <t>Vetőmag Koordinátor [21000174]</t>
  </si>
  <si>
    <t>Vetőmag üzletág igazgató [21000175]</t>
  </si>
  <si>
    <t>Vevőszolgálati ügyintéző [21000176]</t>
  </si>
  <si>
    <t>Vezérigazgató [21000177]</t>
  </si>
  <si>
    <t>Vezérigazgató hely./logis [21000178]</t>
  </si>
  <si>
    <t>Vezérigazgatói assziszten [21000179]</t>
  </si>
  <si>
    <t>Villanyszerelő [21000180]</t>
  </si>
  <si>
    <t>Villanyszerelő,silógép-ke [21000181]</t>
  </si>
  <si>
    <t>Telepi rendész [21000182]</t>
  </si>
  <si>
    <t>Gépészmérnök [21000183]</t>
  </si>
  <si>
    <t>Junior trader [21000184]</t>
  </si>
  <si>
    <t>Adóügyi munkatárs [21000185]</t>
  </si>
  <si>
    <t>Pénzügyi ügyintéző [21000186]</t>
  </si>
  <si>
    <t>Tervezési csoportvezető [21000187]</t>
  </si>
  <si>
    <t>Ker. Könyvelési Vezető [21000188]</t>
  </si>
  <si>
    <t>Tervezés Csoportvezető-h. [21000189]</t>
  </si>
  <si>
    <t>Operatív HR Vezető [21000190]</t>
  </si>
  <si>
    <t>Junior Toborzási Spec. [21000191]</t>
  </si>
  <si>
    <t>M.ügyi és bérszámf.i mt. [21000192]</t>
  </si>
  <si>
    <t>M.ügyi és bérszámf.i spec [21000193]</t>
  </si>
  <si>
    <t>HR Generalista [21000194]</t>
  </si>
  <si>
    <t>Senior üzletkötő [21000195]</t>
  </si>
  <si>
    <t>Junior üzletkötő [21000196]</t>
  </si>
  <si>
    <t>Gyakornok [21000197]</t>
  </si>
  <si>
    <t>Főkönyvelő helyettes [21000198]</t>
  </si>
  <si>
    <t>Tervező [21000199]</t>
  </si>
  <si>
    <t>Input ker. vezérig.-hely. [21000200]</t>
  </si>
  <si>
    <t>Ált. irodai ügyint.[21000201]</t>
  </si>
  <si>
    <t>Bony. Támogat. Csop.vez. [21000202]</t>
  </si>
  <si>
    <t>Regionális Értékesít. Vez.[21000203]</t>
  </si>
  <si>
    <t>Truck Contract Manager [21000204]</t>
  </si>
  <si>
    <t>Toborzási specialista [21000205]</t>
  </si>
  <si>
    <t>Kiem.Ügyf.kapcs.man.Szarv [21000206]</t>
  </si>
  <si>
    <t>Nagyü.spec.szarv. Állatf. [21000207]</t>
  </si>
  <si>
    <t>Kiem.ügyfk.Man.bar.nyúl [21000208]</t>
  </si>
  <si>
    <t>Barom. és nyúl ág. Igazg.[21000209]</t>
  </si>
  <si>
    <t>vezető dealer Manager [21000210]</t>
  </si>
  <si>
    <t>Raktári adminisztrátor [21000211]</t>
  </si>
  <si>
    <t>ITSB csoportvezető [21000212]</t>
  </si>
  <si>
    <t>Purina Ü.fejl. &amp; trn.Man. [21000213]</t>
  </si>
  <si>
    <t>Művezető [21000214]</t>
  </si>
  <si>
    <t>Termelési és műszaki vez. [21000215]</t>
  </si>
  <si>
    <t>Kock.kez.&amp;beszerz. Assz. [21000216]</t>
  </si>
  <si>
    <t>Vegyésztechnikus [21000217]</t>
  </si>
  <si>
    <t>Foly.fejl. fel. vezető [21000218]</t>
  </si>
  <si>
    <t>Asszisztens Kontroller [21000219]</t>
  </si>
  <si>
    <t>Infrastr. Működ. Szuperv. [21000220]</t>
  </si>
  <si>
    <t>HR Gener.&amp;Pénz. Munkatárs [21000221]</t>
  </si>
  <si>
    <t>No job title [00000000]</t>
  </si>
  <si>
    <t>FO_Payroll Job Code</t>
  </si>
  <si>
    <t>No position [00000000]</t>
  </si>
  <si>
    <t>ACCOUNTANT [21100001]</t>
  </si>
  <si>
    <t>Accounting Assistant [21100002]</t>
  </si>
  <si>
    <t>Administrator [21100003]</t>
  </si>
  <si>
    <t>Agronomist [21100004]</t>
  </si>
  <si>
    <t>Area Sales Manager [21100005]</t>
  </si>
  <si>
    <t>Assistant Chief Accountan [21100006]</t>
  </si>
  <si>
    <t>Assistant Teamleader Crop [21100007]</t>
  </si>
  <si>
    <t>Assistant TL Contract Exe [21100008]</t>
  </si>
  <si>
    <t>Assistant TL TE Admin [21100009]</t>
  </si>
  <si>
    <t>AUDITOR [21100010]</t>
  </si>
  <si>
    <t>BU Country Lead [21100011]</t>
  </si>
  <si>
    <t>Chief Accountant [21100012]</t>
  </si>
  <si>
    <t>Commercial Management Tra [21100013]</t>
  </si>
  <si>
    <t>Contract Desk Manager [21100014]</t>
  </si>
  <si>
    <t>Controller [21100015]</t>
  </si>
  <si>
    <t>Credit Analyst [21100016]</t>
  </si>
  <si>
    <t>Credit Manager [21100017]</t>
  </si>
  <si>
    <t>Crop Input Manager [21100018]</t>
  </si>
  <si>
    <t>DC Trader [21100019]</t>
  </si>
  <si>
    <t>Demand Customer Manager [21100020]</t>
  </si>
  <si>
    <t>Deputy Lab Manager [21100021]</t>
  </si>
  <si>
    <t>Deputy Silo Manager [21100022]</t>
  </si>
  <si>
    <t>EHS COORDINATOR [21100023]</t>
  </si>
  <si>
    <t>Executive Assistant [21100024]</t>
  </si>
  <si>
    <t>Expat [21100025]</t>
  </si>
  <si>
    <t>Financial Manager [21100026]</t>
  </si>
  <si>
    <t>Freight Assistant [21100027]</t>
  </si>
  <si>
    <t>Freight Coordinator [21100028]</t>
  </si>
  <si>
    <t>Freight Teamleader [21100029]</t>
  </si>
  <si>
    <t>HR Manager [21100030]</t>
  </si>
  <si>
    <t>Input Storekeeper [21100031]</t>
  </si>
  <si>
    <t>Inventory Management Assi [21100032]</t>
  </si>
  <si>
    <t>Inventory Management TLea [21100033]</t>
  </si>
  <si>
    <t>IT PROGRAMMER [21100034]</t>
  </si>
  <si>
    <t>Junior Pipeline Planner [21100035]</t>
  </si>
  <si>
    <t>Junior Trading Accountant [21100036]</t>
  </si>
  <si>
    <t>LAB Manager [21100037]</t>
  </si>
  <si>
    <t>Lead Lawyer [21100038]</t>
  </si>
  <si>
    <t>Logistic Manager [21100039]</t>
  </si>
  <si>
    <t>Logistics Compliance Advi [21100040]</t>
  </si>
  <si>
    <t>Logistics Compliance Spec [21100041]</t>
  </si>
  <si>
    <t>LOGISTICS COORDINATOR [21100042]</t>
  </si>
  <si>
    <t>Marketing Coordinator [21100043]</t>
  </si>
  <si>
    <t>Marketing Manager [21100044]</t>
  </si>
  <si>
    <t>Merchandising Manager [21100045]</t>
  </si>
  <si>
    <t>National Sales Manager [21100046]</t>
  </si>
  <si>
    <t>NGFI Teamleader [21100047]</t>
  </si>
  <si>
    <t>NGFI Trader [21100048]</t>
  </si>
  <si>
    <t>Office Assistant [21100049]</t>
  </si>
  <si>
    <t>Operation Manager [21100050]</t>
  </si>
  <si>
    <t>PAT Coordinator [21100051]</t>
  </si>
  <si>
    <t>Payroll Coordinator [21100052]</t>
  </si>
  <si>
    <t>Pipeline Planner [21100053]</t>
  </si>
  <si>
    <t>Product Line CoordinatorC [21100054]</t>
  </si>
  <si>
    <t>Product Line CoordinatorF [21100055]</t>
  </si>
  <si>
    <t>Product Line CoordinatorS [21100056]</t>
  </si>
  <si>
    <t>Product Line Lead, Chemic [21100057]</t>
  </si>
  <si>
    <t>Product Line Lead, Fertil [21100058]</t>
  </si>
  <si>
    <t>Product Line Lead, RM Sol [21100059]</t>
  </si>
  <si>
    <t>Product Line Lead, Seeds [21100060]</t>
  </si>
  <si>
    <t>PSI Hungary [21100061]</t>
  </si>
  <si>
    <t>Quality Controller [21100062]</t>
  </si>
  <si>
    <t>Quality Manager [21100063]</t>
  </si>
  <si>
    <t>Regional Sales Manager [21100064]</t>
  </si>
  <si>
    <t>Sales Assistant [21100065]</t>
  </si>
  <si>
    <t>SECRETARY [21100066]</t>
  </si>
  <si>
    <t>Senior Administrator [21100067]</t>
  </si>
  <si>
    <t>Shift Leader [21100068]</t>
  </si>
  <si>
    <t>SILO CONTROLLER [21100069]</t>
  </si>
  <si>
    <t>SILO MANAGER [21100070]</t>
  </si>
  <si>
    <t>SILO WORKER [21100071]</t>
  </si>
  <si>
    <t>Storekeeper [21100072]</t>
  </si>
  <si>
    <t>System Analyst [21100073]</t>
  </si>
  <si>
    <t>TE Admin Specialist [21100074]</t>
  </si>
  <si>
    <t>TECHNICAL COORDINATOR [21100075]</t>
  </si>
  <si>
    <t>Trade Execution Assistant [21100076]</t>
  </si>
  <si>
    <t>Trade Execution Specialis [21100077]</t>
  </si>
  <si>
    <t>Trade Execution Teamleade [21100078]</t>
  </si>
  <si>
    <t>Trade Executor [21100079]</t>
  </si>
  <si>
    <t>Trader [21100080]</t>
  </si>
  <si>
    <t>TRANSLATOR [21100081]</t>
  </si>
  <si>
    <t>Treasurer [21100082]</t>
  </si>
  <si>
    <t>Treasury Accountant [21100083]</t>
  </si>
  <si>
    <t>Custodian [21100084]</t>
  </si>
  <si>
    <t>BDM - Cattle [21100085]</t>
  </si>
  <si>
    <t>BDM - Poultry and rabbit [21100086]</t>
  </si>
  <si>
    <t>BDM - Purina [21100087]</t>
  </si>
  <si>
    <t>Buyer [21100088]</t>
  </si>
  <si>
    <t>Chemist [21100089]</t>
  </si>
  <si>
    <t>Cluster Credit ManagerSEE [21100090]</t>
  </si>
  <si>
    <t>Commercial Director [21100091]</t>
  </si>
  <si>
    <t>Credit assistant [21100092]</t>
  </si>
  <si>
    <t>Customer service administ [21100093]</t>
  </si>
  <si>
    <t>Customer Service Assist. [21100094]</t>
  </si>
  <si>
    <t>Custormer service admin. [21100095]</t>
  </si>
  <si>
    <t>Dealer manager [21100096]</t>
  </si>
  <si>
    <t>Dealer sales adviser [21100097]</t>
  </si>
  <si>
    <t>Driver [21100098]</t>
  </si>
  <si>
    <t>Employment and PY Admin. [21100099]</t>
  </si>
  <si>
    <t>Feed Plant Manager [21100100]</t>
  </si>
  <si>
    <t>Finance controller [21100101]</t>
  </si>
  <si>
    <t>HR specialist [21100102]</t>
  </si>
  <si>
    <t>Financial Assistant [21100103]</t>
  </si>
  <si>
    <t>Financial Controller [21100104]</t>
  </si>
  <si>
    <t>Formulation Team Lead [21100105]</t>
  </si>
  <si>
    <t>Formulator [21100106]</t>
  </si>
  <si>
    <t>Gatekeeper [21100107]</t>
  </si>
  <si>
    <t>Internat.Audit &amp; Tax Repr [21100108]</t>
  </si>
  <si>
    <t>IT Manager [21100109]</t>
  </si>
  <si>
    <t>IT specialist [21100110]</t>
  </si>
  <si>
    <t>Junior Dealer Manager [21100111]</t>
  </si>
  <si>
    <t>Key Account Manager [21100112]</t>
  </si>
  <si>
    <t>Key Account Man.-Rabbit [21100113]</t>
  </si>
  <si>
    <t>Laboratory Analyst [21100114]</t>
  </si>
  <si>
    <t>Laboratory assistant [21100115]</t>
  </si>
  <si>
    <t>Laboratory manager [21100116]</t>
  </si>
  <si>
    <t>Maintainer [21100117]</t>
  </si>
  <si>
    <t>Maintanance&amp;ProductWorker [21100118]</t>
  </si>
  <si>
    <t>Maintanance leader [21100119]</t>
  </si>
  <si>
    <t>Maintenance manager [21100120]</t>
  </si>
  <si>
    <t>Management Accountant [21100121]</t>
  </si>
  <si>
    <t>Marketing Manager CFN SEE [21100122]</t>
  </si>
  <si>
    <t>Material Farmer -Logistic [21100123]</t>
  </si>
  <si>
    <t>Operations DirectorCFNSEE [21100124]</t>
  </si>
  <si>
    <t>Petfood Plant Manager [21100125]</t>
  </si>
  <si>
    <t>Plant Manager [21100126]</t>
  </si>
  <si>
    <t>Pricing Manager CFN SEE [21100127]</t>
  </si>
  <si>
    <t>Pricing Specialist [21100128]</t>
  </si>
  <si>
    <t>Production administrator [21100129]</t>
  </si>
  <si>
    <t>Production Oper.Director [21100130]</t>
  </si>
  <si>
    <t>Production supervisor [21100131]</t>
  </si>
  <si>
    <t>Production Worker [21100132]</t>
  </si>
  <si>
    <t>Purina Dist.Dev.&amp;Training [21100133]</t>
  </si>
  <si>
    <t>QC manager &amp; ISO manager [21100134]</t>
  </si>
  <si>
    <t>Quality analyst [21100135]</t>
  </si>
  <si>
    <t>Quality and shift leader [21100136]</t>
  </si>
  <si>
    <t>Project manager [21100137]</t>
  </si>
  <si>
    <t>Regional EHS Manager [21100138]</t>
  </si>
  <si>
    <t>Risk Mgmt&amp;Sourcing DirSEE [21100139]</t>
  </si>
  <si>
    <t>Sales assistant [21100140]</t>
  </si>
  <si>
    <t>Sales manager [21100141]</t>
  </si>
  <si>
    <t>Sales representative [21100142]</t>
  </si>
  <si>
    <t>Sales specialist [21100143]</t>
  </si>
  <si>
    <t>Sales Specialist - Cattle [21100144]</t>
  </si>
  <si>
    <t>Sales Specialist - Hog [21100145]</t>
  </si>
  <si>
    <t>Sales Specialist - Pig [21100146]</t>
  </si>
  <si>
    <t>Sales Specialist -Poultry [21100147]</t>
  </si>
  <si>
    <t>SEE Cluster Analyst [21100148]</t>
  </si>
  <si>
    <t>Strategic project manager [21100149]</t>
  </si>
  <si>
    <t>Sourcing Leader [21100150]</t>
  </si>
  <si>
    <t>Strategic Marketing Man. [21100151]</t>
  </si>
  <si>
    <t>Strategic Sourcing leader [21100152]</t>
  </si>
  <si>
    <t>Supply Chain Man. CFN SEE [21100153]</t>
  </si>
  <si>
    <t>Technology Appl.Manager [21100154]</t>
  </si>
  <si>
    <t>Technology Appl.Man. -Hog [21100155]</t>
  </si>
  <si>
    <t>Technology Appl.Man. -Pou [21100156]</t>
  </si>
  <si>
    <t>Technology Appl.Man. Lead [21100157]</t>
  </si>
  <si>
    <t>Technology App.Specialist [21100158]</t>
  </si>
  <si>
    <t>Mechanical engineer [21100159]</t>
  </si>
  <si>
    <t>Tax Specialist [21100160]</t>
  </si>
  <si>
    <t>Treasury Assistant [21100161]</t>
  </si>
  <si>
    <t>Planning Teamleader [21100162]</t>
  </si>
  <si>
    <t>TradingAccounting Manager [21100163]</t>
  </si>
  <si>
    <t>AssistantPlanningTeamLead [21100164]</t>
  </si>
  <si>
    <t>HR Operations Lead [21100165]</t>
  </si>
  <si>
    <t>Junior Recruiter [21100166]</t>
  </si>
  <si>
    <t>Payroll Administrator [21100167]</t>
  </si>
  <si>
    <t>Payroll/IR Specialist [21100168]</t>
  </si>
  <si>
    <t>HR Generalist [21100169]</t>
  </si>
  <si>
    <t>Senior Trader [21100170]</t>
  </si>
  <si>
    <t>Junior Trader [21100171]</t>
  </si>
  <si>
    <t>Intern [21100172]</t>
  </si>
  <si>
    <t>Assist.Accounting Manager [21100173]</t>
  </si>
  <si>
    <t>FO_Payroll Position Code</t>
  </si>
  <si>
    <t>Adres</t>
  </si>
  <si>
    <t>Ulica</t>
  </si>
  <si>
    <t>Voorvoegsel tweede achternaam (naam partner)</t>
  </si>
  <si>
    <t>Voorvoegsel achternaam</t>
  </si>
  <si>
    <t>Adrestype</t>
  </si>
  <si>
    <t>Straat</t>
  </si>
  <si>
    <t>Plaats</t>
  </si>
  <si>
    <t>Postcode</t>
  </si>
  <si>
    <t>Huisnummer</t>
  </si>
  <si>
    <t>Appartement</t>
  </si>
  <si>
    <t>Extra adresregel</t>
  </si>
  <si>
    <t>Département / Province de naissance</t>
  </si>
  <si>
    <t>Numéro de rue</t>
  </si>
  <si>
    <t>Rue</t>
  </si>
  <si>
    <t>Adresse</t>
  </si>
  <si>
    <t>Type d’adresse</t>
  </si>
  <si>
    <t>Ligne d'adresse supplémentaire</t>
  </si>
  <si>
    <t>Ville</t>
  </si>
  <si>
    <t>County / District / Département</t>
  </si>
  <si>
    <t>Code postal</t>
  </si>
  <si>
    <t>Chez</t>
  </si>
  <si>
    <t>Adresstyp</t>
  </si>
  <si>
    <t>Straße</t>
  </si>
  <si>
    <t>Hausnummer</t>
  </si>
  <si>
    <t>Postleitzahl</t>
  </si>
  <si>
    <t>Ort</t>
  </si>
  <si>
    <t>Bundesland / Kanton / Region</t>
  </si>
  <si>
    <t>Megbízott</t>
  </si>
  <si>
    <t>Cím</t>
  </si>
  <si>
    <t>Cím típusa</t>
  </si>
  <si>
    <t>Házszám</t>
  </si>
  <si>
    <t>Épület</t>
  </si>
  <si>
    <t>Helység</t>
  </si>
  <si>
    <t>Irányítószám</t>
  </si>
  <si>
    <t>Lépcső</t>
  </si>
  <si>
    <t>Szint</t>
  </si>
  <si>
    <t>Ajtó</t>
  </si>
  <si>
    <t>Indirizzo</t>
  </si>
  <si>
    <t>Tipo indirizzo</t>
  </si>
  <si>
    <t>Via</t>
  </si>
  <si>
    <t>Città</t>
  </si>
  <si>
    <t>CAP</t>
  </si>
  <si>
    <t>Addresse</t>
  </si>
  <si>
    <t>Adressetype</t>
  </si>
  <si>
    <t xml:space="preserve">Endereço </t>
  </si>
  <si>
    <t xml:space="preserve">Tipo de endereço </t>
  </si>
  <si>
    <t>Data de nascimento (DD/MM/YYYY)</t>
  </si>
  <si>
    <t>Data naşterii (DD/MM/YYYY)</t>
  </si>
  <si>
    <t>Fecha de nacimiento (DD/MM/YYYY)</t>
  </si>
  <si>
    <t>Doğum Tarihi (DD/MM/YYYY)</t>
  </si>
  <si>
    <t>Rua</t>
  </si>
  <si>
    <t>Linha de endereço adicional</t>
  </si>
  <si>
    <t>Cidade</t>
  </si>
  <si>
    <t>Tipo de rua</t>
  </si>
  <si>
    <t>Número</t>
  </si>
  <si>
    <t>Apartamento</t>
  </si>
  <si>
    <t>Andar</t>
  </si>
  <si>
    <t>Escada</t>
  </si>
  <si>
    <t>Adresă</t>
  </si>
  <si>
    <t>Tip adresă</t>
  </si>
  <si>
    <t>Stradă</t>
  </si>
  <si>
    <t>Linie de adresă suplimentară</t>
  </si>
  <si>
    <t xml:space="preserve">Regiune / Canton / Province / State </t>
  </si>
  <si>
    <t>Cod poştal</t>
  </si>
  <si>
    <t>Sector / County / Department</t>
  </si>
  <si>
    <t>Număr casă</t>
  </si>
  <si>
    <t>Clădire</t>
  </si>
  <si>
    <t>Etaj</t>
  </si>
  <si>
    <t>Apartament</t>
  </si>
  <si>
    <t>Localitate</t>
  </si>
  <si>
    <t>Dirección</t>
  </si>
  <si>
    <t>Tipo de dirección</t>
  </si>
  <si>
    <t>Calle</t>
  </si>
  <si>
    <t>Piso</t>
  </si>
  <si>
    <t>Escalera</t>
  </si>
  <si>
    <t>Ciudad</t>
  </si>
  <si>
    <t>Código postal</t>
  </si>
  <si>
    <t>Tipo de vía</t>
  </si>
  <si>
    <t>Línea dirección adicional</t>
  </si>
  <si>
    <t>Alıcının Adı</t>
  </si>
  <si>
    <t>Mahalle</t>
  </si>
  <si>
    <t>Sokak Adı</t>
  </si>
  <si>
    <t>Posta Kodu</t>
  </si>
  <si>
    <t>Bina Numarası</t>
  </si>
  <si>
    <t>Adres Türü</t>
  </si>
  <si>
    <t>Permanent Residence</t>
  </si>
  <si>
    <t>Current Residence</t>
  </si>
  <si>
    <t>Contract End Date</t>
  </si>
  <si>
    <t>Contract End Date (DD/MM/YYYY)</t>
  </si>
  <si>
    <t>Alternative Cost Distribution</t>
  </si>
  <si>
    <t>Second Cost Centre</t>
  </si>
  <si>
    <t>Third Cost Centre</t>
  </si>
  <si>
    <t>Percentage (2nd cc)</t>
  </si>
  <si>
    <t>Businesses/Functions (2nd cc)</t>
  </si>
  <si>
    <t>Percentage (3rd cc)</t>
  </si>
  <si>
    <t>Businesses/Functions (3rd cc)</t>
  </si>
  <si>
    <t>Payment Information</t>
  </si>
  <si>
    <t>Pay Type</t>
  </si>
  <si>
    <t>Payment Method</t>
  </si>
  <si>
    <t>Bank Country</t>
  </si>
  <si>
    <t>Account Owner</t>
  </si>
  <si>
    <t>Account Type</t>
  </si>
  <si>
    <t>Sort Code</t>
  </si>
  <si>
    <t>Account Number</t>
  </si>
  <si>
    <t>Business Identifier Code</t>
  </si>
  <si>
    <t>IBAN</t>
  </si>
  <si>
    <t>Main Payment Method</t>
  </si>
  <si>
    <t>Bank Transfer</t>
  </si>
  <si>
    <t>Personal Information_Pay Type</t>
  </si>
  <si>
    <t>Personal Information_Payment Method</t>
  </si>
  <si>
    <t>Personal Information_Account Type</t>
  </si>
  <si>
    <t>Rekeningnummer</t>
  </si>
  <si>
    <t>Numéro de compte</t>
  </si>
  <si>
    <t>Kontonummer</t>
  </si>
  <si>
    <t>Számlaszám</t>
  </si>
  <si>
    <t>Numero conto</t>
  </si>
  <si>
    <t>Número da conta</t>
  </si>
  <si>
    <t>Număr de cont</t>
  </si>
  <si>
    <t>Número de cuenta</t>
  </si>
  <si>
    <t>Hesap Numarası</t>
  </si>
  <si>
    <t>Rekeninghouder</t>
  </si>
  <si>
    <t>Soort rekening</t>
  </si>
  <si>
    <t>Taal loonstrook</t>
  </si>
  <si>
    <t>Pay Slip Language</t>
  </si>
  <si>
    <t>Titulaire du compte</t>
  </si>
  <si>
    <t>Kontoinhaber</t>
  </si>
  <si>
    <t>Fióktulajdonos</t>
  </si>
  <si>
    <t>Proprietario conto</t>
  </si>
  <si>
    <t>Kontoeier</t>
  </si>
  <si>
    <t>Titular da conta</t>
  </si>
  <si>
    <t>Titular cont</t>
  </si>
  <si>
    <t>Propietario de cuenta</t>
  </si>
  <si>
    <t>Hesap Sahibi</t>
  </si>
  <si>
    <t xml:space="preserve">Type de compte </t>
  </si>
  <si>
    <t xml:space="preserve">Kontotyp </t>
  </si>
  <si>
    <t>Számlatípus</t>
  </si>
  <si>
    <t>Tipo conto</t>
  </si>
  <si>
    <t>Tipo de conta</t>
  </si>
  <si>
    <t>Tip de cont</t>
  </si>
  <si>
    <t>Tipo de cuenta</t>
  </si>
  <si>
    <t>Hesap Türü</t>
  </si>
  <si>
    <t>Langue du bulletin de salaire</t>
  </si>
  <si>
    <t>Personal Information_Pay Slip</t>
  </si>
  <si>
    <t>Betalingsinformatie</t>
  </si>
  <si>
    <t>Betalingswijze</t>
  </si>
  <si>
    <t>Bankland</t>
  </si>
  <si>
    <t>Valuta</t>
  </si>
  <si>
    <t>BIC-code</t>
  </si>
  <si>
    <t>Informations sur la rémunération</t>
  </si>
  <si>
    <t>Méthode de paiement</t>
  </si>
  <si>
    <t>Pays de la banque</t>
  </si>
  <si>
    <t>Code B.I.C.</t>
  </si>
  <si>
    <t>Devise</t>
  </si>
  <si>
    <t>Zahlungsinformationen</t>
  </si>
  <si>
    <t>Zahlungsmethode</t>
  </si>
  <si>
    <t>Land der Bank</t>
  </si>
  <si>
    <t>Geschäftskennungscode</t>
  </si>
  <si>
    <t>Fizetési adatok</t>
  </si>
  <si>
    <t>Fizetési módszer</t>
  </si>
  <si>
    <t>Bank országa</t>
  </si>
  <si>
    <t>Üzleti azonosítókód</t>
  </si>
  <si>
    <t>Informazioni sul pagamento</t>
  </si>
  <si>
    <t>Metodo di pagamento</t>
  </si>
  <si>
    <t>Kobieta</t>
  </si>
  <si>
    <t>Mężczyzna</t>
  </si>
  <si>
    <t>Betalingsmetode</t>
  </si>
  <si>
    <t>Forretningsidentifikatorkode</t>
  </si>
  <si>
    <t>Informacje dotyczące płacy</t>
  </si>
  <si>
    <t>Metoda płatności</t>
  </si>
  <si>
    <t>Kraj banku</t>
  </si>
  <si>
    <t>Właściciel konta</t>
  </si>
  <si>
    <t>Typ konta</t>
  </si>
  <si>
    <t>Kod identyfikatora firmy</t>
  </si>
  <si>
    <t>Numer konta</t>
  </si>
  <si>
    <t>Główne (Main)</t>
  </si>
  <si>
    <t>Przelew (Bank Transfer)</t>
  </si>
  <si>
    <t>Informações sobre o pagamento</t>
  </si>
  <si>
    <t>Forma de pagamento</t>
  </si>
  <si>
    <t>País do banco</t>
  </si>
  <si>
    <t>Código identificador da empresa</t>
  </si>
  <si>
    <t>Informaţii de plată</t>
  </si>
  <si>
    <t>Modalitate de plată</t>
  </si>
  <si>
    <t>Țara băncii</t>
  </si>
  <si>
    <t>Cod de identificare a afacerii</t>
  </si>
  <si>
    <t>Información del pago</t>
  </si>
  <si>
    <t>Método de pago</t>
  </si>
  <si>
    <t>País del banco</t>
  </si>
  <si>
    <t>Ödeme Bilgileri</t>
  </si>
  <si>
    <t>Ödeme Yöntemi</t>
  </si>
  <si>
    <t>Banka Ülkesi</t>
  </si>
  <si>
    <t>Banka Tanımlama Kodu</t>
  </si>
  <si>
    <t>Ethnic Group</t>
  </si>
  <si>
    <t>Disclosed Veteran Category</t>
  </si>
  <si>
    <t>Disability Status</t>
  </si>
  <si>
    <t>Aboriginal People</t>
  </si>
  <si>
    <t>Is a Visible Minority?</t>
  </si>
  <si>
    <t>Person with Disability</t>
  </si>
  <si>
    <t>Accommodation Provided</t>
  </si>
  <si>
    <t>Postal / Zip code</t>
  </si>
  <si>
    <t>Benefits Class</t>
  </si>
  <si>
    <t>Union Code</t>
  </si>
  <si>
    <t>Unbanded Pay Grade</t>
  </si>
  <si>
    <t>Overtime Eligibility</t>
  </si>
  <si>
    <t>* Overtime Eligibility</t>
  </si>
  <si>
    <t>Job Information_Union Code</t>
  </si>
  <si>
    <t>Contract_Type_ITA</t>
  </si>
  <si>
    <t>CCNL Alimentare</t>
  </si>
  <si>
    <t>CCNL Chimico</t>
  </si>
  <si>
    <t>CCNL Commercio</t>
  </si>
  <si>
    <t>CCNL Dir. Comm.</t>
  </si>
  <si>
    <t>CCNL Dir. Ind.</t>
  </si>
  <si>
    <t>CCNL Elettrico</t>
  </si>
  <si>
    <t>Cocopro/Stagist</t>
  </si>
  <si>
    <t>Aqua Nutrition</t>
  </si>
  <si>
    <t>Beef</t>
  </si>
  <si>
    <t>Business Operations &amp; Supply Chain</t>
  </si>
  <si>
    <t>CASC APAC Regional Resources</t>
  </si>
  <si>
    <t>CASC NA BOSC</t>
  </si>
  <si>
    <t>CASC NA Crop Inputs</t>
  </si>
  <si>
    <t>CASC NA Customer Solutions</t>
  </si>
  <si>
    <t>CASC NA Grain</t>
  </si>
  <si>
    <t>CASC NA Oilseeds</t>
  </si>
  <si>
    <t>CASC NA Shared Resources</t>
  </si>
  <si>
    <t>CASC SA Americas Marketing Group</t>
  </si>
  <si>
    <t>CASC South Asia</t>
  </si>
  <si>
    <t>Cocoa &amp; Chocolate NA</t>
  </si>
  <si>
    <t>Corporate - Other</t>
  </si>
  <si>
    <t>Corporate Strategy &amp; Development</t>
  </si>
  <si>
    <t>CSST Shared Resources</t>
  </si>
  <si>
    <t>Deicing Technology</t>
  </si>
  <si>
    <t>Food Distribution</t>
  </si>
  <si>
    <t>Foods METNA</t>
  </si>
  <si>
    <t>GEOS North America</t>
  </si>
  <si>
    <t>GEOS Shared Resources</t>
  </si>
  <si>
    <t>GEOS Specialties</t>
  </si>
  <si>
    <t>GEOS Venezuela</t>
  </si>
  <si>
    <t>Industrial Specialties</t>
  </si>
  <si>
    <t>Juice North America</t>
  </si>
  <si>
    <t>Kitchen Solutions</t>
  </si>
  <si>
    <t>Land Management</t>
  </si>
  <si>
    <t>Meats Europe</t>
  </si>
  <si>
    <t>North America Power &amp; Gas</t>
  </si>
  <si>
    <t>Petroleum &amp; Chemicals</t>
  </si>
  <si>
    <t>Protein &amp; Salt Shared Resources</t>
  </si>
  <si>
    <t>Salt</t>
  </si>
  <si>
    <t>Starches &amp; Sweeteners China</t>
  </si>
  <si>
    <t>Temco</t>
  </si>
  <si>
    <t>Turkey &amp; Cooked Meats</t>
  </si>
  <si>
    <t>Value Added Meats-Foodservice</t>
  </si>
  <si>
    <t>Seniority Date</t>
  </si>
  <si>
    <t>Seniority Date (DD/MM/YYYY)</t>
  </si>
  <si>
    <t>Probation/Trial Period</t>
  </si>
  <si>
    <t>Competition Clause</t>
  </si>
  <si>
    <t>Hire Employee - Acquisition (HIR_ACQ)</t>
  </si>
  <si>
    <t>Hire Employee - New Position (HIR_NPS)</t>
  </si>
  <si>
    <t>Hire Employee - Replacement (HIR_RPL)</t>
  </si>
  <si>
    <t>Localization (HIR_LCZ)</t>
  </si>
  <si>
    <t>Localization (REH_LCZ)</t>
  </si>
  <si>
    <t>Start Global Assignment to EC Country (HIR_SGA)</t>
  </si>
  <si>
    <t>Agent de maîtrise</t>
  </si>
  <si>
    <t>Agent maîtrise A4bis</t>
  </si>
  <si>
    <t>Agent maîtrise Art36</t>
  </si>
  <si>
    <t>Assimilé cadre</t>
  </si>
  <si>
    <t>Cadre</t>
  </si>
  <si>
    <t>Cadre dirigeant</t>
  </si>
  <si>
    <t>Employé</t>
  </si>
  <si>
    <t>Ouvrier</t>
  </si>
  <si>
    <t>Ouvrier/Chauffeur</t>
  </si>
  <si>
    <t>Stag. Conventionné</t>
  </si>
  <si>
    <t>Technicien Art36</t>
  </si>
  <si>
    <t>Technicien Art4bis</t>
  </si>
  <si>
    <t>VRP exclusifs</t>
  </si>
  <si>
    <t>Contract_Type_NLD</t>
  </si>
  <si>
    <t>COGS (FABRIC)</t>
  </si>
  <si>
    <t>SG&amp;A  (OVERH)</t>
  </si>
  <si>
    <t>Permanent Contract</t>
  </si>
  <si>
    <t>Rehire Employee - Acquisition (REH_ACQ)</t>
  </si>
  <si>
    <t>Rehire Employee - New Position (REH_NPS)</t>
  </si>
  <si>
    <t>Rehire Employee - Replacement (REH_RPL)</t>
  </si>
  <si>
    <t>Rehire in payroll (HIR_REH)</t>
  </si>
  <si>
    <t>Section</t>
  </si>
  <si>
    <t>Birth Name</t>
  </si>
  <si>
    <t>Place of Birth</t>
  </si>
  <si>
    <t>Probationary Period End Date (DD/MM/YYYY)</t>
  </si>
  <si>
    <t>Marital Status</t>
  </si>
  <si>
    <t>Second Nationality</t>
  </si>
  <si>
    <t>Emergency Contact</t>
  </si>
  <si>
    <t>Name</t>
  </si>
  <si>
    <t>Relationship</t>
  </si>
  <si>
    <t>Phone</t>
  </si>
  <si>
    <t>Contact Information</t>
  </si>
  <si>
    <t>Type</t>
  </si>
  <si>
    <t>Work Permit Information</t>
  </si>
  <si>
    <t>Document Type</t>
  </si>
  <si>
    <t>Document Number</t>
  </si>
  <si>
    <t>Issue Date</t>
  </si>
  <si>
    <t>Expiry Date</t>
  </si>
  <si>
    <t>NLD-Residence Card</t>
  </si>
  <si>
    <t>NLD-Work Permit</t>
  </si>
  <si>
    <t>PRT-VISA</t>
  </si>
  <si>
    <t>Expiry Date (DD/MM/YYYY)</t>
  </si>
  <si>
    <t>Issue Date (DD/MM/YYYY)</t>
  </si>
  <si>
    <t>Court certificate</t>
  </si>
  <si>
    <t>Medical certificate</t>
  </si>
  <si>
    <t>Tax ID</t>
  </si>
  <si>
    <t>Tax class</t>
  </si>
  <si>
    <t>Konfession</t>
  </si>
  <si>
    <t>Health Insurance</t>
  </si>
  <si>
    <t>Name of Health Insurer</t>
  </si>
  <si>
    <t>Address of Health Insurer</t>
  </si>
  <si>
    <t>Pension Fund</t>
  </si>
  <si>
    <t>CV</t>
  </si>
  <si>
    <t>Education/certificates</t>
  </si>
  <si>
    <t>Oddział NFZ</t>
  </si>
  <si>
    <t>P45 Received</t>
  </si>
  <si>
    <t>Student loan to repay?</t>
  </si>
  <si>
    <t>First source of earnings in current year?</t>
  </si>
  <si>
    <t>Is this your only job /are you in receipt of pension?</t>
  </si>
  <si>
    <t>Tax Office</t>
  </si>
  <si>
    <t>Urząd skarbowy (nazwa i adres)</t>
  </si>
  <si>
    <t>Healthcare Branch</t>
  </si>
  <si>
    <t>Court certificate provided?</t>
  </si>
  <si>
    <t>Medical certificate provided?</t>
  </si>
  <si>
    <t>CV attached?</t>
  </si>
  <si>
    <t>Education/certificates attached?</t>
  </si>
  <si>
    <t>Father's name</t>
  </si>
  <si>
    <t>Imię ojca</t>
  </si>
  <si>
    <t>Mother's name</t>
  </si>
  <si>
    <t>Imię matki</t>
  </si>
  <si>
    <t>* Contract Type</t>
  </si>
  <si>
    <t>* Site location</t>
  </si>
  <si>
    <t>* Existing employee</t>
  </si>
  <si>
    <t>* Start date and time</t>
  </si>
  <si>
    <t>* Name of person / area to report to on first day</t>
  </si>
  <si>
    <t>* HR Induction to be held by</t>
  </si>
  <si>
    <t>Probationary Period (Duration)</t>
  </si>
  <si>
    <t>Shift</t>
  </si>
  <si>
    <t>Unbanded Salary Scale (CLA- blue collar only)</t>
  </si>
  <si>
    <t>Allowance #1</t>
  </si>
  <si>
    <t>Allowance #2</t>
  </si>
  <si>
    <t>Allowance #3</t>
  </si>
  <si>
    <t>Allowance #4</t>
  </si>
  <si>
    <t>Allowance #5</t>
  </si>
  <si>
    <t>Bonus Target</t>
  </si>
  <si>
    <t>Bonus Type</t>
  </si>
  <si>
    <t>Vacation entitlement</t>
  </si>
  <si>
    <t>Immigration support required (Contract Addendum)</t>
  </si>
  <si>
    <t>Lunch vouchers</t>
  </si>
  <si>
    <t>Labor Contract (CLA, intern, trainee, banding....)</t>
  </si>
  <si>
    <t>(for interns only) Travel Allowance needed</t>
  </si>
  <si>
    <t>Product Line</t>
  </si>
  <si>
    <t>Facility</t>
  </si>
  <si>
    <t>Kronos Data - various details required</t>
  </si>
  <si>
    <t>Confidentiality Agreement</t>
  </si>
  <si>
    <t>Immigration support required (Addendum)</t>
  </si>
  <si>
    <t>Monthly lump-sum (CHF 650/450)</t>
  </si>
  <si>
    <t>GO Big Compensation</t>
  </si>
  <si>
    <t>Job Level in CNLA</t>
  </si>
  <si>
    <t>Local + travel percentage</t>
  </si>
  <si>
    <t>Sign on bonus</t>
  </si>
  <si>
    <t>RCA needed (if yes, please mention which countries)</t>
  </si>
  <si>
    <t>Company Car entitlement</t>
  </si>
  <si>
    <t>PC required</t>
  </si>
  <si>
    <t>Phone required</t>
  </si>
  <si>
    <t>Default</t>
  </si>
  <si>
    <t>Address fields</t>
  </si>
  <si>
    <t>Field Name</t>
  </si>
  <si>
    <t>Personal Fields</t>
  </si>
  <si>
    <t>Career fields</t>
  </si>
  <si>
    <t>Branch ID</t>
  </si>
  <si>
    <t>Routing Number</t>
  </si>
  <si>
    <t>Probationary Period End Date</t>
  </si>
  <si>
    <t>Site location</t>
  </si>
  <si>
    <t>Existing employee</t>
  </si>
  <si>
    <t>Start date and time</t>
  </si>
  <si>
    <t>Name of person / area to report to on first day</t>
  </si>
  <si>
    <t>HR Induction to be held by</t>
  </si>
  <si>
    <t>* HR Approver</t>
  </si>
  <si>
    <t>HR Approver</t>
  </si>
  <si>
    <t>Auxiliary Sheet</t>
  </si>
  <si>
    <t>ER/IR Manager</t>
  </si>
  <si>
    <t>Apprenticeship Agreement</t>
  </si>
  <si>
    <t>NonEC_Contract_Type_GBR</t>
  </si>
  <si>
    <t>NonEC_Contract_Type_PRT</t>
  </si>
  <si>
    <t>Ireland Blue Collar</t>
  </si>
  <si>
    <t>Ireland Casual</t>
  </si>
  <si>
    <t>Ireland White Collar</t>
  </si>
  <si>
    <t>UK Junior</t>
  </si>
  <si>
    <t>UK Senior</t>
  </si>
  <si>
    <t>Project</t>
  </si>
  <si>
    <t>Union's employee number</t>
  </si>
  <si>
    <t>% of salary deducted (union)</t>
  </si>
  <si>
    <t>Start – Finish times / days</t>
  </si>
  <si>
    <t>Number of the dependents</t>
  </si>
  <si>
    <t>Naturalidade</t>
  </si>
  <si>
    <t>É a principal</t>
  </si>
  <si>
    <t>Código Postal</t>
  </si>
  <si>
    <t>Numero de Porta</t>
  </si>
  <si>
    <t>Data de validade</t>
  </si>
  <si>
    <t>Tipo de Contacto</t>
  </si>
  <si>
    <t>Numero de Telefone</t>
  </si>
  <si>
    <t>Contacto de emergência</t>
  </si>
  <si>
    <t>Moeda</t>
  </si>
  <si>
    <t>Informação adicional</t>
  </si>
  <si>
    <t>NIF</t>
  </si>
  <si>
    <t>Certificado de habilitações</t>
  </si>
  <si>
    <t>Estado Civil</t>
  </si>
  <si>
    <t>Número de dependentes</t>
  </si>
  <si>
    <t xml:space="preserve">Informação de Permissão de Trabalho </t>
  </si>
  <si>
    <t>Numero de documento</t>
  </si>
  <si>
    <t>Data de emissão</t>
  </si>
  <si>
    <t>Contacto</t>
  </si>
  <si>
    <t>Tipo de pagamento</t>
  </si>
  <si>
    <t>Informations sur le nom</t>
  </si>
  <si>
    <t>Persoonlijke gegevens</t>
  </si>
  <si>
    <t>Informasjon om navn</t>
  </si>
  <si>
    <t>Distance home-work (one way)</t>
  </si>
  <si>
    <t>Aantal km thuis - werk (enkel)</t>
  </si>
  <si>
    <t>Kilométrage maison-travail (aller simple)</t>
  </si>
  <si>
    <t>Transportation</t>
  </si>
  <si>
    <t>Vervoermiddel</t>
  </si>
  <si>
    <t>Transport</t>
  </si>
  <si>
    <t>NonEC_Transportation</t>
  </si>
  <si>
    <t xml:space="preserve">Car </t>
  </si>
  <si>
    <t xml:space="preserve">Company car </t>
  </si>
  <si>
    <t xml:space="preserve">Train </t>
  </si>
  <si>
    <t xml:space="preserve">Bus </t>
  </si>
  <si>
    <t xml:space="preserve">Bicycle </t>
  </si>
  <si>
    <t xml:space="preserve">Walk </t>
  </si>
  <si>
    <t>Wagen</t>
  </si>
  <si>
    <t>Bedrijfswagen</t>
  </si>
  <si>
    <t>Trein</t>
  </si>
  <si>
    <t>Tram</t>
  </si>
  <si>
    <t>Fiets</t>
  </si>
  <si>
    <t>À pied</t>
  </si>
  <si>
    <t>Véhicule</t>
  </si>
  <si>
    <t>Véhicule de l'entreprise</t>
  </si>
  <si>
    <t>Vélo</t>
  </si>
  <si>
    <t>Te voet</t>
  </si>
  <si>
    <t>Dependents</t>
  </si>
  <si>
    <t>Relationship Type</t>
  </si>
  <si>
    <t>Occupation</t>
  </si>
  <si>
    <t>Partner Income</t>
  </si>
  <si>
    <t>Joining Hospitalization Insurance</t>
  </si>
  <si>
    <t>Disabled Person</t>
  </si>
  <si>
    <t>Disabled %</t>
  </si>
  <si>
    <t>Profession</t>
  </si>
  <si>
    <t>Beroep</t>
  </si>
  <si>
    <t>Inkomen Partner</t>
  </si>
  <si>
    <t>Revenu partenaire</t>
  </si>
  <si>
    <t>Aansluiting hospitalisatieverzekering</t>
  </si>
  <si>
    <t>Affiliation assurance hospitalisation</t>
  </si>
  <si>
    <t>Handicapé</t>
  </si>
  <si>
    <t>Invalide</t>
  </si>
  <si>
    <t>Invaliditeitspercentage</t>
  </si>
  <si>
    <t>% Invalidité</t>
  </si>
  <si>
    <t>Dependents (BEL)</t>
  </si>
  <si>
    <t>NonEC_Dep_Occupation</t>
  </si>
  <si>
    <t xml:space="preserve">White collar worker </t>
  </si>
  <si>
    <t xml:space="preserve">Blue collar worker </t>
  </si>
  <si>
    <t xml:space="preserve">State </t>
  </si>
  <si>
    <t xml:space="preserve">Self employed </t>
  </si>
  <si>
    <t xml:space="preserve">Without job with allowance </t>
  </si>
  <si>
    <t xml:space="preserve">Withou job without allowance </t>
  </si>
  <si>
    <t>Bediende</t>
  </si>
  <si>
    <t>Arbeider</t>
  </si>
  <si>
    <t>Ambtenaar</t>
  </si>
  <si>
    <t>Zelfstandige</t>
  </si>
  <si>
    <t>Zonder job met uitkering</t>
  </si>
  <si>
    <t>Zonder job zonder uitkering</t>
  </si>
  <si>
    <t>Employé(e)</t>
  </si>
  <si>
    <t>Ouvrier(ière)</t>
  </si>
  <si>
    <t>Fonctionnaire</t>
  </si>
  <si>
    <t>Indépendant</t>
  </si>
  <si>
    <t>Sans profession avec allocation</t>
  </si>
  <si>
    <t>Sans profession sans allocation</t>
  </si>
  <si>
    <t>NonEC_Dep_Income</t>
  </si>
  <si>
    <t xml:space="preserve">Low income </t>
  </si>
  <si>
    <t xml:space="preserve">Low pension </t>
  </si>
  <si>
    <t xml:space="preserve">No income </t>
  </si>
  <si>
    <t xml:space="preserve">Not relevant </t>
  </si>
  <si>
    <t xml:space="preserve">Professional income </t>
  </si>
  <si>
    <t>Laag inkomen</t>
  </si>
  <si>
    <t>Laag pensioen</t>
  </si>
  <si>
    <t>Geen inkomen</t>
  </si>
  <si>
    <t>Niet relevant</t>
  </si>
  <si>
    <t>Professioneel inkomen</t>
  </si>
  <si>
    <t>Faible revenu</t>
  </si>
  <si>
    <t>Faibles pensions</t>
  </si>
  <si>
    <t>Aucun revenu</t>
  </si>
  <si>
    <t>Pas pertinent</t>
  </si>
  <si>
    <t>Revenus professionnels</t>
  </si>
  <si>
    <t>Middle Name</t>
  </si>
  <si>
    <t>Disability</t>
  </si>
  <si>
    <t>Disability %</t>
  </si>
  <si>
    <t>Job Internal Grade</t>
  </si>
  <si>
    <t>10-0</t>
  </si>
  <si>
    <t>10-1</t>
  </si>
  <si>
    <t>10-10</t>
  </si>
  <si>
    <t>NonEC_Contract_Type_NOR</t>
  </si>
  <si>
    <t>Blue Collar permanent</t>
  </si>
  <si>
    <t>Blue Collar temporary</t>
  </si>
  <si>
    <t>White Collar permanent</t>
  </si>
  <si>
    <t>White Collar temporary</t>
  </si>
  <si>
    <t>On call upon for work</t>
  </si>
  <si>
    <t>Apprenticeship agreement</t>
  </si>
  <si>
    <t>Birth Country</t>
  </si>
  <si>
    <t>National ID Country</t>
  </si>
  <si>
    <t>National ID Type</t>
  </si>
  <si>
    <t>National ID Number</t>
  </si>
  <si>
    <t>Dependents ID</t>
  </si>
  <si>
    <t>Marital Status date</t>
  </si>
  <si>
    <t>Job Title</t>
  </si>
  <si>
    <t>Education Level</t>
  </si>
  <si>
    <t>NonEC_Education</t>
  </si>
  <si>
    <t>&lt;4 years (US Tech./Professional Degree)</t>
  </si>
  <si>
    <t>= 4 years (US Bachelors Degree equivalent)</t>
  </si>
  <si>
    <t>= 5 -7 years (US Masters Degree equivalent)</t>
  </si>
  <si>
    <t>= 8 years and up (US Doctorate Degree equivalent)</t>
  </si>
  <si>
    <t>Completed Secondary Education</t>
  </si>
  <si>
    <t>Diploma</t>
  </si>
  <si>
    <t>Full secondary school - GCE O' level</t>
  </si>
  <si>
    <t>Gymnasium</t>
  </si>
  <si>
    <t>Lower Secondary Education</t>
  </si>
  <si>
    <t>Magister Artium</t>
  </si>
  <si>
    <t>O'level</t>
  </si>
  <si>
    <t>Phd/Doktor</t>
  </si>
  <si>
    <t>Primary Education (completed)</t>
  </si>
  <si>
    <t>Primary School (not complete)</t>
  </si>
  <si>
    <t>Realschule</t>
  </si>
  <si>
    <t>Secondary Education (MBO/MTS)</t>
  </si>
  <si>
    <t>Nom de naissance</t>
  </si>
  <si>
    <t>Lieu de naissance</t>
  </si>
  <si>
    <t>Type de document d'identité</t>
  </si>
  <si>
    <t>Autre nationalité</t>
  </si>
  <si>
    <t>Status handicapé</t>
  </si>
  <si>
    <t>Logement  fournis</t>
  </si>
  <si>
    <t>Nom du père</t>
  </si>
  <si>
    <t>Nom de la mère</t>
  </si>
  <si>
    <t>Canton / Province / Région / Etat</t>
  </si>
  <si>
    <t>Batiment</t>
  </si>
  <si>
    <t>Numéro d'escalier</t>
  </si>
  <si>
    <t>Etage</t>
  </si>
  <si>
    <t>Poste</t>
  </si>
  <si>
    <t>Type de rue</t>
  </si>
  <si>
    <t>nom de l'adresse</t>
  </si>
  <si>
    <t>Information permis de travail</t>
  </si>
  <si>
    <t xml:space="preserve">Type de document </t>
  </si>
  <si>
    <t>Numéro du document</t>
  </si>
  <si>
    <t>Date d'émission</t>
  </si>
  <si>
    <t>Date d'expiration</t>
  </si>
  <si>
    <t>Contacts</t>
  </si>
  <si>
    <t>Nature</t>
  </si>
  <si>
    <t>Numéro de téléphone</t>
  </si>
  <si>
    <t>Contact en cas d'urgence</t>
  </si>
  <si>
    <t>Relation</t>
  </si>
  <si>
    <t>Numéro d'identification de la succursale</t>
  </si>
  <si>
    <t>Code guichet</t>
  </si>
  <si>
    <t>Numéro de routage</t>
  </si>
  <si>
    <t>Informations supplémentaires</t>
  </si>
  <si>
    <t>Confession</t>
  </si>
  <si>
    <t>Fond de pension</t>
  </si>
  <si>
    <t>Miejsce urodzenia</t>
  </si>
  <si>
    <t>Druga linia adresu</t>
  </si>
  <si>
    <t>Typ płatności</t>
  </si>
  <si>
    <t>Waluta</t>
  </si>
  <si>
    <t>Dodatkowe informacje</t>
  </si>
  <si>
    <t>CV załączone?</t>
  </si>
  <si>
    <t>Świadectwa/certyfikaty załączone?</t>
  </si>
  <si>
    <t>Education level</t>
  </si>
  <si>
    <t>Stan cywilny</t>
  </si>
  <si>
    <t>Informacje o zezwoleniu na pracę</t>
  </si>
  <si>
    <t>Rodzaj dokumentu</t>
  </si>
  <si>
    <t>Numer dokumentu</t>
  </si>
  <si>
    <t>Data wydania</t>
  </si>
  <si>
    <t>Dane kontaktowe</t>
  </si>
  <si>
    <t>Rodzaj</t>
  </si>
  <si>
    <t>Numer telefonu</t>
  </si>
  <si>
    <t>Kontakt w nagłych przypadkach</t>
  </si>
  <si>
    <t>Nazwisko i imię</t>
  </si>
  <si>
    <t>Stopień pokrewieństwa</t>
  </si>
  <si>
    <t>Telefon</t>
  </si>
  <si>
    <t>Osoby na utrzymaniu</t>
  </si>
  <si>
    <t>Data wygaśnięcia</t>
  </si>
  <si>
    <t>Relacja</t>
  </si>
  <si>
    <t>Data urodzenia</t>
  </si>
  <si>
    <t>Kraj urodzenia</t>
  </si>
  <si>
    <t>Kraj wydający numer identyfikacyjny</t>
  </si>
  <si>
    <t>Rodzaj numeru</t>
  </si>
  <si>
    <t>Numer identyfikacyjny</t>
  </si>
  <si>
    <t>P45 otrzymane?</t>
  </si>
  <si>
    <t>Pożyczka studencka do spłacenia?</t>
  </si>
  <si>
    <t>Pierwsze źródło przychodu w bieżącym roku?</t>
  </si>
  <si>
    <t>Czy to Twoje jedyne zatrudnienie/czy otrzymujesz emeryturę/rentę?</t>
  </si>
  <si>
    <t>Issued by</t>
  </si>
  <si>
    <t>Issue date</t>
  </si>
  <si>
    <t>National ID BGR</t>
  </si>
  <si>
    <t>First Name (local)</t>
  </si>
  <si>
    <t>Middle Name (local)</t>
  </si>
  <si>
    <t>Last Name (local)</t>
  </si>
  <si>
    <t>Ja</t>
  </si>
  <si>
    <t>Nee</t>
  </si>
  <si>
    <t>Oui</t>
  </si>
  <si>
    <t>Non</t>
  </si>
  <si>
    <t>Nein</t>
  </si>
  <si>
    <t>Igen</t>
  </si>
  <si>
    <t>Sì</t>
  </si>
  <si>
    <t>Tak</t>
  </si>
  <si>
    <t>Nei</t>
  </si>
  <si>
    <t>Sim</t>
  </si>
  <si>
    <t>Não</t>
  </si>
  <si>
    <t>Nu</t>
  </si>
  <si>
    <t>Da</t>
  </si>
  <si>
    <t>Sí</t>
  </si>
  <si>
    <t>Evet</t>
  </si>
  <si>
    <t>Hayır</t>
  </si>
  <si>
    <t>Tussenvoegsel</t>
  </si>
  <si>
    <t>Geboorteland</t>
  </si>
  <si>
    <t>Geboorteplaats</t>
  </si>
  <si>
    <t>Geboortenaam</t>
  </si>
  <si>
    <t>Informatie nationale ID</t>
  </si>
  <si>
    <t>Nationale id</t>
  </si>
  <si>
    <t>Huwelijksstatus</t>
  </si>
  <si>
    <t>Huwelijksstatus Datum</t>
  </si>
  <si>
    <t>Tweede nationaliteit</t>
  </si>
  <si>
    <t>Informatie werkvergunning</t>
  </si>
  <si>
    <t>Documenttype</t>
  </si>
  <si>
    <t>Documentnummer</t>
  </si>
  <si>
    <t>Uitgiftedatum</t>
  </si>
  <si>
    <t>Vervaldatum</t>
  </si>
  <si>
    <t>Contactgegevens</t>
  </si>
  <si>
    <t>Soort</t>
  </si>
  <si>
    <t>Telefoonnummer</t>
  </si>
  <si>
    <t>Primaire contactpersoon voor noodgevallen</t>
  </si>
  <si>
    <t>Relatie</t>
  </si>
  <si>
    <t>Telefoon</t>
  </si>
  <si>
    <t>Familierelaties</t>
  </si>
  <si>
    <t>Nationale ID Land</t>
  </si>
  <si>
    <t>Nationale ID Soort</t>
  </si>
  <si>
    <t>Nationale ID Nummer</t>
  </si>
  <si>
    <t>Deuxième prénom</t>
  </si>
  <si>
    <t>Pays de naissance</t>
  </si>
  <si>
    <t>Zweiter Vorname</t>
  </si>
  <si>
    <t>Geburtsname</t>
  </si>
  <si>
    <t>Geburtsland</t>
  </si>
  <si>
    <t>Geburtsort</t>
  </si>
  <si>
    <t>Familienstand</t>
  </si>
  <si>
    <t>Zweite Staatsangehörigkeit</t>
  </si>
  <si>
    <t>Landkreis</t>
  </si>
  <si>
    <t>Informationen zur Arbeitserlaubnis</t>
  </si>
  <si>
    <t>Dokumententyp</t>
  </si>
  <si>
    <t>Dokumentennummer</t>
  </si>
  <si>
    <t>Austellungsdatum (TT/MM/JJJJ)</t>
  </si>
  <si>
    <t>Ablaufdatum (TT/MM/JJJJ)</t>
  </si>
  <si>
    <t>Kontaktinformationen</t>
  </si>
  <si>
    <t>Typ</t>
  </si>
  <si>
    <t>Telefonnummer</t>
  </si>
  <si>
    <t>Notfallkontakt</t>
  </si>
  <si>
    <t>Beziehung</t>
  </si>
  <si>
    <t>Zahlungstyp</t>
  </si>
  <si>
    <t>Währung</t>
  </si>
  <si>
    <t>Sprache Gehaltsabrechnung</t>
  </si>
  <si>
    <t>Zusätzliche Informationen</t>
  </si>
  <si>
    <t>Steueridentifikationsnummer</t>
  </si>
  <si>
    <t>Steuerklasse</t>
  </si>
  <si>
    <t>Krankenversicherung</t>
  </si>
  <si>
    <t>Name Krankenversicherung</t>
  </si>
  <si>
    <t>Anschrift Krankenversicherung</t>
  </si>
  <si>
    <t>Betriebliche Altersvorsorge</t>
  </si>
  <si>
    <t>Lebenslauf angehängt?</t>
  </si>
  <si>
    <t>Zeugnisse angehängt?</t>
  </si>
  <si>
    <t>Középső név</t>
  </si>
  <si>
    <t>Születési név</t>
  </si>
  <si>
    <t>Születési hely</t>
  </si>
  <si>
    <t>Születés országa</t>
  </si>
  <si>
    <t>Igazolványszám</t>
  </si>
  <si>
    <t>Családi állapot</t>
  </si>
  <si>
    <t>Második állampolgárság</t>
  </si>
  <si>
    <t>Utca</t>
  </si>
  <si>
    <t>Közterület jellege</t>
  </si>
  <si>
    <t>Pénznem</t>
  </si>
  <si>
    <t>Nome di nascita</t>
  </si>
  <si>
    <t>Secondo nome</t>
  </si>
  <si>
    <t>Luogo di nascita</t>
  </si>
  <si>
    <t>Provincia di nascita</t>
  </si>
  <si>
    <t>Paese di nascita</t>
  </si>
  <si>
    <t>Genere</t>
  </si>
  <si>
    <t>Stato civile</t>
  </si>
  <si>
    <t>Seconda nazionalità</t>
  </si>
  <si>
    <t>Persona con disabilità</t>
  </si>
  <si>
    <t>Presso</t>
  </si>
  <si>
    <t>Numero civico</t>
  </si>
  <si>
    <t>Località</t>
  </si>
  <si>
    <t>Provincia</t>
  </si>
  <si>
    <t>Informazioni permesso di soggiorno</t>
  </si>
  <si>
    <t>Tipo di documento</t>
  </si>
  <si>
    <t>Numero del documento</t>
  </si>
  <si>
    <t>Data di rilascio</t>
  </si>
  <si>
    <t>Data di scadenza</t>
  </si>
  <si>
    <t>Informazioni contatto</t>
  </si>
  <si>
    <t>Tipo</t>
  </si>
  <si>
    <t>Numero di telefono</t>
  </si>
  <si>
    <t>Contatto in caso di emergenza</t>
  </si>
  <si>
    <t>Grado di parentela</t>
  </si>
  <si>
    <t>Telefono</t>
  </si>
  <si>
    <t>Tipo di pagamento</t>
  </si>
  <si>
    <t>Paese della Banca</t>
  </si>
  <si>
    <t>ID filiale</t>
  </si>
  <si>
    <t>BIC code</t>
  </si>
  <si>
    <t>Lingua della busta paga</t>
  </si>
  <si>
    <t>Informazioni aggiuntive</t>
  </si>
  <si>
    <t>Certificato penale</t>
  </si>
  <si>
    <t>Certificato Medico</t>
  </si>
  <si>
    <t>Fondo pensione</t>
  </si>
  <si>
    <t>Attestato di studi</t>
  </si>
  <si>
    <t>Ubezpieczenie zdrowotne</t>
  </si>
  <si>
    <t>Stopień niepełnosprawności</t>
  </si>
  <si>
    <t>Degree of Challenge</t>
  </si>
  <si>
    <t>Dependents (POL)</t>
  </si>
  <si>
    <t>IBAN (numer konta)</t>
  </si>
  <si>
    <t>Czy adres taki sam jak pracownika?</t>
  </si>
  <si>
    <t>Kontaktinformasjon</t>
  </si>
  <si>
    <t>Nome do meio</t>
  </si>
  <si>
    <t>Nome de batismo</t>
  </si>
  <si>
    <t>País de nascimento</t>
  </si>
  <si>
    <t>Segunda nacionalidade</t>
  </si>
  <si>
    <t>Drugie obywatelstwo</t>
  </si>
  <si>
    <t>Distrito</t>
  </si>
  <si>
    <t>Localidade / Região</t>
  </si>
  <si>
    <t>Correio</t>
  </si>
  <si>
    <t>Relação</t>
  </si>
  <si>
    <t>Dependentes</t>
  </si>
  <si>
    <t>Telefone</t>
  </si>
  <si>
    <t>Sobrenome</t>
  </si>
  <si>
    <t>Data de nascimento</t>
  </si>
  <si>
    <t>Drugie imię</t>
  </si>
  <si>
    <t>Imię przy urodzeniu</t>
  </si>
  <si>
    <t>Budynek</t>
  </si>
  <si>
    <t>Klatka</t>
  </si>
  <si>
    <t>Piętro</t>
  </si>
  <si>
    <t>Liczba kontrolna</t>
  </si>
  <si>
    <t>Al doilea prenume</t>
  </si>
  <si>
    <t>Nume la naştere</t>
  </si>
  <si>
    <t>Ţara natală</t>
  </si>
  <si>
    <t>Locul naşterii</t>
  </si>
  <si>
    <t>Stare civilă</t>
  </si>
  <si>
    <t>A doua naţionalitate</t>
  </si>
  <si>
    <t>Îngrijire</t>
  </si>
  <si>
    <t>Uşă</t>
  </si>
  <si>
    <t>Poştă</t>
  </si>
  <si>
    <t>Info permis de lucru</t>
  </si>
  <si>
    <t>Tip de document</t>
  </si>
  <si>
    <t>Număr document</t>
  </si>
  <si>
    <t>Dată emitere</t>
  </si>
  <si>
    <t>Dată expirare</t>
  </si>
  <si>
    <t>Informații de contact</t>
  </si>
  <si>
    <t>Tip</t>
  </si>
  <si>
    <t>Număr de telefon</t>
  </si>
  <si>
    <t>Persoană de contact primară în caz de urgenţă</t>
  </si>
  <si>
    <t>Nume</t>
  </si>
  <si>
    <t>Relaţie</t>
  </si>
  <si>
    <t>Persoane dependente</t>
  </si>
  <si>
    <t>Data naşterii</t>
  </si>
  <si>
    <t>Monedă</t>
  </si>
  <si>
    <t>Cod Numeric Personal</t>
  </si>
  <si>
    <t>Tip plata</t>
  </si>
  <si>
    <t>Segundo nombre</t>
  </si>
  <si>
    <t>Nombre de nacimiento</t>
  </si>
  <si>
    <t>País de nacimiento</t>
  </si>
  <si>
    <t>Lugar de nacimiento</t>
  </si>
  <si>
    <t>Estado civil</t>
  </si>
  <si>
    <t>Provincia / Canton / Región / State</t>
  </si>
  <si>
    <t>Distrito / County / Department</t>
  </si>
  <si>
    <t>Correos</t>
  </si>
  <si>
    <t>Información sobre el permiso de trabajo</t>
  </si>
  <si>
    <t>Número del documento</t>
  </si>
  <si>
    <t>Fecha de emisión</t>
  </si>
  <si>
    <t>Fecha de caducidad</t>
  </si>
  <si>
    <t>Información de contacto</t>
  </si>
  <si>
    <t>Número de teléfono</t>
  </si>
  <si>
    <t>Contacto de emergencia principal</t>
  </si>
  <si>
    <t>Relación</t>
  </si>
  <si>
    <t>Teléfono</t>
  </si>
  <si>
    <t>Dependientes</t>
  </si>
  <si>
    <t>Fecha de nacimiento</t>
  </si>
  <si>
    <t>Moneda</t>
  </si>
  <si>
    <t>İkinci Adı</t>
  </si>
  <si>
    <t>Kızlık Soyadı</t>
  </si>
  <si>
    <t>Doğduğu Ülke</t>
  </si>
  <si>
    <t>Doğum Yeri</t>
  </si>
  <si>
    <t>Medeni Durum</t>
  </si>
  <si>
    <t>Evlilik Tarihi</t>
  </si>
  <si>
    <t>İkinci Uyruk</t>
  </si>
  <si>
    <t>İletişim Bilgileri</t>
  </si>
  <si>
    <t>İletişim Tipi</t>
  </si>
  <si>
    <t>Telefon Numarası</t>
  </si>
  <si>
    <t>Birincil Acil Durum İrtibatı</t>
  </si>
  <si>
    <t>Ad</t>
  </si>
  <si>
    <t>İlişki</t>
  </si>
  <si>
    <t>Bakmakla Yükümlü Oıunan Kişiler</t>
  </si>
  <si>
    <t>İlişki Türü</t>
  </si>
  <si>
    <t>İsim</t>
  </si>
  <si>
    <t>Soy İsim</t>
  </si>
  <si>
    <t>Doğum Tarihi (Gün/Ay/Yıl)</t>
  </si>
  <si>
    <t>Ödeme Türü</t>
  </si>
  <si>
    <t>Para Birimi</t>
  </si>
  <si>
    <t>Ek Bilgiler</t>
  </si>
  <si>
    <t>CV Ekli mi?</t>
  </si>
  <si>
    <t>Eğitim/Sertifikalar Ekli mi?</t>
  </si>
  <si>
    <t>Konut Numarası</t>
  </si>
  <si>
    <t>Daire</t>
  </si>
  <si>
    <t>Şehir</t>
  </si>
  <si>
    <t>Semt / County / Department</t>
  </si>
  <si>
    <t>İl / Bölge / Canton / State</t>
  </si>
  <si>
    <t>Uniform Civil Number (PIN)</t>
  </si>
  <si>
    <t>Schwerbehinderung</t>
  </si>
  <si>
    <t>NonEC_Contract_Type_DEU</t>
  </si>
  <si>
    <t>Permanent (unbefristet) Tariff</t>
  </si>
  <si>
    <t xml:space="preserve">Permanent (unbefristet) Non-tariff </t>
  </si>
  <si>
    <t>Temporary (befristet) Tariff</t>
  </si>
  <si>
    <t xml:space="preserve">Temporary (befristet) Non-tariff </t>
  </si>
  <si>
    <t>Apprentice (Auszubildende)</t>
  </si>
  <si>
    <t>Internship (Praktikum, Abschlußarbeit)</t>
  </si>
  <si>
    <t>Helper/Support Staff (Aushilfen)</t>
  </si>
  <si>
    <t>Graduate (Trainee)</t>
  </si>
  <si>
    <t>Tariff Group</t>
  </si>
  <si>
    <t>Travel Activities</t>
  </si>
  <si>
    <t xml:space="preserve">Home Office Entitlement </t>
  </si>
  <si>
    <t xml:space="preserve">1. Tätigkeitsstätte </t>
  </si>
  <si>
    <t>Working hours weekly (only mandatory for part-time)</t>
  </si>
  <si>
    <t>Working days weekly (only mandatory for part-time)</t>
  </si>
  <si>
    <t>Notice period</t>
  </si>
  <si>
    <t>DEU fields</t>
  </si>
  <si>
    <t>Grad der Schwerbehinderung</t>
  </si>
  <si>
    <t>Fizetési típus</t>
  </si>
  <si>
    <t>Betalingstype</t>
  </si>
  <si>
    <t>Tipo de pago</t>
  </si>
  <si>
    <t>Betalingsinformasjon</t>
  </si>
  <si>
    <t>Personnes à charge</t>
  </si>
  <si>
    <t>Niveau d'éducation</t>
  </si>
  <si>
    <t>c/o</t>
  </si>
  <si>
    <t>Familienstand Datum</t>
  </si>
  <si>
    <t>Angehörige</t>
  </si>
  <si>
    <t>Geburtsdatum</t>
  </si>
  <si>
    <t>Planstelle</t>
  </si>
  <si>
    <t>Bildungsniveau</t>
  </si>
  <si>
    <t>Numéro de la carte d’identité</t>
  </si>
  <si>
    <t>Statut marital</t>
  </si>
  <si>
    <t>Statut marital date</t>
  </si>
  <si>
    <t>Copie des diplomes</t>
  </si>
  <si>
    <t>[21000153]</t>
  </si>
  <si>
    <t>Local +</t>
  </si>
  <si>
    <t>FO_Pay Group_</t>
  </si>
  <si>
    <t>Monthly-15 (15)</t>
  </si>
  <si>
    <t>Job Internal Grade_BEL</t>
  </si>
  <si>
    <t>180005</t>
  </si>
  <si>
    <t>180010</t>
  </si>
  <si>
    <t>180015</t>
  </si>
  <si>
    <t>180020</t>
  </si>
  <si>
    <t>180055</t>
  </si>
  <si>
    <t>18ANTOB</t>
  </si>
  <si>
    <t>18ANTOD*</t>
  </si>
  <si>
    <t>18ANTOD1</t>
  </si>
  <si>
    <t>18ANTOD2</t>
  </si>
  <si>
    <t>18ANTOE</t>
  </si>
  <si>
    <t>18ANTOF</t>
  </si>
  <si>
    <t>18GEORB</t>
  </si>
  <si>
    <t>18GEORC</t>
  </si>
  <si>
    <t>18GEORD*</t>
  </si>
  <si>
    <t>18GEORD1</t>
  </si>
  <si>
    <t>18GEORD2</t>
  </si>
  <si>
    <t>18GEORE</t>
  </si>
  <si>
    <t>18GEORF</t>
  </si>
  <si>
    <t>18IZORB</t>
  </si>
  <si>
    <t>18IZORB2</t>
  </si>
  <si>
    <t>18IZORB3</t>
  </si>
  <si>
    <t>18IZORC</t>
  </si>
  <si>
    <t>18IZORC2</t>
  </si>
  <si>
    <t>18IZORD1</t>
  </si>
  <si>
    <t>18IZORD2</t>
  </si>
  <si>
    <t>18IZORD3</t>
  </si>
  <si>
    <t>18IZORD4</t>
  </si>
  <si>
    <t>18IZORE</t>
  </si>
  <si>
    <t>Job Internal Grade_NLD</t>
  </si>
  <si>
    <t>10-11</t>
  </si>
  <si>
    <t>10-12</t>
  </si>
  <si>
    <t>10-13</t>
  </si>
  <si>
    <t>10-2</t>
  </si>
  <si>
    <t>10-3</t>
  </si>
  <si>
    <t>10-4</t>
  </si>
  <si>
    <t>10-5</t>
  </si>
  <si>
    <t>10-6</t>
  </si>
  <si>
    <t>10-7</t>
  </si>
  <si>
    <t>10-8</t>
  </si>
  <si>
    <t>10-9</t>
  </si>
  <si>
    <t>151S14C</t>
  </si>
  <si>
    <t>151S14D</t>
  </si>
  <si>
    <t>15IS11A</t>
  </si>
  <si>
    <t>15IS11B</t>
  </si>
  <si>
    <t>15IS11C</t>
  </si>
  <si>
    <t>15IS11D</t>
  </si>
  <si>
    <t>15IS11E</t>
  </si>
  <si>
    <t>15IS12A</t>
  </si>
  <si>
    <t>15IS12B</t>
  </si>
  <si>
    <t>15IS12C</t>
  </si>
  <si>
    <t>15IS13A</t>
  </si>
  <si>
    <t>15IS13B</t>
  </si>
  <si>
    <t>15IS14A</t>
  </si>
  <si>
    <t>15IS14B</t>
  </si>
  <si>
    <t>15IS15A</t>
  </si>
  <si>
    <t>15IS15B</t>
  </si>
  <si>
    <t>15IS15C</t>
  </si>
  <si>
    <t>15IS15D</t>
  </si>
  <si>
    <t>15IS16A</t>
  </si>
  <si>
    <t>15IS16B</t>
  </si>
  <si>
    <t>15IS16C</t>
  </si>
  <si>
    <t>15IS16D</t>
  </si>
  <si>
    <t>15IT20A</t>
  </si>
  <si>
    <t>15IT20B</t>
  </si>
  <si>
    <t>15IT20C</t>
  </si>
  <si>
    <t>15IT20D</t>
  </si>
  <si>
    <t>15IT20E</t>
  </si>
  <si>
    <t>15IT20F</t>
  </si>
  <si>
    <t>15IT21A</t>
  </si>
  <si>
    <t>15IT21B</t>
  </si>
  <si>
    <t>15IT21C</t>
  </si>
  <si>
    <t>15IT21D</t>
  </si>
  <si>
    <t>15IT21E</t>
  </si>
  <si>
    <t>15IT22A</t>
  </si>
  <si>
    <t>15IT22B</t>
  </si>
  <si>
    <t>15IT22C</t>
  </si>
  <si>
    <t>15IT22D</t>
  </si>
  <si>
    <t>15IT22E</t>
  </si>
  <si>
    <t>15IT23A</t>
  </si>
  <si>
    <t>15IT23B</t>
  </si>
  <si>
    <t>15IT23C</t>
  </si>
  <si>
    <t>15IT23D</t>
  </si>
  <si>
    <t>15IT23E</t>
  </si>
  <si>
    <t>15IT24A</t>
  </si>
  <si>
    <t>15IT24B</t>
  </si>
  <si>
    <t>15IT24C</t>
  </si>
  <si>
    <t>15IT24D</t>
  </si>
  <si>
    <t>15IT25A</t>
  </si>
  <si>
    <t>15IT25B</t>
  </si>
  <si>
    <t>15IT25C</t>
  </si>
  <si>
    <t>15IT25D</t>
  </si>
  <si>
    <t>15IT26A</t>
  </si>
  <si>
    <t>15IT26B</t>
  </si>
  <si>
    <t>15IT26C</t>
  </si>
  <si>
    <t>15IT26D</t>
  </si>
  <si>
    <t>15IT26E</t>
  </si>
  <si>
    <t>15ITZ1A</t>
  </si>
  <si>
    <t>15ITZ1B</t>
  </si>
  <si>
    <t>15ITZ2A</t>
  </si>
  <si>
    <t>15ITZ2B</t>
  </si>
  <si>
    <t>15ITZ3A</t>
  </si>
  <si>
    <t>15ITZ3B</t>
  </si>
  <si>
    <t>15ITZ3C</t>
  </si>
  <si>
    <t>15ITZ4A</t>
  </si>
  <si>
    <t>15ITZ4B</t>
  </si>
  <si>
    <t>15ITZ4C</t>
  </si>
  <si>
    <t>1b-0</t>
  </si>
  <si>
    <t>1b-1</t>
  </si>
  <si>
    <t>2-0</t>
  </si>
  <si>
    <t>2-1</t>
  </si>
  <si>
    <t>2-18</t>
  </si>
  <si>
    <t>2-19</t>
  </si>
  <si>
    <t>2-2</t>
  </si>
  <si>
    <t>2-20</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</si>
  <si>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</si>
  <si>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</si>
  <si>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</si>
  <si>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</si>
  <si>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</si>
  <si>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</si>
  <si>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</si>
  <si>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</si>
  <si>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</si>
  <si>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</si>
  <si>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</si>
  <si>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</si>
  <si>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</si>
  <si>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</si>
  <si>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</si>
  <si>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</si>
  <si>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</si>
  <si>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</si>
  <si>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</si>
  <si>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</si>
  <si>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</si>
  <si>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</si>
  <si>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</si>
  <si>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</si>
  <si>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</si>
  <si>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5-7</t>
  </si>
  <si>
    <t>6-0</t>
  </si>
  <si>
    <t>6-1</t>
  </si>
  <si>
    <t>6-2</t>
  </si>
  <si>
    <t>6-3</t>
  </si>
  <si>
    <t>6-4</t>
  </si>
  <si>
    <t>6-5</t>
  </si>
  <si>
    <t>6-6</t>
  </si>
  <si>
    <t>6-7</t>
  </si>
  <si>
    <t>6-8</t>
  </si>
  <si>
    <t>7-0</t>
  </si>
  <si>
    <t>7-1</t>
  </si>
  <si>
    <t>7-2</t>
  </si>
  <si>
    <t>7-3</t>
  </si>
  <si>
    <t>7-4</t>
  </si>
  <si>
    <t>7-5</t>
  </si>
  <si>
    <t>7-6</t>
  </si>
  <si>
    <t>7-7</t>
  </si>
  <si>
    <t>7-8</t>
  </si>
  <si>
    <t>7-9</t>
  </si>
  <si>
    <t>8-0</t>
  </si>
  <si>
    <t>8-1</t>
  </si>
  <si>
    <t>8-10</t>
  </si>
  <si>
    <t>8-2</t>
  </si>
  <si>
    <t>8-3</t>
  </si>
  <si>
    <t>8-4</t>
  </si>
  <si>
    <t>8-5</t>
  </si>
  <si>
    <t>8-6</t>
  </si>
  <si>
    <t>8-7</t>
  </si>
  <si>
    <t>8-8</t>
  </si>
  <si>
    <t>8-9</t>
  </si>
  <si>
    <t>9-0</t>
  </si>
  <si>
    <t>9-1</t>
  </si>
  <si>
    <t>9-10</t>
  </si>
  <si>
    <t>9-11</t>
  </si>
  <si>
    <t>9-2</t>
  </si>
  <si>
    <t>9-3</t>
  </si>
  <si>
    <t>9-4</t>
  </si>
  <si>
    <t>9-5</t>
  </si>
  <si>
    <t>9-6</t>
  </si>
  <si>
    <t>9-7</t>
  </si>
  <si>
    <t>9-8</t>
  </si>
  <si>
    <t>9-9</t>
  </si>
  <si>
    <t>A-0</t>
  </si>
  <si>
    <t>A-1</t>
  </si>
  <si>
    <t>A-16</t>
  </si>
  <si>
    <t>A-17</t>
  </si>
  <si>
    <t>A-18</t>
  </si>
  <si>
    <t>A-19</t>
  </si>
  <si>
    <t>A-2</t>
  </si>
  <si>
    <t>A-20</t>
  </si>
  <si>
    <t>A-21</t>
  </si>
  <si>
    <t>A-22</t>
  </si>
  <si>
    <t>A-3</t>
  </si>
  <si>
    <t>A-4</t>
  </si>
  <si>
    <t>A-5</t>
  </si>
  <si>
    <t>A-6</t>
  </si>
  <si>
    <t>A-7</t>
  </si>
  <si>
    <t>B-0</t>
  </si>
  <si>
    <t>B-1</t>
  </si>
  <si>
    <t>B-16</t>
  </si>
  <si>
    <t>B-17</t>
  </si>
  <si>
    <t>B-18</t>
  </si>
  <si>
    <t>B-19</t>
  </si>
  <si>
    <t>B-2</t>
  </si>
  <si>
    <t>B-20</t>
  </si>
  <si>
    <t>B-21</t>
  </si>
  <si>
    <t>B-22</t>
  </si>
  <si>
    <t>B-3</t>
  </si>
  <si>
    <t>B-4</t>
  </si>
  <si>
    <t>B-5</t>
  </si>
  <si>
    <t>B-6</t>
  </si>
  <si>
    <t>B-7</t>
  </si>
  <si>
    <t>C-0</t>
  </si>
  <si>
    <t>C-1</t>
  </si>
  <si>
    <t>C-16</t>
  </si>
  <si>
    <t>C-17</t>
  </si>
  <si>
    <t>C-18</t>
  </si>
  <si>
    <t>C-19</t>
  </si>
  <si>
    <t>C-2</t>
  </si>
  <si>
    <t>C-20</t>
  </si>
  <si>
    <t>C-21</t>
  </si>
  <si>
    <t>C-22</t>
  </si>
  <si>
    <t>C-3</t>
  </si>
  <si>
    <t>C-4</t>
  </si>
  <si>
    <t>C-5</t>
  </si>
  <si>
    <t>C-6</t>
  </si>
  <si>
    <t>C-7</t>
  </si>
  <si>
    <t>D-0</t>
  </si>
  <si>
    <t>D-1</t>
  </si>
  <si>
    <t>D-16</t>
  </si>
  <si>
    <t>D-17</t>
  </si>
  <si>
    <t>D-18</t>
  </si>
  <si>
    <t>D-19</t>
  </si>
  <si>
    <t>D-2</t>
  </si>
  <si>
    <t>D-20</t>
  </si>
  <si>
    <t>D-21</t>
  </si>
  <si>
    <t>D-22</t>
  </si>
  <si>
    <t>D-3</t>
  </si>
  <si>
    <t>D-4</t>
  </si>
  <si>
    <t>D-5</t>
  </si>
  <si>
    <t>D-6</t>
  </si>
  <si>
    <t>D-7</t>
  </si>
  <si>
    <t>D-8</t>
  </si>
  <si>
    <t>E-0</t>
  </si>
  <si>
    <t>E-1</t>
  </si>
  <si>
    <t>E-16</t>
  </si>
  <si>
    <t>E-17</t>
  </si>
  <si>
    <t>E-18</t>
  </si>
  <si>
    <t>E-19</t>
  </si>
  <si>
    <t>E-2</t>
  </si>
  <si>
    <t>E-20</t>
  </si>
  <si>
    <t>E-21</t>
  </si>
  <si>
    <t>E-22</t>
  </si>
  <si>
    <t>E-23</t>
  </si>
  <si>
    <t>E-3</t>
  </si>
  <si>
    <t>E-4</t>
  </si>
  <si>
    <t>E-5</t>
  </si>
  <si>
    <t>E-6</t>
  </si>
  <si>
    <t>E-7</t>
  </si>
  <si>
    <t>E-8</t>
  </si>
  <si>
    <t>E-9</t>
  </si>
  <si>
    <t>F-0</t>
  </si>
  <si>
    <t>F-1</t>
  </si>
  <si>
    <t>F-10</t>
  </si>
  <si>
    <t>F-16</t>
  </si>
  <si>
    <t>F-17</t>
  </si>
  <si>
    <t>F-18</t>
  </si>
  <si>
    <t>F-19</t>
  </si>
  <si>
    <t>F-2</t>
  </si>
  <si>
    <t>F-20</t>
  </si>
  <si>
    <t>F-21</t>
  </si>
  <si>
    <t>F-22</t>
  </si>
  <si>
    <t>F-23</t>
  </si>
  <si>
    <t>F-3</t>
  </si>
  <si>
    <t>F-4</t>
  </si>
  <si>
    <t>F-5</t>
  </si>
  <si>
    <t>F-6</t>
  </si>
  <si>
    <t>F-7</t>
  </si>
  <si>
    <t>F-8</t>
  </si>
  <si>
    <t>F-9</t>
  </si>
  <si>
    <t>G-0</t>
  </si>
  <si>
    <t>G-1</t>
  </si>
  <si>
    <t>G-10</t>
  </si>
  <si>
    <t>G-11</t>
  </si>
  <si>
    <t>G-2</t>
  </si>
  <si>
    <t>G-20</t>
  </si>
  <si>
    <t>G-21</t>
  </si>
  <si>
    <t>G-22</t>
  </si>
  <si>
    <t>G-23</t>
  </si>
  <si>
    <t>G-24</t>
  </si>
  <si>
    <t>G-3</t>
  </si>
  <si>
    <t>G-4</t>
  </si>
  <si>
    <t>G-5</t>
  </si>
  <si>
    <t>G-6</t>
  </si>
  <si>
    <t>G-7</t>
  </si>
  <si>
    <t>G-8</t>
  </si>
  <si>
    <t>G-9</t>
  </si>
  <si>
    <t>H-0</t>
  </si>
  <si>
    <t>H-1</t>
  </si>
  <si>
    <t>H-10</t>
  </si>
  <si>
    <t>H-11</t>
  </si>
  <si>
    <t>H-2</t>
  </si>
  <si>
    <t>H-3</t>
  </si>
  <si>
    <t>H-4</t>
  </si>
  <si>
    <t>H-5</t>
  </si>
  <si>
    <t>H-6</t>
  </si>
  <si>
    <t>H-7</t>
  </si>
  <si>
    <t>H-8</t>
  </si>
  <si>
    <t>H-9</t>
  </si>
  <si>
    <t>I-0</t>
  </si>
  <si>
    <t>I-1</t>
  </si>
  <si>
    <t>I-10</t>
  </si>
  <si>
    <t>I-11</t>
  </si>
  <si>
    <t>I-17</t>
  </si>
  <si>
    <t>I-18</t>
  </si>
  <si>
    <t>I-19</t>
  </si>
  <si>
    <t>I-2</t>
  </si>
  <si>
    <t>I-20</t>
  </si>
  <si>
    <t>I-21</t>
  </si>
  <si>
    <t>I-22</t>
  </si>
  <si>
    <t>I-23</t>
  </si>
  <si>
    <t>I-3</t>
  </si>
  <si>
    <t>I-4</t>
  </si>
  <si>
    <t>I-5</t>
  </si>
  <si>
    <t>I-6</t>
  </si>
  <si>
    <t>I-7</t>
  </si>
  <si>
    <t>I-8</t>
  </si>
  <si>
    <t>I-9</t>
  </si>
  <si>
    <t>II-0</t>
  </si>
  <si>
    <t>II-1</t>
  </si>
  <si>
    <t>II-17</t>
  </si>
  <si>
    <t>II-18</t>
  </si>
  <si>
    <t>II-19</t>
  </si>
  <si>
    <t>II-2</t>
  </si>
  <si>
    <t>II-20</t>
  </si>
  <si>
    <t>II-21</t>
  </si>
  <si>
    <t>II-22</t>
  </si>
  <si>
    <t>II-23</t>
  </si>
  <si>
    <t>II-3</t>
  </si>
  <si>
    <t>II-4</t>
  </si>
  <si>
    <t>II-5</t>
  </si>
  <si>
    <t>II-6</t>
  </si>
  <si>
    <t>III-0</t>
  </si>
  <si>
    <t>III-1</t>
  </si>
  <si>
    <t>III-17</t>
  </si>
  <si>
    <t>III-18</t>
  </si>
  <si>
    <t>III-19</t>
  </si>
  <si>
    <t>III-2</t>
  </si>
  <si>
    <t>III-20</t>
  </si>
  <si>
    <t>III-21</t>
  </si>
  <si>
    <t>III-22</t>
  </si>
  <si>
    <t>III-23</t>
  </si>
  <si>
    <t>III-3</t>
  </si>
  <si>
    <t>III-4</t>
  </si>
  <si>
    <t>III-5</t>
  </si>
  <si>
    <t>III-6</t>
  </si>
  <si>
    <t>III-7</t>
  </si>
  <si>
    <t>IV-0</t>
  </si>
  <si>
    <t>IV-1</t>
  </si>
  <si>
    <t>IV-18</t>
  </si>
  <si>
    <t>IV-19</t>
  </si>
  <si>
    <t>IV-2</t>
  </si>
  <si>
    <t>IV-20</t>
  </si>
  <si>
    <t>IV-21</t>
  </si>
  <si>
    <t>IV-22</t>
  </si>
  <si>
    <t>IV-23</t>
  </si>
  <si>
    <t>IV-3</t>
  </si>
  <si>
    <t>IV-4</t>
  </si>
  <si>
    <t>IV-5</t>
  </si>
  <si>
    <t>IV-6</t>
  </si>
  <si>
    <t>IV-7</t>
  </si>
  <si>
    <t>IV-8</t>
  </si>
  <si>
    <t>V-0</t>
  </si>
  <si>
    <t>V-1</t>
  </si>
  <si>
    <t>V-19</t>
  </si>
  <si>
    <t>V-2</t>
  </si>
  <si>
    <t>V-20</t>
  </si>
  <si>
    <t>V-21</t>
  </si>
  <si>
    <t>V-22</t>
  </si>
  <si>
    <t>V-23</t>
  </si>
  <si>
    <t>V-3</t>
  </si>
  <si>
    <t>V-4</t>
  </si>
  <si>
    <t>V-5</t>
  </si>
  <si>
    <t>V-6</t>
  </si>
  <si>
    <t>V-7</t>
  </si>
  <si>
    <t>V-8</t>
  </si>
  <si>
    <t>VI-0</t>
  </si>
  <si>
    <t>VI-1</t>
  </si>
  <si>
    <t>VI-2</t>
  </si>
  <si>
    <t>VI-20</t>
  </si>
  <si>
    <t>VI-21</t>
  </si>
  <si>
    <t>VI-22</t>
  </si>
  <si>
    <t>VI-23</t>
  </si>
  <si>
    <t>VI-3</t>
  </si>
  <si>
    <t>VI-4</t>
  </si>
  <si>
    <t>VI-5</t>
  </si>
  <si>
    <t>VI-6</t>
  </si>
  <si>
    <t>VI-7</t>
  </si>
  <si>
    <t>VI-8</t>
  </si>
  <si>
    <t>Host Country Residence</t>
  </si>
  <si>
    <t>Adopted child</t>
  </si>
  <si>
    <t>Dziecko adoptowane</t>
  </si>
  <si>
    <t>Frère</t>
  </si>
  <si>
    <t>Brat</t>
  </si>
  <si>
    <t>Hermano</t>
  </si>
  <si>
    <t>Dziecko partnera zamieszkałego w kraju</t>
  </si>
  <si>
    <t>Époux/se divorcé(e)</t>
  </si>
  <si>
    <t>Partenaire</t>
  </si>
  <si>
    <t>Partner zamieszkały w kraju</t>
  </si>
  <si>
    <t>Father-in-law</t>
  </si>
  <si>
    <t>Teść</t>
  </si>
  <si>
    <t>Grandfather</t>
  </si>
  <si>
    <t>Dziadek</t>
  </si>
  <si>
    <t>Grandmother</t>
  </si>
  <si>
    <t>Babcia</t>
  </si>
  <si>
    <t>Mother-in-law</t>
  </si>
  <si>
    <t>Teściowa</t>
  </si>
  <si>
    <t>Other Family members</t>
  </si>
  <si>
    <t>Inni członkowie rodziny</t>
  </si>
  <si>
    <t>Partenaire enregistré</t>
  </si>
  <si>
    <t>Eingetragener Lebenspartner</t>
  </si>
  <si>
    <t>Partner zarejestrowany</t>
  </si>
  <si>
    <t>Personnes liées</t>
  </si>
  <si>
    <t>Osoby spokrewnione</t>
  </si>
  <si>
    <t>Sœur</t>
  </si>
  <si>
    <t>Siostra</t>
  </si>
  <si>
    <t>Hermana</t>
  </si>
  <si>
    <t>Enfant de votre partenaire</t>
  </si>
  <si>
    <t>Hijo Adoptivo</t>
  </si>
  <si>
    <t>ER/IR Manager (Germany)</t>
  </si>
  <si>
    <t>Personal Information_Street Type</t>
  </si>
  <si>
    <t>Area</t>
  </si>
  <si>
    <t>Avenue</t>
  </si>
  <si>
    <t>Block</t>
  </si>
  <si>
    <t>Boulevard</t>
  </si>
  <si>
    <t>Building/s</t>
  </si>
  <si>
    <t>Chalet</t>
  </si>
  <si>
    <t>Community</t>
  </si>
  <si>
    <t>Expansion</t>
  </si>
  <si>
    <t>Group/s</t>
  </si>
  <si>
    <t>Hamlet</t>
  </si>
  <si>
    <t>Housing Development</t>
  </si>
  <si>
    <t>Industrial Zone</t>
  </si>
  <si>
    <t>Market</t>
  </si>
  <si>
    <t>Mazo</t>
  </si>
  <si>
    <t>Neighborhood</t>
  </si>
  <si>
    <t>Park</t>
  </si>
  <si>
    <t>Passage</t>
  </si>
  <si>
    <t>Place</t>
  </si>
  <si>
    <t>Road</t>
  </si>
  <si>
    <t>Roundabout</t>
  </si>
  <si>
    <t>Side Street</t>
  </si>
  <si>
    <t>Slope</t>
  </si>
  <si>
    <t>Square</t>
  </si>
  <si>
    <t>Tree-Lined Avenue</t>
  </si>
  <si>
    <t>Village</t>
  </si>
  <si>
    <t>Walk</t>
  </si>
  <si>
    <t>Información sobre el documento de identidad y Seguridad Social</t>
  </si>
  <si>
    <t>Segunda Nacionalidad</t>
  </si>
  <si>
    <t>Escalera/piso/apartamento</t>
  </si>
  <si>
    <t>Parentesco</t>
  </si>
  <si>
    <t>BIC / SWIFT</t>
  </si>
  <si>
    <t>Informacion adicional</t>
  </si>
  <si>
    <t>Adjunta Curriculum Vitae?</t>
  </si>
  <si>
    <t>Adjunta titulaciones académicas/certificados/otros?</t>
  </si>
  <si>
    <t>Numero afiliacion a la Seguridad Social</t>
  </si>
  <si>
    <t>Position Title and/or ID</t>
  </si>
  <si>
    <t>Building Society Roll Number</t>
  </si>
  <si>
    <t xml:space="preserve"> - please use the language of the country you are being hired in</t>
  </si>
  <si>
    <t>National ID card number</t>
  </si>
  <si>
    <t>Phone Number</t>
  </si>
  <si>
    <t>Contract voor bepaalde tijd</t>
  </si>
  <si>
    <t>Contrat à durée déterminée</t>
  </si>
  <si>
    <t>Befristeter Arbeitsvertrag</t>
  </si>
  <si>
    <t>Határozott idejű szerződés</t>
  </si>
  <si>
    <t>Contratto a tempo determinato</t>
  </si>
  <si>
    <t>Tidsbegrenset kontrakt</t>
  </si>
  <si>
    <t>Umowa na czas określony</t>
  </si>
  <si>
    <t>Contrato a termo fixo</t>
  </si>
  <si>
    <t>Contract pe termen fix</t>
  </si>
  <si>
    <t>Contrato a plazo fijo</t>
  </si>
  <si>
    <t>Belirli Süreli Sözleşme</t>
  </si>
  <si>
    <t>Contract voor onbepaalde tijd</t>
  </si>
  <si>
    <t>Open-End Contract</t>
  </si>
  <si>
    <t>Contrat à durée indéterminée</t>
  </si>
  <si>
    <t>Unbefristeter Vertrag</t>
  </si>
  <si>
    <t>Nyitott végű szerződés</t>
  </si>
  <si>
    <t>Contratto di tipo aperto</t>
  </si>
  <si>
    <t>Ikke tidsbegrenset kontrakt</t>
  </si>
  <si>
    <t>Umowa bez czasu zakończenia</t>
  </si>
  <si>
    <t>contrato permanente</t>
  </si>
  <si>
    <t>Contract cu final deschis</t>
  </si>
  <si>
    <t>Açık Uçlu Sözleşme</t>
  </si>
  <si>
    <t>Contrato indefinido</t>
  </si>
  <si>
    <t>Contracte temporal</t>
  </si>
  <si>
    <t>Proeftijd</t>
  </si>
  <si>
    <t>Période d'essai</t>
  </si>
  <si>
    <t>Probezeit</t>
  </si>
  <si>
    <t>Próbaidő</t>
  </si>
  <si>
    <t>Periodo di prova</t>
  </si>
  <si>
    <t>Prøvetid</t>
  </si>
  <si>
    <t>Okres próbny</t>
  </si>
  <si>
    <t>Período de experiência</t>
  </si>
  <si>
    <t>Probă</t>
  </si>
  <si>
    <t>Període de prova</t>
  </si>
  <si>
    <t>Deneme Süresi</t>
  </si>
  <si>
    <t>Vast contract</t>
  </si>
  <si>
    <t>Contrat permanent</t>
  </si>
  <si>
    <t>Állandó szerződés</t>
  </si>
  <si>
    <t>Contratto a tempo indeterminato</t>
  </si>
  <si>
    <t>Fast ansettelseskontrakt</t>
  </si>
  <si>
    <t>Umowa dot. zatrudnienia na stałe</t>
  </si>
  <si>
    <t>Contrato permanente</t>
  </si>
  <si>
    <t>Contract permanent</t>
  </si>
  <si>
    <t>Contracte permanent</t>
  </si>
  <si>
    <t>Belirsiz Süreli Sözleşme</t>
  </si>
  <si>
    <t>Bror</t>
  </si>
  <si>
    <t>Frate</t>
  </si>
  <si>
    <t>Ektefelle</t>
  </si>
  <si>
    <t>Soț/soție</t>
  </si>
  <si>
    <t>Registrert partner</t>
  </si>
  <si>
    <t>Partener înregistrat</t>
  </si>
  <si>
    <t>Fraskilt ektefelle</t>
  </si>
  <si>
    <t>Soț/soție divorțat(ă)</t>
  </si>
  <si>
    <t>Barn</t>
  </si>
  <si>
    <t>Copil</t>
  </si>
  <si>
    <t>Enfant du concubin/de la concubine</t>
  </si>
  <si>
    <t>Kind des Lebensgefährten</t>
  </si>
  <si>
    <t>Barn av samboer</t>
  </si>
  <si>
    <t>Copil al partenerului</t>
  </si>
  <si>
    <t>Samboer</t>
  </si>
  <si>
    <t>Partener</t>
  </si>
  <si>
    <t>Mor</t>
  </si>
  <si>
    <t>Mamă</t>
  </si>
  <si>
    <t>Søster</t>
  </si>
  <si>
    <t>Soră</t>
  </si>
  <si>
    <t>Stebarn</t>
  </si>
  <si>
    <t>Copil vitreg</t>
  </si>
  <si>
    <t>Far</t>
  </si>
  <si>
    <t>Tată</t>
  </si>
  <si>
    <t>Beslektede personer</t>
  </si>
  <si>
    <t>Persoane înrudite</t>
  </si>
  <si>
    <t>Foreldre</t>
  </si>
  <si>
    <t>Părinte</t>
  </si>
  <si>
    <t>Søsken</t>
  </si>
  <si>
    <t>Frate/soră</t>
  </si>
  <si>
    <t>Overige</t>
  </si>
  <si>
    <t>Autre</t>
  </si>
  <si>
    <t>Sonstige</t>
  </si>
  <si>
    <t>Más</t>
  </si>
  <si>
    <t>Altro</t>
  </si>
  <si>
    <t>Annet</t>
  </si>
  <si>
    <t>Outro</t>
  </si>
  <si>
    <t>Altele</t>
  </si>
  <si>
    <t>Diğer</t>
  </si>
  <si>
    <t>Asia Pacific Food &amp; Bio-Industrial</t>
  </si>
  <si>
    <t>CASC Asia Pacific</t>
  </si>
  <si>
    <t>CASC Europe Middle East Africa</t>
  </si>
  <si>
    <t>CASC North America</t>
  </si>
  <si>
    <t>CASC Shared Resources</t>
  </si>
  <si>
    <t>CASC South America</t>
  </si>
  <si>
    <t>Foods Argentina</t>
  </si>
  <si>
    <t>Poultry</t>
  </si>
  <si>
    <t>Protein</t>
  </si>
  <si>
    <t>Starches, Sweeteners &amp; Texturizers</t>
  </si>
  <si>
    <t>Mej.</t>
  </si>
  <si>
    <t>Fr.</t>
  </si>
  <si>
    <t>Panna</t>
  </si>
  <si>
    <t>Menina</t>
  </si>
  <si>
    <t>Dra</t>
  </si>
  <si>
    <t>Senyoreta</t>
  </si>
  <si>
    <t>Sayın</t>
  </si>
  <si>
    <t>Fru</t>
  </si>
  <si>
    <t>Dna</t>
  </si>
  <si>
    <t>Frøken</t>
  </si>
  <si>
    <t>Dna/Dra</t>
  </si>
  <si>
    <t>Srta.</t>
  </si>
  <si>
    <t>M.</t>
  </si>
  <si>
    <t>Dl</t>
  </si>
  <si>
    <t>Fill</t>
  </si>
  <si>
    <t>Doctorat</t>
  </si>
  <si>
    <t>Pare</t>
  </si>
  <si>
    <t>Leerwerker</t>
  </si>
  <si>
    <t>Apprenti</t>
  </si>
  <si>
    <t>Auszubildender</t>
  </si>
  <si>
    <t>Tanuló</t>
  </si>
  <si>
    <t>Apprendista</t>
  </si>
  <si>
    <t>Lærling</t>
  </si>
  <si>
    <t>Uczeń</t>
  </si>
  <si>
    <t>Aprendiz</t>
  </si>
  <si>
    <t>Ucenic</t>
  </si>
  <si>
    <t>Aprenent</t>
  </si>
  <si>
    <t>Çırak</t>
  </si>
  <si>
    <t>Alkalmi</t>
  </si>
  <si>
    <t>Dorywcza</t>
  </si>
  <si>
    <t>Vakantiewerk</t>
  </si>
  <si>
    <t>Stagiaire</t>
  </si>
  <si>
    <t>Praktikant</t>
  </si>
  <si>
    <t>Gyakornok</t>
  </si>
  <si>
    <t>Stagista</t>
  </si>
  <si>
    <t>Praktykant</t>
  </si>
  <si>
    <t>Estagiário</t>
  </si>
  <si>
    <t>Stagiar</t>
  </si>
  <si>
    <t>Stajyer</t>
  </si>
  <si>
    <t>Tijdelijk</t>
  </si>
  <si>
    <t>Temporaire</t>
  </si>
  <si>
    <t>Ideiglenes</t>
  </si>
  <si>
    <t>Temporaneo</t>
  </si>
  <si>
    <t>Midlertidig</t>
  </si>
  <si>
    <t>Tymczasowa</t>
  </si>
  <si>
    <t>Temporário</t>
  </si>
  <si>
    <t>Temporar</t>
  </si>
  <si>
    <t>Temporal</t>
  </si>
  <si>
    <t>Geçici</t>
  </si>
  <si>
    <t>Tirocinante</t>
  </si>
  <si>
    <t>Under opplæring</t>
  </si>
  <si>
    <t>Stażysta</t>
  </si>
  <si>
    <t>Formando</t>
  </si>
  <si>
    <t>Debutant</t>
  </si>
  <si>
    <t>Eğitilen Eleman</t>
  </si>
  <si>
    <t>Unbefristet</t>
  </si>
  <si>
    <t>Stałe zatrudnienie</t>
  </si>
  <si>
    <t>GBR-Admin-008</t>
  </si>
  <si>
    <t>GBR-Black River Asset Management-001</t>
  </si>
  <si>
    <t>GBR-Cargill Cocoa &amp; Chocolate-009</t>
  </si>
  <si>
    <t>GBR-Cargill Corn Milling North America-010</t>
  </si>
  <si>
    <t>GBR-Cargill Cotton-011</t>
  </si>
  <si>
    <t>GBR-Cargill Feed &amp; Nutrition-012</t>
  </si>
  <si>
    <t>GBR-Cargill G&amp;O Supply Chain Europe-013</t>
  </si>
  <si>
    <t>GBR-Cargill Meats Europe-014</t>
  </si>
  <si>
    <t>GBR-Cargill Meats Europe-028</t>
  </si>
  <si>
    <t>GBR-Cargill Metals-015</t>
  </si>
  <si>
    <t>GBR-Cargill Ocean Transportation-016</t>
  </si>
  <si>
    <t>GBR-Cargill Petroleum &amp; Chemicals-023</t>
  </si>
  <si>
    <t>GBR-Cargill Premix &amp; Nutrition-012</t>
  </si>
  <si>
    <t>GBR-Cargill Premix &amp; Nutrition-029</t>
  </si>
  <si>
    <t>GBR-Cargill Refined Oils Europe-017</t>
  </si>
  <si>
    <t>GBR-Cargill Risk Management-018</t>
  </si>
  <si>
    <t>GBR-Cargill Starches &amp; Sweeteners Europe-004</t>
  </si>
  <si>
    <t>GBR-Cargill Starches &amp; Sweeteners Europe-019</t>
  </si>
  <si>
    <t>GBR-Cargill Toshoku-021</t>
  </si>
  <si>
    <t>GBR-Cargill Trade &amp; Structured Finance-007</t>
  </si>
  <si>
    <t>GBR-Cargill Trade &amp; Structured Finance-022</t>
  </si>
  <si>
    <t>GBR-Cargill World Trading Unit-024</t>
  </si>
  <si>
    <t>GBR-ETM Shared Services-026</t>
  </si>
  <si>
    <t>GBR-Food Ingredients &amp; Systems platform-027</t>
  </si>
  <si>
    <t>POL-ADMINISTRATION-100</t>
  </si>
  <si>
    <t>POL-AGRO-900</t>
  </si>
  <si>
    <t>POL-CFN-200</t>
  </si>
  <si>
    <t>POL-CTS-300</t>
  </si>
  <si>
    <t>POL-DOSSCHE-700</t>
  </si>
  <si>
    <t>POL-GRAIN and OILSEEDS CRUSH-400</t>
  </si>
  <si>
    <t>POL-LNB-500</t>
  </si>
  <si>
    <t>POL-SSE-600</t>
  </si>
  <si>
    <t>GBR-Cobham-001</t>
  </si>
  <si>
    <t>GBR-Dalton-002</t>
  </si>
  <si>
    <t>GBR-Dublin-012</t>
  </si>
  <si>
    <t>GBR-Hereford-003</t>
  </si>
  <si>
    <t>GBR-Hull-004</t>
  </si>
  <si>
    <t>GBR-Lichfield-005</t>
  </si>
  <si>
    <t>GBR-Liverpool-006</t>
  </si>
  <si>
    <t>GBR-London-007</t>
  </si>
  <si>
    <t>GBR-Manchester-008</t>
  </si>
  <si>
    <t>GBR-Swinderby-009</t>
  </si>
  <si>
    <t>GBR-Weybridge-013</t>
  </si>
  <si>
    <t>GBR-Worksop-010</t>
  </si>
  <si>
    <t>GBR-York-011</t>
  </si>
  <si>
    <t>POL -?WIECIE-018</t>
  </si>
  <si>
    <t>POL -BIELANY WROC?AW-003</t>
  </si>
  <si>
    <t>POL -BRZOZOWO-004</t>
  </si>
  <si>
    <t>POL -CZAPELKI-005</t>
  </si>
  <si>
    <t>POL -DOBRZELIN-006</t>
  </si>
  <si>
    <t>POL -JAROS?AW-007</t>
  </si>
  <si>
    <t>POL -KALISZ-022</t>
  </si>
  <si>
    <t>POL -KISZKOWO-008</t>
  </si>
  <si>
    <t>POL -KOCHANOWICE-009</t>
  </si>
  <si>
    <t>POL -KRZEMIENIEWO-010</t>
  </si>
  <si>
    <t>POL -KRZEPICE-011</t>
  </si>
  <si>
    <t>POL -MAKÓW  MAZOWIECKI-025</t>
  </si>
  <si>
    <t>POL -OSNOWO-012</t>
  </si>
  <si>
    <t>POL -PRUSZCZ  GDA?SKI-013</t>
  </si>
  <si>
    <t>POL -ROPCZYCE-014</t>
  </si>
  <si>
    <t>POL -RYCHLIKI-024</t>
  </si>
  <si>
    <t>POL -SANDOMIERZ-023</t>
  </si>
  <si>
    <t>POL -SIEDLCE-015</t>
  </si>
  <si>
    <t>POL -SIERPC-016</t>
  </si>
  <si>
    <t>POL -SKOKOWA-017</t>
  </si>
  <si>
    <t>POL -TWORÓG-019</t>
  </si>
  <si>
    <t>POL -UJAZD DOLNY-020</t>
  </si>
  <si>
    <t>POL -WARSZAWA-021</t>
  </si>
  <si>
    <t>POL-BIA?YSTOK-001</t>
  </si>
  <si>
    <t>POL-BIEGANÓW-002</t>
  </si>
  <si>
    <t>Matrixmanager</t>
  </si>
  <si>
    <t>Responsable matriciel</t>
  </si>
  <si>
    <t>Matrixvorgesetzter</t>
  </si>
  <si>
    <t>Mátrixvezető</t>
  </si>
  <si>
    <t>Manager matrice</t>
  </si>
  <si>
    <t>Matriseleder</t>
  </si>
  <si>
    <t>Menedżer macierzowy</t>
  </si>
  <si>
    <t>Chefia hierárquica</t>
  </si>
  <si>
    <t>Gestionar matrice</t>
  </si>
  <si>
    <t>Responsable funcional</t>
  </si>
  <si>
    <t>Matrix Manager Test</t>
  </si>
  <si>
    <t>Aberdeen</t>
  </si>
  <si>
    <t>Cidade de Aberdeen</t>
  </si>
  <si>
    <t>Argyll et Bute</t>
  </si>
  <si>
    <t>Barking et Dagenham</t>
  </si>
  <si>
    <t>Bath et Somerset du Nord-Est</t>
  </si>
  <si>
    <t>Blackburn avec Darwen</t>
  </si>
  <si>
    <t>Blekinge</t>
  </si>
  <si>
    <t>Bornemouth</t>
  </si>
  <si>
    <t>Brighton et Hove</t>
  </si>
  <si>
    <t>Bristol</t>
  </si>
  <si>
    <t>Bristol, Miasto</t>
  </si>
  <si>
    <t>Bristol, Cidade</t>
  </si>
  <si>
    <t>Bristol, Orașul</t>
  </si>
  <si>
    <t>Bristol, Ciutat de</t>
  </si>
  <si>
    <t>Carlow</t>
  </si>
  <si>
    <t>Cavan</t>
  </si>
  <si>
    <t>Cheshire de l'Est</t>
  </si>
  <si>
    <t>Cheshire de l'Ouest et Chester</t>
  </si>
  <si>
    <t>Cheshire West i Chester</t>
  </si>
  <si>
    <t>Clare</t>
  </si>
  <si>
    <t>Cork</t>
  </si>
  <si>
    <t>Cornouailles</t>
  </si>
  <si>
    <t>Cornovaglia</t>
  </si>
  <si>
    <t>Dalarna</t>
  </si>
  <si>
    <t>Dalécarlie</t>
  </si>
  <si>
    <t>Devonshire</t>
  </si>
  <si>
    <t>Donegal</t>
  </si>
  <si>
    <t>Avall</t>
  </si>
  <si>
    <t>Dublin</t>
  </si>
  <si>
    <t>Dublino</t>
  </si>
  <si>
    <t>Dumfries et Galloway</t>
  </si>
  <si>
    <t>Dundee</t>
  </si>
  <si>
    <t>Dundee, Miasto</t>
  </si>
  <si>
    <t>Cidade de Dundee</t>
  </si>
  <si>
    <t>Comté de Durham</t>
  </si>
  <si>
    <t>Hrabstwo Durham</t>
  </si>
  <si>
    <t>Durham, Condado</t>
  </si>
  <si>
    <t>Durham, Comtat de</t>
  </si>
  <si>
    <t>Yorkshire de l'Est</t>
  </si>
  <si>
    <t>Sussex de l'Est</t>
  </si>
  <si>
    <t>Doğu Sussex</t>
  </si>
  <si>
    <t>Édimbourg</t>
  </si>
  <si>
    <t>Edynburg, Miasto</t>
  </si>
  <si>
    <t>Edimburgo, Cidade</t>
  </si>
  <si>
    <t>Edinburgh, Orașul</t>
  </si>
  <si>
    <t>Edinburg, Ciutat d'</t>
  </si>
  <si>
    <t>Galway</t>
  </si>
  <si>
    <t>Gävleborg</t>
  </si>
  <si>
    <t>Glasgow</t>
  </si>
  <si>
    <t>Glasgow, Miasto</t>
  </si>
  <si>
    <t>Cidade de Glasgow</t>
  </si>
  <si>
    <t>Ciutat de Glasgow</t>
  </si>
  <si>
    <t>Gotland</t>
  </si>
  <si>
    <t>Halland</t>
  </si>
  <si>
    <t>Hammersmith et Fulham</t>
  </si>
  <si>
    <t>Highlands</t>
  </si>
  <si>
    <t>Île d'Anglesey</t>
  </si>
  <si>
    <t>Anglesey-sziget</t>
  </si>
  <si>
    <t>Isola di Anglesey</t>
  </si>
  <si>
    <t>Ilha de Anglesey</t>
  </si>
  <si>
    <t>Insula Anglesey</t>
  </si>
  <si>
    <t>Illa d'Anglesey</t>
  </si>
  <si>
    <t>Île de Wight</t>
  </si>
  <si>
    <t>Isola di Wight</t>
  </si>
  <si>
    <t>Ilha de Wight</t>
  </si>
  <si>
    <t>Jämtland</t>
  </si>
  <si>
    <t>Jönköping</t>
  </si>
  <si>
    <t>Kalmar</t>
  </si>
  <si>
    <t>Kensington et Chelsea</t>
  </si>
  <si>
    <t>Kerry</t>
  </si>
  <si>
    <t>Kildare</t>
  </si>
  <si>
    <t>Kilkenny</t>
  </si>
  <si>
    <t>Kingston-upon-Hull</t>
  </si>
  <si>
    <t>Kingston-sur-Tamise</t>
  </si>
  <si>
    <t>Kronoberg</t>
  </si>
  <si>
    <t>Laois</t>
  </si>
  <si>
    <t>Lacis</t>
  </si>
  <si>
    <t>Leitrim</t>
  </si>
  <si>
    <t>Limerick</t>
  </si>
  <si>
    <t>Londres</t>
  </si>
  <si>
    <t>Londyn, Miasto</t>
  </si>
  <si>
    <t>Londres, Cidade</t>
  </si>
  <si>
    <t>Londra, Orașul</t>
  </si>
  <si>
    <t>Londres, Ciutat de</t>
  </si>
  <si>
    <t>Longford</t>
  </si>
  <si>
    <t>Louth</t>
  </si>
  <si>
    <t>Mayo</t>
  </si>
  <si>
    <t>Meath</t>
  </si>
  <si>
    <t>Monaghan</t>
  </si>
  <si>
    <t>Comté de Newry and Mourne</t>
  </si>
  <si>
    <t>Newry and Mourne kerület</t>
  </si>
  <si>
    <t>Okręg Newry and Mourne</t>
  </si>
  <si>
    <t>Distrito de Newry e Mourne</t>
  </si>
  <si>
    <t>Norrbotten</t>
  </si>
  <si>
    <t>Lincolnshire du Nord-Est</t>
  </si>
  <si>
    <t>Lincolnshire du Nord</t>
  </si>
  <si>
    <t>Somerset du Nord</t>
  </si>
  <si>
    <t>Tyneside du Nord</t>
  </si>
  <si>
    <t>Yorkshire du Nord</t>
  </si>
  <si>
    <t>Offaly</t>
  </si>
  <si>
    <t>Örebro</t>
  </si>
  <si>
    <t>Orkney-eilanden</t>
  </si>
  <si>
    <t>Îles Orkney</t>
  </si>
  <si>
    <t>Isole Orcadi</t>
  </si>
  <si>
    <t>Wyspy Orkney</t>
  </si>
  <si>
    <t>Illes Òrcades</t>
  </si>
  <si>
    <t>Orkney Adaları</t>
  </si>
  <si>
    <t>Östergötland</t>
  </si>
  <si>
    <t>Redcar et Cleveland</t>
  </si>
  <si>
    <t>Rhondda Cynon Taf</t>
  </si>
  <si>
    <t>Richmond-sur-Tamise</t>
  </si>
  <si>
    <t>Roscommon</t>
  </si>
  <si>
    <t>Scottish Borders</t>
  </si>
  <si>
    <t>Shetlandeilanden</t>
  </si>
  <si>
    <t>Îles Shetland</t>
  </si>
  <si>
    <t>Shetland-szigetek</t>
  </si>
  <si>
    <t>Isole Shetland</t>
  </si>
  <si>
    <t>Wyspy Szetlandzkie</t>
  </si>
  <si>
    <t>Ilhas Shetland</t>
  </si>
  <si>
    <t>Insulele Shetland</t>
  </si>
  <si>
    <t>Illes Shetland</t>
  </si>
  <si>
    <t>Shetland Adaları</t>
  </si>
  <si>
    <t>Skåne</t>
  </si>
  <si>
    <t>Scanie</t>
  </si>
  <si>
    <t>Scania</t>
  </si>
  <si>
    <t>Sligo</t>
  </si>
  <si>
    <t>Södermanland</t>
  </si>
  <si>
    <t>Sommerset</t>
  </si>
  <si>
    <t>Gloucestershire du Sud</t>
  </si>
  <si>
    <t>Tyneside du Sud</t>
  </si>
  <si>
    <t>St. Helens</t>
  </si>
  <si>
    <t>Saint Helens</t>
  </si>
  <si>
    <t>St Helens</t>
  </si>
  <si>
    <t>Sant'Elena</t>
  </si>
  <si>
    <t>Stockholm</t>
  </si>
  <si>
    <t>Stoccolma</t>
  </si>
  <si>
    <t>Sztokholm</t>
  </si>
  <si>
    <t>Estocolmo</t>
  </si>
  <si>
    <t>Estocolm</t>
  </si>
  <si>
    <t>Telford et Wrekin</t>
  </si>
  <si>
    <t>Tipperary</t>
  </si>
  <si>
    <t>Tower-Hamlets</t>
  </si>
  <si>
    <t>Uppsala</t>
  </si>
  <si>
    <t>Vale of Glamorgan</t>
  </si>
  <si>
    <t>Valle di Glamorgan</t>
  </si>
  <si>
    <t>Värmland</t>
  </si>
  <si>
    <t>Västerbotten</t>
  </si>
  <si>
    <t>Västernorrland</t>
  </si>
  <si>
    <t>Västmanland</t>
  </si>
  <si>
    <t>Västra Götaland</t>
  </si>
  <si>
    <t>Västergötland</t>
  </si>
  <si>
    <t>Waterford</t>
  </si>
  <si>
    <t>Sussex de l'Ouest</t>
  </si>
  <si>
    <t>Westmeath</t>
  </si>
  <si>
    <t>Wexford</t>
  </si>
  <si>
    <t>Wicklow</t>
  </si>
  <si>
    <t>Windsor et Maidenhead</t>
  </si>
  <si>
    <t>Bedrijf</t>
  </si>
  <si>
    <t>Bureau</t>
  </si>
  <si>
    <t>Geschäftlich</t>
  </si>
  <si>
    <t>Üzleti</t>
  </si>
  <si>
    <t>Ufficio</t>
  </si>
  <si>
    <t>Forretning</t>
  </si>
  <si>
    <t>Służbowy</t>
  </si>
  <si>
    <t>Empresa</t>
  </si>
  <si>
    <t>Serviciu</t>
  </si>
  <si>
    <t>Negoci</t>
  </si>
  <si>
    <t>İş</t>
  </si>
  <si>
    <t>Personlig</t>
  </si>
  <si>
    <t>Personals</t>
  </si>
  <si>
    <t>Man</t>
  </si>
  <si>
    <t>Homme</t>
  </si>
  <si>
    <t>Männlich</t>
  </si>
  <si>
    <t>Férfi</t>
  </si>
  <si>
    <t>Maschio</t>
  </si>
  <si>
    <t>Mann</t>
  </si>
  <si>
    <t>Masculino</t>
  </si>
  <si>
    <t>Masculin</t>
  </si>
  <si>
    <t>Erkek</t>
  </si>
  <si>
    <t>Vrouw</t>
  </si>
  <si>
    <t>Femme</t>
  </si>
  <si>
    <t>Weiblich</t>
  </si>
  <si>
    <t>Nő</t>
  </si>
  <si>
    <t>Femmina</t>
  </si>
  <si>
    <t>Kvinne</t>
  </si>
  <si>
    <t>Feminino</t>
  </si>
  <si>
    <t>Feminin</t>
  </si>
  <si>
    <t>Dona</t>
  </si>
  <si>
    <t>Kadın</t>
  </si>
  <si>
    <t>Divorcé(e)</t>
  </si>
  <si>
    <t>Skilt</t>
  </si>
  <si>
    <t>Divorțat(ă)</t>
  </si>
  <si>
    <t>Divorciat</t>
  </si>
  <si>
    <t>Séparé(e)</t>
  </si>
  <si>
    <t>Separert</t>
  </si>
  <si>
    <t>Separat(ă)</t>
  </si>
  <si>
    <t>Separat</t>
  </si>
  <si>
    <t>Familieforsørger</t>
  </si>
  <si>
    <t>Capul familiei</t>
  </si>
  <si>
    <t>Cap de família</t>
  </si>
  <si>
    <t>Concubinage avec contrat (Pays-Bas)</t>
  </si>
  <si>
    <t>Samboer med kontrakt (Nederland)</t>
  </si>
  <si>
    <t>Coabitare cu contract (Olanda)</t>
  </si>
  <si>
    <t>Cohabitació amb contracte (Països Baixos)</t>
  </si>
  <si>
    <t>Concubinage sans contrat (Pays-Bas)</t>
  </si>
  <si>
    <t>Samboer uten kontrakt (Nederland)</t>
  </si>
  <si>
    <t>Coabitare fără contract (Olanda)</t>
  </si>
  <si>
    <t>Cohabitació sense contracte (Països Baixos)</t>
  </si>
  <si>
    <t>Partnerskap</t>
  </si>
  <si>
    <t>Parteneriat</t>
  </si>
  <si>
    <t>Societat mercantil</t>
  </si>
  <si>
    <t>Ukjent</t>
  </si>
  <si>
    <t>Necunoscut</t>
  </si>
  <si>
    <t>Desconegut</t>
  </si>
  <si>
    <t>Ugift</t>
  </si>
  <si>
    <t>Necăsătorit(ă)</t>
  </si>
  <si>
    <t>Solter</t>
  </si>
  <si>
    <t>Gift</t>
  </si>
  <si>
    <t>Căsătorit(ă)</t>
  </si>
  <si>
    <t>Casat</t>
  </si>
  <si>
    <t>Veuf ou veuve</t>
  </si>
  <si>
    <t>Enke/enkemann</t>
  </si>
  <si>
    <t>Văduv(ă)</t>
  </si>
  <si>
    <t>Vidu</t>
  </si>
  <si>
    <t>Pacsé(e) (France)</t>
  </si>
  <si>
    <t>PACS (Frankrike)</t>
  </si>
  <si>
    <t>PACS (Franța)</t>
  </si>
  <si>
    <t>En concubinage</t>
  </si>
  <si>
    <t>Coabitare</t>
  </si>
  <si>
    <t>Cohabitació</t>
  </si>
  <si>
    <t>Tysk</t>
  </si>
  <si>
    <t>Germană</t>
  </si>
  <si>
    <t>Alemany</t>
  </si>
  <si>
    <t>Engelsk</t>
  </si>
  <si>
    <t>Engleză</t>
  </si>
  <si>
    <t>Anglès</t>
  </si>
  <si>
    <t>Fransk</t>
  </si>
  <si>
    <t>Franceză</t>
  </si>
  <si>
    <t>Francès</t>
  </si>
  <si>
    <t>Nederlandsk</t>
  </si>
  <si>
    <t>Olandeză</t>
  </si>
  <si>
    <t>Holandès</t>
  </si>
  <si>
    <t>Bureau1</t>
  </si>
  <si>
    <t>Forretning1</t>
  </si>
  <si>
    <t>Serviciu1</t>
  </si>
  <si>
    <t>Negoci1</t>
  </si>
  <si>
    <t>Portable</t>
  </si>
  <si>
    <t>Celular</t>
  </si>
  <si>
    <t>Cel·la</t>
  </si>
  <si>
    <t>Portable1</t>
  </si>
  <si>
    <t>Celular1</t>
  </si>
  <si>
    <t>Cel·la1</t>
  </si>
  <si>
    <t>Domicile</t>
  </si>
  <si>
    <t>Privat</t>
  </si>
  <si>
    <t>Otthoni</t>
  </si>
  <si>
    <t>Casa</t>
  </si>
  <si>
    <t>Hjemme</t>
  </si>
  <si>
    <t>Residência</t>
  </si>
  <si>
    <t>Pàgina d'inici</t>
  </si>
  <si>
    <t>Ev</t>
  </si>
  <si>
    <t>Sonstiges</t>
  </si>
  <si>
    <t>Inny</t>
  </si>
  <si>
    <t>Altres</t>
  </si>
  <si>
    <t>Access</t>
  </si>
  <si>
    <t>akna</t>
  </si>
  <si>
    <t>akna-alsó</t>
  </si>
  <si>
    <t>akna-felső</t>
  </si>
  <si>
    <t>alagút</t>
  </si>
  <si>
    <t>állat és növ.kert</t>
  </si>
  <si>
    <t>Alley</t>
  </si>
  <si>
    <t>Alleyway</t>
  </si>
  <si>
    <t>állomás</t>
  </si>
  <si>
    <t>alsórakpart</t>
  </si>
  <si>
    <t>aluljáró</t>
  </si>
  <si>
    <t>Apartments</t>
  </si>
  <si>
    <t>arborétum</t>
  </si>
  <si>
    <t>árnyék</t>
  </si>
  <si>
    <t>árok</t>
  </si>
  <si>
    <t>Ascent</t>
  </si>
  <si>
    <t>átjáró</t>
  </si>
  <si>
    <t>autópálya</t>
  </si>
  <si>
    <t>autóút</t>
  </si>
  <si>
    <t>Back</t>
  </si>
  <si>
    <t>Bank</t>
  </si>
  <si>
    <t>bánya</t>
  </si>
  <si>
    <t>bányatelep</t>
  </si>
  <si>
    <t>barakképület</t>
  </si>
  <si>
    <t>barlang</t>
  </si>
  <si>
    <t>Baserri</t>
  </si>
  <si>
    <t>bástya</t>
  </si>
  <si>
    <t>bástyája</t>
  </si>
  <si>
    <t>Beach</t>
  </si>
  <si>
    <t>bejáró</t>
  </si>
  <si>
    <t>bekötőút</t>
  </si>
  <si>
    <t>Belt</t>
  </si>
  <si>
    <t>Blind Alley</t>
  </si>
  <si>
    <t>Branch</t>
  </si>
  <si>
    <t>Breakwater</t>
  </si>
  <si>
    <t>Bridge</t>
  </si>
  <si>
    <t>Bypass</t>
  </si>
  <si>
    <t>Calexon</t>
  </si>
  <si>
    <t>Caleya</t>
  </si>
  <si>
    <t>Camino Hondo</t>
  </si>
  <si>
    <t>Camino Nuevo</t>
  </si>
  <si>
    <t>Camino Viejo</t>
  </si>
  <si>
    <t>Campground</t>
  </si>
  <si>
    <t>Canal</t>
  </si>
  <si>
    <t>Canella</t>
  </si>
  <si>
    <t>Cantiño</t>
  </si>
  <si>
    <t>Canton</t>
  </si>
  <si>
    <t>Canyon</t>
  </si>
  <si>
    <t>Cart Track</t>
  </si>
  <si>
    <t>Cattle Track</t>
  </si>
  <si>
    <t>Cave/s</t>
  </si>
  <si>
    <t>Cellar</t>
  </si>
  <si>
    <t>Center</t>
  </si>
  <si>
    <t>Channel</t>
  </si>
  <si>
    <t>Coast</t>
  </si>
  <si>
    <t>Coastal</t>
  </si>
  <si>
    <t>Complex</t>
  </si>
  <si>
    <t>Convent</t>
  </si>
  <si>
    <t>Cooperative</t>
  </si>
  <si>
    <t>Corner</t>
  </si>
  <si>
    <t>Corral</t>
  </si>
  <si>
    <t>Corralillo</t>
  </si>
  <si>
    <t>Country Estate/s</t>
  </si>
  <si>
    <t>Country House</t>
  </si>
  <si>
    <t>Cross</t>
  </si>
  <si>
    <t>Cross Street</t>
  </si>
  <si>
    <t>csárda</t>
  </si>
  <si>
    <t>csónakházak</t>
  </si>
  <si>
    <t>Descent</t>
  </si>
  <si>
    <t>District</t>
  </si>
  <si>
    <t>domb</t>
  </si>
  <si>
    <t>Door</t>
  </si>
  <si>
    <t>dűlő</t>
  </si>
  <si>
    <t>dűlők</t>
  </si>
  <si>
    <t>dűlősor</t>
  </si>
  <si>
    <t>dűlőterület</t>
  </si>
  <si>
    <t>dűlőút</t>
  </si>
  <si>
    <t>egyéb</t>
  </si>
  <si>
    <t>egyetemváros</t>
  </si>
  <si>
    <t>Eirado</t>
  </si>
  <si>
    <t>elágazás</t>
  </si>
  <si>
    <t>emlékút</t>
  </si>
  <si>
    <t>Entrance</t>
  </si>
  <si>
    <t>erdészház</t>
  </si>
  <si>
    <t>erdészlak</t>
  </si>
  <si>
    <t>erdő</t>
  </si>
  <si>
    <t>erdősor</t>
  </si>
  <si>
    <t>Esplanade</t>
  </si>
  <si>
    <t>Estate</t>
  </si>
  <si>
    <t>Factory</t>
  </si>
  <si>
    <t>Farm</t>
  </si>
  <si>
    <t>fasor</t>
  </si>
  <si>
    <t>fasora</t>
  </si>
  <si>
    <t>felső</t>
  </si>
  <si>
    <t>föld</t>
  </si>
  <si>
    <t>főmérnökség</t>
  </si>
  <si>
    <t>forduló</t>
  </si>
  <si>
    <t>főtér</t>
  </si>
  <si>
    <t>főút</t>
  </si>
  <si>
    <t>Freeway</t>
  </si>
  <si>
    <t>Gallery</t>
  </si>
  <si>
    <t>Garden</t>
  </si>
  <si>
    <t>gát</t>
  </si>
  <si>
    <t>Gate</t>
  </si>
  <si>
    <t>gátőrház</t>
  </si>
  <si>
    <t>gátsor</t>
  </si>
  <si>
    <t>Grove</t>
  </si>
  <si>
    <t>gyár</t>
  </si>
  <si>
    <t>gyártelep</t>
  </si>
  <si>
    <t>gyárváros</t>
  </si>
  <si>
    <t>gyümölcsös</t>
  </si>
  <si>
    <t>hajóállomás</t>
  </si>
  <si>
    <t>határsor</t>
  </si>
  <si>
    <t>határút</t>
  </si>
  <si>
    <t>ház</t>
  </si>
  <si>
    <t>Hegi</t>
  </si>
  <si>
    <t>hegy</t>
  </si>
  <si>
    <t>hegyhát</t>
  </si>
  <si>
    <t>hegyhát dűlő</t>
  </si>
  <si>
    <t>hegyhát köz</t>
  </si>
  <si>
    <t>Heights</t>
  </si>
  <si>
    <t>hídfő</t>
  </si>
  <si>
    <t>Highway</t>
  </si>
  <si>
    <t>Hill</t>
  </si>
  <si>
    <t>Hillside</t>
  </si>
  <si>
    <t>Hippodrome</t>
  </si>
  <si>
    <t>Hospital</t>
  </si>
  <si>
    <t>House</t>
  </si>
  <si>
    <t>Housing</t>
  </si>
  <si>
    <t>hrsz.</t>
  </si>
  <si>
    <t>Inda</t>
  </si>
  <si>
    <t>Irrigation Ditch</t>
  </si>
  <si>
    <t>iskola</t>
  </si>
  <si>
    <t>Island</t>
  </si>
  <si>
    <t>játszótér</t>
  </si>
  <si>
    <t>Junction</t>
  </si>
  <si>
    <t>kapu</t>
  </si>
  <si>
    <t>kastély</t>
  </si>
  <si>
    <t>kert</t>
  </si>
  <si>
    <t>kertsor</t>
  </si>
  <si>
    <t>kerület</t>
  </si>
  <si>
    <t>kilátó</t>
  </si>
  <si>
    <t>kioszk</t>
  </si>
  <si>
    <t>kocsiszín</t>
  </si>
  <si>
    <t>kolónia</t>
  </si>
  <si>
    <t>kör</t>
  </si>
  <si>
    <t>körönd</t>
  </si>
  <si>
    <t>körtér</t>
  </si>
  <si>
    <t>körút</t>
  </si>
  <si>
    <t>körvasútsor</t>
  </si>
  <si>
    <t>körzet</t>
  </si>
  <si>
    <t>korzó</t>
  </si>
  <si>
    <t>köz</t>
  </si>
  <si>
    <t>kültelek</t>
  </si>
  <si>
    <t>külterület</t>
  </si>
  <si>
    <t>kultúrpark</t>
  </si>
  <si>
    <t>kunyhó</t>
  </si>
  <si>
    <t>kút</t>
  </si>
  <si>
    <t>Lake</t>
  </si>
  <si>
    <t>lakóház</t>
  </si>
  <si>
    <t>lakónegyed</t>
  </si>
  <si>
    <t>lakópark</t>
  </si>
  <si>
    <t>lakótelep</t>
  </si>
  <si>
    <t>Lane</t>
  </si>
  <si>
    <t>lejáró</t>
  </si>
  <si>
    <t>lejtő</t>
  </si>
  <si>
    <t>lépcső</t>
  </si>
  <si>
    <t>liget</t>
  </si>
  <si>
    <t>Main road</t>
  </si>
  <si>
    <t>major</t>
  </si>
  <si>
    <t>malom</t>
  </si>
  <si>
    <t>Meadow</t>
  </si>
  <si>
    <t>mélyút</t>
  </si>
  <si>
    <t>menedékház</t>
  </si>
  <si>
    <t>Monastery</t>
  </si>
  <si>
    <t>Mountainside</t>
  </si>
  <si>
    <t>munkásszálló</t>
  </si>
  <si>
    <t>műút</t>
  </si>
  <si>
    <t>oldal</t>
  </si>
  <si>
    <t>őrház</t>
  </si>
  <si>
    <t>őrházak</t>
  </si>
  <si>
    <t>őrházlak</t>
  </si>
  <si>
    <t>orom</t>
  </si>
  <si>
    <t>Outskirts</t>
  </si>
  <si>
    <t>Palace</t>
  </si>
  <si>
    <t>pálya</t>
  </si>
  <si>
    <t>pályaudvar</t>
  </si>
  <si>
    <t>park</t>
  </si>
  <si>
    <t>parkja</t>
  </si>
  <si>
    <t>parkoló</t>
  </si>
  <si>
    <t>part</t>
  </si>
  <si>
    <t>Path</t>
  </si>
  <si>
    <t>Patio</t>
  </si>
  <si>
    <t>pavilon</t>
  </si>
  <si>
    <t>piac</t>
  </si>
  <si>
    <t>Pier</t>
  </si>
  <si>
    <t>pihenő</t>
  </si>
  <si>
    <t>pince</t>
  </si>
  <si>
    <t>pincesor</t>
  </si>
  <si>
    <t>Pine Forest</t>
  </si>
  <si>
    <t>Plain</t>
  </si>
  <si>
    <t>Platform</t>
  </si>
  <si>
    <t>Poor Quarter</t>
  </si>
  <si>
    <t>Port</t>
  </si>
  <si>
    <t>Praciña</t>
  </si>
  <si>
    <t>Premises</t>
  </si>
  <si>
    <t>Private</t>
  </si>
  <si>
    <t>puszta</t>
  </si>
  <si>
    <t>Quarry</t>
  </si>
  <si>
    <t>rakpart</t>
  </si>
  <si>
    <t>Ramp</t>
  </si>
  <si>
    <t>Ravine</t>
  </si>
  <si>
    <t>Rear</t>
  </si>
  <si>
    <t>Rento</t>
  </si>
  <si>
    <t>repülőtér</t>
  </si>
  <si>
    <t>Reservoir</t>
  </si>
  <si>
    <t>Residential</t>
  </si>
  <si>
    <t>rész</t>
  </si>
  <si>
    <t>rét</t>
  </si>
  <si>
    <t>River Basin</t>
  </si>
  <si>
    <t>Row</t>
  </si>
  <si>
    <t>Rueiro</t>
  </si>
  <si>
    <t>sánc</t>
  </si>
  <si>
    <t>Sanctuary</t>
  </si>
  <si>
    <t>sarok</t>
  </si>
  <si>
    <t>sávház</t>
  </si>
  <si>
    <t>Sector</t>
  </si>
  <si>
    <t>sétány</t>
  </si>
  <si>
    <t>Shed</t>
  </si>
  <si>
    <t>Short Alley</t>
  </si>
  <si>
    <t>Short Cut</t>
  </si>
  <si>
    <t>Short-cut</t>
  </si>
  <si>
    <t>Sidewalk</t>
  </si>
  <si>
    <t>Small Square</t>
  </si>
  <si>
    <t>sor</t>
  </si>
  <si>
    <t>sora</t>
  </si>
  <si>
    <t>Spa</t>
  </si>
  <si>
    <t>sportpálya</t>
  </si>
  <si>
    <t>sporttelep</t>
  </si>
  <si>
    <t>stadion</t>
  </si>
  <si>
    <t>Stairway/s</t>
  </si>
  <si>
    <t>Station</t>
  </si>
  <si>
    <t>strandfürdő</t>
  </si>
  <si>
    <t>Stream</t>
  </si>
  <si>
    <t>Suburb</t>
  </si>
  <si>
    <t>sugárút</t>
  </si>
  <si>
    <t>szállás</t>
  </si>
  <si>
    <t>szállások</t>
  </si>
  <si>
    <t>szél</t>
  </si>
  <si>
    <t>szer</t>
  </si>
  <si>
    <t>sziget</t>
  </si>
  <si>
    <t>szivattyútelep</t>
  </si>
  <si>
    <t>szőlő</t>
  </si>
  <si>
    <t>szőlőhegy</t>
  </si>
  <si>
    <t>szőlők</t>
  </si>
  <si>
    <t>tag</t>
  </si>
  <si>
    <t>tanya</t>
  </si>
  <si>
    <t>tanyák</t>
  </si>
  <si>
    <t>telep</t>
  </si>
  <si>
    <t>téli kikötő</t>
  </si>
  <si>
    <t>temető</t>
  </si>
  <si>
    <t>tér</t>
  </si>
  <si>
    <t>tere</t>
  </si>
  <si>
    <t>tető</t>
  </si>
  <si>
    <t>tömb</t>
  </si>
  <si>
    <t>Township</t>
  </si>
  <si>
    <t>Track</t>
  </si>
  <si>
    <t>Trail</t>
  </si>
  <si>
    <t>turistaház</t>
  </si>
  <si>
    <t>u</t>
  </si>
  <si>
    <t>u.</t>
  </si>
  <si>
    <t>üdülő</t>
  </si>
  <si>
    <t>üdülő-part</t>
  </si>
  <si>
    <t>üdülősétány</t>
  </si>
  <si>
    <t>üdülő-sétány</t>
  </si>
  <si>
    <t>üdülő-sor</t>
  </si>
  <si>
    <t>udvar</t>
  </si>
  <si>
    <t>út</t>
  </si>
  <si>
    <t>utak</t>
  </si>
  <si>
    <t>utca</t>
  </si>
  <si>
    <t>utcája</t>
  </si>
  <si>
    <t>útgyűrű</t>
  </si>
  <si>
    <t>útja</t>
  </si>
  <si>
    <t>útőrház</t>
  </si>
  <si>
    <t>vadaskert</t>
  </si>
  <si>
    <t>vadászház</t>
  </si>
  <si>
    <t>vágóhíd</t>
  </si>
  <si>
    <t>Valley</t>
  </si>
  <si>
    <t>vár</t>
  </si>
  <si>
    <t>várkerület</t>
  </si>
  <si>
    <t>várköz</t>
  </si>
  <si>
    <t>város</t>
  </si>
  <si>
    <t>vasútállomás</t>
  </si>
  <si>
    <t>vasúti megálló</t>
  </si>
  <si>
    <t>vasúti őrház</t>
  </si>
  <si>
    <t>vasútsor</t>
  </si>
  <si>
    <t>vezetőút</t>
  </si>
  <si>
    <t>Viaduct</t>
  </si>
  <si>
    <t>Viewpoint</t>
  </si>
  <si>
    <t>Villa</t>
  </si>
  <si>
    <t>villasor</t>
  </si>
  <si>
    <t>vitorláskikötő</t>
  </si>
  <si>
    <t>vízmű</t>
  </si>
  <si>
    <t>völgy</t>
  </si>
  <si>
    <t>Walkway</t>
  </si>
  <si>
    <t>Woodland</t>
  </si>
  <si>
    <t>Zearkaleta</t>
  </si>
  <si>
    <t>Zone</t>
  </si>
  <si>
    <t>zsilip</t>
  </si>
  <si>
    <t>zug</t>
  </si>
  <si>
    <t>Permanent verblijf</t>
  </si>
  <si>
    <t>Résidence permanente</t>
  </si>
  <si>
    <t>Ständiger Wohnsitz</t>
  </si>
  <si>
    <t>Stały</t>
  </si>
  <si>
    <t>Domicilio</t>
  </si>
  <si>
    <t>Umowa na zastępstwo</t>
  </si>
  <si>
    <t>Remplacement</t>
  </si>
  <si>
    <t>Undeclared</t>
  </si>
  <si>
    <t>Others</t>
  </si>
  <si>
    <t>unbekannte</t>
  </si>
  <si>
    <t xml:space="preserve">
Necunoscut</t>
  </si>
  <si>
    <t>Desconocido</t>
  </si>
  <si>
    <t>Bilinmeyen</t>
  </si>
  <si>
    <t>zwartwerk</t>
  </si>
  <si>
    <t xml:space="preserve">non déclaré
</t>
  </si>
  <si>
    <t>nicht deklariert</t>
  </si>
  <si>
    <t>be nem jelentett</t>
  </si>
  <si>
    <t>non dichiarato</t>
  </si>
  <si>
    <t>svart</t>
  </si>
  <si>
    <t>niezadeklarowany</t>
  </si>
  <si>
    <t>não declarado</t>
  </si>
  <si>
    <t>nedeclarată</t>
  </si>
  <si>
    <t>no declarado</t>
  </si>
  <si>
    <t>bildirilmemiş</t>
  </si>
  <si>
    <t>anderen</t>
  </si>
  <si>
    <t>autres</t>
  </si>
  <si>
    <t>Andere</t>
  </si>
  <si>
    <t>mások</t>
  </si>
  <si>
    <t>altri</t>
  </si>
  <si>
    <t>andre</t>
  </si>
  <si>
    <t>inni</t>
  </si>
  <si>
    <t>outras</t>
  </si>
  <si>
    <t>alții</t>
  </si>
  <si>
    <t>otros</t>
  </si>
  <si>
    <t>diğerleri</t>
  </si>
  <si>
    <t>Savings</t>
  </si>
  <si>
    <t>Spaargeld</t>
  </si>
  <si>
    <t>Des économies</t>
  </si>
  <si>
    <t xml:space="preserve">
Ersparnisse</t>
  </si>
  <si>
    <t xml:space="preserve">
Megtakarítás</t>
  </si>
  <si>
    <t>Risparmi</t>
  </si>
  <si>
    <t>Oszczędności</t>
  </si>
  <si>
    <t>Poupança</t>
  </si>
  <si>
    <t>Economie</t>
  </si>
  <si>
    <t>Ahorros</t>
  </si>
  <si>
    <t>Tasarruf</t>
  </si>
  <si>
    <t>Checking</t>
  </si>
  <si>
    <t>controleren</t>
  </si>
  <si>
    <t>Vérification</t>
  </si>
  <si>
    <t>Überprüfung</t>
  </si>
  <si>
    <t>Ellenőrzés</t>
  </si>
  <si>
    <t>verifica</t>
  </si>
  <si>
    <t>Kontrollere</t>
  </si>
  <si>
    <t>Kontrola</t>
  </si>
  <si>
    <t>Verificar</t>
  </si>
  <si>
    <t>Control</t>
  </si>
  <si>
    <t>Comprobación</t>
  </si>
  <si>
    <t>Kontrol etme</t>
  </si>
  <si>
    <t>ISO</t>
  </si>
  <si>
    <t>South Korea</t>
  </si>
  <si>
    <t>Religion</t>
  </si>
  <si>
    <t>Preferred Language</t>
  </si>
  <si>
    <t>Email</t>
  </si>
  <si>
    <t>Alt Phone</t>
  </si>
  <si>
    <t>Probation Status</t>
  </si>
  <si>
    <t>Benefits Eligibility Start Date</t>
  </si>
  <si>
    <t>Aadhar Number</t>
  </si>
  <si>
    <t>Cargill India Private Limited</t>
  </si>
  <si>
    <t>IND</t>
  </si>
  <si>
    <t>LE001467</t>
  </si>
  <si>
    <t>Race</t>
  </si>
  <si>
    <t>City of Mandatory Housing</t>
  </si>
  <si>
    <t>City of Social Benefits Effective Date</t>
  </si>
  <si>
    <t>City of Mandatory Housing Effective Date</t>
  </si>
  <si>
    <t>City of Social Benefits</t>
  </si>
  <si>
    <t>City of Mandatory Housing Effective Date (DD/MM/YYYY)</t>
  </si>
  <si>
    <t>Benefits Eligibility Start Date (DD/MM/YYYY)</t>
  </si>
  <si>
    <t>City of Social Benefits Effective Date (DD/MM/YYYY)</t>
  </si>
  <si>
    <t>Working Hour Policy</t>
  </si>
  <si>
    <t>Worker Class</t>
  </si>
  <si>
    <t>Eligible for Stock Options</t>
  </si>
  <si>
    <t>Document Title</t>
  </si>
  <si>
    <t>Issuing Authority</t>
  </si>
  <si>
    <t>Issue Place</t>
  </si>
  <si>
    <t>Validated</t>
  </si>
  <si>
    <t>Date Applied for Renewal</t>
  </si>
  <si>
    <t>Date Applied for Renewal (DD/MM/YYYY)</t>
  </si>
  <si>
    <t>Administradora de Servicios Cargill, S. de R.L. de C.V.</t>
  </si>
  <si>
    <t>Agribrands Purina (Langfang) Feed Co., Ltd.</t>
  </si>
  <si>
    <t>Agribrands Purina (Yantai) Feedmill Co., Ltd.</t>
  </si>
  <si>
    <t>Agribrands Purina de Guatemala, S.A.</t>
  </si>
  <si>
    <t>Agribrands Purina Peru S.A.</t>
  </si>
  <si>
    <t>Agribrands Purina Venezuela S.R.L.</t>
  </si>
  <si>
    <t>Agribrands Servicios S. de R.L. de C.V.</t>
  </si>
  <si>
    <t>Alimentos Concentrados Nacionales Exportaciones, S. de R.L. de C.V.</t>
  </si>
  <si>
    <t>AquaCargill Del Ecuador Cia. Ltda</t>
  </si>
  <si>
    <t>AWB India Private Limited</t>
  </si>
  <si>
    <t>Banco Cargill S.A.</t>
  </si>
  <si>
    <t>Brazil_Test_Legal_Entity</t>
  </si>
  <si>
    <t>Carda Port (Nantong) Ltd.</t>
  </si>
  <si>
    <t>Cargill ( Dongguan) Feed Protein Technology Co., Ltd.</t>
  </si>
  <si>
    <t>Cargill (Malaysia) Sdn. Bhd.</t>
  </si>
  <si>
    <t>Cargill Agri Purina, Inc.</t>
  </si>
  <si>
    <t>Cargill Agricola S.A.</t>
  </si>
  <si>
    <t>Cargill Alimentos Ltda.</t>
  </si>
  <si>
    <t>Cargill Americas Peru, S.R.L.</t>
  </si>
  <si>
    <t>Cargill Animal Nutrition (Changsha) Co., Ltd.</t>
  </si>
  <si>
    <t>Cargill Animal Nutrition (Chengdu) Co., Ltd.</t>
  </si>
  <si>
    <t>Cargill Animal Nutrition (Chongqing) Co., Ltd.</t>
  </si>
  <si>
    <t>Cargill Animal Nutrition (Foshan) Co., Ltd.</t>
  </si>
  <si>
    <t>Cargill Animal Nutrition (Fushun) Co., Ltd.</t>
  </si>
  <si>
    <t>Cargill Animal Nutrition (Harbin) Co., Ltd.</t>
  </si>
  <si>
    <t>Cargill Animal Nutrition (Hefei) Co., Ltd.</t>
  </si>
  <si>
    <t>Cargill Animal Nutrition (Inner Mongolia) Co., Ltd.</t>
  </si>
  <si>
    <t>Cargill Animal Nutrition (Jiaxing) Co., Ltd.</t>
  </si>
  <si>
    <t>Cargill Animal Nutrition (Jilin) Co., Ltd.</t>
  </si>
  <si>
    <t>Cargill Animal Nutrition (Jining) Co., Ltd.</t>
  </si>
  <si>
    <t>Cargill Animal Nutrition (Kaifeng) Co., Ltd.</t>
  </si>
  <si>
    <t>Cargill Animal Nutrition (Kunming) Co. Ltd.</t>
  </si>
  <si>
    <t>Cargill Animal Nutrition (Lianyungang) Co., Ltd.</t>
  </si>
  <si>
    <t>Cargill Animal Nutrition (Nanjing) Co., Ltd.</t>
  </si>
  <si>
    <t>Cargill Animal Nutrition (Shaanxi) Co., Ltd.</t>
  </si>
  <si>
    <t>Cargill Animal Nutrition (Taian) Co., Ltd.</t>
  </si>
  <si>
    <t>Cargill Animal Nutrition (Xinjiang) Co., Ltd.</t>
  </si>
  <si>
    <t>Cargill Animal Nutrition (Zhangzhou) Co., Ltd.</t>
  </si>
  <si>
    <t>Cargill Animal Nutrition (Zhengzhou) Co., Ltd.</t>
  </si>
  <si>
    <t>Cargill Animal Protein (Anhui) Co., Ltd.</t>
  </si>
  <si>
    <t>Cargill Animal Protein (Mingguang) Co., Ltd.</t>
  </si>
  <si>
    <t>Cargill Animal Protein Further Processing (Chuzhou) Co.,Ltd.</t>
  </si>
  <si>
    <t>Cargill Asia Pacific Food System (Beijing) Co., Ltd.</t>
  </si>
  <si>
    <t>Cargill Asia Pacific Holdings Pte. Ltd.</t>
  </si>
  <si>
    <t>Cargill Asia Pacific Treasury Ltd.</t>
  </si>
  <si>
    <t>Cargill Australia Limited</t>
  </si>
  <si>
    <t>Cargill Bio-Chemical Co.,Ltd</t>
  </si>
  <si>
    <t>Cargill Business Services India Private Limited</t>
  </si>
  <si>
    <t>Cargill Business Services SRL</t>
  </si>
  <si>
    <t>Cargill Caribe, S.R.L</t>
  </si>
  <si>
    <t>Cargill de Colombia LTDA</t>
  </si>
  <si>
    <t>Cargill de Ecuador Cia. Ltda</t>
  </si>
  <si>
    <t>Cargill de Honduras S. de R.L</t>
  </si>
  <si>
    <t>Cargill de Nicaragua, Sociedad Anonima</t>
  </si>
  <si>
    <t>Cargill de Venezuela, S.R.L.</t>
  </si>
  <si>
    <t>Cargill Enterprises Pte. Ltd.</t>
  </si>
  <si>
    <t>Cargill Factoring (Tianjin) Co., Ltd.</t>
  </si>
  <si>
    <t>Cargill Feed (Tianjin)Co.,Ltd.</t>
  </si>
  <si>
    <t>Cargill Feed (Yangjiang) Co. Ltd.</t>
  </si>
  <si>
    <t>Cargill Feed (Zhenjiang) Co., Ltd.</t>
  </si>
  <si>
    <t>Cargill Feed Nutrition (Nanning) Co., Ltd.</t>
  </si>
  <si>
    <t>Cargill Feed Sdn. Bhd.</t>
  </si>
  <si>
    <t>Cargill Financial Leasing (Shanghai) Co., Ltd.</t>
  </si>
  <si>
    <t>Cargill Food (Luohe) Co., Ltd.</t>
  </si>
  <si>
    <t>Cargill Food (Tianjin) Co., Ltd.</t>
  </si>
  <si>
    <t>Cargill Food Ingredients Sdn. Bhd.</t>
  </si>
  <si>
    <t>Cargill Food Technologies (Pinghu) Co., Ltd.</t>
  </si>
  <si>
    <t>Cargill Foods (Dongguan) Co., Ltd.</t>
  </si>
  <si>
    <t>Cargill Global Trading India Private Limited</t>
  </si>
  <si>
    <t>Cargill Grain &amp; Oilseeds (Dongguan) Ltd.</t>
  </si>
  <si>
    <t>Cargill Grain &amp; Oilseeds (Nantong) Ltd.</t>
  </si>
  <si>
    <t>Cargill Grain &amp; Oilseeds (Yangjiang) Ltd.</t>
  </si>
  <si>
    <t>Cargill Holdings (Malaysia) Sdn. Bhd.</t>
  </si>
  <si>
    <t>Cargill Hong Kong Limited</t>
  </si>
  <si>
    <t>Cargill Industrial &amp; Commercial (Tianjin) Co., Ltd.</t>
  </si>
  <si>
    <t>Cargill Industrial &amp; Commercial (Wuhan) Co., Ltd.</t>
  </si>
  <si>
    <t>Cargill International Trading Pte Ltd.</t>
  </si>
  <si>
    <t>Cargill Investments (China) Ltd.</t>
  </si>
  <si>
    <t>Cargill Investments S.R.L.</t>
  </si>
  <si>
    <t>Cargill IT Services Sdn. Bhd.</t>
  </si>
  <si>
    <t>Cargill Japan Limited</t>
  </si>
  <si>
    <t>Cargill Joy Poultry Meats Production, Incorporated.</t>
  </si>
  <si>
    <t>Cargill Korea Limited</t>
  </si>
  <si>
    <t>Cargill Meats (Thailand) Limited</t>
  </si>
  <si>
    <t>Cargill Ocean Transportation (Singapore) Pte Ltd</t>
  </si>
  <si>
    <t>Cargill Oil Mills Philippines, Inc.</t>
  </si>
  <si>
    <t>Cargill Pakistan Agri Foods Pvt. Limited</t>
  </si>
  <si>
    <t>Cargill Pakistan Holdings (Private) Limited</t>
  </si>
  <si>
    <t>Cargill Palm Products Sdn. Bhd.</t>
  </si>
  <si>
    <t>Cargill Philippines, Inc.</t>
  </si>
  <si>
    <t>Cargill Processing Limited</t>
  </si>
  <si>
    <t>Cargill Servicios, S. de R.L. de C.V.</t>
  </si>
  <si>
    <t>Cargill Siam Limited</t>
  </si>
  <si>
    <t>Cargill Sociedad Anonima Comercial e Industrial</t>
  </si>
  <si>
    <t>Cargill Taiwan Corporation</t>
  </si>
  <si>
    <t>Cargill Texturizing Solutions Philippines, Inc.</t>
  </si>
  <si>
    <t>Cargill Trading (Shanghai) Ltd.</t>
  </si>
  <si>
    <t>Cargill Transportes Ltda</t>
  </si>
  <si>
    <t>Cargill Tropical Palm Holdings Pte. Ltd.</t>
  </si>
  <si>
    <t>Cargill TSF Asia Pte. Ltd.</t>
  </si>
  <si>
    <t>Cargill Vietnam Company Limited</t>
  </si>
  <si>
    <t>Cargillprev Soc De Previdencia Complementar</t>
  </si>
  <si>
    <t>Coop Credito Mutuo Dos Func Da Cargill Ltda</t>
  </si>
  <si>
    <t>Corporación Pipasa Sociedad de Responsabilidad Limitada</t>
  </si>
  <si>
    <t>Desa Cargill Sdn. Bhd.</t>
  </si>
  <si>
    <t>Empacadora Perry y Compania Limitada</t>
  </si>
  <si>
    <t>EWOS Vietnam JSC</t>
  </si>
  <si>
    <t>Fundacao Cargill</t>
  </si>
  <si>
    <t>Hebei Jiahao Grain and Oilseeds Co., Ltd.</t>
  </si>
  <si>
    <t>Hebei Jihai Port Co., Ltd.</t>
  </si>
  <si>
    <t>Hindoli Trade Pte. Ltd.</t>
  </si>
  <si>
    <t>Jia Yue Feng Trading (Suzhou) Co., Ltd.</t>
  </si>
  <si>
    <t>LE Argentina UAT</t>
  </si>
  <si>
    <t>M.A. Cargill Trading Ltd.</t>
  </si>
  <si>
    <t>Nantong NETDA West Steam Ltd.</t>
  </si>
  <si>
    <t>P.T. Cargill Indonesia</t>
  </si>
  <si>
    <t>P.T. Harapan Sawit Lestari</t>
  </si>
  <si>
    <t>Philippine Bio-Industries, Inc.</t>
  </si>
  <si>
    <t>PROAOASS Servicios, S. de R. L. de C. V.</t>
  </si>
  <si>
    <t>Productora de Sal, C.A. (Produsal)</t>
  </si>
  <si>
    <t>Provimi Animal Nutrition India Private Limited</t>
  </si>
  <si>
    <t>Provimi Argentina S.A.</t>
  </si>
  <si>
    <t>Provimi Guangxi Animal Nutrition Co., Ltd.</t>
  </si>
  <si>
    <t>Provimi S.A.</t>
  </si>
  <si>
    <t>Provimi Singapore Pte. Ltd.</t>
  </si>
  <si>
    <t>Provimi Vietnam Ltd.</t>
  </si>
  <si>
    <t>PT Cahaya Gunung Foods</t>
  </si>
  <si>
    <t>PT Sorini Agro Asia Corporindo Tbk</t>
  </si>
  <si>
    <t>PT. Cargill Foods Indonesia</t>
  </si>
  <si>
    <t>PT. Cargill Trading Indonesia</t>
  </si>
  <si>
    <t>Teg Terminal Exportador do Guaruja Ltda</t>
  </si>
  <si>
    <t>THA_Legal Entity</t>
  </si>
  <si>
    <t>Toshoku Singapore (Pte) Ltd</t>
  </si>
  <si>
    <t>Toshoku Trading (Shanghai) Co., Ltd.</t>
  </si>
  <si>
    <t>Yangjiang Lianggang Port Co., Ltd.</t>
  </si>
  <si>
    <t>MEX</t>
  </si>
  <si>
    <t>CHN</t>
  </si>
  <si>
    <t>GTM</t>
  </si>
  <si>
    <t>PER</t>
  </si>
  <si>
    <t>VEN</t>
  </si>
  <si>
    <t>HND</t>
  </si>
  <si>
    <t>ECU</t>
  </si>
  <si>
    <t>BRA</t>
  </si>
  <si>
    <t>MYS</t>
  </si>
  <si>
    <t>KOR</t>
  </si>
  <si>
    <t>SGP</t>
  </si>
  <si>
    <t>AUS</t>
  </si>
  <si>
    <t>CRI</t>
  </si>
  <si>
    <t>DOM</t>
  </si>
  <si>
    <t>COL</t>
  </si>
  <si>
    <t>NIC</t>
  </si>
  <si>
    <t>HKG</t>
  </si>
  <si>
    <t>ARG</t>
  </si>
  <si>
    <t>JPN</t>
  </si>
  <si>
    <t>PHL</t>
  </si>
  <si>
    <t>THA</t>
  </si>
  <si>
    <t>PAK</t>
  </si>
  <si>
    <t>TWN</t>
  </si>
  <si>
    <t>VNM</t>
  </si>
  <si>
    <t>IDN</t>
  </si>
  <si>
    <t>LE001322</t>
  </si>
  <si>
    <t>LE002590</t>
  </si>
  <si>
    <t>LE001080</t>
  </si>
  <si>
    <t>LE001826</t>
  </si>
  <si>
    <t>LE002667</t>
  </si>
  <si>
    <t>LE001968</t>
  </si>
  <si>
    <t>LE002896</t>
  </si>
  <si>
    <t>LE002385</t>
  </si>
  <si>
    <t>LE003650</t>
  </si>
  <si>
    <t>LE002784</t>
  </si>
  <si>
    <t>LE002901</t>
  </si>
  <si>
    <t>BRA_TEST_LE</t>
  </si>
  <si>
    <t>LE002570</t>
  </si>
  <si>
    <t>LE003254</t>
  </si>
  <si>
    <t>LE002451</t>
  </si>
  <si>
    <t>LE001608</t>
  </si>
  <si>
    <t>LE003136</t>
  </si>
  <si>
    <t>LE001950</t>
  </si>
  <si>
    <t>LE002454</t>
  </si>
  <si>
    <t>LE001352</t>
  </si>
  <si>
    <t>LE002893</t>
  </si>
  <si>
    <t>LE001937</t>
  </si>
  <si>
    <t>LE001922</t>
  </si>
  <si>
    <t>LE001680</t>
  </si>
  <si>
    <t>LE003074</t>
  </si>
  <si>
    <t>LE001185</t>
  </si>
  <si>
    <t>LE002772</t>
  </si>
  <si>
    <t>LE002378</t>
  </si>
  <si>
    <t>LE002478</t>
  </si>
  <si>
    <t>LE003258</t>
  </si>
  <si>
    <t>LE003608</t>
  </si>
  <si>
    <t>LE003018</t>
  </si>
  <si>
    <t>LE001733</t>
  </si>
  <si>
    <t>LE002807</t>
  </si>
  <si>
    <t>LE002641</t>
  </si>
  <si>
    <t>LE002134</t>
  </si>
  <si>
    <t>LE001939</t>
  </si>
  <si>
    <t>LE002157</t>
  </si>
  <si>
    <t>LE002141</t>
  </si>
  <si>
    <t>LE001440</t>
  </si>
  <si>
    <t>LE003282</t>
  </si>
  <si>
    <t>LE003259</t>
  </si>
  <si>
    <t>LE002394</t>
  </si>
  <si>
    <t>LE001667</t>
  </si>
  <si>
    <t>LE003204</t>
  </si>
  <si>
    <t>LE001149</t>
  </si>
  <si>
    <t>LE003044</t>
  </si>
  <si>
    <t>LE002006</t>
  </si>
  <si>
    <t>LE003560</t>
  </si>
  <si>
    <t>LE001541</t>
  </si>
  <si>
    <t>LE001113</t>
  </si>
  <si>
    <t>LE003594</t>
  </si>
  <si>
    <t>LE002683</t>
  </si>
  <si>
    <t>LE002982</t>
  </si>
  <si>
    <t>LE001470</t>
  </si>
  <si>
    <t>LE002354</t>
  </si>
  <si>
    <t>LE003630</t>
  </si>
  <si>
    <t>LE003422</t>
  </si>
  <si>
    <t>LE001067</t>
  </si>
  <si>
    <t>LE002991</t>
  </si>
  <si>
    <t>LE002781</t>
  </si>
  <si>
    <t>LE002682</t>
  </si>
  <si>
    <t>LE003263</t>
  </si>
  <si>
    <t>LE002163</t>
  </si>
  <si>
    <t>LE002476</t>
  </si>
  <si>
    <t>LE003264</t>
  </si>
  <si>
    <t>LE002558</t>
  </si>
  <si>
    <t>LE003265</t>
  </si>
  <si>
    <t>LE001675</t>
  </si>
  <si>
    <t>LE002404</t>
  </si>
  <si>
    <t>LE002834</t>
  </si>
  <si>
    <t>LE002001</t>
  </si>
  <si>
    <t>LE002253</t>
  </si>
  <si>
    <t>LE001340</t>
  </si>
  <si>
    <t>LE003631</t>
  </si>
  <si>
    <t>LE003597</t>
  </si>
  <si>
    <t>LE001277</t>
  </si>
  <si>
    <t>LE003203</t>
  </si>
  <si>
    <t>LE001685</t>
  </si>
  <si>
    <t>LE001747</t>
  </si>
  <si>
    <t>LE001388</t>
  </si>
  <si>
    <t>LE003683</t>
  </si>
  <si>
    <t>LE003096</t>
  </si>
  <si>
    <t>LE001275</t>
  </si>
  <si>
    <t>LE001853</t>
  </si>
  <si>
    <t>LE002950</t>
  </si>
  <si>
    <t>LE001068</t>
  </si>
  <si>
    <t>LE001839</t>
  </si>
  <si>
    <t>LE001911</t>
  </si>
  <si>
    <t>LE002115</t>
  </si>
  <si>
    <t>LE002912</t>
  </si>
  <si>
    <t>LE002043</t>
  </si>
  <si>
    <t>LE002825</t>
  </si>
  <si>
    <t>LE003064</t>
  </si>
  <si>
    <t>LE002252</t>
  </si>
  <si>
    <t>LE001056</t>
  </si>
  <si>
    <t>LE001913</t>
  </si>
  <si>
    <t>LE001366</t>
  </si>
  <si>
    <t>LE001927</t>
  </si>
  <si>
    <t>LE001002</t>
  </si>
  <si>
    <t>LE001758</t>
  </si>
  <si>
    <t>ECL0041</t>
  </si>
  <si>
    <t>ECL0042</t>
  </si>
  <si>
    <t>LE001583</t>
  </si>
  <si>
    <t>LE002380</t>
  </si>
  <si>
    <t>LE002592</t>
  </si>
  <si>
    <t>LE003659</t>
  </si>
  <si>
    <t>ECL0021</t>
  </si>
  <si>
    <t>LE001438</t>
  </si>
  <si>
    <t>LE003528</t>
  </si>
  <si>
    <t>LE003102</t>
  </si>
  <si>
    <t>LE003519</t>
  </si>
  <si>
    <t>UAT_LE_ARG</t>
  </si>
  <si>
    <t>LE001089</t>
  </si>
  <si>
    <t>LE003039</t>
  </si>
  <si>
    <t>LE001838</t>
  </si>
  <si>
    <t>LE001929</t>
  </si>
  <si>
    <t>LE001793</t>
  </si>
  <si>
    <t>LE002061</t>
  </si>
  <si>
    <t>LE002042</t>
  </si>
  <si>
    <t>LE001949</t>
  </si>
  <si>
    <t>LE001509</t>
  </si>
  <si>
    <t>LE002228</t>
  </si>
  <si>
    <t>LE001734</t>
  </si>
  <si>
    <t>LE001656</t>
  </si>
  <si>
    <t>LE002648</t>
  </si>
  <si>
    <t>LE003691</t>
  </si>
  <si>
    <t>LE002281</t>
  </si>
  <si>
    <t>LE002079</t>
  </si>
  <si>
    <t>LE001952</t>
  </si>
  <si>
    <t>LE003026</t>
  </si>
  <si>
    <t>LE001609</t>
  </si>
  <si>
    <t>LE002734</t>
  </si>
  <si>
    <t>LE001109</t>
  </si>
  <si>
    <t>Number of Children</t>
  </si>
  <si>
    <t>Daily Rate</t>
  </si>
  <si>
    <t>Employee Sub-Type_THA</t>
  </si>
  <si>
    <t>Full Time- No Overtime</t>
  </si>
  <si>
    <t>Full time- Overtime</t>
  </si>
  <si>
    <t>Part Time- No Overtime</t>
  </si>
  <si>
    <t>Part Time- Overtime</t>
  </si>
  <si>
    <t>Provident Fund Membership Date</t>
  </si>
  <si>
    <t>Social Security Number (SSS)</t>
  </si>
  <si>
    <t>Working Days Per Week</t>
  </si>
  <si>
    <t>Complete Name</t>
  </si>
  <si>
    <t>VN ID Card Number</t>
  </si>
  <si>
    <t>Personal Income Tax Number</t>
  </si>
  <si>
    <t>Social Insurance Number</t>
  </si>
  <si>
    <t>Date Learned</t>
  </si>
  <si>
    <t>Date Learned (DD/MM/YYYY)</t>
  </si>
  <si>
    <t>Highest Education Attained</t>
  </si>
  <si>
    <t>Viet nam</t>
  </si>
  <si>
    <t>Ethnic Origin (Race)</t>
  </si>
  <si>
    <t>Full Name on Identity Card</t>
  </si>
  <si>
    <t>Address1</t>
  </si>
  <si>
    <t>Address2</t>
  </si>
  <si>
    <t>Confirmed Date</t>
  </si>
  <si>
    <t>Confirmed Date (DD/MM/YYYY)</t>
  </si>
  <si>
    <t>Probationary Period</t>
  </si>
  <si>
    <t>Task Type</t>
  </si>
  <si>
    <t>Processing Indicator</t>
  </si>
  <si>
    <t>Date of Task (DD/MM/YYYY)</t>
  </si>
  <si>
    <t>Reminder Date (DD/MM/YYYY)</t>
  </si>
  <si>
    <t>Comments</t>
  </si>
  <si>
    <t>Statistics Area1 - Yrs of Exp. Outside Cargill</t>
  </si>
  <si>
    <t>ESI Number</t>
  </si>
  <si>
    <t>Notice period for Employer</t>
  </si>
  <si>
    <t>Notice period for Employee</t>
  </si>
  <si>
    <t>Housing Fund Account</t>
  </si>
  <si>
    <t>I affirm that the above information is correct. I understand that any falsified statements on this application can be sufficient cause for dismissal if I am employed.</t>
  </si>
  <si>
    <t>Signature</t>
  </si>
  <si>
    <t>Date</t>
  </si>
  <si>
    <t>Notice Period for Employer</t>
  </si>
  <si>
    <t>Notice Period for Employee</t>
  </si>
  <si>
    <t>Legal Name</t>
  </si>
  <si>
    <t>Spouse Employment Status</t>
  </si>
  <si>
    <t>Military Status</t>
  </si>
  <si>
    <t>Start Date</t>
  </si>
  <si>
    <t>Institution Name</t>
  </si>
  <si>
    <t>Type of Institution</t>
  </si>
  <si>
    <t>Type of Degree</t>
  </si>
  <si>
    <t>End Date</t>
  </si>
  <si>
    <t>Qualificat. Attained1</t>
  </si>
  <si>
    <t>Qualificat. Attained2</t>
  </si>
  <si>
    <t>Probationary Period (119 days of probation)</t>
  </si>
  <si>
    <t>Provident Fund Number</t>
  </si>
  <si>
    <t>EE Contr No</t>
  </si>
  <si>
    <t>PF Employee Contr</t>
  </si>
  <si>
    <t>Contribution Category</t>
  </si>
  <si>
    <t>Social Security No</t>
  </si>
  <si>
    <t>Employee uses ESS Do Not Print Payslip</t>
  </si>
  <si>
    <t>EE Tax ID</t>
  </si>
  <si>
    <t>Fixed Bonus</t>
  </si>
  <si>
    <t>Tax ID Number</t>
  </si>
  <si>
    <t>Tax ID Number</t>
    <phoneticPr fontId="7" type="noConversion"/>
  </si>
  <si>
    <t>Tax Status</t>
    <phoneticPr fontId="7" type="noConversion"/>
  </si>
  <si>
    <t>HDMF Number</t>
    <phoneticPr fontId="7" type="noConversion"/>
  </si>
  <si>
    <t>PhilHealth Number</t>
    <phoneticPr fontId="7" type="noConversion"/>
  </si>
  <si>
    <t>Name of Employer</t>
    <phoneticPr fontId="7" type="noConversion"/>
  </si>
  <si>
    <t>Name ofSupervisor</t>
    <phoneticPr fontId="7" type="noConversion"/>
  </si>
  <si>
    <t>Job Title</t>
    <phoneticPr fontId="7" type="noConversion"/>
  </si>
  <si>
    <t>Mthly Base Salary</t>
    <phoneticPr fontId="7" type="noConversion"/>
  </si>
  <si>
    <t>Fixed Allowances</t>
    <phoneticPr fontId="7" type="noConversion"/>
  </si>
  <si>
    <t>Ave Variable Bonus (Mths)</t>
    <phoneticPr fontId="7" type="noConversion"/>
  </si>
  <si>
    <t>Employment Type</t>
    <phoneticPr fontId="7" type="noConversion"/>
  </si>
  <si>
    <t>AB Number</t>
    <phoneticPr fontId="7" type="noConversion"/>
  </si>
  <si>
    <t>Tax Status</t>
  </si>
  <si>
    <t>HDMF Number</t>
  </si>
  <si>
    <t>PhilHealth Number</t>
  </si>
  <si>
    <t>Name of Employer</t>
  </si>
  <si>
    <t>Name ofSupervisor</t>
  </si>
  <si>
    <t>Mthly Base Salary</t>
  </si>
  <si>
    <t>Fixed Allowances</t>
  </si>
  <si>
    <t>Ave Variable Bonus (Mths)</t>
  </si>
  <si>
    <t>Employment Type</t>
  </si>
  <si>
    <t>AB Number</t>
  </si>
  <si>
    <t>Care of Name</t>
  </si>
  <si>
    <t>Jamsostek ID No</t>
  </si>
  <si>
    <t>Number of Children</t>
    <phoneticPr fontId="7" type="noConversion"/>
  </si>
  <si>
    <t>Place of Issue</t>
    <phoneticPr fontId="7" type="noConversion"/>
  </si>
  <si>
    <t>Hospital</t>
    <phoneticPr fontId="7" type="noConversion"/>
  </si>
  <si>
    <t>Tax Dependent Relief</t>
    <phoneticPr fontId="7" type="noConversion"/>
  </si>
  <si>
    <t>Nature of Person</t>
    <phoneticPr fontId="7" type="noConversion"/>
  </si>
  <si>
    <t>Nationality</t>
    <phoneticPr fontId="7" type="noConversion"/>
  </si>
  <si>
    <t>Employment Category</t>
    <phoneticPr fontId="7" type="noConversion"/>
  </si>
  <si>
    <t>Tax Office</t>
    <phoneticPr fontId="7" type="noConversion"/>
  </si>
  <si>
    <t>Direct Filling By Employee</t>
    <phoneticPr fontId="7" type="noConversion"/>
  </si>
  <si>
    <t>Calculate Contribution</t>
    <phoneticPr fontId="7" type="noConversion"/>
  </si>
  <si>
    <t>Employer pays ee contribution</t>
    <phoneticPr fontId="7" type="noConversion"/>
  </si>
  <si>
    <t>Complusory SI Fund</t>
    <phoneticPr fontId="7" type="noConversion"/>
  </si>
  <si>
    <t>Compulsory SI Scheme</t>
    <phoneticPr fontId="7" type="noConversion"/>
  </si>
  <si>
    <t>Unemployment SI Fund</t>
    <phoneticPr fontId="7" type="noConversion"/>
  </si>
  <si>
    <t>Unemployment SI Scheme</t>
    <phoneticPr fontId="7" type="noConversion"/>
  </si>
  <si>
    <t>Health SI Fund</t>
    <phoneticPr fontId="7" type="noConversion"/>
  </si>
  <si>
    <t>Health SI Scheme</t>
    <phoneticPr fontId="7" type="noConversion"/>
  </si>
  <si>
    <t>Health Insurance Category</t>
    <phoneticPr fontId="7" type="noConversion"/>
  </si>
  <si>
    <t>Place of Issue</t>
  </si>
  <si>
    <t>Tax Dependent Relief</t>
  </si>
  <si>
    <t>Nature of Person</t>
  </si>
  <si>
    <t>Employment Category</t>
  </si>
  <si>
    <t>Direct Filling By Employee</t>
  </si>
  <si>
    <t>Calculate Contribution</t>
  </si>
  <si>
    <t>Employer pays ee contribution</t>
  </si>
  <si>
    <t>Complusory SI Fund</t>
  </si>
  <si>
    <t>Compulsory SI Scheme</t>
  </si>
  <si>
    <t>Unemployment SI Fund</t>
  </si>
  <si>
    <t>Unemployment SI Scheme</t>
  </si>
  <si>
    <t>Health SI Fund</t>
  </si>
  <si>
    <t>Health SI Scheme</t>
  </si>
  <si>
    <t>Health Insurance Category</t>
  </si>
  <si>
    <t>Contributing to EPF?</t>
  </si>
  <si>
    <t>Income Tax Number</t>
  </si>
  <si>
    <t>Name of Institution</t>
  </si>
  <si>
    <t>Branch of Study 1</t>
  </si>
  <si>
    <t>Applicable for SOCSO?</t>
  </si>
  <si>
    <t>Income Tax Office</t>
  </si>
  <si>
    <t>Applicable for Spouse Relief?</t>
  </si>
  <si>
    <t>Number of Dependents</t>
  </si>
  <si>
    <t>Employee Sub-Type_MYS</t>
  </si>
  <si>
    <t>No Overtime</t>
  </si>
  <si>
    <t>Overtime</t>
  </si>
  <si>
    <t>Employee Sub-Type_PHL</t>
  </si>
  <si>
    <t xml:space="preserve">Salary FT Overtime </t>
  </si>
  <si>
    <t xml:space="preserve">Salary Full Time </t>
  </si>
  <si>
    <t xml:space="preserve">Salary Part Time </t>
  </si>
  <si>
    <t xml:space="preserve">Salary PT Overtime </t>
  </si>
  <si>
    <t>Employee Sub-Type_IDN</t>
  </si>
  <si>
    <t>Salaried</t>
  </si>
  <si>
    <t>Employee Sub-Type_VNM</t>
  </si>
  <si>
    <t>workschedulerule_IDN</t>
  </si>
  <si>
    <t>5D/week</t>
  </si>
  <si>
    <t>6D/week</t>
  </si>
  <si>
    <t>workschedulerule_PHI</t>
  </si>
  <si>
    <t>Standard 5d, 40 hrs</t>
  </si>
  <si>
    <t>workschedulerule_VNM</t>
  </si>
  <si>
    <t>40 Hour Week</t>
  </si>
  <si>
    <t>Job Information_Work Contracts_PHI</t>
  </si>
  <si>
    <t>Commission</t>
  </si>
  <si>
    <t>Non-Commission</t>
  </si>
  <si>
    <t>Job Information_Work Contracts_VNM</t>
  </si>
  <si>
    <t>Pay Scale Type_IDN</t>
  </si>
  <si>
    <t>IDN-Salaried (IDN/01)</t>
  </si>
  <si>
    <t>PHL-Salaried (PHL/01)</t>
  </si>
  <si>
    <t>THA-Monthly (THA/02)</t>
  </si>
  <si>
    <t>THA-Semi-Monthly (THA/01)</t>
  </si>
  <si>
    <t>Pay Scale Type_PHL</t>
  </si>
  <si>
    <t>Pay Scale Type_THA</t>
  </si>
  <si>
    <t>IDN-ID Monthly (IDN/01)</t>
  </si>
  <si>
    <t>Pay Scale Area IDN1 (IDN/Pay Scale Area IDN1)</t>
  </si>
  <si>
    <t>PHL-Philippines Monthly (PHL/01)</t>
  </si>
  <si>
    <t>THA-Daily (THA/01)</t>
  </si>
  <si>
    <t>THA-Salary (THA/02)</t>
  </si>
  <si>
    <t>VNM-VN - Monthly (VNM/01)</t>
  </si>
  <si>
    <t>Pay Scale Area_IDN</t>
  </si>
  <si>
    <t>Pay Scale Area_PHL</t>
  </si>
  <si>
    <t>Pay Scale Area_THA</t>
  </si>
  <si>
    <t>Pay Scale Area_VNM</t>
  </si>
  <si>
    <t>Pay Scale Group_IDN</t>
  </si>
  <si>
    <t>Pay Scale Group_PHL</t>
  </si>
  <si>
    <t>Pay Scale Group_THA</t>
  </si>
  <si>
    <t>Pay Scale Group_VNM</t>
  </si>
  <si>
    <t>IDN-ADV (IDN/01/01/ADV)</t>
  </si>
  <si>
    <t>IDN-ASSCPROF (IDN/01/01/ASSCPROF)</t>
  </si>
  <si>
    <t>IDN-ASSCSUPP (IDN/01/01/ASSCSUPP)</t>
  </si>
  <si>
    <t>IDN-EXECUTIV (IDN/01/01/EXECUTIV)</t>
  </si>
  <si>
    <t>IDN-GROUP (IDN/01/01/GROUP)</t>
  </si>
  <si>
    <t>IDN-MGRI (IDN/01/01/MGRI)</t>
  </si>
  <si>
    <t>IDN-MGRII (IDN/01/01/MGRII)</t>
  </si>
  <si>
    <t>IDN-SRPROF (IDN/01/01/SRPROF)</t>
  </si>
  <si>
    <t>IDN-SRSUPP (IDN/01/01/SRSUPP)</t>
  </si>
  <si>
    <t>IDN-SUPPORT (IDN/01/01/SUPPORT)</t>
  </si>
  <si>
    <t>IDN-SUPVI (IDN/01/01/SUPVI)</t>
  </si>
  <si>
    <t>IDN-SUPVII (IDN/01/01/SUPVII)</t>
  </si>
  <si>
    <t>IDN-UNBANDED (IDN/01/01/UNBANDED)</t>
  </si>
  <si>
    <t>PHL-Associates professionals and technicians (PHL/01/01/ASSCPROF)</t>
  </si>
  <si>
    <t>PHL-Clerical, sales, service and related employees (PHL/01/01/ASSCSUPP)</t>
  </si>
  <si>
    <t>PHL-Clerical, sales, service and related employees (PHL/01/01/SRSUPP)</t>
  </si>
  <si>
    <t>PHL-Clerical, sales, service and related employees (PHL/01/01/SUPPORT)</t>
  </si>
  <si>
    <t>PHL-Clerical, sales, service and related employees (PHL/01/01/UNBANDED)</t>
  </si>
  <si>
    <t>PHL-Professionals and managers (PHL/01/01/ADV)</t>
  </si>
  <si>
    <t>PHL-Professionals and managers (PHL/01/01/EXECUTIV)</t>
  </si>
  <si>
    <t>PHL-Professionals and managers (PHL/01/01/MGRI)</t>
  </si>
  <si>
    <t>PHL-Professionals and managers (PHL/01/01/MGRII)</t>
  </si>
  <si>
    <t>PHL-Professionals and managers (PHL/01/01/PROF)</t>
  </si>
  <si>
    <t>PHL-Professionals and managers (PHL/01/01/SRADV)</t>
  </si>
  <si>
    <t>PHL-Professionals and managers (PHL/01/01/SRMGRI)</t>
  </si>
  <si>
    <t>PHL-Professionals and managers (PHL/01/01/SRMGRII)</t>
  </si>
  <si>
    <t>PHL-Professionals and managers (PHL/01/01/SRPROF)</t>
  </si>
  <si>
    <t>PHL-Professionals and managers (PHL/01/01/SUPVI)</t>
  </si>
  <si>
    <t>PHL-Professionals and managers (PHL/01/01/SUPVII)</t>
  </si>
  <si>
    <t>THA-For daily wage employees including students &amp; trainees, Local employees and Expats (THA/01/01/01)</t>
  </si>
  <si>
    <t>THA-For daily wage employees including students &amp; trainees, Local employees and Expats (THA/01/02/01)</t>
  </si>
  <si>
    <t>VNM-Associates professionals and technicians (VNM/01/01/ASSCPROF)</t>
  </si>
  <si>
    <t>VNM-Clerical, sales, service and related employees (VNM/01/01/ASSCSUPP)</t>
  </si>
  <si>
    <t>VNM-Clerical, sales, service and related employees (VNM/01/01/SRSUPP)</t>
  </si>
  <si>
    <t>VNM-Clerical, sales, service and related employees (VNM/01/01/SUPPORT)</t>
  </si>
  <si>
    <t>VNM-Clerical, sales, service and related employees (VNM/01/01/UNBANDED)</t>
  </si>
  <si>
    <t>VNM-Professionals and managers (VNM/01/01/ADV)</t>
  </si>
  <si>
    <t>VNM-Professionals and managers (VNM/01/01/EXECUTIV)</t>
  </si>
  <si>
    <t>VNM-Professionals and managers (VNM/01/01/MGRI)</t>
  </si>
  <si>
    <t>VNM-Professionals and managers (VNM/01/01/MGRII)</t>
  </si>
  <si>
    <t>VNM-Professionals and managers (VNM/01/01/PROF)</t>
  </si>
  <si>
    <t>VNM-Professionals and managers (VNM/01/01/SRADV)</t>
  </si>
  <si>
    <t>VNM-Professionals and managers (VNM/01/01/SRMGRI)</t>
  </si>
  <si>
    <t>VNM-Professionals and managers (VNM/01/01/SRMGRII)</t>
  </si>
  <si>
    <t>VNM-Professionals and managers (VNM/01/01/SRPROF)</t>
  </si>
  <si>
    <t>VNM-Professionals and managers (VNM/01/01/SUPVI)</t>
  </si>
  <si>
    <t>VNM-Professionals and managers (VNM/01/01/SUPVII)</t>
  </si>
  <si>
    <t>Pay Scale Level_IDN</t>
  </si>
  <si>
    <t>Pay Scale Level_PHL</t>
  </si>
  <si>
    <t>Pay Scale Level_VNM</t>
  </si>
  <si>
    <t>IDN-01 (IDN/01/01/ADV/01)</t>
  </si>
  <si>
    <t>IDN-01 (IDN/01/01/ASSCPROF/01)</t>
  </si>
  <si>
    <t>IDN-01 (IDN/01/01/ASSCSUPP/01)</t>
  </si>
  <si>
    <t>IDN-01 (IDN/01/01/EXECUTIV/01)</t>
  </si>
  <si>
    <t>IDN-01 (IDN/01/01/GROUP/01)</t>
  </si>
  <si>
    <t>IDN-01 (IDN/01/01/MGRI/01)</t>
  </si>
  <si>
    <t>IDN-01 (IDN/01/01/MGRII/01)</t>
  </si>
  <si>
    <t>IDN-01 (IDN/01/01/PROF/01)</t>
  </si>
  <si>
    <t>IDN-01 (IDN/01/01/SRADV/01)</t>
  </si>
  <si>
    <t>IDN-01 (IDN/01/01/SRMGRI/01)</t>
  </si>
  <si>
    <t>IDN-01 (IDN/01/01/SRMGRII/01)</t>
  </si>
  <si>
    <t>IDN-01 (IDN/01/01/SRPROF/01)</t>
  </si>
  <si>
    <t>IDN-01 (IDN/01/01/SRSUPP/01)</t>
  </si>
  <si>
    <t>IDN-01 (IDN/01/01/SUPPORT/01)</t>
  </si>
  <si>
    <t>IDN-01 (IDN/01/01/SUPVI/01)</t>
  </si>
  <si>
    <t>IDN-01 (IDN/01/01/SUPVII/01)</t>
  </si>
  <si>
    <t>IDN-01 (IDN/01/01/UNBANDED/01)</t>
  </si>
  <si>
    <t>PHL-01 (PHL/01/01/ADV/01)</t>
  </si>
  <si>
    <t>PHL-01 (PHL/01/01/ASSCPROF/01)</t>
  </si>
  <si>
    <t>PHL-01 (PHL/01/01/ASSCSUPP/01)</t>
  </si>
  <si>
    <t>PHL-01 (PHL/01/01/EXECUTIV/01)</t>
  </si>
  <si>
    <t>PHL-01 (PHL/01/01/MGRI/01)</t>
  </si>
  <si>
    <t>PHL-01 (PHL/01/01/MGRII/01)</t>
  </si>
  <si>
    <t>PHL-01 (PHL/01/01/PROF/01)</t>
  </si>
  <si>
    <t>PHL-01 (PHL/01/01/SRADV/01)</t>
  </si>
  <si>
    <t>PHL-01 (PHL/01/01/SRMGRI/01)</t>
  </si>
  <si>
    <t>PHL-01 (PHL/01/01/SRMGRII/01)</t>
  </si>
  <si>
    <t>PHL-01 (PHL/01/01/SRPROF/01)</t>
  </si>
  <si>
    <t>PHL-01 (PHL/01/01/SRSUPP/01)</t>
  </si>
  <si>
    <t>PHL-01 (PHL/01/01/SUPPORT/01)</t>
  </si>
  <si>
    <t>PHL-01 (PHL/01/01/SUPVI/01)</t>
  </si>
  <si>
    <t>PHL-01 (PHL/01/01/SUPVII/01)</t>
  </si>
  <si>
    <t>PHL-01 (PHL/01/01/UNBANDED/01)</t>
  </si>
  <si>
    <t>VNM-01 (VNM/01/01/ADV/01)</t>
  </si>
  <si>
    <t>VNM-01 (VNM/01/01/ASSCPROF/01)</t>
  </si>
  <si>
    <t>VNM-01 (VNM/01/01/ASSCSUPP/01)</t>
  </si>
  <si>
    <t>VNM-01 (VNM/01/01/EXECUTIV/01)</t>
  </si>
  <si>
    <t>VNM-01 (VNM/01/01/MGRI/01)</t>
  </si>
  <si>
    <t>VNM-01 (VNM/01/01/MGRII/01)</t>
  </si>
  <si>
    <t>VNM-01 (VNM/01/01/PROF/01)</t>
  </si>
  <si>
    <t>VNM-01 (VNM/01/01/SRADV/01)</t>
  </si>
  <si>
    <t>VNM-01 (VNM/01/01/SRMGRI/01)</t>
  </si>
  <si>
    <t>VNM-01 (VNM/01/01/SRMGRII/01)</t>
  </si>
  <si>
    <t>VNM-01 (VNM/01/01/SRPROF/01)</t>
  </si>
  <si>
    <t>VNM-01 (VNM/01/01/SRSUPP/01)</t>
  </si>
  <si>
    <t>VNM-01 (VNM/01/01/SUPPORT/01)</t>
  </si>
  <si>
    <t>VNM-01 (VNM/01/01/SUPVI/01)</t>
  </si>
  <si>
    <t>VNM-01 (VNM/01/01/SUPVII/01)</t>
  </si>
  <si>
    <t>VNM-01 (VNM/01/01/UNBANDED/01)</t>
  </si>
  <si>
    <t>FO_Pay Component_IDN</t>
  </si>
  <si>
    <t>FO_Pay Component_IND</t>
  </si>
  <si>
    <t>FO_Pay Component_MYS</t>
  </si>
  <si>
    <t>FO_Pay Component_THA</t>
  </si>
  <si>
    <t>FO_Pay Component_VNM</t>
  </si>
  <si>
    <t>IDN-Base Salary</t>
  </si>
  <si>
    <t>IDN-Basic Salary (Net)</t>
  </si>
  <si>
    <t>IND-Books &amp; Periodicals Reimbursement</t>
  </si>
  <si>
    <t>IND-Car Allowance</t>
  </si>
  <si>
    <t>IND-Children Education Allowa</t>
  </si>
  <si>
    <t>IND-City Allowance</t>
  </si>
  <si>
    <t>IND-Conveyance Allowance</t>
  </si>
  <si>
    <t>IND-ESIC</t>
  </si>
  <si>
    <t>IND-Gift Allowance</t>
  </si>
  <si>
    <t>IND-Gratuity</t>
  </si>
  <si>
    <t>IND-Housing Rent Allowance</t>
  </si>
  <si>
    <t>IND-Leave Travel Allowance</t>
  </si>
  <si>
    <t>IND-Meal Voucher</t>
  </si>
  <si>
    <t>IND-Medical Allowance</t>
  </si>
  <si>
    <t>IND-Medical Reimbursement</t>
  </si>
  <si>
    <t>IND-NPS Contribution</t>
  </si>
  <si>
    <t>IND-Personal Pay Allowance</t>
  </si>
  <si>
    <t>IND-Provident Fund</t>
  </si>
  <si>
    <t>IND-Variable Dearness Allownc</t>
  </si>
  <si>
    <t>MYS-Daily Rate</t>
  </si>
  <si>
    <t>THA-Base Salary</t>
  </si>
  <si>
    <t>THA-Daily Rate</t>
  </si>
  <si>
    <t>THA-Fixed Bonus 1.0</t>
  </si>
  <si>
    <t>THA-Fixed Bonus 1.5</t>
  </si>
  <si>
    <t>VNM-Base Salary</t>
  </si>
  <si>
    <t>FO_Pay Group_CHN</t>
  </si>
  <si>
    <t>FO_Pay Group_IDN</t>
  </si>
  <si>
    <t>FO_Pay Group_IND</t>
  </si>
  <si>
    <t>FO_Pay Group_MYS</t>
  </si>
  <si>
    <t>FO_Pay Group_PHL</t>
  </si>
  <si>
    <t>FO_Pay Group_THA</t>
  </si>
  <si>
    <t>FO_Pay Group_VNM</t>
  </si>
  <si>
    <t>CHN-Monthly (12/Year) (CHN-M1)</t>
  </si>
  <si>
    <t>IDN-Monthly (4M)</t>
  </si>
  <si>
    <t>IDN-Monthly YTD (4D)</t>
  </si>
  <si>
    <t>IND-Monthly (IND-M1)</t>
  </si>
  <si>
    <t>MYS-Monthly  (LM)</t>
  </si>
  <si>
    <t>PHL-Monthly (7M)</t>
  </si>
  <si>
    <t>THA-Bi-Weekly (93)</t>
  </si>
  <si>
    <t>THA-Monthly (9M)</t>
  </si>
  <si>
    <t>VNM-Monthly (;M)</t>
  </si>
  <si>
    <t>RELIGION_IND</t>
  </si>
  <si>
    <t>Buddhist</t>
  </si>
  <si>
    <t>Hindu</t>
  </si>
  <si>
    <t>Islamic</t>
  </si>
  <si>
    <t>Jainism</t>
  </si>
  <si>
    <t>Judaism</t>
  </si>
  <si>
    <t>Protestant</t>
  </si>
  <si>
    <t>Roman Catholic</t>
  </si>
  <si>
    <t>Sikh</t>
  </si>
  <si>
    <t>RELIGION_IDN</t>
  </si>
  <si>
    <t>RELIGION_MYS</t>
  </si>
  <si>
    <t>RELIGION_PHL</t>
  </si>
  <si>
    <t>RELIGION_THA</t>
  </si>
  <si>
    <t>No Religion</t>
  </si>
  <si>
    <t>Other Religion</t>
  </si>
  <si>
    <t>Taoism</t>
  </si>
  <si>
    <t>Orthodox</t>
  </si>
  <si>
    <t>CHN-Passport</t>
  </si>
  <si>
    <t>CHN-Personal ID</t>
  </si>
  <si>
    <t>IDN - Work Permit/KITAS Visa</t>
  </si>
  <si>
    <t>IDN-Passport</t>
  </si>
  <si>
    <t>IND-Passport</t>
  </si>
  <si>
    <t>MYS-Passport</t>
  </si>
  <si>
    <t>PHL-Passport</t>
  </si>
  <si>
    <t>THA - Passport</t>
  </si>
  <si>
    <t>VNM-Passport</t>
  </si>
  <si>
    <t>Contract_Type_IND</t>
  </si>
  <si>
    <t>Full Time</t>
  </si>
  <si>
    <t>Part Time</t>
  </si>
  <si>
    <t> CVL_Bien Hoa_Logistics (765867-LE001758)</t>
  </si>
  <si>
    <t> CVL_Binh Dinh_Logistics (942867-LE001758)</t>
  </si>
  <si>
    <t> CVL_Can Tho_Logistics (943867-LE001758)</t>
  </si>
  <si>
    <t>"""CITPL, Singapore""" (639700-LE002006)</t>
  </si>
  <si>
    <t>"SCM - BR BLORE (1245115215-LE001949)</t>
  </si>
  <si>
    <t>1CFF A217 GENERAL ADMINISTRATION OTHERS (114100579-LE001467)</t>
  </si>
  <si>
    <t>1CFF A217 S&amp;S FINANCE (114101472-LE001467)</t>
  </si>
  <si>
    <t>1CFF A217 STARCHES &amp; SWEETNER-COMMERCIAL (114101296-LE001467)</t>
  </si>
  <si>
    <t>1CFF A219 ATTA SUPPORT (114101694-LE001467)</t>
  </si>
  <si>
    <t>1CFF A219 GENERAL ADMINISTRATION OTHERS (114100577-LE001467)</t>
  </si>
  <si>
    <t>1CFF A220 B2B SUPPORT (114101452-LE001467)</t>
  </si>
  <si>
    <t>1CFF A220 BU MANAGEMENT (114100569-LE001467)</t>
  </si>
  <si>
    <t>1CFF A220 BU OFFICE (114100570-LE001467)</t>
  </si>
  <si>
    <t>1CFF A220 BU TRANSP, LOG, WH (114100633-LE001467)</t>
  </si>
  <si>
    <t>1CFF A220 CORPORATE NON ADMIN (114101468-LE001467)</t>
  </si>
  <si>
    <t>1CFF A220 FINANCE (114100573-LE001467)</t>
  </si>
  <si>
    <t>1CFF A220 HUMAN RESOURCE (114100587-LE001467)</t>
  </si>
  <si>
    <t>1CFF A220 INSTITUTION (114100628-LE001467)</t>
  </si>
  <si>
    <t>1CFF A220 MARKETING OTHERS (114100607-LE001467)</t>
  </si>
  <si>
    <t>1CFF A220 MT SUPPORT (114101455-LE001467)</t>
  </si>
  <si>
    <t>1CFF A220 RISK MANAGEMENT (114100576-LE001467)</t>
  </si>
  <si>
    <t>1CFF A220 SELLING-OTHER (114100630-LE001467)</t>
  </si>
  <si>
    <t>1CFF A220 SMT (114101459-LE001467)</t>
  </si>
  <si>
    <t>1CFF A220 TOLLING (114101049-LE001467)</t>
  </si>
  <si>
    <t>1CFF A220 TOLLING SCM (114101291-LE001467)</t>
  </si>
  <si>
    <t>1CFF A220 WEST SUPPORT (114101462-LE001467)</t>
  </si>
  <si>
    <t>1CFF A221 FI FINANCE (114101471-LE001467)</t>
  </si>
  <si>
    <t>1CKG A220 BU TRANSP, LOG, WH (114100660-LE001467)</t>
  </si>
  <si>
    <t>1CKG A220 FINANCE (114100641-LE001467)</t>
  </si>
  <si>
    <t>1CKG A220 PLANT MAINT DFA (114100649-LE001467)</t>
  </si>
  <si>
    <t>1CKG A220 PLANT MAINT PACKAGING (114100648-LE001467)</t>
  </si>
  <si>
    <t>1CKG A220 PLANT MAINT REFINING (114100647-LE001467)</t>
  </si>
  <si>
    <t>1CKG A220 PLANT MGMT REFINING (114100651-LE001467)</t>
  </si>
  <si>
    <t>1CKG A220 PROJECT MANAGEMENT (114100643-LE001467)</t>
  </si>
  <si>
    <t>1CKG A220 QUALITY ASSURANCE (114100652-LE001467)</t>
  </si>
  <si>
    <t>1CKU A220 BU TRANSP, LOG, WH (114100685-LE001467)</t>
  </si>
  <si>
    <t>1CKU A220 FINANCE (114100666-LE001467)</t>
  </si>
  <si>
    <t>1CKU A220 PLANT MAINT PACKAGING (114100673-LE001467)</t>
  </si>
  <si>
    <t>1CKU A220 PLANT MAINT REFINING (114100672-LE001467)</t>
  </si>
  <si>
    <t>1CKU A220 QUALITY ASSURANCE (114100677-LE001467)</t>
  </si>
  <si>
    <t>1CKY A220 FINANCE (114100691-LE001467)</t>
  </si>
  <si>
    <t>1CKY A220 PLANT MAINT PACKAGING (114100698-LE001467)</t>
  </si>
  <si>
    <t>1CKY A220 PLANT MAINT REFINING (114100697-LE001467)</t>
  </si>
  <si>
    <t>1CKY A220 PURCHASING (114100704-LE001467)</t>
  </si>
  <si>
    <t>1HZA A217 BU TRANSP, LOG, WH (114101366-LE001467)</t>
  </si>
  <si>
    <t>1HZA A217 CORN WET MILLING (114101513-LE001467)</t>
  </si>
  <si>
    <t>1HZA A217 ENERGY GENERATION (114101332-LE001467)</t>
  </si>
  <si>
    <t>1HZA A217 FOOD SAFETY (114101345-LE001467)</t>
  </si>
  <si>
    <t>1HZA A217 HUMAN RESOURCE (114101351-LE001467)</t>
  </si>
  <si>
    <t>1HZA A217 LABORATORY (114101333-LE001467)</t>
  </si>
  <si>
    <t>1HZA A217 PLANT MAINT-GEN (114101337-LE001467)</t>
  </si>
  <si>
    <t>1HZA A217 PLANT MGMT REFINING (114101354-LE001467)</t>
  </si>
  <si>
    <t>1HZA A217 QUALITY ASSURANCE (114101358-LE001467)</t>
  </si>
  <si>
    <t>1HZA A217 UTILITIES (114101340-LE001467)</t>
  </si>
  <si>
    <t>252006 (Grains-TE) (252006-LE002451)</t>
  </si>
  <si>
    <t>2C_UAT_Cost_Center1_CHN (2C_UAT_Cost_Center1_CHN)</t>
  </si>
  <si>
    <t>2C_UAT_Cost_Center1_IDN (2C_UAT_Cost_Center1_IDN)</t>
  </si>
  <si>
    <t>2C_UAT_Cost_Center1_IND (2C_UAT_Cost_Center1_IND)</t>
  </si>
  <si>
    <t>2C_UAT_Cost_Center1_MYS (2C_UAT_Cost_Center1_MYS)</t>
  </si>
  <si>
    <t>2C_UAT_Cost_Center1_PHL (2C_UAT_Cost_Center1_PHL)</t>
  </si>
  <si>
    <t>2C_UAT_Cost_Center1_THA (2C_UAT_Cost_Center1_THA)</t>
  </si>
  <si>
    <t>2C_UAT_Cost_Center1_VNM (2C_UAT_Cost_Center1_VNM)</t>
  </si>
  <si>
    <t>2C_UAT_Cost_Center2_CHN (2C_UAT_Cost_Center2_CHN)</t>
  </si>
  <si>
    <t>2C_UAT_Cost_Center2_IDN (2C_UAT_Cost_Center2_IDN)</t>
  </si>
  <si>
    <t>2C_UAT_Cost_Center2_IND (2C_UAT_Cost_Center2_IND)</t>
  </si>
  <si>
    <t>2C_UAT_Cost_Center2_MYS (2C_UAT_Cost_Center2_MYS)</t>
  </si>
  <si>
    <t>2C_UAT_Cost_Center2_PHL (2C_UAT_Cost_Center2_PHL)</t>
  </si>
  <si>
    <t>2C_UAT_Cost_Center2_THA (2C_UAT_Cost_Center2_THA)</t>
  </si>
  <si>
    <t>2C_UAT_Cost_Center2_VNM (2C_UAT_Cost_Center2_VNM)</t>
  </si>
  <si>
    <t>3BZW A220 BAKERY (114101685-LE001467)</t>
  </si>
  <si>
    <t>3BZW A220 BU TRANSP, LOG, WH (114100958-LE001467)</t>
  </si>
  <si>
    <t>3BZW A220 COMMERCIAL (114100951-LE001467)</t>
  </si>
  <si>
    <t>3BZW A220 CORE (114100952-LE001467)</t>
  </si>
  <si>
    <t>3BZW A220 FINANCE (114100944-LE001467)</t>
  </si>
  <si>
    <t>3BZW A220 LEONARDO (114101689-LE001467)</t>
  </si>
  <si>
    <t>3BZW A220 MODERN TRADE (114100955-LE001467)</t>
  </si>
  <si>
    <t>3BZX A220 BAKERY (114101686-LE001467)</t>
  </si>
  <si>
    <t>3BZX A220 BU TRANSP, LOG, WH (114100978-LE001467)</t>
  </si>
  <si>
    <t>3BZX A220 CORE (114100972-LE001467)</t>
  </si>
  <si>
    <t>3BZX A220 MODERN TRADE (114100975-LE001467)</t>
  </si>
  <si>
    <t>3BZY A220 BAKERY (114101687-LE001467)</t>
  </si>
  <si>
    <t>3BZY A220 BU TRANSP, LOG, WH (114100998-LE001467)</t>
  </si>
  <si>
    <t>3BZY A220 COMMERCIAL (114100991-LE001467)</t>
  </si>
  <si>
    <t>3BZY A220 CORE (114100992-LE001467)</t>
  </si>
  <si>
    <t>3BZY A220 LEONARDO (114101691-LE001467)</t>
  </si>
  <si>
    <t>3BZY A220 MODERN TRADE (114100995-LE001467)</t>
  </si>
  <si>
    <t>3BZZ A220 BAKERY (114101688-LE001467)</t>
  </si>
  <si>
    <t>3BZZ A220 BU TRANSP, LOG, WH (114101018-LE001467)</t>
  </si>
  <si>
    <t>3BZZ A220 CORE (114101012-LE001467)</t>
  </si>
  <si>
    <t>3BZZ A220 MODERN TRADE (114101015-LE001467)</t>
  </si>
  <si>
    <t>4ABA A220 FSQR (114101454-LE001467)</t>
  </si>
  <si>
    <t>A&amp;F Decision Support (768877-LE001758)</t>
  </si>
  <si>
    <t>A224 KL MERCHANDISING NWP (122000075-LE001911)</t>
  </si>
  <si>
    <t>A230 KL BASE REFINING (122000074-LE001911)</t>
  </si>
  <si>
    <t>A230 KL FINANCE (122000069-LE001911)</t>
  </si>
  <si>
    <t>A230 KL GENERAL ADMIN (122000076-LE001911)</t>
  </si>
  <si>
    <t>A230 KL PRODUCT APPLICATION (122000083-LE001911)</t>
  </si>
  <si>
    <t>A230 KL SUPPLY CHAIN OFFICE (122000142-LE001911)</t>
  </si>
  <si>
    <t>A230 KL TRADE EXECUTION (122000079-LE001911)</t>
  </si>
  <si>
    <t>A230 KTN BOILER (122000035-LE001911)</t>
  </si>
  <si>
    <t>A230 KTN LAB (122000037-LE001911)</t>
  </si>
  <si>
    <t>A230 KTN OPERATION LOADING (122000043-LE001911)</t>
  </si>
  <si>
    <t>A230 KTN POF (122000034-LE001911)</t>
  </si>
  <si>
    <t>A230 KTN PRODUCTN OFFICE (PAYROLL) (122000039-LE001911)</t>
  </si>
  <si>
    <t>A230 KTN REFINING (122000033-LE001911)</t>
  </si>
  <si>
    <t>A230 KTN REPAIRED AND MAINTENANCE (122000040-LE001911)</t>
  </si>
  <si>
    <t>A230 KTN TANK FARM (122000068-LE001911)</t>
  </si>
  <si>
    <t>A230 PK BOILER (122000016-LE001911)</t>
  </si>
  <si>
    <t>A230 PK ENVIRONMENT HEALTH &amp; SAFETY (122000026-LE001911)</t>
  </si>
  <si>
    <t>A230 PK LAB (122000018-LE001911)</t>
  </si>
  <si>
    <t>A230 PK LOADING (122000019-LE001911)</t>
  </si>
  <si>
    <t>A230 PK LOGISTICS (122000022-LE001911)</t>
  </si>
  <si>
    <t>A230 PK LURGI (122000001-LE001911)</t>
  </si>
  <si>
    <t>A230 PK NEUTRALISATION PLANT (122000005-LE001911)</t>
  </si>
  <si>
    <t>A230 PK OFFICE ADMIN (122000140-LE001911)</t>
  </si>
  <si>
    <t>A230 PK PACKAGING OFFICE (122000138-LE001911)</t>
  </si>
  <si>
    <t>A230 PK POF (122000002-LE001911)</t>
  </si>
  <si>
    <t>A230 PK PRODUCTION OFFICE (PAYROLL) (122000020-LE001911)</t>
  </si>
  <si>
    <t>A230 PK PROJECT (122000031-LE001911)</t>
  </si>
  <si>
    <t>A230 PK REPAIRED AND MAINTENANCE (122000024-LE001911)</t>
  </si>
  <si>
    <t>A230 PK WAREHOUSE (122000021-LE001911)</t>
  </si>
  <si>
    <t>A230 PK WEIGHBRIDGE (122000025-LE001911)</t>
  </si>
  <si>
    <t>A230 WP WEIGHBRIDGE (122000065-LE001911)</t>
  </si>
  <si>
    <t>A231 KL DEMAND PLANNING (122000141-LE001911)</t>
  </si>
  <si>
    <t>A231 KL SALES &amp; MARKETING NWP (122000073-LE001911)</t>
  </si>
  <si>
    <t>A231 KL SALES &amp; MARKETING WP (122000112-LE001911)</t>
  </si>
  <si>
    <t>A231 PK HYDRO (122000006-LE001911)</t>
  </si>
  <si>
    <t>A231 PK LINE 1A (122000007-LE001911)</t>
  </si>
  <si>
    <t>A231 PK LINE 1B (122000008-LE001911)</t>
  </si>
  <si>
    <t>A231 PK LINE 1C CARTON PACKING (122000009-LE001911)</t>
  </si>
  <si>
    <t>A231 PK LINE 1E  VOTATORISEDPACKING (122000010-LE001911)</t>
  </si>
  <si>
    <t>A231 PK LINE 2B (122000011-LE001911)</t>
  </si>
  <si>
    <t>A231 PK LINE 3A (122000012-LE001911)</t>
  </si>
  <si>
    <t>A231 PK LINE 3B (122000013-LE001911)</t>
  </si>
  <si>
    <t>A231 PK LINE 3C (122000014-LE001911)</t>
  </si>
  <si>
    <t>A231 PK MULTI STOCK (122000004-LE001911)</t>
  </si>
  <si>
    <t>A231 WP BOILER (122000056-LE001911)</t>
  </si>
  <si>
    <t>A231 WP HYDRO (122000049-LE001911)</t>
  </si>
  <si>
    <t>A231 WP LAB (122000058-LE001911)</t>
  </si>
  <si>
    <t>A231 WP LINE 1F (122000053-LE001911)</t>
  </si>
  <si>
    <t>A231 WP Line 1G (BIB) (122000055-LE001911)</t>
  </si>
  <si>
    <t>A231 WP Line 5 (IBC/DRUM) (122000054-LE001911)</t>
  </si>
  <si>
    <t>A231 WP LOADING (122000059-LE001911)</t>
  </si>
  <si>
    <t>A231 WP MULTI STOCK (122000048-LE001911)</t>
  </si>
  <si>
    <t>A231 WP NEUTRALISATION PLANT (122000050-LE001911)</t>
  </si>
  <si>
    <t>A231 WP OFFICE ADMIN (122000139-LE001911)</t>
  </si>
  <si>
    <t>A231 WP PKOF (122000047-LE001911)</t>
  </si>
  <si>
    <t>A231 WP PRODUCTN OFFICE (PAYROLL) (122000060-LE001911)</t>
  </si>
  <si>
    <t>A231 WP REPAIRED AND MAINTENANCE (122000064-LE001911)</t>
  </si>
  <si>
    <t>A231 WP SCD PLANT (122000051-LE001911)</t>
  </si>
  <si>
    <t>A231 WP SHIPPING (122000062-LE001911)</t>
  </si>
  <si>
    <t>A231 WP WAREHOUSE (122000061-LE001911)</t>
  </si>
  <si>
    <t>A231 WP WINTERIZATION PLANT (122000052-LE001911)</t>
  </si>
  <si>
    <t>ABSENT WITHOUT PAY-1 (650393-LE001275)</t>
  </si>
  <si>
    <t>Admin (639000-LE002006)</t>
  </si>
  <si>
    <t>Admin Expense (701-LE003044)</t>
  </si>
  <si>
    <t>Admin Expenses (621012-LE001467)</t>
  </si>
  <si>
    <t>Admin Expenses (617012-LE001467)</t>
  </si>
  <si>
    <t>Admin Expenses (618012-LE001467)</t>
  </si>
  <si>
    <t>Admin Expenses (563012-LE001467)</t>
  </si>
  <si>
    <t>Admin Expenses (536012-LE001467)</t>
  </si>
  <si>
    <t>Admin Expenses  ( HR) (617112-LE001467)</t>
  </si>
  <si>
    <t>Admin  (618070-LE001467)</t>
  </si>
  <si>
    <t>Admin/Service/Canteen (150200-LE001440)</t>
  </si>
  <si>
    <t>Admin-CFN SEA (640012-LE002825)</t>
  </si>
  <si>
    <t>Admin-CQN SA (649112-LE002825)</t>
  </si>
  <si>
    <t>Admin-DS (744242-LE001467)</t>
  </si>
  <si>
    <t>Admin-Expat (731360-LE001467)</t>
  </si>
  <si>
    <t>Administration (1245116723-LE001949)</t>
  </si>
  <si>
    <t>Administration (137012-LE003659)</t>
  </si>
  <si>
    <t>Affiliate's Administration: General (7000-LE002394)</t>
  </si>
  <si>
    <t>Agri-Breeder -1 (110801-LE001440)</t>
  </si>
  <si>
    <t>Agri-Breeder -2 (110802-LE001440)</t>
  </si>
  <si>
    <t>Agri-Breeder -3 (110803-LE001440)</t>
  </si>
  <si>
    <t>Agri-Breeder -4 (110804-LE001440)</t>
  </si>
  <si>
    <t>Agri-Breeder -5 (110805-LE001440)</t>
  </si>
  <si>
    <t>Agri-Breeder -6 (110806-LE001440)</t>
  </si>
  <si>
    <t>Agri-Breeder -7 (110807-LE001440)</t>
  </si>
  <si>
    <t>Agri-Breeder -8 (110808-LE001440)</t>
  </si>
  <si>
    <t>Agri-Breeder Admin (110700-LE001440)</t>
  </si>
  <si>
    <t>Agri-Feedmill (110601-LE001440)</t>
  </si>
  <si>
    <t>Agri-Feedmill &amp;Risk management (110600-LE001440)</t>
  </si>
  <si>
    <t>Agri-Growout Admin&amp;Opeation (111000-LE001440)</t>
  </si>
  <si>
    <t>Agri-Growout Farm-1 (111201-LE001440)</t>
  </si>
  <si>
    <t>Agri-Growout Farm-10 (111210-LE001440)</t>
  </si>
  <si>
    <t>Agri-Growout Farm-11 (111211-LE001440)</t>
  </si>
  <si>
    <t>Agri-Growout Farm-12 (111212-LE001440)</t>
  </si>
  <si>
    <t>Agri-Growout Farm-13 (111213-LE001440)</t>
  </si>
  <si>
    <t>Agri-Growout Farm-14 (111214-LE001440)</t>
  </si>
  <si>
    <t>Agri-Growout Farm-15 (111215-LE001440)</t>
  </si>
  <si>
    <t>Agri-Growout Farm-16 (111216-LE001440)</t>
  </si>
  <si>
    <t>Agri-Growout Farm-17 (111217-LE001440)</t>
  </si>
  <si>
    <t>Agri-Growout Farm-2 (111202-LE001440)</t>
  </si>
  <si>
    <t>Agri-Growout Farm-21 (111221-LE001440)</t>
  </si>
  <si>
    <t>Agri-Growout Farm-3 (111203-LE001440)</t>
  </si>
  <si>
    <t>Agri-Growout Farm-30 (111230-LE003282)</t>
  </si>
  <si>
    <t>Agri-Growout Farm-31 (111231-LE003282)</t>
  </si>
  <si>
    <t>Agri-Growout Farm-32 (111232-LE003282)</t>
  </si>
  <si>
    <t>Agri-Growout Farm-4 (111204-LE001440)</t>
  </si>
  <si>
    <t>Agri-Growout Farm-5 (111205-LE001440)</t>
  </si>
  <si>
    <t>Agri-Growout Farm-6 (111206-LE001440)</t>
  </si>
  <si>
    <t>Agri-Growout Farm-7 (111207-LE001440)</t>
  </si>
  <si>
    <t>Agri-Growout Farm-8 (111208-LE001440)</t>
  </si>
  <si>
    <t>Agri-Growout Farm-9 (111209-LE001440)</t>
  </si>
  <si>
    <t>Agri-Hatchery (110900-LE001440)</t>
  </si>
  <si>
    <t>Agri-Poultry Health Center (110200-LE001440)</t>
  </si>
  <si>
    <t>Agri-Pullet -1 (110701-LE001440)</t>
  </si>
  <si>
    <t>Agri-Pullet -2 (110702-LE001440)</t>
  </si>
  <si>
    <t>Agri-Pullet -3 (110703-LE001440)</t>
  </si>
  <si>
    <t>Agri-Pullet -4 (110704-LE001440)</t>
  </si>
  <si>
    <t>Agri-Repair &amp; Maintenance (110500-LE001440)</t>
  </si>
  <si>
    <t>Agri-Trial Farm (111100-LE001440)</t>
  </si>
  <si>
    <t>AH Poultry 6, COMMON (1245115492-LE001949)</t>
  </si>
  <si>
    <t>AH Poultry East (1245114022-LE001949)</t>
  </si>
  <si>
    <t>AH Poultry G&amp;R  (Gujrat and Rajastan) (1245114021-LE001949)</t>
  </si>
  <si>
    <t>AH Poultry North (1245114019-LE001949)</t>
  </si>
  <si>
    <t>AH Poultry South (1245114017-LE001949)</t>
  </si>
  <si>
    <t>AH Poultry UP (1245114020-LE001949)</t>
  </si>
  <si>
    <t>AH Poultry West Central (1245114018-LE001949)</t>
  </si>
  <si>
    <t>All SGNA cost (744243-LE001467)</t>
  </si>
  <si>
    <t>Alvean cak desk (639912-LE002006)</t>
  </si>
  <si>
    <t>Alvean Risk (639914-LE002006)</t>
  </si>
  <si>
    <t>Alvean TE (639913-LE002006)</t>
  </si>
  <si>
    <t>AM Admin (873030-LE002476)</t>
  </si>
  <si>
    <t>Amurang SCNO (694118-LE001838)</t>
  </si>
  <si>
    <t>AN Poultry 6, Dairy Premix (1245114024-LE001949)</t>
  </si>
  <si>
    <t>Animal Health Common (1245115416-LE001949)</t>
  </si>
  <si>
    <t>AP Packaging (278600-LE002253)</t>
  </si>
  <si>
    <t>APAC Application Team (2465001000-LE002451)</t>
  </si>
  <si>
    <t>APAC Regional Controller (731315-LE001467)</t>
  </si>
  <si>
    <t>APAC Regional Infrastructure - IND (731550-LE001467)</t>
  </si>
  <si>
    <t>Applications (12715300-LE002394)</t>
  </si>
  <si>
    <t>Applications (5300-LE002394)</t>
  </si>
  <si>
    <t>AQUA (507209-LE002648)</t>
  </si>
  <si>
    <t>Aqua-CTL (285207-LE002115)</t>
  </si>
  <si>
    <t>Arrival (143500-LE003691)</t>
  </si>
  <si>
    <t>Arrival General - FP 2 Shift2 (650601-LE001275)</t>
  </si>
  <si>
    <t>AWB India Pvt Ltd - Admin (537000-LE002006)</t>
  </si>
  <si>
    <t>Baliuag Lab (296117-LE002115)</t>
  </si>
  <si>
    <t>Baliuag-CTL (296207-LE002115)</t>
  </si>
  <si>
    <t>Baliuag-Production (296007-LE002115)</t>
  </si>
  <si>
    <t>Baotou Hog (853109-LE002772)</t>
  </si>
  <si>
    <t>Baotou Ruminant (853209-LE002772)</t>
  </si>
  <si>
    <t>BB 18 (650341-LE001275)</t>
  </si>
  <si>
    <t>BB 19 (650342-LE001275)</t>
  </si>
  <si>
    <t>BB 20 (650440-LE001275)</t>
  </si>
  <si>
    <t>BB 21 (650441-LE001275)</t>
  </si>
  <si>
    <t>BB 22 (650442-LE001275)</t>
  </si>
  <si>
    <t>BB Raw Meat 4 (658326-LE001275)</t>
  </si>
  <si>
    <t>BB Special 1/2 (658322-LE001275)</t>
  </si>
  <si>
    <t>BB Special 10/2 (658334-LE001275)</t>
  </si>
  <si>
    <t>Ben Cat CSA (937116-LE001758)</t>
  </si>
  <si>
    <t>Ben Cat Plant (937007-LE001758)</t>
  </si>
  <si>
    <t>Bien Hoa CSA (765116-LE001758)</t>
  </si>
  <si>
    <t>Bien Hoa T&amp;L (153109-LE001758)</t>
  </si>
  <si>
    <t>BIL DS 11-B (658831-LE001275)</t>
  </si>
  <si>
    <t>BIL DS 12-B (658832-LE001275)</t>
  </si>
  <si>
    <t>BIL DS./BIL SP 13 (658421-LE001275)</t>
  </si>
  <si>
    <t>BIL DS./BIL SP 14 (658422-LE001275)</t>
  </si>
  <si>
    <t>BIL DS2-A (658821-LE001275)</t>
  </si>
  <si>
    <t>Binh Dinh CSA (942116-LE001758)</t>
  </si>
  <si>
    <t>Binzhou Finance (917812-LE001080)</t>
  </si>
  <si>
    <t>BJ - Ferrous Brokerage-BOF (910890-LE003203)</t>
  </si>
  <si>
    <t>BJ CAN Finance (471812-LE003203)</t>
  </si>
  <si>
    <t>BJ CAN SSC (471826-LE003203)</t>
  </si>
  <si>
    <t>BL 10 (650425-LE001275)</t>
  </si>
  <si>
    <t>BL 4 (650326-LE001275)</t>
  </si>
  <si>
    <t>BL 7 (650422-LE001275)</t>
  </si>
  <si>
    <t>BL Kizami 1-A (650329-LE001275)</t>
  </si>
  <si>
    <t>BL Kizami 2-B (650429-LE001275)</t>
  </si>
  <si>
    <t>BL Raw Meat 11 (658335-LE001275)</t>
  </si>
  <si>
    <t>BL SP 15 (658423-LE001275)</t>
  </si>
  <si>
    <t>BL SP Scanvaegt 16 (658424-LE001275)</t>
  </si>
  <si>
    <t>BL SP Scanvaegt 8 (658331-LE001275)</t>
  </si>
  <si>
    <t>BLOOD COOKING-A (658805-LE001275)</t>
  </si>
  <si>
    <t>BLOOD COOKING-A (658305-LE001275)</t>
  </si>
  <si>
    <t>BLOOD COOKING-A (650305-LE001275)</t>
  </si>
  <si>
    <t>BLOOD COOKING-B (658605-LE001275)</t>
  </si>
  <si>
    <t>BLOOD COOKING-B (658405-LE001275)</t>
  </si>
  <si>
    <t>BLOOD COOKING-B (650405-LE001275)</t>
  </si>
  <si>
    <t>Boiler System (220300-LE003259)</t>
  </si>
  <si>
    <t>BOSC - Capital Effectiveness &amp; Engineeri (713-LE003044)</t>
  </si>
  <si>
    <t>BOSC - Continuous Improvement (714-LE003044)</t>
  </si>
  <si>
    <t>BOSC - EHS (716-LE003044)</t>
  </si>
  <si>
    <t>BOSC - Maintenance &amp; Reliability (715-LE003044)</t>
  </si>
  <si>
    <t>BOSC - Manufacturing Technology (710-LE003044)</t>
  </si>
  <si>
    <t>BOSC - Operation (717-LE003044)</t>
  </si>
  <si>
    <t>BOSC CFN SEA (278410-LE002253)</t>
  </si>
  <si>
    <t>BOSC- EHS (873044-LE002476)</t>
  </si>
  <si>
    <t>BOSC-Manufacturing Tech (873045-LE002476)</t>
  </si>
  <si>
    <t>BOSC-Manufacturing Tech (9723810250-LE002476)</t>
  </si>
  <si>
    <t>Boxing (143550-LE003691)</t>
  </si>
  <si>
    <t>Boxing A PP2 (658361-LE001275)</t>
  </si>
  <si>
    <t>Boxing B PP2 (658461-LE001275)</t>
  </si>
  <si>
    <t>BOXING-A (650361-LE001275)</t>
  </si>
  <si>
    <t>BOXING-B (650461-LE001275)</t>
  </si>
  <si>
    <t>BREEDER 10 (658106-LE001275)</t>
  </si>
  <si>
    <t>Breeder 13 (650130-LE001275)</t>
  </si>
  <si>
    <t>Breeder 14 (650131-LE001275)</t>
  </si>
  <si>
    <t>BREEDER 6 (658109-LE001275)</t>
  </si>
  <si>
    <t>Breeder 7 (658110-LE001275)</t>
  </si>
  <si>
    <t>Breeder Farm 9 (658105-LE001275)</t>
  </si>
  <si>
    <t>BU GENERAL ADMIN (114101524-LE001467)</t>
  </si>
  <si>
    <t>BU IT (624421-LE001467)</t>
  </si>
  <si>
    <t>BUSINESS APPLICATION - APAC (638319-LE002006)</t>
  </si>
  <si>
    <t>Business Applications (638316-LE002006)</t>
  </si>
  <si>
    <t>Business Development (150700-LE001440)</t>
  </si>
  <si>
    <t>Busy- G&amp; A Expense (72101-LE003044)</t>
  </si>
  <si>
    <t>Busy- Manufacturing Expense (72103-LE003044)</t>
  </si>
  <si>
    <t>Busy- Selling Expense (72102-LE003044)</t>
  </si>
  <si>
    <t>Butterworth Admin (261312-LE002682)</t>
  </si>
  <si>
    <t>Butterworth Plant (261007-LE002682)</t>
  </si>
  <si>
    <t>C.A.N. - Admin -G.O. - KRT(Thai) (641112-LE002825)</t>
  </si>
  <si>
    <t>C.A.N. - CCS - Plant (Thai) (642007-LE002825)</t>
  </si>
  <si>
    <t>C.A.N. - G.O.-Product Service (Thai) (641212-LE002825)</t>
  </si>
  <si>
    <t>C.A.N. - MKT.- Chacheungsao (Thai) (642009-LE002825)</t>
  </si>
  <si>
    <t>C.A.N. - MKT.- Korat (Thai) (644009-LE002825)</t>
  </si>
  <si>
    <t>C.A.N. - MKT.- Phisanulok (Thai) (645009-LE002825)</t>
  </si>
  <si>
    <t>C.A.N. - MKT.-G.O.-BKK-South(Thai) (643509-LE002825)</t>
  </si>
  <si>
    <t>CAN CCS - Admin (642012-LE002825)</t>
  </si>
  <si>
    <t>CAN EHS (471280-LE003203)</t>
  </si>
  <si>
    <t>CAN Global Buyer (278011-LE002253)</t>
  </si>
  <si>
    <t>CAN KRT - Admin (644012-LE002825)</t>
  </si>
  <si>
    <t>CAN NP - Admin (643012-LE002825)</t>
  </si>
  <si>
    <t>CAN PSK -Admin (645012-LE002825)</t>
  </si>
  <si>
    <t>CAN R&amp;D Data Analyst (278015-LE002253)</t>
  </si>
  <si>
    <t>CAN SMT GAT (947308-LE001758)</t>
  </si>
  <si>
    <t>CAN SMT GAT (507719-LE002648)</t>
  </si>
  <si>
    <t>Can Tho CSA (943116-LE001758)</t>
  </si>
  <si>
    <t>capture billable resource cost for CSSP (638501-LE002006)</t>
  </si>
  <si>
    <t>capture cost for the FSS Bench Resources (638203-LE002006)</t>
  </si>
  <si>
    <t>Cargill BV Malt Division (639520-LE002006)</t>
  </si>
  <si>
    <t>Cargill Cotton-US (639400-LE002006)</t>
  </si>
  <si>
    <t>Cargill CRM US (639650-LE002006)</t>
  </si>
  <si>
    <t>Cargill Inc-FSS (639512-LE002006)</t>
  </si>
  <si>
    <t>Cargill Joy -Growout Farm (170150-LE003683)</t>
  </si>
  <si>
    <t>Cargill Joy Poultry-Finance (170903-LE003683)</t>
  </si>
  <si>
    <t>Cargill Joy Poultry-Food Safety, Quality (170953-LE003683)</t>
  </si>
  <si>
    <t>Cargill Joy Poultry-Leadership (170909-LE003683)</t>
  </si>
  <si>
    <t>Cargill Joy Poultry-Logistic (170950-LE003683)</t>
  </si>
  <si>
    <t>Cargill Joy-Primary Plant S/P (170399-LE003683)</t>
  </si>
  <si>
    <t>Cargill L&amp;T Dual Operations (638106-LE002006)</t>
  </si>
  <si>
    <t>CAT2 (650911-LE001275)</t>
  </si>
  <si>
    <t>CBS Finance (230207-LE003203)</t>
  </si>
  <si>
    <t>CBS Finance Control Dep (638206-LE002006)</t>
  </si>
  <si>
    <t>CBS Function (638100-LE002006)</t>
  </si>
  <si>
    <t>CBS NJ – CI Team (230010-LE003203)</t>
  </si>
  <si>
    <t>CBS NJ CTL (230610-LE003203)</t>
  </si>
  <si>
    <t>CBS NJ-FSS Maestro Project (230208-LE003203)</t>
  </si>
  <si>
    <t>CBS-FFS (638102-LE002006)</t>
  </si>
  <si>
    <t>CCE - IND (638330-LE002006)</t>
  </si>
  <si>
    <t>CCS - FSQR (642027-LE002825)</t>
  </si>
  <si>
    <t>CCS - Supply chain and Demand (642037-LE002825)</t>
  </si>
  <si>
    <t>CDO - Production (303007-LE002115)</t>
  </si>
  <si>
    <t>Central  Warehouse 2 (650663-LE001275)</t>
  </si>
  <si>
    <t>Central Warehouse (650661-LE001275)</t>
  </si>
  <si>
    <t>CFLS - Trading (363907-LE003263)</t>
  </si>
  <si>
    <t>CFN Aqua-Sales (288009-LE002115)</t>
  </si>
  <si>
    <t>CFN China Functional Team (470117-LE003203)</t>
  </si>
  <si>
    <t>CFN Formulation - HCM (947862-LE001758)</t>
  </si>
  <si>
    <t>CFN FP&amp;A Team  (470118-LE003203)</t>
  </si>
  <si>
    <t>CFN HR (278400-LE002253)</t>
  </si>
  <si>
    <t>CFN HR &amp; Commercial (471805-LE003203)</t>
  </si>
  <si>
    <t>CFN MKT-SMT (641109-LE002825)</t>
  </si>
  <si>
    <t>CFN Noah Pork - NE/E/N (645109-LE002825)</t>
  </si>
  <si>
    <t>CFN QA Lab - Bien Hoa (765118-LE001758)</t>
  </si>
  <si>
    <t>CFN QA Lab - Ha Nam (945118-LE001758)</t>
  </si>
  <si>
    <t>CFN QA Lab - Hung Yen (766118-LE001758)</t>
  </si>
  <si>
    <t>CFN Share Inbound Logistic - Ha Nam (945867-LE001758)</t>
  </si>
  <si>
    <t>CFN Share Inbound Logistic - HCM (947867-LE001758)</t>
  </si>
  <si>
    <t>CFN Share Inbound Logistic - Hung Yen (766867-LE001758)</t>
  </si>
  <si>
    <t>CFN Share Operation - Bien Hoa (765907-LE001758)</t>
  </si>
  <si>
    <t>CFN Share Operation - Ha Nam (945907-LE001758)</t>
  </si>
  <si>
    <t>CFN Share Operation - Hung Yen (766907-LE001758)</t>
  </si>
  <si>
    <t>CFN Share Purchasing - Ha Nam (945117-LE001758)</t>
  </si>
  <si>
    <t>CFN Share Purchasing - HCM (947117-LE001758)</t>
  </si>
  <si>
    <t>CFN Share Purchasing - Hung Yen (766117-LE001758)</t>
  </si>
  <si>
    <t>CFN Share SMT - HCM (947409-LE001758)</t>
  </si>
  <si>
    <t>CFN Share Supply Chain - HCM (947126-LE001758)</t>
  </si>
  <si>
    <t>CFN SMT Team (470119-LE003203)</t>
  </si>
  <si>
    <t>CFN-GO-MGMT Admin General (641312-LE002825)</t>
  </si>
  <si>
    <t>CFN-Regional Office (641412-LE002825)</t>
  </si>
  <si>
    <t>CFN-SEA (641612-LE002825)</t>
  </si>
  <si>
    <t>CFR (731011-LE001467)</t>
  </si>
  <si>
    <t>CFR Finance (290011500-LE002115)</t>
  </si>
  <si>
    <t>CGF/CAPS (535960-LE001838)</t>
  </si>
  <si>
    <t>CGL Industrial Specialties (535955-LE001838)</t>
  </si>
  <si>
    <t>Changsha Hog (850109-LE001352)</t>
  </si>
  <si>
    <t>Channel Costs-Lecithin (9723100250-LE002476)</t>
  </si>
  <si>
    <t>Channel: Dir Labor (3100-LE002394)</t>
  </si>
  <si>
    <t>Chengdu Plant (830007-LE002893)</t>
  </si>
  <si>
    <t>Chengdu Ruminant (830209-LE002893)</t>
  </si>
  <si>
    <t>CHILLING-A (658807-LE001275)</t>
  </si>
  <si>
    <t>CHILLING-A (658307-LE001275)</t>
  </si>
  <si>
    <t>CHILLING-A (650307-LE001275)</t>
  </si>
  <si>
    <t>CHILLING-B (658607-LE001275)</t>
  </si>
  <si>
    <t>CHILLING-B (658407-LE001275)</t>
  </si>
  <si>
    <t>CHILLING-B (650407-LE001275)</t>
  </si>
  <si>
    <t>China-BOSC (860052-LE002834)</t>
  </si>
  <si>
    <t>Chongqing Aqua (467309-LE001937)</t>
  </si>
  <si>
    <t>Chongqing Hog (833109-LE001937)</t>
  </si>
  <si>
    <t>Chongqing Plant (833007-LE001937)</t>
  </si>
  <si>
    <t>Chuzhou Finance (150500-LE001440)</t>
  </si>
  <si>
    <t>CICL -  CAN function (470111-LE003203)</t>
  </si>
  <si>
    <t>CICL -  CAN MYOD (470112-LE003203)</t>
  </si>
  <si>
    <t>CICL -  CAN production (470113-LE003203)</t>
  </si>
  <si>
    <t>Cicl -  Can Provimi (470114-LE003203)</t>
  </si>
  <si>
    <t>CICL - BJ Ferrous Flat (910830-LE003203)</t>
  </si>
  <si>
    <t>CICL - BJ Food Safty (907890-LE003203)</t>
  </si>
  <si>
    <t>CICL - Corporate Audit (797903-LE003203)</t>
  </si>
  <si>
    <t>CICL - Ferrous Brokerage-BOF (809890-LE003203)</t>
  </si>
  <si>
    <t>CICL - Ferrous Flat (809830-LE003203)</t>
  </si>
  <si>
    <t>CICL - Ferrous Future (809870-LE003203)</t>
  </si>
  <si>
    <t>CICL - FIS Share Service (797902-LE003203)</t>
  </si>
  <si>
    <t>CICL - Fund/service back offic (796210-LE003203)</t>
  </si>
  <si>
    <t>CICL - Fund/service front offi (796220-LE003203)</t>
  </si>
  <si>
    <t>CICL - Geneva HR (797161-LE003203)</t>
  </si>
  <si>
    <t>CICL - Global Insurance (797906-LE003203)</t>
  </si>
  <si>
    <t>CICL - GOSC BU Finance (783893-LE003203)</t>
  </si>
  <si>
    <t>CICL - GOSC GTA (783895-LE003203)</t>
  </si>
  <si>
    <t>CICL - GOSC HR (783899-LE003203)</t>
  </si>
  <si>
    <t>CICL - GOSC Risk management (783891-LE003203)</t>
  </si>
  <si>
    <t>CICL - GOSC SHAN Gen.Admin (783860-LE003203)</t>
  </si>
  <si>
    <t>CICL - GOSC Supply chain (783900-LE003203)</t>
  </si>
  <si>
    <t>CICL - IT Bus Partner CN (797149-LE003203)</t>
  </si>
  <si>
    <t>CICL - OTD PNL (864890-LE003203)</t>
  </si>
  <si>
    <t>CICL - PNL BEAN DESK (783896-LE003203)</t>
  </si>
  <si>
    <t>CICL - PNL Cocoa (852820-LE003203)</t>
  </si>
  <si>
    <t>CICL - PNL Commerical (781881-LE003203)</t>
  </si>
  <si>
    <t>CICL - PNL Corp Acctg (797120-LE003203)</t>
  </si>
  <si>
    <t>CICL - PNL Corporate Affairs (797180-LE003203)</t>
  </si>
  <si>
    <t>CICL - PNL CTS Admin (804951-LE003203)</t>
  </si>
  <si>
    <t>CICL - PNL CTS Marketing (804955-LE003203)</t>
  </si>
  <si>
    <t>CICL - PNL EHS (804963-LE003203)</t>
  </si>
  <si>
    <t>CICL - PNL Food Safty (797890-LE003203)</t>
  </si>
  <si>
    <t>CICL - PNL GOSC Oilseed (783870-LE003203)</t>
  </si>
  <si>
    <t>CICL - PNL HR (797160-LE003203)</t>
  </si>
  <si>
    <t>CICL - PNL Legal (797150-LE003203)</t>
  </si>
  <si>
    <t>CICL - PNL Meat FP project (968864-LE003203)</t>
  </si>
  <si>
    <t>CICL - PNL Meat Mgmt (968860-LE003203)</t>
  </si>
  <si>
    <t>CICL - PNL OE &amp; T/D (797820-LE003203)</t>
  </si>
  <si>
    <t>CICL - PNL Office Serv (797130-LE003203)</t>
  </si>
  <si>
    <t>CICL - PNL Petroleum Agency (863890-LE003203)</t>
  </si>
  <si>
    <t>CICL - PNL Procurement (797135-LE003203)</t>
  </si>
  <si>
    <t>CICL - PNL Risk Free (796170-LE003203)</t>
  </si>
  <si>
    <t>CICL - PNL SBD (797125-LE003203)</t>
  </si>
  <si>
    <t>CICL - PNL SSA (781876-LE003203)</t>
  </si>
  <si>
    <t>CICL - PNL SSA (781930-LE003203)</t>
  </si>
  <si>
    <t>CICL - PNL SSA Admin (781920-LE003203)</t>
  </si>
  <si>
    <t>CICL - PNL SSA Finance (781812-LE003203)</t>
  </si>
  <si>
    <t>CICL - PNL SSA HR (781811-LE003203)</t>
  </si>
  <si>
    <t>CICL - PNL SSA Pinghu (781874-LE003203)</t>
  </si>
  <si>
    <t>CICL - PNL SSA ShD Oper/Engin (781933-LE003203)</t>
  </si>
  <si>
    <t>CICL - PNL SSC FSQR (781810-LE003203)</t>
  </si>
  <si>
    <t>CICL - PNL SSC Procurement (781701-LE003203)</t>
  </si>
  <si>
    <t>CICL - PNL SSC  R&amp;D (781900-LE003203)</t>
  </si>
  <si>
    <t>CICL - PNL Tax (797190-LE003203)</t>
  </si>
  <si>
    <t>CICL - PNL Transport &amp; Logistics (797145-LE003203)</t>
  </si>
  <si>
    <t>CICL - SD-PMO - CHN (797142-LE003203)</t>
  </si>
  <si>
    <t>CICL BJ - BOSC -CE (911812-LE003203)</t>
  </si>
  <si>
    <t>CICL BJ - CAN Marketing (471210-LE003203)</t>
  </si>
  <si>
    <t>CICL BJ - CAN MYOD (471250-LE003203)</t>
  </si>
  <si>
    <t>CICL BJ - CAN Production (471230-LE003203)</t>
  </si>
  <si>
    <t>CICL BJ - CAN Tech application (471220-LE003203)</t>
  </si>
  <si>
    <t>CICL BJ - CAN Tradico (471240-LE003203)</t>
  </si>
  <si>
    <t>CICL BJ - Charge to ROA (909892-LE003203)</t>
  </si>
  <si>
    <t>CICL BJ - Corporate Affairs (907180-LE003203)</t>
  </si>
  <si>
    <t>CICL BJ - GHRS Talent acquisti (907602-LE003203)</t>
  </si>
  <si>
    <t>CICL BJ - HR APAC Project Aurora (907165-LE003203)</t>
  </si>
  <si>
    <t>CICL BJ - Legal (907150-LE003203)</t>
  </si>
  <si>
    <t>CICL BJ - PNL Admin (907110-LE003203)</t>
  </si>
  <si>
    <t>CICL BJ - PNL GOSC G&amp;A (909860-LE003203)</t>
  </si>
  <si>
    <t>CICL BJ - PNL GOSC Trade Execu (909891-LE003203)</t>
  </si>
  <si>
    <t>CICL BJ - PNL HR (907160-LE003203)</t>
  </si>
  <si>
    <t>CICL BJ - PNL Procurement (907135-LE003203)</t>
  </si>
  <si>
    <t>CICL BJ - PNL SSC Admin (911920-LE003203)</t>
  </si>
  <si>
    <t>CICL BJ - SSA ShD Oper/Engin (911933-LE003203)</t>
  </si>
  <si>
    <t>CICL BJ- HR Talent Performance (907603-LE003203)</t>
  </si>
  <si>
    <t>CICL BJ SSA - PNL Trading (911930-LE003203)</t>
  </si>
  <si>
    <t>CICL BJ SSA -CSSP (911932-LE003203)</t>
  </si>
  <si>
    <t>CICL BJ SSC BOSC project (911706-LE003203)</t>
  </si>
  <si>
    <t>CICL BJ-Expediting (907137-LE003203)</t>
  </si>
  <si>
    <t>CICL BJ-PNL CTL (907145-LE003203)</t>
  </si>
  <si>
    <t>CICL BJ-PNL SSA CI (911811-LE003203)</t>
  </si>
  <si>
    <t>CICL -CAN HR (470115-LE003203)</t>
  </si>
  <si>
    <t>CICL Centralization project (797136-LE003203)</t>
  </si>
  <si>
    <t>CICL -CSST (797913-LE003203)</t>
  </si>
  <si>
    <t>CICL FP&amp;A (783905-LE003203)</t>
  </si>
  <si>
    <t>CICL GM (797821-LE003203)</t>
  </si>
  <si>
    <t>CICL HR Talent (797603-LE003203)</t>
  </si>
  <si>
    <t>CICL NJ -  CSSP -PMDM (230530-LE003203)</t>
  </si>
  <si>
    <t>CICL NJ -  CSSP -PO (230540-LE003203)</t>
  </si>
  <si>
    <t>CICL NJ -  CSSP -TS (230550-LE003203)</t>
  </si>
  <si>
    <t>CICL NJ - CSSP Maestro (230506-LE003203)</t>
  </si>
  <si>
    <t>CICL NJ - CTL FAP (230630-LE003203)</t>
  </si>
  <si>
    <t>CICL NJ - CTL S&amp;E (230640-LE003203)</t>
  </si>
  <si>
    <t>CICL NJ - FSS Bench (230206-LE003203)</t>
  </si>
  <si>
    <t>CICL NJ - GHRO Unallocated (230305-LE003203)</t>
  </si>
  <si>
    <t>CICL NJ - PNL CBS (230000-LE003203)</t>
  </si>
  <si>
    <t>CICL NJ - PNL CSS (230500-LE003203)</t>
  </si>
  <si>
    <t>CICL NJ - PNL Dual Ops CSS (230005-LE003203)</t>
  </si>
  <si>
    <t>CICL NJ - PNL Dual Ops CTL (230006-LE003203)</t>
  </si>
  <si>
    <t>CICL NJ - PNL Dual Ops FSS (230002-LE003203)</t>
  </si>
  <si>
    <t>CICL NJ - PNL Dual Ops HR (230003-LE003203)</t>
  </si>
  <si>
    <t>CICL NJ - PNL FSS (230200-LE003203)</t>
  </si>
  <si>
    <t>CICL NJ - PNL HR (230300-LE003203)</t>
  </si>
  <si>
    <t>CICL NJ -  FSS Migration (230204-LE003203)</t>
  </si>
  <si>
    <t>CICL NJ -  Global IT (230008-LE003203)</t>
  </si>
  <si>
    <t>CICL NJ-PMO (230007-LE003203)</t>
  </si>
  <si>
    <t>CICL -PNL CSA Tianjin (804952-LE003203)</t>
  </si>
  <si>
    <t>CICL -PNL SSA Tianjin (781873-LE003203)</t>
  </si>
  <si>
    <t>CICL -Reginal Exp Char (470116-LE003203)</t>
  </si>
  <si>
    <t>CICL SH - GHRS Talent acquisti (797602-LE003203)</t>
  </si>
  <si>
    <t>CICL SH - PNL SSC (781702-LE003203)</t>
  </si>
  <si>
    <t>CICL SH - PNL SSC CSSP (781934-LE003203)</t>
  </si>
  <si>
    <t>CICL SH-PNL SSC (781878-LE003203)</t>
  </si>
  <si>
    <t>CICL-Beijing Cotton (909893-LE003203)</t>
  </si>
  <si>
    <t>CICL-BOSC (797911-LE003203)</t>
  </si>
  <si>
    <t>CICL-Com excellence (797914-LE003203)</t>
  </si>
  <si>
    <t>CICL-Commerical-Field S (973960-LE003203)</t>
  </si>
  <si>
    <t>CICL-CSA  BU Operations (804957-LE003203)</t>
  </si>
  <si>
    <t>CICL-CSA-CHHR (804956-LE003203)</t>
  </si>
  <si>
    <t>CICL-CSSP in CBSNJ (230700-LE003203)</t>
  </si>
  <si>
    <t>CICL-CSSP Maestro (797138-LE003203)</t>
  </si>
  <si>
    <t>CICL-GOSC Commercial (783950-LE003203)</t>
  </si>
  <si>
    <t>CICL-GTM (797912-LE003203)</t>
  </si>
  <si>
    <t>CICL-HR TMO (797164-LE003203)</t>
  </si>
  <si>
    <t>CICL-Industrial Special (175110-LE003203)</t>
  </si>
  <si>
    <t>CICL-Industrial Special (176110-LE003203)</t>
  </si>
  <si>
    <t>CICL-NJ CBS (797124-LE003203)</t>
  </si>
  <si>
    <t>CICL-OTD GTM (864870-LE003203)</t>
  </si>
  <si>
    <t>CICL-PNL CAP Finance (968866-LE003203)</t>
  </si>
  <si>
    <t>CICL-PNL GOSC Trade Execution (783890-LE003203)</t>
  </si>
  <si>
    <t>CICL-TSF PNL-TSF ACCTG (865910-LE003203)</t>
  </si>
  <si>
    <t>CICL-TSF PNL-TSF Admin (865908-LE003203)</t>
  </si>
  <si>
    <t>CICL-TSF PNL-TSF Traders (865907-LE003203)</t>
  </si>
  <si>
    <t>CICT-TSF PNL (228907-LE003631)</t>
  </si>
  <si>
    <t>CILEBC- Export Bean Crushing (545909-LE001467)</t>
  </si>
  <si>
    <t>CILMBP- Malwa Bean Pr (545902-LE001467)</t>
  </si>
  <si>
    <t>CIPL - Cotton - ADM (544000-LE001467)</t>
  </si>
  <si>
    <t>CIPL- FMG-TSF trading (744240-LE001467)</t>
  </si>
  <si>
    <t>CIPL-HR EMEA (731750-LE001467)</t>
  </si>
  <si>
    <t>CISA-WTU (639800-LE002006)</t>
  </si>
  <si>
    <t>CITPL ADMIN GOSCA ASIAL (639701-LE002006)</t>
  </si>
  <si>
    <t>Club House (658924-LE001275)</t>
  </si>
  <si>
    <t>CMK AGRICULTURAL ADMIN (658199-LE001275)</t>
  </si>
  <si>
    <t>CMK Breeder 11 (658107-LE001275)</t>
  </si>
  <si>
    <t>CMK Breeder 12 (658108-LE001275)</t>
  </si>
  <si>
    <t>CMK BREEDER 5 (658103-LE001275)</t>
  </si>
  <si>
    <t>CMK BREEDER 8 (658104-LE001275)</t>
  </si>
  <si>
    <t>CMK DEBONE GENERAL (658810-LE001275)</t>
  </si>
  <si>
    <t>CMK Employee Services (658931-LE001275)</t>
  </si>
  <si>
    <t>CMK HR-Employee Relations (658932-LE001275)</t>
  </si>
  <si>
    <t>CMK HR-Recruitment-Daily (658920-LE001275)</t>
  </si>
  <si>
    <t>CMK LOAD DOMESTIC-QC PP (658380-LE001275)</t>
  </si>
  <si>
    <t>CMK MAINTENANCE PP3 (658871-LE001275)</t>
  </si>
  <si>
    <t>CMK PLANNING PP3 (658891-LE001275)</t>
  </si>
  <si>
    <t>CMK PLANT GENERAL (658890-LE001275)</t>
  </si>
  <si>
    <t>CMK QUALITY CONTROL PP3 (658881-LE001275)</t>
  </si>
  <si>
    <t>CMK RAW FURT PROC BB (658830-LE001275)</t>
  </si>
  <si>
    <t>CMK RAW FURTHER GEN PP3 (658820-LE001275)</t>
  </si>
  <si>
    <t>CMK RECEIVE HANG&amp;KILL PP3 (658800-LE001275)</t>
  </si>
  <si>
    <t>CMK Sub Station (658375-LE001275)</t>
  </si>
  <si>
    <t>CMK WAREHOUSE PP (658363-LE001275)</t>
  </si>
  <si>
    <t>CMT Pullet 9 (658204-LE001275)</t>
  </si>
  <si>
    <t>Cocoa Plant Gresik (663041-LE001838)</t>
  </si>
  <si>
    <t>COGS - Weighbridge       (645072-LE003254)</t>
  </si>
  <si>
    <t>COGS -Production Crush         (645030-LE003254)</t>
  </si>
  <si>
    <t>COGS -R&amp;M           (645034-LE003254)</t>
  </si>
  <si>
    <t>COGS-BOSC (874045-LE002558)</t>
  </si>
  <si>
    <t>COGS-Safeguard     (645071-LE003254)</t>
  </si>
  <si>
    <t>Cold Storage -FP4 (658667-LE001275)</t>
  </si>
  <si>
    <t>Collect data of FP&amp;A (489035-LE002163)</t>
  </si>
  <si>
    <t>Comm. Sales Force (6365000000-LE002825)</t>
  </si>
  <si>
    <t>Commercial (150600-LE001440)</t>
  </si>
  <si>
    <t>Commercial (472020-LE001438)</t>
  </si>
  <si>
    <t>Commercial (250600-LE003259)</t>
  </si>
  <si>
    <t>Commercial Makassar (663535-LE001838)</t>
  </si>
  <si>
    <t>Commercial/Sales Force (12715000-LE002394)</t>
  </si>
  <si>
    <t>Commercial/Sales Force (5000-LE002394)</t>
  </si>
  <si>
    <t>Commercial-Bakery (167058-LE002404)</t>
  </si>
  <si>
    <t>Commercial-Bakery (366021-LE002834)</t>
  </si>
  <si>
    <t>Commercial-Bakery (973930-LE003203)</t>
  </si>
  <si>
    <t>Commercial-BR (474021-LE001438)</t>
  </si>
  <si>
    <t>Commercial-BR (926021-LE002834)</t>
  </si>
  <si>
    <t>Commercial-BR (965045-LE002404)</t>
  </si>
  <si>
    <t>Commercial-VA-FI (167051-LE002404)</t>
  </si>
  <si>
    <t>Commercial-VA-FI (366020-LE002834)</t>
  </si>
  <si>
    <t>Commercial-VA-FI (973890-LE003203)</t>
  </si>
  <si>
    <t>Commercial-VA-FS (167055-LE002404)</t>
  </si>
  <si>
    <t>Commercial-VA-FS (366025-LE002834)</t>
  </si>
  <si>
    <t>Commercial-VA-FS (973950-LE003203)</t>
  </si>
  <si>
    <t>Commercial-VA-Other (366023-LE002834)</t>
  </si>
  <si>
    <t>Commercial-VA-Other (973920-LE003203)</t>
  </si>
  <si>
    <t>Communication (650970-LE001275)</t>
  </si>
  <si>
    <t>COMPI-CCP Storage (514030800-LE002950)</t>
  </si>
  <si>
    <t>COMPI-FSQR Expenses (514010102-LE002950)</t>
  </si>
  <si>
    <t>Continuous Improvement (638108-LE002006)</t>
  </si>
  <si>
    <t>Contract executive (472044-LE001438)</t>
  </si>
  <si>
    <t>Contract Farm (111101-LE001440)</t>
  </si>
  <si>
    <t>Control COE (638205-LE002006)</t>
  </si>
  <si>
    <t>Cook Line 1-1 (650531-LE001275)</t>
  </si>
  <si>
    <t>Cook Line 3- 1 (650533-LE001275)</t>
  </si>
  <si>
    <t>Cook Line 4-1 (650534-LE001275)</t>
  </si>
  <si>
    <t>Cook Line 5-2 (650537-LE001275)</t>
  </si>
  <si>
    <t>Cook Line 6-2 (650633-LE001275)</t>
  </si>
  <si>
    <t>Cook Line 7-2 (650634-LE001275)</t>
  </si>
  <si>
    <t>Cooking (143530-LE003691)</t>
  </si>
  <si>
    <t>Copra Procurement (694105-LE001838)</t>
  </si>
  <si>
    <t>Copra Terminal Operation (694101-LE001838)</t>
  </si>
  <si>
    <t>Corn (662103-LE001952)</t>
  </si>
  <si>
    <t>Corn (233880-LE003203)</t>
  </si>
  <si>
    <t>Corn Procurement Expense (311-LE003044)</t>
  </si>
  <si>
    <t>Corn Receiving Expense (310-LE003044)</t>
  </si>
  <si>
    <t>Corporate Accounting (CFR) (278880-LE002253)</t>
  </si>
  <si>
    <t>Corporate Affair (731061-LE001467)</t>
  </si>
  <si>
    <t>Corporate Affair (535700-LE001838)</t>
  </si>
  <si>
    <t>Corporate Affairs APAC (731690-LE001467)</t>
  </si>
  <si>
    <t>Corporate Finance Reporting (Thai) (623011-LE002825)</t>
  </si>
  <si>
    <t>Country Representative (290013000-LE002115)</t>
  </si>
  <si>
    <t>CPI - Corp Affairs (290010600-LE002115)</t>
  </si>
  <si>
    <t>CPI - HR (290011700-LE002115)</t>
  </si>
  <si>
    <t>CPI - TAX (290012600-LE002115)</t>
  </si>
  <si>
    <t>CPI-CSSP (290012900-LE002115)</t>
  </si>
  <si>
    <t>CPN Admin (507012-LE002648)</t>
  </si>
  <si>
    <t>CPN Aiden (470162-LE003203)</t>
  </si>
  <si>
    <t>CPN Finance &amp; Admin (502012-LE002115)</t>
  </si>
  <si>
    <t>CPN Mila (470161-LE003203)</t>
  </si>
  <si>
    <t>CPN Nanning Adien (219009-LE002781)</t>
  </si>
  <si>
    <t>CPN Nanning Admin (486012-LE002228)</t>
  </si>
  <si>
    <t>CPN Nanning Plant (486007-LE002228)</t>
  </si>
  <si>
    <t>CPN Operations (502007-LE002115)</t>
  </si>
  <si>
    <t>CPN Sales (502009-LE002115)</t>
  </si>
  <si>
    <t>CPN SMT (470160-LE003203)</t>
  </si>
  <si>
    <t>CPN-Formula-Tianjin (632207-LE003422)</t>
  </si>
  <si>
    <t>CPN-Formulation-NanJing (840207-LE002807)</t>
  </si>
  <si>
    <t>CPN-MGT Regional (637011-LE002825)</t>
  </si>
  <si>
    <t>CPN-Nanning-CS (486826-LE002228)</t>
  </si>
  <si>
    <t>CPN-Reg SMT 1 (637209-LE002825)</t>
  </si>
  <si>
    <t>CPN-Reg SMT 2 (637309-LE002825)</t>
  </si>
  <si>
    <t>CPN-RMS-NanJing (840107-LE002807)</t>
  </si>
  <si>
    <t>CPN-RMS-Tianjin (632107-LE003422)</t>
  </si>
  <si>
    <t>CPN-Sales (Regional) (637029-LE002825)</t>
  </si>
  <si>
    <t>CPN-Sales AE (637009-LE002825)</t>
  </si>
  <si>
    <t>CPN-SMT/ CS / Regulatory (637409-LE002825)</t>
  </si>
  <si>
    <t>CPN-SMT-NanNing (486312-LE002228)</t>
  </si>
  <si>
    <t>CPN-SMT-NJ (840312-LE002807)</t>
  </si>
  <si>
    <t>CPN-TianJin-Adien (238009-LE003422)</t>
  </si>
  <si>
    <t>CPN-TianJin-CS. (632826-LE003422)</t>
  </si>
  <si>
    <t>CPN-TJ expense (632109-LE003422)</t>
  </si>
  <si>
    <t>CPN-TJ Management (632012-LE003422)</t>
  </si>
  <si>
    <t>CPN-TJ Production (632007-LE003422)</t>
  </si>
  <si>
    <t>CPN-TJ Sales (632009-LE003422)</t>
  </si>
  <si>
    <t>CQN CSA (137116-LE003659)</t>
  </si>
  <si>
    <t>CQN Formulation - HCM (159862-LE001758)</t>
  </si>
  <si>
    <t>CQN Operation - Bien Hoa (153007-LE001758)</t>
  </si>
  <si>
    <t>CQN Operation - Ha Nam (158007-LE001758)</t>
  </si>
  <si>
    <t>CQN Operation - Hung Yen (154007-LE001758)</t>
  </si>
  <si>
    <t>CQN PB - EHS (647232-LE002825)</t>
  </si>
  <si>
    <t>CQN QAQC (137118-LE003659)</t>
  </si>
  <si>
    <t>CQN Research &amp; Development (137011-LE003659)</t>
  </si>
  <si>
    <t>CQN SMT - HCM (159309-LE001758)</t>
  </si>
  <si>
    <t>CQN-ADMIN (647012-LE002825)</t>
  </si>
  <si>
    <t>CQN-AQUA (646109-LE002825)</t>
  </si>
  <si>
    <t>CQN-SA (646012-LE002825)</t>
  </si>
  <si>
    <t>CQN-SHRIMP DENNIS (647009-LE002825)</t>
  </si>
  <si>
    <t>CQN-TAM Admin/MKT (646009-LE002825)</t>
  </si>
  <si>
    <t>CQN-WA (647015-LE002825)</t>
  </si>
  <si>
    <t>Crgl Inc- IT (639511-LE002006)</t>
  </si>
  <si>
    <t>Crgl-AMG (639513-LE002006)</t>
  </si>
  <si>
    <t>Crush (472030-LE001438)</t>
  </si>
  <si>
    <t>Crush Lecithin (860035-LE002834)</t>
  </si>
  <si>
    <t>Crush-COGS-Lab (645036-LE003254)</t>
  </si>
  <si>
    <t>Cs-Hanchuan Plant (966007-LE001352)</t>
  </si>
  <si>
    <t>CSL-Growout Farm-Farm 16 (Thai) (652166-LE002825)</t>
  </si>
  <si>
    <t>CSL-Growout Farm-Farm 17 (Thai) (652167-LE002825)</t>
  </si>
  <si>
    <t>CSL-Growout Farm-Farm 18 (Thai) (652168-LE002825)</t>
  </si>
  <si>
    <t>CSL-Growout Farm-Farm-13 (Thai) (652163-LE002825)</t>
  </si>
  <si>
    <t>CSL-Growout Farm-Farm-14 (Thai) (652164-LE002825)</t>
  </si>
  <si>
    <t>CSL-Growout Farm-Farm-15 (Thai) (652165-LE002825)</t>
  </si>
  <si>
    <t>CSR &amp; Community Relation (650971-LE001275)</t>
  </si>
  <si>
    <t>CSS (731430-LE001467)</t>
  </si>
  <si>
    <t>CSS Strategic Sourcing (535940-LE001838)</t>
  </si>
  <si>
    <t>CSSP - Allocated APAC (638502-LE002006)</t>
  </si>
  <si>
    <t>CSSP Maestro (638510-LE002006)</t>
  </si>
  <si>
    <t>CSSP-CAN (907136-LE003203)</t>
  </si>
  <si>
    <t>CSSP-Thailand Procurement (623033-LE002825)</t>
  </si>
  <si>
    <t>CTB ADMIN (611000-LE002825)</t>
  </si>
  <si>
    <t>CTB TRADING (611001-LE002825)</t>
  </si>
  <si>
    <t>CTL (535942-LE001838)</t>
  </si>
  <si>
    <t>CTL (873046-LE002476)</t>
  </si>
  <si>
    <t>CTL Freight Forwarding (137867-LE003659)</t>
  </si>
  <si>
    <t>CTL Thailand (623038-LE002825)</t>
  </si>
  <si>
    <t>CTL-Freight Forwarding (874024-LE002558)</t>
  </si>
  <si>
    <t>CTL-Shipment Execution (874023-LE002558)</t>
  </si>
  <si>
    <t>CTL-Strategy/Planning_Cont (638602-LE002006)</t>
  </si>
  <si>
    <t>CTS (535920-LE001838)</t>
  </si>
  <si>
    <t>CTS1 - Finan/Admin/CSD All PNLs (5117200000-LE001056)</t>
  </si>
  <si>
    <t>CTS2 - Comm Sales Force All PNLs (5115000000-LE001056)</t>
  </si>
  <si>
    <t>CTSL - PNL Animal Protein (790860-LE001913)</t>
  </si>
  <si>
    <t>Customer Service Expense (602-LE003044)</t>
  </si>
  <si>
    <t>Customer Service, Common (1245115250-LE001949)</t>
  </si>
  <si>
    <t>Customer Service, Ludhiana (1245115223-LE001949)</t>
  </si>
  <si>
    <t>CVL CTS Admin (146012-LE001758)</t>
  </si>
  <si>
    <t>CVL Metals Admin (147012-LE001758)</t>
  </si>
  <si>
    <t>CVL Procurement (768023-LE001758)</t>
  </si>
  <si>
    <t>CVL_Bien Hoa_Admin (765012-LE001758)</t>
  </si>
  <si>
    <t>CVL_Bien Hoa_Livestock (765009-LE001758)</t>
  </si>
  <si>
    <t>CVL_Bien Hoa_Plant (765007-LE001758)</t>
  </si>
  <si>
    <t>CVL_Binh Dinh_Admin (942012-LE001758)</t>
  </si>
  <si>
    <t>CVL_Binh Dinh_Livestock (942009-LE001758)</t>
  </si>
  <si>
    <t>CVL_Binh Dinh_Plant (942007-LE001758)</t>
  </si>
  <si>
    <t>CVL_Can Tho_Admin (943012-LE001758)</t>
  </si>
  <si>
    <t>CVL_Can Tho_Livestock (943009-LE001758)</t>
  </si>
  <si>
    <t>CVL_Can Tho_Plant (943007-LE001758)</t>
  </si>
  <si>
    <t>CVL_Dong Thap_Admin (764012-LE001758)</t>
  </si>
  <si>
    <t>CVL_Dong Thap_Plant (764007-LE001758)</t>
  </si>
  <si>
    <t>CVL_GO_Admin (947012-LE001758)</t>
  </si>
  <si>
    <t>CVL_GO_Branding (947309-LE001758)</t>
  </si>
  <si>
    <t>CVL_Ha Nam_Admin (945012-LE001758)</t>
  </si>
  <si>
    <t>CVL_Ha Nam_Livestock (945009-LE001758)</t>
  </si>
  <si>
    <t>CVL_Ha Nam_Plant (945007-LE001758)</t>
  </si>
  <si>
    <t>CVL_Hung Yen_Admin (766012-LE001758)</t>
  </si>
  <si>
    <t>CVL_Hung Yen_Livestock (766009-LE001758)</t>
  </si>
  <si>
    <t>CVL_Hung Yen_Plant (766007-LE001758)</t>
  </si>
  <si>
    <t>CVL_Long An_Admin (941012-LE001758)</t>
  </si>
  <si>
    <t>CVL_Long An_Livestock (941009-LE001758)</t>
  </si>
  <si>
    <t>CVL_Long An_Logistics (941867-LE001758)</t>
  </si>
  <si>
    <t>CVL_Long An_Plant (941007-LE001758)</t>
  </si>
  <si>
    <t>CVL_Rep Admin (768012-LE001758)</t>
  </si>
  <si>
    <t>CVL_Tien Giang_Logistic (948867-LE001758)</t>
  </si>
  <si>
    <t>CVL_Tien Giang_Plant (948007-LE001758)</t>
  </si>
  <si>
    <t>CVL_Training Center (650409-LE001758)</t>
  </si>
  <si>
    <t>CVL-Corporate Affairs (768020-LE001758)</t>
  </si>
  <si>
    <t>CVL-CSSNA-ADMIN (164012-LE001758)</t>
  </si>
  <si>
    <t>CVL-Global Human resource Opertions-GHRO (768021-LE001758)</t>
  </si>
  <si>
    <t>CVL-Treasury ADM (768018-LE001758)</t>
  </si>
  <si>
    <t>DAIRY SALES (1245114083-LE001949)</t>
  </si>
  <si>
    <t>Dairy Sales - Govt (1245114015-LE001949)</t>
  </si>
  <si>
    <t>Dairy Sales - North (1245114008-LE001949)</t>
  </si>
  <si>
    <t>DAIRY SALES - PHASE 1 (1245114002-LE001949)</t>
  </si>
  <si>
    <t>Dairy Sales - South and East (1245114004-LE001949)</t>
  </si>
  <si>
    <t>Dairy Tech &amp; General Expenses (1245115483-LE001949)</t>
  </si>
  <si>
    <t>Data &amp; Business Intelligence (638314-LE002006)</t>
  </si>
  <si>
    <t>Data &amp; Business Intelligence MYS (278173-LE002253)</t>
  </si>
  <si>
    <t>Data Business Intelligence Project - PH (290011603-LE002115)</t>
  </si>
  <si>
    <t>Data Management Team (278500-LE002253)</t>
  </si>
  <si>
    <t>Davao Lab (285117-LE002115)</t>
  </si>
  <si>
    <t>Davao Production (285007-LE002115)</t>
  </si>
  <si>
    <t>DEBONE 1 (658311-LE001275)</t>
  </si>
  <si>
    <t>DEBONE 1 (650311-LE001275)</t>
  </si>
  <si>
    <t>DEBONE 2 (658312-LE001275)</t>
  </si>
  <si>
    <t>DEBONE 2 (650312-LE001275)</t>
  </si>
  <si>
    <t>DEBONE 3 (658313-LE001275)</t>
  </si>
  <si>
    <t>DEBONE 3 (650313-LE001275)</t>
  </si>
  <si>
    <t>DEBONE 4 (658314-LE001275)</t>
  </si>
  <si>
    <t>DEBONE 4 (650314-LE001275)</t>
  </si>
  <si>
    <t>DEBONE BL 1 (658411-LE001275)</t>
  </si>
  <si>
    <t>DEBONE BL 2 (658413-LE001275)</t>
  </si>
  <si>
    <t>DEBONE BL1-A (658813-LE001275)</t>
  </si>
  <si>
    <t>DEBONE BL3-B (658613-LE001275)</t>
  </si>
  <si>
    <t>Debone BL4 Manual - B (658844-LE001275)</t>
  </si>
  <si>
    <t>DEBONE GENERAL KNIFE-A (658843-LE001275)</t>
  </si>
  <si>
    <t>DEBONE GENERAL KNIFE-B (658845-LE001275)</t>
  </si>
  <si>
    <t>DEBONE GENERAL-B (658610-LE001275)</t>
  </si>
  <si>
    <t>DEBONE OH BB 2-A (658812-LE001275)</t>
  </si>
  <si>
    <t>DEBONE OH BB4-B (658612-LE001275)</t>
  </si>
  <si>
    <t>DEBONE OH BL 1-A (658811-LE001275)</t>
  </si>
  <si>
    <t>DEBONE OH BL3-B (658611-LE001275)</t>
  </si>
  <si>
    <t>DEBONE OH FILLET-B (658616-LE001275)</t>
  </si>
  <si>
    <t>DEBONE SP 1 (658412-LE001275)</t>
  </si>
  <si>
    <t>DEBONE SP 2 (658414-LE001275)</t>
  </si>
  <si>
    <t>DEBONE SP FILLET-A (658814-LE001275)</t>
  </si>
  <si>
    <t>DEBONE SP1-A (658815-LE001275)</t>
  </si>
  <si>
    <t>DEBONE SP2-A (658816-LE001275)</t>
  </si>
  <si>
    <t>DEBONE SP3-B (658615-LE001275)</t>
  </si>
  <si>
    <t>DEBONE-5 (650411-LE001275)</t>
  </si>
  <si>
    <t>DEBONE-6 (650412-LE001275)</t>
  </si>
  <si>
    <t>DEBONE-7 (650413-LE001275)</t>
  </si>
  <si>
    <t>DEBONE-8 (650414-LE001275)</t>
  </si>
  <si>
    <t>DEFEATHERING-A (658801-LE001275)</t>
  </si>
  <si>
    <t>DEFEATHERING-A (658301-LE001275)</t>
  </si>
  <si>
    <t>DEFEATHERING-A (650301-LE001275)</t>
  </si>
  <si>
    <t>DEFEATHERING-B (658601-LE001275)</t>
  </si>
  <si>
    <t>DEFEATHERING-B (658401-LE001275)</t>
  </si>
  <si>
    <t>DEFEATHERING-B (650401-LE001275)</t>
  </si>
  <si>
    <t>DESA FSQR (264412-LE002380)</t>
  </si>
  <si>
    <t>DESA Plant (264007-LE002380)</t>
  </si>
  <si>
    <t>Development (12716200-LE002394)</t>
  </si>
  <si>
    <t>Development (6200-LE002394)</t>
  </si>
  <si>
    <t>Dmst Outlet Office - CMS (650944-LE001275)</t>
  </si>
  <si>
    <t>DOMESTIC CHILL-B (650406-LE001275)</t>
  </si>
  <si>
    <t>DOMESTIC SALES-A (658806-LE001275)</t>
  </si>
  <si>
    <t>DOMESTIC SALES-A (658306-LE001275)</t>
  </si>
  <si>
    <t>DOMESTIC SALES-B (658606-LE001275)</t>
  </si>
  <si>
    <t>DOMESTIC SALES-B (658406-LE001275)</t>
  </si>
  <si>
    <t>Dong Thap CSA (764116-LE001758)</t>
  </si>
  <si>
    <t>Dong Thap T&amp;L (764109-LE001758)</t>
  </si>
  <si>
    <t>Dummy (658614-LE001275)</t>
  </si>
  <si>
    <t>EHS (1245113016-LE001949)</t>
  </si>
  <si>
    <t>EHS (1245116016-LE001949)</t>
  </si>
  <si>
    <t>EHS (114101514-LE001467)</t>
  </si>
  <si>
    <t>EHS (874044-LE002558)</t>
  </si>
  <si>
    <t>EHS Central (650594-LE001275)</t>
  </si>
  <si>
    <t>EHS Central (143594-LE003691)</t>
  </si>
  <si>
    <t>EHS CTP (278042-LE002253)</t>
  </si>
  <si>
    <t>EHS Expense (904-LE003044)</t>
  </si>
  <si>
    <t>Employee Services (650931-LE001275)</t>
  </si>
  <si>
    <t>Engineer (143589-LE003691)</t>
  </si>
  <si>
    <t>Engineer and Project (160100-LE001440)</t>
  </si>
  <si>
    <t>Engineer Center Expense (805-LE003044)</t>
  </si>
  <si>
    <t>Engineering - FP4 (658689-LE001275)</t>
  </si>
  <si>
    <t>Engineering and Reliability (650596-LE001275)</t>
  </si>
  <si>
    <t>Enterprise Cloud Applications (638308-LE002006)</t>
  </si>
  <si>
    <t>ERP Maintenance &amp; Support (638313-LE002006)</t>
  </si>
  <si>
    <t>ERP Technology Services (638312-LE002006)</t>
  </si>
  <si>
    <t>Estate EHS (690111-LE001929)</t>
  </si>
  <si>
    <t>EVISCERATION 1-B (650403-LE001275)</t>
  </si>
  <si>
    <t>EVISCERATION 2-A (650304-LE001275)</t>
  </si>
  <si>
    <t>EVISCERATION 2-B (650404-LE001275)</t>
  </si>
  <si>
    <t>EVISCERATION REJECT BIRD-A (658803-LE001275)</t>
  </si>
  <si>
    <t>EVISCERATION REJECT BIRD-B (658804-LE001275)</t>
  </si>
  <si>
    <t>EVISCERATION-G.-A (658802-LE001275)</t>
  </si>
  <si>
    <t>EVISCERATION-G.-A (658302-LE001275)</t>
  </si>
  <si>
    <t>EVISCERATION-G-B (658602-LE001275)</t>
  </si>
  <si>
    <t>EVISCERATION-G-B (658402-LE001275)</t>
  </si>
  <si>
    <t>EVISCERATION-G-B (650402-LE001275)</t>
  </si>
  <si>
    <t>Expatriate Assignment (873062-LE002476)</t>
  </si>
  <si>
    <t>EXPORTS - SALES (1245114086-LE001949)</t>
  </si>
  <si>
    <t>EXPORTS - SALES (1245114088-LE001949)</t>
  </si>
  <si>
    <t>F&amp;I Starch WB Dir Prod (121500038-LE002281)</t>
  </si>
  <si>
    <t>F&amp;I Starch WB General Admin (121500043-LE002281)</t>
  </si>
  <si>
    <t>F&amp;I Starches Way Bungur Prod Warehouse (121500036-LE002281)</t>
  </si>
  <si>
    <t>F&amp;I Starches WB Fin&amp;Admin (121500044-LE002281)</t>
  </si>
  <si>
    <t>F&amp;I Starches WB HR (121500045-LE002281)</t>
  </si>
  <si>
    <t>F&amp;I Starches WB Plant Maint (121500035-LE002281)</t>
  </si>
  <si>
    <t>F&amp;I Starches WB QA (121500034-LE002281)</t>
  </si>
  <si>
    <t>F&amp;I Starches WB Root Buyer (121500037-LE002281)</t>
  </si>
  <si>
    <t>Factory Mgnt (143909-LE003691)</t>
  </si>
  <si>
    <t>FC-Supply Chain-Warehouse FG (167064-LE002404)</t>
  </si>
  <si>
    <t>FEED Hefei-PLANT (483007-LE001185)</t>
  </si>
  <si>
    <t>Feed Jiaxing - hog -An Hui (811129-LE002378)</t>
  </si>
  <si>
    <t>Feed Jiaxing - hog -Jiang Su (811119-LE002378)</t>
  </si>
  <si>
    <t>Feed Jiaxing - hog -Jiang Xi (811139-LE002378)</t>
  </si>
  <si>
    <t>Feed Jiaxing-Plant (811007-LE002378)</t>
  </si>
  <si>
    <t>FEED MILL-CMK (658120-LE001275)</t>
  </si>
  <si>
    <t>FEED ZHANGZHOU-PLANT (477007-LE002157)</t>
  </si>
  <si>
    <t>Feedmill - Administration (658122-LE001275)</t>
  </si>
  <si>
    <t>Feedmill - Raw Material (658121-LE001275)</t>
  </si>
  <si>
    <t>FEEDMILL 2 (507409-LE002648)</t>
  </si>
  <si>
    <t>Feedmill-Outside Warehous (658125-LE001275)</t>
  </si>
  <si>
    <t>Feeg JINING Finance (936812-LE003258)</t>
  </si>
  <si>
    <t>Ferrous (731151-LE001467)</t>
  </si>
  <si>
    <t>Ferrous Function - Analyst (809555-LE003203)</t>
  </si>
  <si>
    <t>Ferrous Function Credit (809444-LE003203)</t>
  </si>
  <si>
    <t>Ferrous Function- Ops-Int (809333-LE003203)</t>
  </si>
  <si>
    <t>Ferrous Function-Acctg+Credit (809111-LE003203)</t>
  </si>
  <si>
    <t>Ferrous Function-IT (809666-LE003203)</t>
  </si>
  <si>
    <t>Ferrous Function-Ops-Domestic (809222-LE003203)</t>
  </si>
  <si>
    <t>FFS-Management (638200-LE002006)</t>
  </si>
  <si>
    <t>FG-Admin-Gurgaon (550000-LE001467)</t>
  </si>
  <si>
    <t>FG-BIHAR (550019-LE001467)</t>
  </si>
  <si>
    <t>FG-Hub-Gujarat (550501-LE001467)</t>
  </si>
  <si>
    <t>FG-Hub-Karnataka (550401-LE001467)</t>
  </si>
  <si>
    <t>FG-Indore-MP (550105-LE001467)</t>
  </si>
  <si>
    <t>FG-Kanpur-UP (550002-LE001467)</t>
  </si>
  <si>
    <t>FG-Kota-Rajasthan (550201-LE001467)</t>
  </si>
  <si>
    <t>FG-Nagpur-Maharashtra (550302-LE001467)</t>
  </si>
  <si>
    <t>FIBI APAC (797908-LE003203)</t>
  </si>
  <si>
    <t>Fin. &amp; Admin-Lecithin (9727200250-LE002476)</t>
  </si>
  <si>
    <t>Finance (143903-LE003691)</t>
  </si>
  <si>
    <t>Finance (243880-LE003264)</t>
  </si>
  <si>
    <t>Finance (873033-LE002476)</t>
  </si>
  <si>
    <t>Finance - OTSC (874034-LE002558)</t>
  </si>
  <si>
    <t>Finance – Procure to pay (874035-LE002558)</t>
  </si>
  <si>
    <t>Finance - Record to Report (694110-LE001838)</t>
  </si>
  <si>
    <t>Finance &amp; Accounting (7200-LE002394)</t>
  </si>
  <si>
    <t>Finance &amp; Accounting (12717200-LE002394)</t>
  </si>
  <si>
    <t>Finance &amp; Admin (6367200000-LE002825)</t>
  </si>
  <si>
    <t>Finance Credit to Cash (639003-LE002006)</t>
  </si>
  <si>
    <t>Finance Expense (201-LE003044)</t>
  </si>
  <si>
    <t>Finance OTSC (768873-LE001758)</t>
  </si>
  <si>
    <t>Finance- Procure to Pay (550953-LE001467)</t>
  </si>
  <si>
    <t>Finance- Procure to Pay (48903302-LE002163)</t>
  </si>
  <si>
    <t>Finance PRTP (768874-LE001758)</t>
  </si>
  <si>
    <t>Finance Risk Management (768890-LE001758)</t>
  </si>
  <si>
    <t>Finance RTR (768812-LE001758)</t>
  </si>
  <si>
    <t>Finance Trading (660101-LE001952)</t>
  </si>
  <si>
    <t>FINANCE,TAX,LEGAL,CREDIT MGT (1245116115-LE001949)</t>
  </si>
  <si>
    <t>Finance-Decision Support (550955-LE001467)</t>
  </si>
  <si>
    <t>Finance-OTSC (550952-LE001467)</t>
  </si>
  <si>
    <t>Finance-OTSC (48903301-LE002163)</t>
  </si>
  <si>
    <t>Finance-Record to Report (550951-LE001467)</t>
  </si>
  <si>
    <t>Finance-Record to Report (489033-LE002163)</t>
  </si>
  <si>
    <t>Financial (926070-LE002834)</t>
  </si>
  <si>
    <t>Finished Goods Warehouse (229900-LE003259)</t>
  </si>
  <si>
    <t>First aid (658396-LE001275)</t>
  </si>
  <si>
    <t>FIS CE (278822-LE002253)</t>
  </si>
  <si>
    <t>FK Logisitic (873021-LE002476)</t>
  </si>
  <si>
    <t>Fk Marketing (489020-LE002163)</t>
  </si>
  <si>
    <t>FK Marketing (873020-LE002476)</t>
  </si>
  <si>
    <t>FM FSQR (110603-LE001440)</t>
  </si>
  <si>
    <t>FM Refinery EHS (873043-LE002476)</t>
  </si>
  <si>
    <t>FM Refinery -EHS (489041-LE002163)</t>
  </si>
  <si>
    <t>Fm Refinery Lab (489042-LE002163)</t>
  </si>
  <si>
    <t>FM Refinery LAB (873042-LE002476)</t>
  </si>
  <si>
    <t>FM Refinery Plant (873040-LE002476)</t>
  </si>
  <si>
    <t>FM Refinery-MEIA (489043-LE002163)</t>
  </si>
  <si>
    <t>FM Refinery-MEIA (873041-LE002476)</t>
  </si>
  <si>
    <t>Food safety FP2 (650686-LE001275)</t>
  </si>
  <si>
    <t>FOOD SAFTY REGULATION (650586-LE001275)</t>
  </si>
  <si>
    <t>Foods Ingredients (114101271-LE001467)</t>
  </si>
  <si>
    <t>Formulation/ Technical (507109-LE002648)</t>
  </si>
  <si>
    <t>Formulator (700862-LE001838)</t>
  </si>
  <si>
    <t>Forwarding (Thai) (623006-LE002825)</t>
  </si>
  <si>
    <t>Foshan Aqua (847309-LE001922)</t>
  </si>
  <si>
    <t>Foshan Hog (845109-LE001922)</t>
  </si>
  <si>
    <t>Foshan Plant (845007-LE001922)</t>
  </si>
  <si>
    <t>FP - Belt  No. 17 (650347-LE001275)</t>
  </si>
  <si>
    <t>FP BOX 1-1 (650561-LE001275)</t>
  </si>
  <si>
    <t>FP BOX 1-2 (650562-LE001275)</t>
  </si>
  <si>
    <t>FP BOX 2-1 (650567-LE001275)</t>
  </si>
  <si>
    <t>FP BOX 2-2 (650568-LE001275)</t>
  </si>
  <si>
    <t>FP BOX 3-1 (650564-LE001275)</t>
  </si>
  <si>
    <t>FP BOX 3-2 (650565-LE001275)</t>
  </si>
  <si>
    <t>FP BOX 6-2 (650651-LE001275)</t>
  </si>
  <si>
    <t>FP BOX 7-2 (650652-LE001275)</t>
  </si>
  <si>
    <t>FP Boxing 4-1 (650554-LE001275)</t>
  </si>
  <si>
    <t>FP Boxing 4-2 (650569-LE001275)</t>
  </si>
  <si>
    <t>FP Boxing 5-2 (650556-LE001275)</t>
  </si>
  <si>
    <t>FP Boxing 6-2 (650653-LE001275)</t>
  </si>
  <si>
    <t>FP Boxing 7-2 (650654-LE001275)</t>
  </si>
  <si>
    <t>FP Boxing line 8 S# 1 (658551-LE001275)</t>
  </si>
  <si>
    <t>FP Boxing line 8 S# 2 (658553-LE001275)</t>
  </si>
  <si>
    <t>FP Boxing line 9 S# 1 (658552-LE001275)</t>
  </si>
  <si>
    <t>FP Boxing line 9 S# 2 (658554-LE001275)</t>
  </si>
  <si>
    <t>FP Cold Storage FP.3 (658560-LE001275)</t>
  </si>
  <si>
    <t>FP LAUNDRY1-5 (650584-LE001275)</t>
  </si>
  <si>
    <t>FP LAUNDRY6-7 (650684-LE001275)</t>
  </si>
  <si>
    <t>FP LINE 1-2 (650526-LE001275)</t>
  </si>
  <si>
    <t>FP LINE 2-2 (650546-LE001275)</t>
  </si>
  <si>
    <t>FP LINE 3-2 (650536-LE001275)</t>
  </si>
  <si>
    <t>FP LINE 6-2 (650631-LE001275)</t>
  </si>
  <si>
    <t>FP LINE 7-2 (650632-LE001275)</t>
  </si>
  <si>
    <t>FP LOAD 1-1 (650521-LE001275)</t>
  </si>
  <si>
    <t>FP LOAD 1-2 (650525-LE001275)</t>
  </si>
  <si>
    <t>FP LOAD 2-2 (650545-LE001275)</t>
  </si>
  <si>
    <t>FP LOAD 3-2 (650535-LE001275)</t>
  </si>
  <si>
    <t>FP LOAD 4-2 (650555-LE001275)</t>
  </si>
  <si>
    <t>FP LOAD 6-2 (650621-LE001275)</t>
  </si>
  <si>
    <t>FP LOAD 7-2 (650622-LE001275)</t>
  </si>
  <si>
    <t>FP Loading  2-1 (650522-LE001275)</t>
  </si>
  <si>
    <t>FP Loading  2-2 (650549-LE001275)</t>
  </si>
  <si>
    <t>FP Loading  3-2 (650539-LE001275)</t>
  </si>
  <si>
    <t>FP Loading  4-1 (650524-LE001275)</t>
  </si>
  <si>
    <t>FP Loading  4-2 (650559-LE001275)</t>
  </si>
  <si>
    <t>FP Loading 1-2 (650529-LE001275)</t>
  </si>
  <si>
    <t>FP Loading 3-1 (650523-LE001275)</t>
  </si>
  <si>
    <t>FP Loading 5-2 (650527-LE001275)</t>
  </si>
  <si>
    <t>FP Loading 6-2 (650623-LE001275)</t>
  </si>
  <si>
    <t>FP Loading 7-2 (650624-LE001275)</t>
  </si>
  <si>
    <t>FP Loading Line 8 S# 1 (658521-LE001275)</t>
  </si>
  <si>
    <t>FP Loading Line 8 S# 2 (658523-LE001275)</t>
  </si>
  <si>
    <t>FP Loading Line 9 S# 1 (658522-LE001275)</t>
  </si>
  <si>
    <t>FP Loading Line 9 S# 2 (658524-LE001275)</t>
  </si>
  <si>
    <t>FP MATERNITY (650593-LE001275)</t>
  </si>
  <si>
    <t>FP MATERNITY 6-7 (650693-LE001275)</t>
  </si>
  <si>
    <t>FP PACK 1-2 (650528-LE001275)</t>
  </si>
  <si>
    <t>FP PACK 2-2 (650548-LE001275)</t>
  </si>
  <si>
    <t>FP PACK 3-2 (650538-LE001275)</t>
  </si>
  <si>
    <t>FP PACK 4-1 (650557-LE001275)</t>
  </si>
  <si>
    <t>FP PACK 4-2 (650558-LE001275)</t>
  </si>
  <si>
    <t>FP PACK 6-2 (650641-LE001275)</t>
  </si>
  <si>
    <t>FP PACK 7-2 (650642-LE001275)</t>
  </si>
  <si>
    <t>FP Packing 2-1 (650542-LE001275)</t>
  </si>
  <si>
    <t>FP Packing 3-1 (650543-LE001275)</t>
  </si>
  <si>
    <t>FP Packing 5-2 (650547-LE001275)</t>
  </si>
  <si>
    <t>FP Packing 6-2 (650643-LE001275)</t>
  </si>
  <si>
    <t>FP Packing 7-2 (650644-LE001275)</t>
  </si>
  <si>
    <t>FP Packing line 8 S# 1 (658541-LE001275)</t>
  </si>
  <si>
    <t>FP Packing line 8 S# 2 (658543-LE001275)</t>
  </si>
  <si>
    <t>FP Packing line 9 S# 1 (658542-LE001275)</t>
  </si>
  <si>
    <t>FP Packing line 9 S# 2 (658544-LE001275)</t>
  </si>
  <si>
    <t>FP Plant General 1-5/2 (650591-LE001275)</t>
  </si>
  <si>
    <t>FP Plant General 6-7/2 (650691-LE001275)</t>
  </si>
  <si>
    <t>FP Plant-General Line 8-9 S#2 (658595-LE001275)</t>
  </si>
  <si>
    <t>FP Preparation 6-7 /2 (650611-LE001275)</t>
  </si>
  <si>
    <t>FP Site Service FP.3 (658570-LE001275)</t>
  </si>
  <si>
    <t>FP WAREHOUSE 1 (650563-LE001275)</t>
  </si>
  <si>
    <t>FP WAREHOUSE 2 (650566-LE001275)</t>
  </si>
  <si>
    <t>FP&amp;A (1245116721-LE001949)</t>
  </si>
  <si>
    <t>FP.Arrival Line 8-9 S#1 (658501-LE001275)</t>
  </si>
  <si>
    <t>FP.Arrival Line 8-9 S#2 (658502-LE001275)</t>
  </si>
  <si>
    <t>FP.PREP.-1 (650510-LE001275)</t>
  </si>
  <si>
    <t>FP.PREP.-2 (650511-LE001275)</t>
  </si>
  <si>
    <t>FP.PREP.6-7/2 (650610-LE001275)</t>
  </si>
  <si>
    <t>FP.Preparation Line 8-9 Shift 1 (658511-LE001275)</t>
  </si>
  <si>
    <t>FP.Preparation Line 8-9 Shift 2 (658512-LE001275)</t>
  </si>
  <si>
    <t>FP.Q.A.2 (650681-LE001275)</t>
  </si>
  <si>
    <t>FP.TRANSFER 6-7/2 (650600-LE001275)</t>
  </si>
  <si>
    <t>FP.TRANSFER-1 (650500-LE001275)</t>
  </si>
  <si>
    <t>FP.TRANSFER-2 (650501-LE001275)</t>
  </si>
  <si>
    <t>FP4 Arrival  Gen #1 (658617-LE001275)</t>
  </si>
  <si>
    <t>FP4 Arrival  Gen #2 (658618-LE001275)</t>
  </si>
  <si>
    <t>FP4 Boxing L.10 #1 (658653-LE001275)</t>
  </si>
  <si>
    <t>FP4 Boxing L.10 #2 (658654-LE001275)</t>
  </si>
  <si>
    <t>FP4 Boxing L.11 #1 (658655-LE001275)</t>
  </si>
  <si>
    <t>FP4 Boxing L.11 #2 (658656-LE001275)</t>
  </si>
  <si>
    <t>FP4 Loading L.10 #1 (658623-LE001275)</t>
  </si>
  <si>
    <t>FP4 Loading L.10 #2 (658624-LE001275)</t>
  </si>
  <si>
    <t>FP4 Loading L.11 #1 (658625-LE001275)</t>
  </si>
  <si>
    <t>FP4 Loading L.11 #2 (658626-LE001275)</t>
  </si>
  <si>
    <t>FP4 Packing L.10 #1 (658643-LE001275)</t>
  </si>
  <si>
    <t>FP4 Packing L.10 #2 (658644-LE001275)</t>
  </si>
  <si>
    <t>FP4 Packing L.11 #1 (658645-LE001275)</t>
  </si>
  <si>
    <t>FP4 Packing L.11 #2 (658646-LE001275)</t>
  </si>
  <si>
    <t>FP4 Plant Gen Load#1 (658691-LE001275)</t>
  </si>
  <si>
    <t>FP4 Plant Gen Load#2 (658694-LE001275)</t>
  </si>
  <si>
    <t>FP4 Plant Gen Pack#1 (658696-LE001275)</t>
  </si>
  <si>
    <t>FP4 Plant Gen Pack#2 (658697-LE001275)</t>
  </si>
  <si>
    <t>FP4 Preparation #1 (658619-LE001275)</t>
  </si>
  <si>
    <t>FP4 Preparation #2 (658634-LE001275)</t>
  </si>
  <si>
    <t>FP4 Sani Load #1 (658678-LE001275)</t>
  </si>
  <si>
    <t>FP4 Sani Load #2 (658679-LE001275)</t>
  </si>
  <si>
    <t>FP4 Sani Pack #1 (658686-LE001275)</t>
  </si>
  <si>
    <t>FP4 Sani Pack #2 (658688-LE001275)</t>
  </si>
  <si>
    <t>FP-beef-Processing Area (220712-LE003259)</t>
  </si>
  <si>
    <t>FP-Plant General (220100-LE003259)</t>
  </si>
  <si>
    <t>FP-Processing Area (220700-LE003259)</t>
  </si>
  <si>
    <t>FP-Sanitation (220701-LE003259)</t>
  </si>
  <si>
    <t>FPWarehouse 6-7/2 (650662-LE001275)</t>
  </si>
  <si>
    <t>Freight Management (489044-LE002163)</t>
  </si>
  <si>
    <t>FS - VNM (947006-LE001758)</t>
  </si>
  <si>
    <t>FSQR (634033-LE003265)</t>
  </si>
  <si>
    <t>FSQR (474038-LE001438)</t>
  </si>
  <si>
    <t>FSQR (3510-LE002394)</t>
  </si>
  <si>
    <t>FSQR (278815-LE002253)</t>
  </si>
  <si>
    <t>FSQR (926038-LE002834)</t>
  </si>
  <si>
    <t>FSQR (953033-LE002001)</t>
  </si>
  <si>
    <t>FSQR (965036-LE002404)</t>
  </si>
  <si>
    <t>FSQR FP Beef (230112-LE003259)</t>
  </si>
  <si>
    <t>FSQR FP Chicken (230100-LE003259)</t>
  </si>
  <si>
    <t>FSQR FS (130104-LE001440)</t>
  </si>
  <si>
    <t>FSQR PP (130101-LE001440)</t>
  </si>
  <si>
    <t>FSQR SEM (230103-LE003259)</t>
  </si>
  <si>
    <t>FSQR-Lab (130102-LE001440)</t>
  </si>
  <si>
    <t>FSQR-Lab (230102-LE003259)</t>
  </si>
  <si>
    <t>FSS – OTSC - Maintain OTSC data (638271-LE002006)</t>
  </si>
  <si>
    <t>FSS – OTSC - Manage customer credit (638272-LE002006)</t>
  </si>
  <si>
    <t>FSS – OTSC - Process collections (638275-LE002006)</t>
  </si>
  <si>
    <t>FSS – PTP - Maintain PTP data (638241-LE002006)</t>
  </si>
  <si>
    <t>FSS – PTP - Perform travel and expense a (638246-LE002006)</t>
  </si>
  <si>
    <t>FSS – PTP - Process travel and expense r (638247-LE002006)</t>
  </si>
  <si>
    <t>FSS – PTP - Provide supplier support ser (638245-LE002006)</t>
  </si>
  <si>
    <t>FSS billable Cost (RTR) (638211-LE002006)</t>
  </si>
  <si>
    <t>FSS Management allocable cost to BUs (638201-LE002006)</t>
  </si>
  <si>
    <t>FSS Migration Cost (638202-LE002006)</t>
  </si>
  <si>
    <t>Functional - CFN Baotou (853812-LE002772)</t>
  </si>
  <si>
    <t>Functional – CFN Chongqing (833812-LE001937)</t>
  </si>
  <si>
    <t>Functional - CFN Fushun (825812-LE001680)</t>
  </si>
  <si>
    <t>Functional – CFN Kunming (373812-LE003018)</t>
  </si>
  <si>
    <t>Functional – CFN LangFang (820812-LE002590)</t>
  </si>
  <si>
    <t>Functional –CFN Chengdu (830812-LE002893)</t>
  </si>
  <si>
    <t>Functional CFN Harbin (855812-LE003074)</t>
  </si>
  <si>
    <t>Functional CFN Hefei (483812-LE001185)</t>
  </si>
  <si>
    <t>Functional CFN Jiaxing (811812-LE002378)</t>
  </si>
  <si>
    <t>Functional CFN Jilin (837812-LE002478)</t>
  </si>
  <si>
    <t>Functional CFN Shanxi (822812-LE002590)</t>
  </si>
  <si>
    <t>Functional CFN ShijiaZhuang (929812-LE002590)</t>
  </si>
  <si>
    <t>Functional CFN Zhangzhou (477812-LE002157)</t>
  </si>
  <si>
    <t>Functional CFN Zhenjiang (379812-LE002991)</t>
  </si>
  <si>
    <t>Functional CPN Lianyung (6589812-LE001733)</t>
  </si>
  <si>
    <t>Functional CPN Tianjin (632812-LE003422)</t>
  </si>
  <si>
    <t>Functional-CFN Changsha (850812-LE001352)</t>
  </si>
  <si>
    <t>Functional-CFN Fosha (845812-LE001922)</t>
  </si>
  <si>
    <t>Functional-CFN Hanchuan (966812-LE001352)</t>
  </si>
  <si>
    <t>Functional-CFN Kaifeng (521812-LE003608)</t>
  </si>
  <si>
    <t>Functional-CFN Nanning (918812-LE002781)</t>
  </si>
  <si>
    <t>Functional-CFN Shaanxi (990812-LE002641)</t>
  </si>
  <si>
    <t>Functional-CFN Xinjiang (857812-LE001939)</t>
  </si>
  <si>
    <t>Functional-CFN Yangjiang (464812-LE001067)</t>
  </si>
  <si>
    <t>Functional-CFN Zhengzhou (858812-LE002141)</t>
  </si>
  <si>
    <t>Functional-CPN Nanjing (840812-LE002807)</t>
  </si>
  <si>
    <t>Functional-CPN Nanning (486812-LE002228)</t>
  </si>
  <si>
    <t>Fushun Hog (825109-LE001680)</t>
  </si>
  <si>
    <t>Fushun Plant (825007-LE001680)</t>
  </si>
  <si>
    <t>Fushun poultry (825409-LE001680)</t>
  </si>
  <si>
    <t>Fushun Ruminant (825209-LE001680)</t>
  </si>
  <si>
    <t>G &amp; A-Supply Chain (860060-LE002834)</t>
  </si>
  <si>
    <t>G&amp;A - Admin (953041-LE002001)</t>
  </si>
  <si>
    <t>G&amp;A - Admin              (645041-LE003254)</t>
  </si>
  <si>
    <t>G&amp;A - Finance (953070-LE002001)</t>
  </si>
  <si>
    <t>G&amp;A - Safeguard (953071-LE002001)</t>
  </si>
  <si>
    <t>G&amp;A - Weighbridge (953072-LE002001)</t>
  </si>
  <si>
    <t>G&amp;A Admin (860040-LE002834)</t>
  </si>
  <si>
    <t>G&amp;A expenses (874031-LE002558)</t>
  </si>
  <si>
    <t>G&amp;A- Finance (860070-LE002834)</t>
  </si>
  <si>
    <t>G&amp;A-ADMIN (965041-LE002404)</t>
  </si>
  <si>
    <t>G&amp;A-Admin (876041-LE002001)</t>
  </si>
  <si>
    <t>G&amp;A-Admin (886041-LE002404)</t>
  </si>
  <si>
    <t>G&amp;A-Admin (Port) (954041-LE001109)</t>
  </si>
  <si>
    <t>G&amp;A-Admin from GCK (926940-LE002834)</t>
  </si>
  <si>
    <t>G&amp;A-Customer Focus (860051-LE002834)</t>
  </si>
  <si>
    <t>G&amp;A-Customer focus-from GCK (926951-LE002834)</t>
  </si>
  <si>
    <t>G&amp;A-FINANCE (965070-LE002404)</t>
  </si>
  <si>
    <t>G&amp;A-Finance (876070-LE002001)</t>
  </si>
  <si>
    <t>G&amp;A-Finance (886070-LE002404)</t>
  </si>
  <si>
    <t>G&amp;A-FINANCE HUB (886073-LE002404)</t>
  </si>
  <si>
    <t>G&amp;A-Finance-from GCK (926970-LE002834)</t>
  </si>
  <si>
    <t>G&amp;A-Regional BOSC-China (783052-LE003203)</t>
  </si>
  <si>
    <t>G&amp;A-Regional BOSC-China (886052-LE002404)</t>
  </si>
  <si>
    <t>G&amp;A-Safeguard (876071-LE002001)</t>
  </si>
  <si>
    <t>G&amp;A-Safeguard (Port) (954071-LE001109)</t>
  </si>
  <si>
    <t>G&amp;A-Selling (876045-LE002001)</t>
  </si>
  <si>
    <t>G&amp;A-Selling (954045-LE001109)</t>
  </si>
  <si>
    <t>G&amp;A-Supply Chain (953060-LE002001)</t>
  </si>
  <si>
    <t>G&amp;A-Supply Chain (876060-LE002001)</t>
  </si>
  <si>
    <t>G&amp;A-Supply chain-from crush (926960-LE002834)</t>
  </si>
  <si>
    <t>G&amp;A-WEIGHBRIDGE (965072-LE002404)</t>
  </si>
  <si>
    <t>G&amp;A-Weighbridge (876072-LE002001)</t>
  </si>
  <si>
    <t>G&amp;A-Weighbridge (886072-LE002404)</t>
  </si>
  <si>
    <t>GCK Sharing for BOSC (926052-LE002834)</t>
  </si>
  <si>
    <t>GCK Sharing for BOSC (965052-LE002404)</t>
  </si>
  <si>
    <t>GCK Sharing for BOSC (973052-LE003203)</t>
  </si>
  <si>
    <t>GCK Sharing-Commercial Execution (474944-LE001438)</t>
  </si>
  <si>
    <t>GCK Sharing-Supply Chain (474060-LE001438)</t>
  </si>
  <si>
    <t>General Admin (Thai) (623002-LE002825)</t>
  </si>
  <si>
    <t>GENERAL ADMINISTRATION OTHERS (114101521-LE001467)</t>
  </si>
  <si>
    <t>General Manage Expense (1-LE003044)</t>
  </si>
  <si>
    <t>General Management - MD office (1245116015-LE001949)</t>
  </si>
  <si>
    <t>GENERAL PRD SUP ALL PLANTS (1245113015-LE001949)</t>
  </si>
  <si>
    <t>GENERAL PRD SUPPORT SRILANKA (1245112015-LE001949)</t>
  </si>
  <si>
    <t>Geographic expansion-Indone (650989-LE001275)</t>
  </si>
  <si>
    <t>GFG Back Office (986000-LE001467)</t>
  </si>
  <si>
    <t>GFR (12716100-LE002394)</t>
  </si>
  <si>
    <t>GFR (6100-LE002394)</t>
  </si>
  <si>
    <t>GHRO (959031-LE002476)</t>
  </si>
  <si>
    <t>GHRS - EE SOUTH (638420-LE002006)</t>
  </si>
  <si>
    <t>GIBLET SEPARATION – A (650318-LE001275)</t>
  </si>
  <si>
    <t>GIBLET SEPARATION – B (650319-LE001275)</t>
  </si>
  <si>
    <t>GIC - Analy, Data, Mgmt (638305-LE002006)</t>
  </si>
  <si>
    <t>GIC - App, Maintenance (638302-LE002006)</t>
  </si>
  <si>
    <t>GIC - Delivery Service (638309-LE002006)</t>
  </si>
  <si>
    <t>GIC - Design, Development (638301-LE002006)</t>
  </si>
  <si>
    <t>GIC - ERP Solutions (638303-LE002006)</t>
  </si>
  <si>
    <t>GIC - Mobility COE (638306-LE002006)</t>
  </si>
  <si>
    <t>Global CAN POE (278010-LE002253)</t>
  </si>
  <si>
    <t>Global Ethics &amp; Compliance (638710-LE002006)</t>
  </si>
  <si>
    <t>Global IT (768022-LE001758)</t>
  </si>
  <si>
    <t>Global IT ERP CAN (638324-LE002006)</t>
  </si>
  <si>
    <t>Global IT ERP CASC &amp; ETM (638321-LE002006)</t>
  </si>
  <si>
    <t>Global IT ERP FIBI &amp; CPS (638323-LE002006)</t>
  </si>
  <si>
    <t>Global IT ERP Group Functions (638322-LE002006)</t>
  </si>
  <si>
    <t>Global Procurement 2 (731580-LE001467)</t>
  </si>
  <si>
    <t>Global Tax &amp; Customs (768809-LE001758)</t>
  </si>
  <si>
    <t>GM (474050-LE001438)</t>
  </si>
  <si>
    <t>GM (472050-LE001438)</t>
  </si>
  <si>
    <t>GO - EHS (641232-LE002825)</t>
  </si>
  <si>
    <t>GO - Finance - P2P (641812-LE002825)</t>
  </si>
  <si>
    <t>GO - Finance RTR (641712-LE002825)</t>
  </si>
  <si>
    <t>GO - HR-Business HR (947805-LE001758)</t>
  </si>
  <si>
    <t>GO - RMS Formulation (641222-LE002825)</t>
  </si>
  <si>
    <t>GO - Shared EHS (641017-LE002825)</t>
  </si>
  <si>
    <t>GO - Shared Production (641007-LE002825)</t>
  </si>
  <si>
    <t>Go to market (12715600-LE002394)</t>
  </si>
  <si>
    <t>Go to market (5600-LE002394)</t>
  </si>
  <si>
    <t>GO-CTL (506207-LE002115)</t>
  </si>
  <si>
    <t>GO-EHS (506831-LE002115)</t>
  </si>
  <si>
    <t>GO-EHS (947831-LE001758)</t>
  </si>
  <si>
    <t>GO-FSQR (947834-LE001758)</t>
  </si>
  <si>
    <t>GO-Operation ( Shared) (506907-LE002115)</t>
  </si>
  <si>
    <t>GOSC Admin (944012-LE001758)</t>
  </si>
  <si>
    <t>GOSC BRVTAdmin (148012-LE001758)</t>
  </si>
  <si>
    <t>GOSC Clerical/Services-SGA (944017-LE001758)</t>
  </si>
  <si>
    <t>GOSC HH Weighbridge (474072-LE001438)</t>
  </si>
  <si>
    <t>GOSC HH Weighbridge (472072-LE001438)</t>
  </si>
  <si>
    <t>GOSC Huanghua Admin (472040-LE001438)</t>
  </si>
  <si>
    <t>GOSC Huanghua Finance (472075-LE001438)</t>
  </si>
  <si>
    <t>GOSC Huanghua R&amp;M (472034-LE001438)</t>
  </si>
  <si>
    <t>GOSC Huanghua Safety Guard (472071-LE001438)</t>
  </si>
  <si>
    <t>GOSC Huanghua Supply chain (472060-LE001438)</t>
  </si>
  <si>
    <t>GOSC Huanghua Utility (472033-LE001438)</t>
  </si>
  <si>
    <t>GOSC India (639802-LE002006)</t>
  </si>
  <si>
    <t>GOSC Jihai Port Operation (492030-LE003528)</t>
  </si>
  <si>
    <t>GOSC Operations (944018-LE001758)</t>
  </si>
  <si>
    <t>GOSC Trade execution (944016-LE001758)</t>
  </si>
  <si>
    <t>GOSCA - Forwarding (Phil) (294010102-LE002115)</t>
  </si>
  <si>
    <t>GOSCA - Merchandising (Phil) (293010200-LE002115)</t>
  </si>
  <si>
    <t>GOSCA - Operations (Phil) (294010201-LE002115)</t>
  </si>
  <si>
    <t>GOSCA-Finance (624999-LE002825)</t>
  </si>
  <si>
    <t>GOSCA-Trade Execution (624900-LE002825)</t>
  </si>
  <si>
    <t>GOSC-Corn Milling North US (944015-LE001758)</t>
  </si>
  <si>
    <t>GPO_CFR (638204-LE002006)</t>
  </si>
  <si>
    <t>GPT Admin (701012-LE001838)</t>
  </si>
  <si>
    <t>GPT FSQR (701834-LE001838)</t>
  </si>
  <si>
    <t>GPT Marketing (701009-LE001838)</t>
  </si>
  <si>
    <t>GPT Plant (701007-LE001838)</t>
  </si>
  <si>
    <t>Grain &amp; Oilseeds - Tharua - Thai (624000-LE002825)</t>
  </si>
  <si>
    <t>Grain &amp; Oilseeds (Thai) (624001-LE002825)</t>
  </si>
  <si>
    <t>Grain Soybean-Jkt (660103-LE001952)</t>
  </si>
  <si>
    <t>Grain Warehouse (660107-LE001952)</t>
  </si>
  <si>
    <t>Grains Admin &amp; Finance (252008-LE002451)</t>
  </si>
  <si>
    <t>Grains book - Tamilnadu (550801-LE001467)</t>
  </si>
  <si>
    <t>Grains Mktg &amp; Trade Execution (252005-LE002451)</t>
  </si>
  <si>
    <t>Grains Operation (252007-LE002451)</t>
  </si>
  <si>
    <t>Gross Profit (536070-LE001467)</t>
  </si>
  <si>
    <t>GSC - Admin (Phil) (514030900-LE002950)</t>
  </si>
  <si>
    <t>GSC - Maintenance (Phil) (514030700-LE002950)</t>
  </si>
  <si>
    <t>GSC - Production (Phil) (514030400-LE002950)</t>
  </si>
  <si>
    <t>GSC - QA (Phil) (514030600-LE002950)</t>
  </si>
  <si>
    <t>GSC - Terminal (Phil) (514030500-LE002950)</t>
  </si>
  <si>
    <t>GSC EHS (514030902-LE002950)</t>
  </si>
  <si>
    <t>GSC HR (514010101-LE002950)</t>
  </si>
  <si>
    <t>GTM- Marketing (2464100000-LE002451)</t>
  </si>
  <si>
    <t>Ha Nam CSA (945116-LE001758)</t>
  </si>
  <si>
    <t>Hanchuan Hog (966109-LE001352)</t>
  </si>
  <si>
    <t>Hanchuan Ruminant (966209-LE001352)</t>
  </si>
  <si>
    <t>Harbin Plant (855007-LE003074)</t>
  </si>
  <si>
    <t>Harbin Ruminant (855209-LE003074)</t>
  </si>
  <si>
    <t>HATCHERY (658111-LE001275)</t>
  </si>
  <si>
    <t>HCM Aqua Admin (159012-LE001758)</t>
  </si>
  <si>
    <t>Hefei Hog (483109-LE001185)</t>
  </si>
  <si>
    <t>Hefei Ruminant (483209-LE001185)</t>
  </si>
  <si>
    <t>High Care FP Sani.Line 8-9 S# 1 (658583-LE001275)</t>
  </si>
  <si>
    <t>High Care FP Sani.Line 8-9 S# 2 (658587-LE001275)</t>
  </si>
  <si>
    <t>High Care Sani.1-5/1 (650582-LE001275)</t>
  </si>
  <si>
    <t>High Care Sani.1-5/1 (650585-LE001275)</t>
  </si>
  <si>
    <t>High Care Sani.1-5/2 (650587-LE001275)</t>
  </si>
  <si>
    <t>High Care Sani.6-7/1 (650682-LE001275)</t>
  </si>
  <si>
    <t>High Care Sani.6-7/1 (650685-LE001275)</t>
  </si>
  <si>
    <t>High Care Sani.6-7/2 (650687-LE001275)</t>
  </si>
  <si>
    <t>HR (874032-LE002558)</t>
  </si>
  <si>
    <t>HR (143920-LE003691)</t>
  </si>
  <si>
    <t>HR (150300-LE001440)</t>
  </si>
  <si>
    <t>HR (507312-LE002648)</t>
  </si>
  <si>
    <t>HR - Insustry Relations (694112-LE001838)</t>
  </si>
  <si>
    <t>HR and Treasury - IND (638331-LE002006)</t>
  </si>
  <si>
    <t>HR APAC Project Aurora (797165-LE003203)</t>
  </si>
  <si>
    <t>HR Dual Operations (638103-LE002006)</t>
  </si>
  <si>
    <t>HR Employee Experience (150301-LE001440)</t>
  </si>
  <si>
    <t>HR Global Training (638411-LE002006)</t>
  </si>
  <si>
    <t>HR Recruitment (768882-LE001758)</t>
  </si>
  <si>
    <t>HR Shared Service - Allocated (638401-LE002006)</t>
  </si>
  <si>
    <t>HR Talent Acquisition (623037-LE002825)</t>
  </si>
  <si>
    <t>HR Talent Acquisition (290011704-LE002115)</t>
  </si>
  <si>
    <t>HR Talent Acquisition (278230-LE002253)</t>
  </si>
  <si>
    <t>HR Talent Performance (731760-LE001467)</t>
  </si>
  <si>
    <t>HR Talent Performance (278210-LE002253)</t>
  </si>
  <si>
    <t>HR/Admin (988040-LE002570)</t>
  </si>
  <si>
    <t>HR-Admin (489032-LE002163)</t>
  </si>
  <si>
    <t>HR-ADP Payroll Project (535310-LE001838)</t>
  </si>
  <si>
    <t>HR-Business HR (48903201-LE002163)</t>
  </si>
  <si>
    <t>HR-Employee Relations (650932-LE001275)</t>
  </si>
  <si>
    <t>HRIT Regional Cost (638610-LE002006)</t>
  </si>
  <si>
    <t>HRIT Regional Cost (638310-LE002006)</t>
  </si>
  <si>
    <t>HR-Recruitment-Daily (650920-LE001275)</t>
  </si>
  <si>
    <t>HRSS (731051-LE001467)</t>
  </si>
  <si>
    <t>HR-Time &amp; Attendance (650933-LE001275)</t>
  </si>
  <si>
    <t>Human Resource (638400-LE002006)</t>
  </si>
  <si>
    <t>Human Resource (Thai) (623001-LE002825)</t>
  </si>
  <si>
    <t>Human Resource Expense (702-LE003044)</t>
  </si>
  <si>
    <t>HUMAN RESOURCES (1245116615-LE001949)</t>
  </si>
  <si>
    <t>Human Resources (278200-LE002253)</t>
  </si>
  <si>
    <t>Human Resources-Business-HR (650934-LE001275)</t>
  </si>
  <si>
    <t>Hung Yen CSA (766116-LE001758)</t>
  </si>
  <si>
    <t>Hung Yen T&amp;L (154109-LE001758)</t>
  </si>
  <si>
    <t>ILC Bangalore (638333-LE002006)</t>
  </si>
  <si>
    <t>Industrial Specialities (114101272-LE001467)</t>
  </si>
  <si>
    <t>Information Technology (638300-LE002006)</t>
  </si>
  <si>
    <t>Intersia (650798-LE001275)</t>
  </si>
  <si>
    <t>IT App Cust Facing (278189-LE002253)</t>
  </si>
  <si>
    <t>IT App Enablement (278186-LE002253)</t>
  </si>
  <si>
    <t>IT APP ERP CN (907142-LE003203)</t>
  </si>
  <si>
    <t>IT APP ERP CN (797153-LE003203)</t>
  </si>
  <si>
    <t>IT APP ERP ID (535215-LE001838)</t>
  </si>
  <si>
    <t>IT APP ERP MY (278178-LE002253)</t>
  </si>
  <si>
    <t>IT APP MIT CN (907151-LE003203)</t>
  </si>
  <si>
    <t>IT APP MIT CN (797151-LE003203)</t>
  </si>
  <si>
    <t>IT APP MIT ID (535216-LE001838)</t>
  </si>
  <si>
    <t>IT APP MIT IN (731610-LE001467)</t>
  </si>
  <si>
    <t>IT APP MIT MY (278181-LE002253)</t>
  </si>
  <si>
    <t>IT APP MIT TH (623031-LE002825)</t>
  </si>
  <si>
    <t>IT APP Trading CN (797152-LE003203)</t>
  </si>
  <si>
    <t>IT APP Trading PH (290011604-LE002115)</t>
  </si>
  <si>
    <t>IT App-Customer Facing (907143-LE003203)</t>
  </si>
  <si>
    <t>IT App-Functions (278185-LE002253)</t>
  </si>
  <si>
    <t>IT Bus Partner CN (907149-LE003203)</t>
  </si>
  <si>
    <t>IT Bus Partner ID (535217-LE001838)</t>
  </si>
  <si>
    <t>IT Bus Partner IN (731620-LE001467)</t>
  </si>
  <si>
    <t>IT Bus Partner IN - 2 (731650-LE001467)</t>
  </si>
  <si>
    <t>IT Bus Partner MY (278182-LE002253)</t>
  </si>
  <si>
    <t>IT Bus Partner PH (290011605-LE002115)</t>
  </si>
  <si>
    <t>IT Bus Partner TH (623032-LE002825)</t>
  </si>
  <si>
    <t>IT SAP TC1 (278184-LE002253)</t>
  </si>
  <si>
    <t>IT TGRC-IN (731680-LE001467)</t>
  </si>
  <si>
    <t>Jiaxing Hog (811109-LE002378)</t>
  </si>
  <si>
    <t>Jilin Hog (837109-LE002478)</t>
  </si>
  <si>
    <t>JiLin Plant (837007-LE002478)</t>
  </si>
  <si>
    <t>Jilin Ruminant (837209-LE002478)</t>
  </si>
  <si>
    <t>Jining Hog (936109-LE003258)</t>
  </si>
  <si>
    <t>Jining Ruminant (936209-LE003258)</t>
  </si>
  <si>
    <t>Kaifeng Hog (521109-LE003608)</t>
  </si>
  <si>
    <t>Kaifeng Poultry (521409-LE003608)</t>
  </si>
  <si>
    <t>KL Trading (122000143-LE001911)</t>
  </si>
  <si>
    <t>Kota Bean Crushing (545906-LE001467)</t>
  </si>
  <si>
    <t>Kraton FSQR (533834-LE001838)</t>
  </si>
  <si>
    <t>Kraton Plant (533007-LE001838)</t>
  </si>
  <si>
    <t>KRT - Production (744007-LE002825)</t>
  </si>
  <si>
    <t>KRT - Shared FSQR (644027-LE002825)</t>
  </si>
  <si>
    <t>KRT - Shared Production (644107-LE002825)</t>
  </si>
  <si>
    <t>KRT - Shared Production (644007-LE002825)</t>
  </si>
  <si>
    <t>KRT - Shared Supply chain and Demand (644037-LE002825)</t>
  </si>
  <si>
    <t>Kunming Hog (373109-LE003018)</t>
  </si>
  <si>
    <t>Kunming Plant (373007-LE003018)</t>
  </si>
  <si>
    <t>LAB (507709-LE002648)</t>
  </si>
  <si>
    <t>Lab Quality Control (694106-LE001838)</t>
  </si>
  <si>
    <t>Lang Fang central Lab (820107-LE002590)</t>
  </si>
  <si>
    <t>LangFang Hog (820109-LE002590)</t>
  </si>
  <si>
    <t>LangFang Ruminant (820209-LE002590)</t>
  </si>
  <si>
    <t>Laundry - FP4 (658668-LE001275)</t>
  </si>
  <si>
    <t>Laundry FP.3 (658584-LE001275)</t>
  </si>
  <si>
    <t>LAUNDRY-1 (658384-LE001275)</t>
  </si>
  <si>
    <t>LAUNDRY-1 (650384-LE001275)</t>
  </si>
  <si>
    <t>LAUNDRY-A (658884-LE001275)</t>
  </si>
  <si>
    <t>Law-1 (535750-LE001838)</t>
  </si>
  <si>
    <t>Leadership Team (650909-LE001275)</t>
  </si>
  <si>
    <t>Legal (731141-LE001467)</t>
  </si>
  <si>
    <t>Legal (650908-LE001275)</t>
  </si>
  <si>
    <t>Legal/Law (Thai) (623007-LE002825)</t>
  </si>
  <si>
    <t>Lianyungang Management (6589012-LE001733)</t>
  </si>
  <si>
    <t>Lianyungang Production (6589007-LE001733)</t>
  </si>
  <si>
    <t>Lianyungang Sales (6589009-LE001733)</t>
  </si>
  <si>
    <t>Liquid Product Expense (303-LE003044)</t>
  </si>
  <si>
    <t>LOAD DOMESTIC QC-A (658880-LE001275)</t>
  </si>
  <si>
    <t>Loading (143520-LE003691)</t>
  </si>
  <si>
    <t>Loading/unloading (645026-LE003254)</t>
  </si>
  <si>
    <t>Loading/unloading (472026-LE001438)</t>
  </si>
  <si>
    <t>Loading/unloading (860026-LE002834)</t>
  </si>
  <si>
    <t>Loading/unloading (876026-LE002001)</t>
  </si>
  <si>
    <t>Loading/unloading (886026-LE002404)</t>
  </si>
  <si>
    <t>Log/Distr (6363300000-LE002825)</t>
  </si>
  <si>
    <t>Logistic (700867-LE001838)</t>
  </si>
  <si>
    <t>Logistic (663050-LE001838)</t>
  </si>
  <si>
    <t>Logistic (143950-LE003691)</t>
  </si>
  <si>
    <t>Logistic &amp; Warehouse Fixed (626551-LE001467)</t>
  </si>
  <si>
    <t>Logistic and Planning (140200-LE001440)</t>
  </si>
  <si>
    <t>Logistics (650950-LE001275)</t>
  </si>
  <si>
    <t>Logistics (874021-LE002558)</t>
  </si>
  <si>
    <t>Logistics/Warehouse/Oth Distri (3300-LE002394)</t>
  </si>
  <si>
    <t>Long An CSA (941116-LE001758)</t>
  </si>
  <si>
    <t>Low Risk FP Sani.Line 8-9 S# 1 (658582-LE001275)</t>
  </si>
  <si>
    <t>Low Risk FP Sani.Line 8-9 S# 2 (658588-LE001275)</t>
  </si>
  <si>
    <t>Low Risk Sani.1-5/2 (650583-LE001275)</t>
  </si>
  <si>
    <t>Low Risk Sani.6-7/2 (650683-LE001275)</t>
  </si>
  <si>
    <t>LUO HE PROJECT (781882-LE003203)</t>
  </si>
  <si>
    <t>Luzon Sales (304009-LE002115)</t>
  </si>
  <si>
    <t>Maharastra Beans Program (545300-LE001467)</t>
  </si>
  <si>
    <t>Maint&amp;Rep (9603400-LE002394)</t>
  </si>
  <si>
    <t>Maint. Origination Mks (663555-LE001838)</t>
  </si>
  <si>
    <t>Maintain PTP data (230231-LE003203)</t>
  </si>
  <si>
    <t>Maintain RTR data (230251-LE003203)</t>
  </si>
  <si>
    <t>Maintenance (694108-LE001838)</t>
  </si>
  <si>
    <t>Maintenance (507307-LE002648)</t>
  </si>
  <si>
    <t>Maintenance (874041-LE002558)</t>
  </si>
  <si>
    <t>Maintenance (988033-LE002570)</t>
  </si>
  <si>
    <t>Maintenance Expense (304-LE003044)</t>
  </si>
  <si>
    <t>Maintenance General (220200-LE003259)</t>
  </si>
  <si>
    <t>Maintenance Gresik Plant (663055-LE001838)</t>
  </si>
  <si>
    <t>Malwa Bean Pr-Nagpur (545903-LE001467)</t>
  </si>
  <si>
    <t>Manage Asset Accounting (230255-LE003203)</t>
  </si>
  <si>
    <t>Manage asset accounting (638216-LE002006)</t>
  </si>
  <si>
    <t>Manage customer credit (230212-LE003203)</t>
  </si>
  <si>
    <t>Manage inv and billing (230213-LE003203)</t>
  </si>
  <si>
    <t>Manage invoicing and billing (638273-LE002006)</t>
  </si>
  <si>
    <t>Management (507212-LE002648)</t>
  </si>
  <si>
    <t>Mango 2 (CTS) center (6197719100-LE003044)</t>
  </si>
  <si>
    <t>Mango II project (807-LE003044)</t>
  </si>
  <si>
    <t>Manufacturing Expense (853007-LE002772)</t>
  </si>
  <si>
    <t>Manufacturing Expense (969007-LE002134)</t>
  </si>
  <si>
    <t>Manufacturing/QC/Maintenance (137007-LE003659)</t>
  </si>
  <si>
    <t>Manufactury Expense (866007-LE002134)</t>
  </si>
  <si>
    <t>Marketing (150630-LE001440)</t>
  </si>
  <si>
    <t>Marketing (973940-LE003203)</t>
  </si>
  <si>
    <t>Marketing Expenses (617009-LE001467)</t>
  </si>
  <si>
    <t>Marketing Expenses (563009-LE001467)</t>
  </si>
  <si>
    <t>Marketing/ Registration (507809-LE002648)</t>
  </si>
  <si>
    <t>Marketing/Sales/CST (137009-LE003659)</t>
  </si>
  <si>
    <t>Marking Expenses (621009-LE001467)</t>
  </si>
  <si>
    <t>Maternity - FP4  (658695-LE001275)</t>
  </si>
  <si>
    <t>Maternity FP3 (658593-LE001275)</t>
  </si>
  <si>
    <t>Maternity PP3 (658892-LE001275)</t>
  </si>
  <si>
    <t>MATERNITY-1 (658392-LE001275)</t>
  </si>
  <si>
    <t>MATERNITY-A (650392-LE001275)</t>
  </si>
  <si>
    <t>MATERNITY-B (650492-LE001275)</t>
  </si>
  <si>
    <t>Mdn FSQR (705834-LE001838)</t>
  </si>
  <si>
    <t>Medan Admin (705012-LE001838)</t>
  </si>
  <si>
    <t>Medan Marketing (705009-LE001838)</t>
  </si>
  <si>
    <t>Medan Marketing (534009-LE001838)</t>
  </si>
  <si>
    <t>Medan Plant (705007-LE001838)</t>
  </si>
  <si>
    <t>Melaka Admin (260312-LE002682)</t>
  </si>
  <si>
    <t>Melaka Plant (260007-LE002682)</t>
  </si>
  <si>
    <t>Merchandising (694103-LE001838)</t>
  </si>
  <si>
    <t>Merchant (700117-LE001838)</t>
  </si>
  <si>
    <t>Metals-BJ Supply Chain (910860-LE003203)</t>
  </si>
  <si>
    <t>Metals-Strategic Customer (809850-LE003203)</t>
  </si>
  <si>
    <t>Mila-CPN-NJ (239009-LE002807)</t>
  </si>
  <si>
    <t>Milton Pork Sales (982109-LE002807)</t>
  </si>
  <si>
    <t>Mks Admin (704012-LE001838)</t>
  </si>
  <si>
    <t>Mks FSQR (704834-LE001838)</t>
  </si>
  <si>
    <t>Mks Marketing (704009-LE001838)</t>
  </si>
  <si>
    <t>Mks Plant (704007-LE001838)</t>
  </si>
  <si>
    <t>Mktg - Aqua (241009-LE002682)</t>
  </si>
  <si>
    <t>MKT-GO BKK (641009-LE002825)</t>
  </si>
  <si>
    <t>Modify Starch (9773100260-LE003044)</t>
  </si>
  <si>
    <t>MSIA TAX (278027-LE002253)</t>
  </si>
  <si>
    <t>Nanjing Admin (840012-LE002807)</t>
  </si>
  <si>
    <t>Nanjing Marketing (840009-LE002807)</t>
  </si>
  <si>
    <t>Nanjing Plant (840007-LE002807)</t>
  </si>
  <si>
    <t>Nanning Hog (918109-LE002781)</t>
  </si>
  <si>
    <t>Nanning Plant (918007-LE002781)</t>
  </si>
  <si>
    <t>New global security (535225-LE001838)</t>
  </si>
  <si>
    <t>Non CFR Finance (290010400-LE002115)</t>
  </si>
  <si>
    <t>NP - Shared FSQR (643027-LE002825)</t>
  </si>
  <si>
    <t>NP - Shared Production (643007-LE002825)</t>
  </si>
  <si>
    <t>NP - Shared Production (643107-LE002825)</t>
  </si>
  <si>
    <t>NP - Shared Supply chain and Demand (643037-LE002825)</t>
  </si>
  <si>
    <t>Ocean Transportation (638701-LE002006)</t>
  </si>
  <si>
    <t>Ocean Transportation Admin (638702-LE002006)</t>
  </si>
  <si>
    <t>OFFAL HANDING-A (658808-LE001275)</t>
  </si>
  <si>
    <t>OFFAL HANDING-A (658308-LE001275)</t>
  </si>
  <si>
    <t>OFFAL HANDING-A (650308-LE001275)</t>
  </si>
  <si>
    <t>OFFAL HANDING-B (658408-LE001275)</t>
  </si>
  <si>
    <t>OFFAL HANDING-B (650408-LE001275)</t>
  </si>
  <si>
    <t>OFFAL HANDLING-B (658608-LE001275)</t>
  </si>
  <si>
    <t>Office Admin (278165-LE002253)</t>
  </si>
  <si>
    <t>Office Services (290011800-LE002115)</t>
  </si>
  <si>
    <t>Office Services (Thai) (623005-LE002825)</t>
  </si>
  <si>
    <t>OFFICE Sevice (731000-LE001467)</t>
  </si>
  <si>
    <t>OFFICER  SERVICE (650928-LE001275)</t>
  </si>
  <si>
    <t>Oilseeds - Indore Bean Pr (545000-LE001467)</t>
  </si>
  <si>
    <t>Operation (700007-LE001838)</t>
  </si>
  <si>
    <t>Operation (988030-LE002570)</t>
  </si>
  <si>
    <t>Operation Trade Execution (694113-LE001838)</t>
  </si>
  <si>
    <t>Operations (637509-LE002825)</t>
  </si>
  <si>
    <t>Operations (621070-LE001467)</t>
  </si>
  <si>
    <t>Operations (563070-LE001467)</t>
  </si>
  <si>
    <t>Operations – Regional (637609-LE002825)</t>
  </si>
  <si>
    <t>Operator (direct) (874043-LE002558)</t>
  </si>
  <si>
    <t>Origin. Research Mks (663560-LE001838)</t>
  </si>
  <si>
    <t>Origin. Sustaniable Mks (663565-LE001838)</t>
  </si>
  <si>
    <t>Origination (243200-LE003264)</t>
  </si>
  <si>
    <t>Origination (973870-LE003203)</t>
  </si>
  <si>
    <t>OT (731300-LE001467)</t>
  </si>
  <si>
    <t>Other Function (973880-LE003203)</t>
  </si>
  <si>
    <t>Other SG&amp;A related function (973980-LE003203)</t>
  </si>
  <si>
    <t>OTSC - Perform cash application (638274-LE002006)</t>
  </si>
  <si>
    <t>OTSC - Perform dispute management (638276-LE002006)</t>
  </si>
  <si>
    <t>OTSC Korea Bench (230225-LE003203)</t>
  </si>
  <si>
    <t>OTSC Korea-manage customer credit (230222-LE003203)</t>
  </si>
  <si>
    <t>OTSC Korea-mange invoice &amp; billing (230223-LE003203)</t>
  </si>
  <si>
    <t>OTSC Korea-perform cash application (230224-LE003203)</t>
  </si>
  <si>
    <t>OTSC_Customer Serv (506122-LE002115)</t>
  </si>
  <si>
    <t>OTSC-Post journal entries &amp;perform perio (638277-LE002006)</t>
  </si>
  <si>
    <t>Overhead (700012-LE001838)</t>
  </si>
  <si>
    <t>Overhead (for management team) (150100-LE001440)</t>
  </si>
  <si>
    <t>Overhead Adm/Acct Mks (663540-LE001838)</t>
  </si>
  <si>
    <t>Overhead Admin Accounting (663020-LE001838)</t>
  </si>
  <si>
    <t>Overhead Admin Mks (663530-LE001838)</t>
  </si>
  <si>
    <t>Overhead HR Cocoa Plant Gresik (663023-LE001838)</t>
  </si>
  <si>
    <t>Overhead Production (507107-LE002648)</t>
  </si>
  <si>
    <t>P&amp;L-Co Gen (953020-LE002001)</t>
  </si>
  <si>
    <t>P&amp;L-Co Gen (876020-LE002001)</t>
  </si>
  <si>
    <t>Pack/Box (143540-LE003691)</t>
  </si>
  <si>
    <t>Packaging (634036-LE003265)</t>
  </si>
  <si>
    <t>Packaging (366036-LE002834)</t>
  </si>
  <si>
    <t>Packing Freezing-A (658861-LE001275)</t>
  </si>
  <si>
    <t>Packing Freezing-B (658661-LE001275)</t>
  </si>
  <si>
    <t>Packing Line 1 (650541-LE001275)</t>
  </si>
  <si>
    <t>Passion Fruit Project (808-LE003044)</t>
  </si>
  <si>
    <t>PB - FSQR (647027-LE002825)</t>
  </si>
  <si>
    <t>PB - Production (647007-LE002825)</t>
  </si>
  <si>
    <t>PB - Supply chain and Demand (647037-LE002825)</t>
  </si>
  <si>
    <t>PBI1 CC Production - Carrageenan (5123100202-LE001793)</t>
  </si>
  <si>
    <t>PBI2 CC Blends-Functional System (5123100210-LE001793)</t>
  </si>
  <si>
    <t>PBI3 Maintenance &amp; Repair -Carr (5123400202-LE001793)</t>
  </si>
  <si>
    <t>PBI4 Quality Control -Carrageena (5123500202-LE001793)</t>
  </si>
  <si>
    <t>PBI5 HO Mgt -Carrageen (5123800202-LE001793)</t>
  </si>
  <si>
    <t>PBI6 Plant Mgt-Carrageenan (5123810202-LE001793)</t>
  </si>
  <si>
    <t>PDG Team Expense (305-LE003044)</t>
  </si>
  <si>
    <t>Pdn Maintenance (953044-LE002001)</t>
  </si>
  <si>
    <t>Pdn Production Engineering (9605500-LE002394)</t>
  </si>
  <si>
    <t>Per GL accounting (230252-LE003203)</t>
  </si>
  <si>
    <t>Perform cash application (230214-LE003203)</t>
  </si>
  <si>
    <t>Perform Cash Management (230256-LE003203)</t>
  </si>
  <si>
    <t>Perform close process (638213-LE002006)</t>
  </si>
  <si>
    <t>Perform close process (230253-LE003203)</t>
  </si>
  <si>
    <t>Perform general ledger accounting (638212-LE002006)</t>
  </si>
  <si>
    <t>Personal Canteen FP (650387-LE001275)</t>
  </si>
  <si>
    <t>PERSONAL CANTEEN PP-A (658894-LE001275)</t>
  </si>
  <si>
    <t>Personal Canteen PP-B (650494-LE001275)</t>
  </si>
  <si>
    <t>Personal Welfare FP (650398-LE001275)</t>
  </si>
  <si>
    <t>Personal Welfare PP-A (650395-LE001275)</t>
  </si>
  <si>
    <t>Personal Welfare PP-B (650498-LE001275)</t>
  </si>
  <si>
    <t>Personnel Training (650921-LE001275)</t>
  </si>
  <si>
    <t>PET THEREAPEUTICS - SALES (1245114084-LE001949)</t>
  </si>
  <si>
    <t>PH1 - Production (874040-LE002558)</t>
  </si>
  <si>
    <t>PH1 - QA (874042-LE002558)</t>
  </si>
  <si>
    <t>PH1 - Sales &amp; Logistics (874020-LE002558)</t>
  </si>
  <si>
    <t>PH2 - G&amp;A (874030-LE002558)</t>
  </si>
  <si>
    <t>Philippines A&amp;F Org (290015000-LE002115)</t>
  </si>
  <si>
    <t>Plan (988031-LE002570)</t>
  </si>
  <si>
    <t>Planning - FP4 (658692-LE001275)</t>
  </si>
  <si>
    <t>Planning - FP4  (658669-LE001275)</t>
  </si>
  <si>
    <t>Planning Expense (607-LE003044)</t>
  </si>
  <si>
    <t>Plant / Mill/Expenses (618007-LE001467)</t>
  </si>
  <si>
    <t>Plant Admin (694116-LE001838)</t>
  </si>
  <si>
    <t>plant -Crush (886030-LE002404)</t>
  </si>
  <si>
    <t>Plant EHS (694117-LE001838)</t>
  </si>
  <si>
    <t>Plant Expenses (621007-LE001467)</t>
  </si>
  <si>
    <t>Plant Expenses (536007-LE001467)</t>
  </si>
  <si>
    <t>Plant general (143590-LE003691)</t>
  </si>
  <si>
    <t>Plant General - FP4 (658690-LE001275)</t>
  </si>
  <si>
    <t>Plant operation  (731630-LE001467)</t>
  </si>
  <si>
    <t>Plant Operations (850007-LE001352)</t>
  </si>
  <si>
    <t>Plant-Main (886034-LE002404)</t>
  </si>
  <si>
    <t>PLANT-QA/QC (886036-LE002404)</t>
  </si>
  <si>
    <t>PLANT-SECURITY (965071-LE002404)</t>
  </si>
  <si>
    <t>Plant-Security (886071-LE002404)</t>
  </si>
  <si>
    <t>PMO - IND (638329-LE002006)</t>
  </si>
  <si>
    <t>Port operation cost (954030-LE001109)</t>
  </si>
  <si>
    <t>Port Warehouse (492031-LE003528)</t>
  </si>
  <si>
    <t>Post JE&amp; perf PD end proc (230217-LE003203)</t>
  </si>
  <si>
    <t>Poultry Focus (296009-LE002115)</t>
  </si>
  <si>
    <t>Poultry Sales - North (1245114007-LE001949)</t>
  </si>
  <si>
    <t>Poultry Sales - North, East, West &amp; Nepa (1245114009-LE001949)</t>
  </si>
  <si>
    <t>POULTRY SALES - PHASE 1 (1245114001-LE001949)</t>
  </si>
  <si>
    <t>Poultry Sales - South and Srilanka (1245114003-LE001949)</t>
  </si>
  <si>
    <t>Poultry Tech &amp; General Expenses (1245115482-LE001949)</t>
  </si>
  <si>
    <t>Powerstation Expense (307-LE003044)</t>
  </si>
  <si>
    <t>PP-IQF (120240-LE001440)</t>
  </si>
  <si>
    <t>PP-M-Production maintenance-Mechanical (120322-LE001440)</t>
  </si>
  <si>
    <t>PP-M-UT-Water Treatment (120325-LE001440)</t>
  </si>
  <si>
    <t>PP-Packing (120235-LE001440)</t>
  </si>
  <si>
    <t>PP-P-Chilling&amp;Hanging (120229-LE001440)</t>
  </si>
  <si>
    <t>PP-P-Classify&amp;Packing (120234-LE001440)</t>
  </si>
  <si>
    <t>PP-Plant General (120101-LE001440)</t>
  </si>
  <si>
    <t>PP-P-Leg cut (120233-LE001440)</t>
  </si>
  <si>
    <t>PP-P-Offal Operation (120223-LE001440)</t>
  </si>
  <si>
    <t>PP-P-PP-P-Auto cut (120232-LE001440)</t>
  </si>
  <si>
    <t>PP-P-Receive Hang/Kill/Eviscerating (120222-LE001440)</t>
  </si>
  <si>
    <t>PP-P-Wing&amp;Breast cut (120231-LE001440)</t>
  </si>
  <si>
    <t>PP-Sanitation (120102-LE001440)</t>
  </si>
  <si>
    <t>PP-SY (140600-LE001440)</t>
  </si>
  <si>
    <t>Praparation (143510-LE003691)</t>
  </si>
  <si>
    <t>PRD MANAGEMENT  - IN12 (1245113312-LE001949)</t>
  </si>
  <si>
    <t>PRD MANAGEMENT  - IN13 (1245113313-LE001949)</t>
  </si>
  <si>
    <t>PRD MANAGEMENT - IN14 (1245113314-LE001949)</t>
  </si>
  <si>
    <t>PRD_PURCHASING (1245113215-LE001949)</t>
  </si>
  <si>
    <t>Proc interco transactions (230254-LE003203)</t>
  </si>
  <si>
    <t>Proc travel and exp reimbur (230237-LE003203)</t>
  </si>
  <si>
    <t>Process collections (230215-LE003203)</t>
  </si>
  <si>
    <t>Process intercompany  transactions (638214-LE002006)</t>
  </si>
  <si>
    <t>Process payments (230233-LE003203)</t>
  </si>
  <si>
    <t>Process Safety Risk Mngt (278045-LE002253)</t>
  </si>
  <si>
    <t>Process vendor invoices (638242-LE002006)</t>
  </si>
  <si>
    <t>Process vendor invoices (230232-LE003203)</t>
  </si>
  <si>
    <t>Procurement (874048-LE002558)</t>
  </si>
  <si>
    <t>Procurement CSSP (278810-LE002253)</t>
  </si>
  <si>
    <t>Procurement Expense (501-LE003044)</t>
  </si>
  <si>
    <t>Prod Lab FSQR-ROAP shar (645136-LE003254)</t>
  </si>
  <si>
    <t>Prod Ovhd (3800-LE002394)</t>
  </si>
  <si>
    <t>Prod-EHS-MCS ROAP shari (645131-LE003254)</t>
  </si>
  <si>
    <t>Product Line Management (4900-LE002394)</t>
  </si>
  <si>
    <t>Product Line Management (12714900-LE002394)</t>
  </si>
  <si>
    <t>Product Registration (507612-LE002648)</t>
  </si>
  <si>
    <t>Production (694107-LE001838)</t>
  </si>
  <si>
    <t>PRODUCTION  DIRECT - IN 12 (1245112012-LE001949)</t>
  </si>
  <si>
    <t>PRODUCTION  DIRECT - IN13 (1245112013-LE001949)</t>
  </si>
  <si>
    <t>PRODUCTION  DIRECT - IN14 (1245112014-LE001949)</t>
  </si>
  <si>
    <t>Production / Engineering (820007-LE002590)</t>
  </si>
  <si>
    <t>Production / Engineering (822007-LE002590)</t>
  </si>
  <si>
    <t>Production CFN Kaifeng (521007-LE003608)</t>
  </si>
  <si>
    <t>Production Crush (876030-LE002001)</t>
  </si>
  <si>
    <t>Production EHS (472032-LE001438)</t>
  </si>
  <si>
    <t>Production Lab (860038-LE002834)</t>
  </si>
  <si>
    <t>Production Lab (876033-LE002001)</t>
  </si>
  <si>
    <t>Production Maintenance (953031-LE002001)</t>
  </si>
  <si>
    <t>Production Maintenance (876031-LE002001)</t>
  </si>
  <si>
    <t>Production Overhead (9723800250-LE002476)</t>
  </si>
  <si>
    <t>Production Shared (474035-LE001438)</t>
  </si>
  <si>
    <t>Production Shared (926035-LE002834)</t>
  </si>
  <si>
    <t>Production Shared (965139-LE002404)</t>
  </si>
  <si>
    <t>PRODUCTION SUPPORT - IN12 (1245112312-LE001949)</t>
  </si>
  <si>
    <t>PRODUCTION SUPPORT - IN12 (1245113012-LE001949)</t>
  </si>
  <si>
    <t>PRODUCTION SUPPORT - IN13 (1245112313-LE001949)</t>
  </si>
  <si>
    <t>PRODUCTION SUPPORT - IN14 (1245112314-LE001949)</t>
  </si>
  <si>
    <t>PRODUCTION SUPPORT - IN14 (1245113014-LE001949)</t>
  </si>
  <si>
    <t>PRODUCTION SUPPORT- IN13 (1245113013-LE001949)</t>
  </si>
  <si>
    <t>Production&amp; QA Exp (936007-LE003258)</t>
  </si>
  <si>
    <t>Production_R&amp;M-from crush (926933-LE002834)</t>
  </si>
  <si>
    <t>Production_Worker_WLD 2 (650316-LE001275)</t>
  </si>
  <si>
    <t>Production_Worker_WLD 3 (650415-LE001275)</t>
  </si>
  <si>
    <t>Production_Worker_WLD 4 (650416-LE001275)</t>
  </si>
  <si>
    <t>Production-Boiler (861030-LE003039)</t>
  </si>
  <si>
    <t>Production-Crush (860030-LE002834)</t>
  </si>
  <si>
    <t>Production-EHS (926936-LE002834)</t>
  </si>
  <si>
    <t>Production-EHS (953025-LE002001)</t>
  </si>
  <si>
    <t>Production-EHS (645031-LE003254)</t>
  </si>
  <si>
    <t>Production-EHS (860037-LE002834)</t>
  </si>
  <si>
    <t>Production-EHS (876025-LE002001)</t>
  </si>
  <si>
    <t>Production-EHS (886029-LE002404)</t>
  </si>
  <si>
    <t>Production-EHS (988034-LE002570)</t>
  </si>
  <si>
    <t>Production-EHS Shared (965029-LE002404)</t>
  </si>
  <si>
    <t>Production-non R&amp;M-from GCK (926939-LE002834)</t>
  </si>
  <si>
    <t>Production-non R&amp;M-from GCK (965939-LE002404)</t>
  </si>
  <si>
    <t>Production-QA (472038-LE001438)</t>
  </si>
  <si>
    <t>Production-R&amp;M (860034-LE002834)</t>
  </si>
  <si>
    <t>Production-R&amp;M-from GCK (965937-LE002404)</t>
  </si>
  <si>
    <t>Production-Safeguard (860071-LE002834)</t>
  </si>
  <si>
    <t>Production-Weightbridge (860072-LE002834)</t>
  </si>
  <si>
    <t>Project Dravid (550403-LE001467)</t>
  </si>
  <si>
    <t>Project Management Office team cost (638107-LE002006)</t>
  </si>
  <si>
    <t>project team (873060-LE002476)</t>
  </si>
  <si>
    <t>Protein Meal (661103-LE001952)</t>
  </si>
  <si>
    <t>Provide supplier support services (230235-LE003203)</t>
  </si>
  <si>
    <t>Provimi GX Sales (486009-LE002228)</t>
  </si>
  <si>
    <t>PSK - Production (745007-LE002825)</t>
  </si>
  <si>
    <t>PSK - Shared FSQR (645027-LE002825)</t>
  </si>
  <si>
    <t>PSK - Shared Production (645107-LE002825)</t>
  </si>
  <si>
    <t>PSK - Shared Production (645007-LE002825)</t>
  </si>
  <si>
    <t>PSK - Shared Supply chain and Demand (645037-LE002825)</t>
  </si>
  <si>
    <t>Psr Admin (703012-LE001838)</t>
  </si>
  <si>
    <t>Psr FSQR (703834-LE001838)</t>
  </si>
  <si>
    <t>Psr Marketing (703009-LE001838)</t>
  </si>
  <si>
    <t>Psr Plant (703007-LE001838)</t>
  </si>
  <si>
    <t>PTO 1-A (650356-LE001275)</t>
  </si>
  <si>
    <t>PTO 2-A (650357-LE001275)</t>
  </si>
  <si>
    <t>PTO 3-B (650456-LE001275)</t>
  </si>
  <si>
    <t>PTO 4B (650457-LE001275)</t>
  </si>
  <si>
    <t>PTO 5 - A (650358-LE001275)</t>
  </si>
  <si>
    <t>PTO 6 - B (650359-LE001275)</t>
  </si>
  <si>
    <t>PTP - Process payments (638243-LE002006)</t>
  </si>
  <si>
    <t>PTP-Post journal entries and perform per (638244-LE002006)</t>
  </si>
  <si>
    <t>Public Affairs (278910-LE002253)</t>
  </si>
  <si>
    <t>Public Affairs (9607700-LE002394)</t>
  </si>
  <si>
    <t>Pulilan Admin (305012-LE002115)</t>
  </si>
  <si>
    <t>Pulilan Lab (305070-LE002115)</t>
  </si>
  <si>
    <t>Pulilan Lab (305117-LE002115)</t>
  </si>
  <si>
    <t>Pulilan -RMS (305132-LE002115)</t>
  </si>
  <si>
    <t>Pulilan -SMT Shared (305909-LE002115)</t>
  </si>
  <si>
    <t>Pulilan-Admin/Mgt/Shared (305142-LE002115)</t>
  </si>
  <si>
    <t>Pulilan-Credit Team (305162-LE002115)</t>
  </si>
  <si>
    <t>Pulilan-CTL (305207-LE002115)</t>
  </si>
  <si>
    <t>Pulilan-Formulator (305152-LE002115)</t>
  </si>
  <si>
    <t>Pulilan-Operation Shared (305907-LE002115)</t>
  </si>
  <si>
    <t>Pulilan-Production (305007-LE002115)</t>
  </si>
  <si>
    <t>Pulilan-SMT (305009-LE002115)</t>
  </si>
  <si>
    <t>Pulilan-Technical Services (305109-LE002115)</t>
  </si>
  <si>
    <t>PULLET 6 (658201-LE001275)</t>
  </si>
  <si>
    <t>PULLET 7 (658202-LE001275)</t>
  </si>
  <si>
    <t>PULLET 8 (658203-LE001275)</t>
  </si>
  <si>
    <t>Purchasing Feed Ingredient          (650126-LE001275)</t>
  </si>
  <si>
    <t>Purwodadi Admin (659012-LE001838)</t>
  </si>
  <si>
    <t>Purwodadi FSQR (659834-LE001838)</t>
  </si>
  <si>
    <t>Purwodadi Plant (659007-LE001838)</t>
  </si>
  <si>
    <t>QA/QC (507207-LE002648)</t>
  </si>
  <si>
    <t>QC (3500-LE002394)</t>
  </si>
  <si>
    <t>QC IN12" (1245113112-LE001949)</t>
  </si>
  <si>
    <t>QC IN13" (1245113113-LE001949)</t>
  </si>
  <si>
    <t>QC IN14" (1245113114-LE001949)</t>
  </si>
  <si>
    <t>QC-Lecithin (9723500250-LE002476)</t>
  </si>
  <si>
    <t>Quality Control (663057-LE001838)</t>
  </si>
  <si>
    <t>Quality Expense (901-LE003044)</t>
  </si>
  <si>
    <t>R&amp;D (366024-LE002834)</t>
  </si>
  <si>
    <t>R&amp;D ??? (250610-LE003259)</t>
  </si>
  <si>
    <t>R&amp;M (926033-LE002834)</t>
  </si>
  <si>
    <t>R&amp;M (965037-LE002404)</t>
  </si>
  <si>
    <t>RAW FUR. - G.(B) (650420-LE001275)</t>
  </si>
  <si>
    <t>Raw Fur-G(B) (658420-LE001275)</t>
  </si>
  <si>
    <t>RAW MATERIAL (650121-LE001275)</t>
  </si>
  <si>
    <t>Raw meat procurement (250620-LE001440)</t>
  </si>
  <si>
    <t>RECEIVING &amp; HANGING-B (658600-LE001275)</t>
  </si>
  <si>
    <t>RECEIVING &amp; HANGING-B (658400-LE001275)</t>
  </si>
  <si>
    <t>RECEIVING &amp; HANGING-B (650400-LE001275)</t>
  </si>
  <si>
    <t>Recharge (947108-LE001758)</t>
  </si>
  <si>
    <t>Recharge - Global SMT (507729-LE002648)</t>
  </si>
  <si>
    <t>Refinery Production (634030-LE003265)</t>
  </si>
  <si>
    <t>Refinery Production (474030-LE001438)</t>
  </si>
  <si>
    <t>Refinery Production (926030-LE002834)</t>
  </si>
  <si>
    <t>Refinery Production (953032-LE002001)</t>
  </si>
  <si>
    <t>Refinery Production (965039-LE002404)</t>
  </si>
  <si>
    <t>Refinery-from GCK (953939-LE002001)</t>
  </si>
  <si>
    <t>Refrigeration - FP4 (658672-LE001275)</t>
  </si>
  <si>
    <t>Refrigeration-PP (658870-LE001275)</t>
  </si>
  <si>
    <t>Reg Infra CHN (797147-LE003203)</t>
  </si>
  <si>
    <t>Regional SMT (242007-LE002451)</t>
  </si>
  <si>
    <t>RESEARCH &amp; DEV FARM (1245117016-LE001949)</t>
  </si>
  <si>
    <t>RESEARCH &amp; DEV LABORATORY (1245117214-LE001949)</t>
  </si>
  <si>
    <t>Risk Mgmt Director China (278080-LE002253)</t>
  </si>
  <si>
    <t>RMS (1245116722-LE001949)</t>
  </si>
  <si>
    <t>RMS (507407-LE002648)</t>
  </si>
  <si>
    <t>RMS - CFN SEA (640212-LE002825)</t>
  </si>
  <si>
    <t>RMS Lab - QC - Binh Dinh (942118-LE001758)</t>
  </si>
  <si>
    <t>RMS Lab - QC - Can Tho (943118-LE001758)</t>
  </si>
  <si>
    <t>RMS Lab - QC - Dong Thap (764118-LE001758)</t>
  </si>
  <si>
    <t>RMS Lab - QC - Long An (941118-LE001758)</t>
  </si>
  <si>
    <t>RMS Lab - QC - Nghe An (649118-LE001758)</t>
  </si>
  <si>
    <t>RMS Lab - QC - Tien Giang (948118-LE001758)</t>
  </si>
  <si>
    <t>RMS Purchasing - Bien Hoa (765117-LE001758)</t>
  </si>
  <si>
    <t>RMS Purchasing - Binh Dinh (942117-LE001758)</t>
  </si>
  <si>
    <t>RMS Purchasing - Can Tho (943117-LE001758)</t>
  </si>
  <si>
    <t>RMS Purchasing - Nghe An (649117-LE001758)</t>
  </si>
  <si>
    <t>ROAP Huanghua Admin (474040-LE001438)</t>
  </si>
  <si>
    <t>ROAP Huanghua Finance (474075-LE001438)</t>
  </si>
  <si>
    <t>ROAP Huanghua R&amp;M (474034-LE001438)</t>
  </si>
  <si>
    <t>ROAP Huanghua Safety Guard (474071-LE001438)</t>
  </si>
  <si>
    <t>ROAP Production EHS (474032-LE001438)</t>
  </si>
  <si>
    <t>ROAP-Admin &amp; IT (645170-LE003254)</t>
  </si>
  <si>
    <t>ROAP-Plant (645130-LE003254)</t>
  </si>
  <si>
    <t>ROAP-Supply Chain (645160-LE003254)</t>
  </si>
  <si>
    <t>RTR - Perform Cash Management (638215-LE002006)</t>
  </si>
  <si>
    <t>Sabah Admin (264312-LE002380)</t>
  </si>
  <si>
    <t>Sabah Finance (264112-LE002380)</t>
  </si>
  <si>
    <t>Sabah Marketing (264109-LE002380)</t>
  </si>
  <si>
    <t>Sabah-Tradico (264212-LE002380)</t>
  </si>
  <si>
    <t>Safeguard ROAP sharing (645171-LE003254)</t>
  </si>
  <si>
    <t>Safeguard-from crush (926971-LE002834)</t>
  </si>
  <si>
    <t>Safety &amp; Environment (3820-LE002394)</t>
  </si>
  <si>
    <t>Safety (CIP) (160300-LE001440)</t>
  </si>
  <si>
    <t>Salary - Admin (986200-LE001467)</t>
  </si>
  <si>
    <t>Salary - FO (986150-LE001467)</t>
  </si>
  <si>
    <t>Sale (988020-LE002570)</t>
  </si>
  <si>
    <t>Sales (619009-LE001467)</t>
  </si>
  <si>
    <t>Sales (243300-LE003264)</t>
  </si>
  <si>
    <t>Sales &amp; Marketing Expenses (536009-LE001467)</t>
  </si>
  <si>
    <t>SALES DAI EAST (1245114016-LE001949)</t>
  </si>
  <si>
    <t>Sales East Fixed (628951-LE001467)</t>
  </si>
  <si>
    <t>Sales Expenses (618009-LE001467)</t>
  </si>
  <si>
    <t>SALES PROCESS EXCELLENCE (114101812-LE001467)</t>
  </si>
  <si>
    <t>Sales/Marrketing (530190-LE001952)</t>
  </si>
  <si>
    <t>SANI.-DAY/B (650482-LE001275)</t>
  </si>
  <si>
    <t>SANI-A Deep Clean High Care (658383-LE001275)</t>
  </si>
  <si>
    <t>SANI-A General High Care (658388-LE001275)</t>
  </si>
  <si>
    <t>SANI-A Low Risk PP2 (658382-LE001275)</t>
  </si>
  <si>
    <t>SANI-B Deep Clean High Care (658483-LE001275)</t>
  </si>
  <si>
    <t>SANI-B General High Care (658488-LE001275)</t>
  </si>
  <si>
    <t>SANI-B Low Risk PP2 (658482-LE001275)</t>
  </si>
  <si>
    <t>Sanitation (143582-LE003691)</t>
  </si>
  <si>
    <t>SANITATION Deep Clean HIGH CARE-A (658883-LE001275)</t>
  </si>
  <si>
    <t>SANITATION Deep Clean HIGH CARE-B (658683-LE001275)</t>
  </si>
  <si>
    <t>SANITATION General High Care - A (658887-LE001275)</t>
  </si>
  <si>
    <t>SANITATION General High Care - B (658687-LE001275)</t>
  </si>
  <si>
    <t>SANITATION LOW CARE-A (658882-LE001275)</t>
  </si>
  <si>
    <t>SANITATION LOW CARE-B (658682-LE001275)</t>
  </si>
  <si>
    <t>SAP Project (650907-LE001275)</t>
  </si>
  <si>
    <t>SBB Raw Meat/SP BB 10 (658333-LE001275)</t>
  </si>
  <si>
    <t>SBB Raw Meat/SP BB 2 (658323-LE001275)</t>
  </si>
  <si>
    <t>SBB RAW MEAT13-B (658833-LE001275)</t>
  </si>
  <si>
    <t>SBB RAW MEAT14-B (658834-LE001275)</t>
  </si>
  <si>
    <t>SBB RAW MEAT25-B (658853-LE001275)</t>
  </si>
  <si>
    <t>SBB RAW MEAT26-B (658847-LE001275)</t>
  </si>
  <si>
    <t>SBB RAW MEAT3-A (658822-LE001275)</t>
  </si>
  <si>
    <t>SBB RAW MEAT5-A (658850-LE001275)</t>
  </si>
  <si>
    <t>SBB S/Q 50-58g./SP BB 1 (658321-LE001275)</t>
  </si>
  <si>
    <t>SBB S/Q 50-58g./SP BB 12 (658336-LE001275)</t>
  </si>
  <si>
    <t>SBB S/Q 50-58g./SP BB 3 (658325-LE001275)</t>
  </si>
  <si>
    <t>SBB S/Q 50-58g./SP BB 9 (658332-LE001275)</t>
  </si>
  <si>
    <t>Scale (988072-LE002570)</t>
  </si>
  <si>
    <t>SCANVAEGT 1 - A (650354-LE001275)</t>
  </si>
  <si>
    <t>SCANVAEGT 2 - B (650454-LE001275)</t>
  </si>
  <si>
    <t>SCM - BRANCH NOIDA (1245115210-LE001949)</t>
  </si>
  <si>
    <t>SCM - BRANCH_KOLKOTTA (1245115220-LE001949)</t>
  </si>
  <si>
    <t>SCM - BRANCH_PUNE (1245115218-LE001949)</t>
  </si>
  <si>
    <t>SCM - CHEENAI OFFICE (1245115236-LE001949)</t>
  </si>
  <si>
    <t>SD PMO MYS (278060-LE002253)</t>
  </si>
  <si>
    <t>SEAGOC - Admin (Phil) (514010100-LE002950)</t>
  </si>
  <si>
    <t>SEAGOC - Buying (Phil) (514020300-LE002950)</t>
  </si>
  <si>
    <t>SEAGOC - Merchandising (Phil) (514010200-LE002950)</t>
  </si>
  <si>
    <t>SEAGOC Trade Execution (514010600-LE002950)</t>
  </si>
  <si>
    <t>Security (988071-LE002570)</t>
  </si>
  <si>
    <t>Selling Department-Meal Team (860020-LE002834)</t>
  </si>
  <si>
    <t>Selling-CE (645180-LE003254)</t>
  </si>
  <si>
    <t>Selling-CE (965044-LE002404)</t>
  </si>
  <si>
    <t>Selling-CE (645044-LE003254)</t>
  </si>
  <si>
    <t>Selling-CE (876044-LE002001)</t>
  </si>
  <si>
    <t>Selling-CE (886044-LE002404)</t>
  </si>
  <si>
    <t>Selling-Grains (166880-LE002404)</t>
  </si>
  <si>
    <t>Selling-SBM (886046-LE002404)</t>
  </si>
  <si>
    <t>SELLING-SUPPLY CHAIN (965060-LE002404)</t>
  </si>
  <si>
    <t>Selling-Supply Chain (886060-LE002404)</t>
  </si>
  <si>
    <t>SFA (114101810-LE001467)</t>
  </si>
  <si>
    <t>SFC-Sales (285009-LE002115)</t>
  </si>
  <si>
    <t>SGA - Finhub (965076-LE002404)</t>
  </si>
  <si>
    <t>SGA - Selling- Supply Chain (645060-LE003254)</t>
  </si>
  <si>
    <t>SGA Trade Execution (660102-LE001952)</t>
  </si>
  <si>
    <t>SGA-GHRO MC (383042-LE002404)</t>
  </si>
  <si>
    <t>SGA-GHRO NT (382042-LE002834)</t>
  </si>
  <si>
    <t>SH CAN Finance (470812-LE003203)</t>
  </si>
  <si>
    <t>SH CAN HR (470805-LE003203)</t>
  </si>
  <si>
    <t>Shaanxi Hog (990109-LE002641)</t>
  </si>
  <si>
    <t>ShaanXi Plant (990007-LE002641)</t>
  </si>
  <si>
    <t>Shaanxi Ruminant (990209-LE002641)</t>
  </si>
  <si>
    <t>Shandong Finance (866812-LE002134)</t>
  </si>
  <si>
    <t>ShanXi Hog (822109-LE002590)</t>
  </si>
  <si>
    <t>ShanXi Ruminant (822209-LE002590)</t>
  </si>
  <si>
    <t>Share Serv Exp-Project Team (860092-LE002834)</t>
  </si>
  <si>
    <t>Share Service Corporate Accounting (535100-LE001838)</t>
  </si>
  <si>
    <t>Share Service HRD (535300-LE001838)</t>
  </si>
  <si>
    <t>Share Service Office Service (535400-LE001838)</t>
  </si>
  <si>
    <t>Sharepoint and Decommission - IND (638326-LE002006)</t>
  </si>
  <si>
    <t>ShiJiaZhuang Hog (929109-LE002590)</t>
  </si>
  <si>
    <t>ShiJiaZhuang Ruminant (929209-LE002590)</t>
  </si>
  <si>
    <t>Shipment (48904401-LE002163)</t>
  </si>
  <si>
    <t>Singapore Palm Oils (639910-LE002006)</t>
  </si>
  <si>
    <t>Site Services (143570-LE003691)</t>
  </si>
  <si>
    <t>Smg Admin (702012-LE001838)</t>
  </si>
  <si>
    <t>Smg FSQR (702834-LE001838)</t>
  </si>
  <si>
    <t>Smg Marketing (702009-LE001838)</t>
  </si>
  <si>
    <t>Smg Plant (702007-LE001838)</t>
  </si>
  <si>
    <t>SMT (700909-LE001838)</t>
  </si>
  <si>
    <t>SMT General Exp (1245115415-LE001949)</t>
  </si>
  <si>
    <t>SP BB 15-B (658835-LE001275)</t>
  </si>
  <si>
    <t>SP BB 16-B (658836-LE001275)</t>
  </si>
  <si>
    <t>SP BB 5 (658327-LE001275)</t>
  </si>
  <si>
    <t>SP BB 5-A (658824-LE001275)</t>
  </si>
  <si>
    <t>SP BB 6-A (658825-LE001275)</t>
  </si>
  <si>
    <t>SP BL 10-A (658851-LE001275)</t>
  </si>
  <si>
    <t>SP BL 11-A (658852-LE001275)</t>
  </si>
  <si>
    <t>SP BL 13 (650322-LE001275)</t>
  </si>
  <si>
    <t>SP BL 17-B (658837-LE001275)</t>
  </si>
  <si>
    <t>SP BL 18-B (658838-LE001275)</t>
  </si>
  <si>
    <t>SP BL 30-B (658854-LE001275)</t>
  </si>
  <si>
    <t>SP BL 31-B (658855-LE001275)</t>
  </si>
  <si>
    <t>SP BL 6 (658328-LE001275)</t>
  </si>
  <si>
    <t>SP BL 7 (658329-LE001275)</t>
  </si>
  <si>
    <t>SP BL 7-A (658826-LE001275)</t>
  </si>
  <si>
    <t>SP BL 8-A (658827-LE001275)</t>
  </si>
  <si>
    <t>SPECIAL -23 (650323-LE001275)</t>
  </si>
  <si>
    <t>SPECIAL -28 (650324-LE001275)</t>
  </si>
  <si>
    <t>SPECIAL-24 (650351-LE001275)</t>
  </si>
  <si>
    <t>SPECIAL-25 (650352-LE001275)</t>
  </si>
  <si>
    <t>SPECIAL-26 (650353-LE001275)</t>
  </si>
  <si>
    <t>SPECIAL-27 (650450-LE001275)</t>
  </si>
  <si>
    <t>SPECIAL-29 (650452-LE001275)</t>
  </si>
  <si>
    <t>SPECIAL-30 (650453-LE001275)</t>
  </si>
  <si>
    <t>Specialty Asia Accounts (2467200000-LE002451)</t>
  </si>
  <si>
    <t>Specialty Asia C Trade (2465000000-LE002451)</t>
  </si>
  <si>
    <t>Spring Kitchen (650799-LE001275)</t>
  </si>
  <si>
    <t>SRG Admin (532012-LE001838)</t>
  </si>
  <si>
    <t>Srg FSQR (532834-LE001838)</t>
  </si>
  <si>
    <t>SRG Marketing (532009-LE001838)</t>
  </si>
  <si>
    <t>SRG Plant (532007-LE001838)</t>
  </si>
  <si>
    <t>SSC LH- HR&amp; Admin. (489031-LE002163)</t>
  </si>
  <si>
    <t>SSC LH- Sales (489021-LE002163)</t>
  </si>
  <si>
    <t>SSC PH - Selling exp (874029-LE002558)</t>
  </si>
  <si>
    <t>SSC SY Manufacturing- SPD (312-LE003044)</t>
  </si>
  <si>
    <t>SSC SY Sales- Main Products (60403-LE003044)</t>
  </si>
  <si>
    <t>SSC SY Sales-CO. Products (60404-LE003044)</t>
  </si>
  <si>
    <t>SSI Plant operation (550402-LE001467)</t>
  </si>
  <si>
    <t>Starches &amp; Sweeteners China - EHS (489040-LE002163)</t>
  </si>
  <si>
    <t>Storage (988032-LE002570)</t>
  </si>
  <si>
    <t>Strategic Farm Partner (150710-LE001440)</t>
  </si>
  <si>
    <t>Strategic Sourcing (382135-LE002834)</t>
  </si>
  <si>
    <t>Strategic Sourcing (278820-LE002253)</t>
  </si>
  <si>
    <t>Strategic Sourcing CSSSEA (535944-LE001838)</t>
  </si>
  <si>
    <t>Strategic Sourcing CTP (535943-LE001838)</t>
  </si>
  <si>
    <t>Strategic Sourcing&amp;Procurement Dual Opr (638105-LE002006)</t>
  </si>
  <si>
    <t>Strategic Sourcing-1 (623022-LE002825)</t>
  </si>
  <si>
    <t>Supply Chain (12715500-LE002394)</t>
  </si>
  <si>
    <t>Supply Chain (6365500000-LE002825)</t>
  </si>
  <si>
    <t>Supply Chain (2465500000-LE002451)</t>
  </si>
  <si>
    <t>Supply Chain (973060-LE003203)</t>
  </si>
  <si>
    <t>Supply Chain - CE (860044-LE002834)</t>
  </si>
  <si>
    <t>Supply Chain - CE from GCK (926961-LE002834)</t>
  </si>
  <si>
    <t>Supply Chain- CPN-LYG (6589826-LE001733)</t>
  </si>
  <si>
    <t>Supply Chain- CPN-NJ (840826-LE002807)</t>
  </si>
  <si>
    <t>Supply Chain-CE (474044-LE001438)</t>
  </si>
  <si>
    <t>Supply Chain-CE (926061-LE002834)</t>
  </si>
  <si>
    <t>Supply Chain-CE (965061-LE002404)</t>
  </si>
  <si>
    <t>Supply chain-Lecithin (9725500250-LE002476)</t>
  </si>
  <si>
    <t>Supply Chain-Planning (926067-LE002834)</t>
  </si>
  <si>
    <t>Supply Chain-Planning (965067-LE002404)</t>
  </si>
  <si>
    <t>Supply Chain-T&amp;L (926060-LE002834)</t>
  </si>
  <si>
    <t>Supply Chain-T&amp;L (965066-LE002404)</t>
  </si>
  <si>
    <t>Supply Chain-Truck (167016-LE002404)</t>
  </si>
  <si>
    <t>Supply Chain-Truck (366016-LE002834)</t>
  </si>
  <si>
    <t>Supply Chain-Warehouse (634064-LE003265)</t>
  </si>
  <si>
    <t>Supply Chain-Warehouse (366037-LE002834)</t>
  </si>
  <si>
    <t>Support for other project (72106-LE003044)</t>
  </si>
  <si>
    <t>SVK Accounts-Financial (Thai) (658903-LE001275)</t>
  </si>
  <si>
    <t>SVK Arrival (Thai) (658300-LE001275)</t>
  </si>
  <si>
    <t>SVK Breeder-Hatchery (658100-LE001275)</t>
  </si>
  <si>
    <t>SVK Canteen (Thai) (658394-LE001275)</t>
  </si>
  <si>
    <t>SVK Contract-ADM (658180-LE001275)</t>
  </si>
  <si>
    <t>SVK Debone (Thai) (658310-LE001275)</t>
  </si>
  <si>
    <t>SVK Domestic Retail Sales (Thai) (658941-LE001275)</t>
  </si>
  <si>
    <t>SVK Engineering FP 3 (Thai) (658589-LE001275)</t>
  </si>
  <si>
    <t>SVK General Affairs (Thai) (658925-LE001275)</t>
  </si>
  <si>
    <t>SVK House Keeping (Thai) (658397-LE001275)</t>
  </si>
  <si>
    <t>SVK Maintenance PP (Thai) (658371-LE001275)</t>
  </si>
  <si>
    <t>SVK Planning FP 3 (Thai) (658592-LE001275)</t>
  </si>
  <si>
    <t>SVK Planning PP (Thai) (658391-LE001275)</t>
  </si>
  <si>
    <t>SVK Plant Gen FP 3 (Thai) (658590-LE001275)</t>
  </si>
  <si>
    <t>SVK PP Plant General (Thai) (658390-LE001275)</t>
  </si>
  <si>
    <t>SVK QA PP (658381-LE001275)</t>
  </si>
  <si>
    <t>SVK Raw Further (Thai) (658330-LE001275)</t>
  </si>
  <si>
    <t>SVK Refigeration PP (Thai) (658370-LE001275)</t>
  </si>
  <si>
    <t>SVK Refrigeration FP 3 (Thai) (658571-LE001275)</t>
  </si>
  <si>
    <t>SVK Water Treatment PP(Thai) (658372-LE001275)</t>
  </si>
  <si>
    <t>SVK Technical Service FP (Thai) (658580-LE001275)</t>
  </si>
  <si>
    <t>SVT Agriculture - Logistic &amp; Planning (650198-LE001275)</t>
  </si>
  <si>
    <t>SVT. - Admin. - A/C Financial (Thai) (650903-LE001275)</t>
  </si>
  <si>
    <t>SVT. - Agriculture Admin (Thai) (650199-LE001275)</t>
  </si>
  <si>
    <t>SVT. - Breeder - General (Thai) (650100-LE001275)</t>
  </si>
  <si>
    <t>SVT. - Breeder - Pullet 1 (Thai) (650101-LE001275)</t>
  </si>
  <si>
    <t>SVT. - Breeder - Pullet 2 (Thai) (650102-LE001275)</t>
  </si>
  <si>
    <t>SVT. - Contract Farms - Evisceration - N (650303-LE001275)</t>
  </si>
  <si>
    <t>SVT. - Contract Farms (Thai) (650180-LE001275)</t>
  </si>
  <si>
    <t>SVT. - Deboning - Debone 5 (Thai) (650315-LE001275)</t>
  </si>
  <si>
    <t>SVT. - Feedmill - Administration (Thai) (650122-LE001275)</t>
  </si>
  <si>
    <t>SVT. - Feedmill - Delivery (Thai) (650124-LE001275)</t>
  </si>
  <si>
    <t>SVT. - Feedmill - Laboratory (Thai) (650123-LE001275)</t>
  </si>
  <si>
    <t>SVT. - Finished Feed (Thai) (650120-LE001275)</t>
  </si>
  <si>
    <t>SVT. - FP. Technical Service - Q.A. (Tha (650581-LE001275)</t>
  </si>
  <si>
    <t>SVT. - Growout Farm - 1 (Thai) (650151-LE001275)</t>
  </si>
  <si>
    <t>SVT. - Growout Farm - 10 (Thai) (650160-LE001275)</t>
  </si>
  <si>
    <t>SVT. - Growout Farm - 11 (Thai) (650161-LE001275)</t>
  </si>
  <si>
    <t>SVT. - Growout Farm - 12 (Thai) (650162-LE001275)</t>
  </si>
  <si>
    <t>SVT. - Growout Farm - 2 (Thai) (650152-LE001275)</t>
  </si>
  <si>
    <t>SVT. - Growout Farm - 3 (Thai) (650153-LE001275)</t>
  </si>
  <si>
    <t>SVT. - Growout Farm - 4 (Thai) (650154-LE001275)</t>
  </si>
  <si>
    <t>SVT. - Growout Farm - 5 (Thai) (650155-LE001275)</t>
  </si>
  <si>
    <t>SVT. - Growout Farm - 6 (Thai) (650156-LE001275)</t>
  </si>
  <si>
    <t>SVT. - Growout Farm - 7 (Thai) (650157-LE001275)</t>
  </si>
  <si>
    <t>SVT. - Growout Farm - 8 (Thai) (650158-LE001275)</t>
  </si>
  <si>
    <t>SVT. - Growout Farm - 9 (Thai) (650159-LE001275)</t>
  </si>
  <si>
    <t>SVT. - Growout Farm General-Farm 1-12 (T (650150-LE001275)</t>
  </si>
  <si>
    <t>SVT. - Hatchery - 1 (Thai) (650111-LE001275)</t>
  </si>
  <si>
    <t>SVT. - HRD. - General Affairs (Thai) (650925-LE001275)</t>
  </si>
  <si>
    <t>SVT. - Poultry Health Center (Thai) (650193-LE001275)</t>
  </si>
  <si>
    <t>SVT. Breeder - Pullet 3 (650141-LE001275)</t>
  </si>
  <si>
    <t>SVT. Breeder - Pullet 4 (650142-LE001275)</t>
  </si>
  <si>
    <t>SVT. Breeder - Pullet 5 (650143-LE001275)</t>
  </si>
  <si>
    <t>SVT. Breeder 1 (Thai) (650103-LE001275)</t>
  </si>
  <si>
    <t>SVT. Breeder 3 (Thai) (650106-LE001275)</t>
  </si>
  <si>
    <t>SVT. Canteen (Thai) (650394-LE001275)</t>
  </si>
  <si>
    <t>SVT. Engineering FP#1 (Thai) (650589-LE001275)</t>
  </si>
  <si>
    <t>SVT. Engineering FP#2 (Thai) (650689-LE001275)</t>
  </si>
  <si>
    <t>SVT. First Aid (Thai) (650396-LE001275)</t>
  </si>
  <si>
    <t>SVT. FP Plant #2 (650690-LE001275)</t>
  </si>
  <si>
    <t>SVT. FP. Plant#1 (Thai) (650590-LE001275)</t>
  </si>
  <si>
    <t>SVT. Logistic - Cold Statage FP#2 (Thai) (650660-LE001275)</t>
  </si>
  <si>
    <t>SVT. Logistic - Cold Storage FP#1 (Thai) (650560-LE001275)</t>
  </si>
  <si>
    <t>SVT. Logistic - Cold Storage PP (Thai) (650363-LE001275)</t>
  </si>
  <si>
    <t>SVT. Logistic - Planning - FP#1 (Thai) (650592-LE001275)</t>
  </si>
  <si>
    <t>SVT. Logistic - Planning FP#2 (Thai) (650692-LE001275)</t>
  </si>
  <si>
    <t>SVT. Logistic - Planning PP(Thai) (650391-LE001275)</t>
  </si>
  <si>
    <t>SVT. Maintenance &amp; SS - Building (Thai) (650377-LE001275)</t>
  </si>
  <si>
    <t>SVT. Maintenance &amp; SS - Maintenance PP ( (650371-LE001275)</t>
  </si>
  <si>
    <t>SVT. Maintenance &amp; SS - Maintenance Stor (650376-LE001275)</t>
  </si>
  <si>
    <t>SVT. Maintenance &amp; SS - Refrigeration PP (650370-LE001275)</t>
  </si>
  <si>
    <t>SVT. Maintenance &amp; SS - Sub Station (Tha (650375-LE001275)</t>
  </si>
  <si>
    <t>SVT. Maintenance &amp; SS-Water/Waste Treatm (650372-LE001275)</t>
  </si>
  <si>
    <t>SVT. MKT &amp; SALES - Domestic Retail Sales (650941-LE001275)</t>
  </si>
  <si>
    <t>SVT. MKT &amp; SALES - Export Sales (Thai) (650940-LE001275)</t>
  </si>
  <si>
    <t>SVT. MKT &amp; SALES - R&amp;D (Thai) (650961-LE001275)</t>
  </si>
  <si>
    <t>SVT. PP - Arrival (Thai) (650300-LE001275)</t>
  </si>
  <si>
    <t>SVT. PP - Debone (Thai) (650310-LE001275)</t>
  </si>
  <si>
    <t>SVT. PP - Domestic Chill (Thai) (650306-LE001275)</t>
  </si>
  <si>
    <t>SVT. PP - Eviscerating (Thai) (650302-LE001275)</t>
  </si>
  <si>
    <t>SVT. PP - Plant General (Thai) (650390-LE001275)</t>
  </si>
  <si>
    <t>SVT. PP - Raw Further Procesing - Specia (650340-LE001275)</t>
  </si>
  <si>
    <t>SVT. PP - Raw Further Processing - BB (T (650330-LE001275)</t>
  </si>
  <si>
    <t>SVT. PP - Raw Further Processing - BL (T (650320-LE001275)</t>
  </si>
  <si>
    <t>SVT. PP - Sanitation (650382-LE001275)</t>
  </si>
  <si>
    <t>SVT. PP Packing &amp; Boxing (Thai) (650360-LE001275)</t>
  </si>
  <si>
    <t>SVT. Refrigeration FP#1 (Thai) (650571-LE001275)</t>
  </si>
  <si>
    <t>SVT. Refrigeration FP#2 (Thai) (650671-LE001275)</t>
  </si>
  <si>
    <t>SVT. Technical Services - Lab Micro PP ( (650385-LE001275)</t>
  </si>
  <si>
    <t>SVT. Technical Services - QA. FP#1 (Thai (650580-LE001275)</t>
  </si>
  <si>
    <t>SVT. Technical Services - QA.FP#2 (Thai) (650680-LE001275)</t>
  </si>
  <si>
    <t>SVT. Technical Services - QA.PP. (Thai) (650381-LE001275)</t>
  </si>
  <si>
    <t>Sweet Bran Expense (708-LE003044)</t>
  </si>
  <si>
    <t>Sweet Ckd Finance (121500103-LE002281)</t>
  </si>
  <si>
    <t>Sweet Ckd General Admin (121500107-LE002281)</t>
  </si>
  <si>
    <t>Sweet Ckd HR (121500105-LE002281)</t>
  </si>
  <si>
    <t>Sweet Ckd Trans &amp; Log (121500132-LE002281)</t>
  </si>
  <si>
    <t>Sweet Jkt BD (121500083-LE002281)</t>
  </si>
  <si>
    <t>Sweet Jkt Finance (121500113-LE002281)</t>
  </si>
  <si>
    <t>Sweet Jkt General Admin (121500081-LE002281)</t>
  </si>
  <si>
    <t>Sweet Jkt Project Resources (121500112-LE002281)</t>
  </si>
  <si>
    <t>Sweet Jkt Sls &amp; Mark (121500080-LE002281)</t>
  </si>
  <si>
    <t>Sweet Pdn DMH (121500007-LE002281)</t>
  </si>
  <si>
    <t>Sweet Pdn Finance (121500027-LE002281)</t>
  </si>
  <si>
    <t>Sweet Pdn General Admin (121500031-LE002281)</t>
  </si>
  <si>
    <t>Sweet Pdn Glucose (121500005-LE002281)</t>
  </si>
  <si>
    <t>Sweet Pdn HR (121500029-LE002281)</t>
  </si>
  <si>
    <t>Sweet Pdn Maltitol (121500011-LE002281)</t>
  </si>
  <si>
    <t>Sweet Pdn Maltodextrine (121500008-LE002281)</t>
  </si>
  <si>
    <t>Sweet Pdn Merchand (121500025-LE002281)</t>
  </si>
  <si>
    <t>Sweet Pdn Packing (121500009-LE002281)</t>
  </si>
  <si>
    <t>Sweet Pdn Plant General G&amp;A (121500019-LE002281)</t>
  </si>
  <si>
    <t>Sweet Pdn Plant Maint (121500014-LE002281)</t>
  </si>
  <si>
    <t>Sweet Pdn Prod WH (121500017-LE002281)</t>
  </si>
  <si>
    <t>Sweet Pdn Prod WH FG PDA (121500020-LE002281)</t>
  </si>
  <si>
    <t>Sweet Pdn Proj - Engineering (121500024-LE002281)</t>
  </si>
  <si>
    <t>Sweet Pdn QA (121500013-LE002281)</t>
  </si>
  <si>
    <t>Sweet Pdn Slury (121500120-LE002281)</t>
  </si>
  <si>
    <t>Sweet Pdn Sorbitol (121500004-LE002281)</t>
  </si>
  <si>
    <t>Sweet Pdn Ut Water&amp;WWT (121500015-LE002281)</t>
  </si>
  <si>
    <t>Sweet Pdn Utilities H2 (121500016-LE002281)</t>
  </si>
  <si>
    <t>Sweeteners Cikande Glucose Refining (121500087-LE002281)</t>
  </si>
  <si>
    <t>Sweeteners Cikande Maltodextr. Spray Dry (121500088-LE002281)</t>
  </si>
  <si>
    <t>Sweeteners Cikande Packing (121500089-LE002281)</t>
  </si>
  <si>
    <t>Sweeteners Cikande Plant General COGS (121500099-LE002281)</t>
  </si>
  <si>
    <t>Sweeteners Cikande Plant Maintenance (121500095-LE002281)</t>
  </si>
  <si>
    <t>Sweeteners Cikande Prod Whse FG (121500101-LE002281)</t>
  </si>
  <si>
    <t>Sweeteners Cikande Production Warehouse (121500098-LE002281)</t>
  </si>
  <si>
    <t>Sweeteners Cikande Quality Assurance (121500094-LE002281)</t>
  </si>
  <si>
    <t>Sweeteners Cikande Utilities Water &amp; WWT (121500096-LE002281)</t>
  </si>
  <si>
    <t>Sweeteners Team (797909-LE003203)</t>
  </si>
  <si>
    <t>SweetPdn EHS (121500131-LE002281)</t>
  </si>
  <si>
    <t>SweetPdn Trans &amp; Log (121500023-LE002281)</t>
  </si>
  <si>
    <t>TAC Project (360011-LE002590)</t>
  </si>
  <si>
    <t>Taian Hog (866109-LE002134)</t>
  </si>
  <si>
    <t>Taian Poultry (866409-LE002134)</t>
  </si>
  <si>
    <t>Tank Farm (474039-LE001438)</t>
  </si>
  <si>
    <t>Tank Farm (926039-LE002834)</t>
  </si>
  <si>
    <t>Tank Farm (953039-LE002001)</t>
  </si>
  <si>
    <t>Tank Farm (965035-LE002404)</t>
  </si>
  <si>
    <t>TAT (639101-LE002006)</t>
  </si>
  <si>
    <t>TAX (731240-LE001467)</t>
  </si>
  <si>
    <t>Tax (623020-LE002825)</t>
  </si>
  <si>
    <t>TAX (535800-LE001838)</t>
  </si>
  <si>
    <t>Tech Services Middleware AMS - IND (638327-LE002006)</t>
  </si>
  <si>
    <t>Tech Services Saas - IND (638328-LE002006)</t>
  </si>
  <si>
    <t>Tech Services Testing - IND (638325-LE002006)</t>
  </si>
  <si>
    <t>Technical Application (242008-LE002451)</t>
  </si>
  <si>
    <t>Technical Service - FP4 (658680-LE001275)</t>
  </si>
  <si>
    <t>Technical services (143580-LE003691)</t>
  </si>
  <si>
    <t>Technical support (12715200-LE002394)</t>
  </si>
  <si>
    <t>Technical support (5200-LE002394)</t>
  </si>
  <si>
    <t>TGRC-CHN (797910-LE003203)</t>
  </si>
  <si>
    <t>THA_Cost Center (THA_Cost Center)</t>
  </si>
  <si>
    <t>Tien Giang CSA (948116-LE001758)</t>
  </si>
  <si>
    <t>Tien Giang Shrimp (948209-LE001758)</t>
  </si>
  <si>
    <t>Toshoku BJ (137700001-LE002734)</t>
  </si>
  <si>
    <t>Toshoku SH (120300001-LE002734)</t>
  </si>
  <si>
    <t>Total Quality Management (262412-LE002682)</t>
  </si>
  <si>
    <t>Trade Execution (243400-LE003264)</t>
  </si>
  <si>
    <t>TRADING - SALES (1245114087-LE001949)</t>
  </si>
  <si>
    <t>Transportation &amp; Logistics (638601-LE002006)</t>
  </si>
  <si>
    <t>Transportation Expense (608-LE003044)</t>
  </si>
  <si>
    <t>TSF Trader Cost (568000-LE001675)</t>
  </si>
  <si>
    <t>TSM 1 - A (650343-LE001275)</t>
  </si>
  <si>
    <t>TSM 10 - B (650350-LE001275)</t>
  </si>
  <si>
    <t>TSM 10-A (658829-LE001275)</t>
  </si>
  <si>
    <t>TSM 19-B (658839-LE001275)</t>
  </si>
  <si>
    <t>TSM 2 - A (650344-LE001275)</t>
  </si>
  <si>
    <t>TSM 20-B PP3 (658841-LE001275)</t>
  </si>
  <si>
    <t>TSM 3 - A (650345-LE001275)</t>
  </si>
  <si>
    <t>TSM 4 - B (650443-LE001275)</t>
  </si>
  <si>
    <t>TSM 5 - B (650444-LE001275)</t>
  </si>
  <si>
    <t>TSM 6 - B (650445-LE001275)</t>
  </si>
  <si>
    <t>TSM 7 - B (650446-LE001275)</t>
  </si>
  <si>
    <t>TSM 8 - A (650346-LE001275)</t>
  </si>
  <si>
    <t>TSM 9 - A (650348-LE001275)</t>
  </si>
  <si>
    <t>TSM 9-A (658828-LE001275)</t>
  </si>
  <si>
    <t>Unallocated (973860-LE003203)</t>
  </si>
  <si>
    <t>VACUUM PACKING-A (658860-LE001275)</t>
  </si>
  <si>
    <t>VACUUM PACKING-A (658360-LE001275)</t>
  </si>
  <si>
    <t>VACUUM PACKING-B (658660-LE001275)</t>
  </si>
  <si>
    <t>VACUUM PACKING-B (658460-LE001275)</t>
  </si>
  <si>
    <t>VACUUM PACKING-B (650460-LE001275)</t>
  </si>
  <si>
    <t>VETSHOP (507509-LE002648)</t>
  </si>
  <si>
    <t>Villanueva Lab (303117-LE002115)</t>
  </si>
  <si>
    <t>Villanueva-CTL (303207-LE002115)</t>
  </si>
  <si>
    <t>Villasis Lab (304117-LE002115)</t>
  </si>
  <si>
    <t>Villasis-CTL (304207-LE002115)</t>
  </si>
  <si>
    <t>Villasis-Operation Shared (304907-LE002115)</t>
  </si>
  <si>
    <t>Vinh Admin (649012-LE001758)</t>
  </si>
  <si>
    <t>Vinh CSA (649116-LE001758)</t>
  </si>
  <si>
    <t>Vinh Plant (649007-LE001758)</t>
  </si>
  <si>
    <t>Vinh Sale -Livestock (649009-LE001758)</t>
  </si>
  <si>
    <t>Visayas/Mindanao Sales (303009-LE002115)</t>
  </si>
  <si>
    <t>VISITORS HOUSE (658926-LE001275)</t>
  </si>
  <si>
    <t>VISITORS HOUSE (650926-LE001275)</t>
  </si>
  <si>
    <t>WAREHOUSE (658863-LE001275)</t>
  </si>
  <si>
    <t>Warehouse (143560-LE003691)</t>
  </si>
  <si>
    <t>Warehouse -B (650463-LE001275)</t>
  </si>
  <si>
    <t>Warehouse Beans (663045-LE001838)</t>
  </si>
  <si>
    <t>Warehouse Beans GRS (663725-LE001838)</t>
  </si>
  <si>
    <t>Warehouse Beans KS (663525-LE001838)</t>
  </si>
  <si>
    <t>Warehouse Beans Palu (663625-LE001838)</t>
  </si>
  <si>
    <t>Warehouse Common (120237-LE001440)</t>
  </si>
  <si>
    <t>Warehouse Expence (609-LE003044)</t>
  </si>
  <si>
    <t>Warehouse Product (663047-LE001838)</t>
  </si>
  <si>
    <t>Water System Expense (308-LE003044)</t>
  </si>
  <si>
    <t>Weifang Finance (969812-LE002134)</t>
  </si>
  <si>
    <t>Weightbridge-from crush (926972-LE002834)</t>
  </si>
  <si>
    <t>Westport Admin (262312-LE002682)</t>
  </si>
  <si>
    <t>Westport Baxter (262509-LE002682)</t>
  </si>
  <si>
    <t>Westport Finance (262112-LE002682)</t>
  </si>
  <si>
    <t>Westport Plant (262007-LE002682)</t>
  </si>
  <si>
    <t>Westport Plant Central (262512-LE002682)</t>
  </si>
  <si>
    <t>Westport Poultry (262109-LE002682)</t>
  </si>
  <si>
    <t>Westport Swine (262209-LE002682)</t>
  </si>
  <si>
    <t>Westport Technology (262609-LE002682)</t>
  </si>
  <si>
    <t>Westport Tradico (262212-LE002682)</t>
  </si>
  <si>
    <t>Wet Mill Expense (301-LE003044)</t>
  </si>
  <si>
    <t>WMT - Finance &amp; Admin (Phil) (294010100-LE002115)</t>
  </si>
  <si>
    <t>WMT (Phil) (294010200-LE002115)</t>
  </si>
  <si>
    <t>WTU Geneva cak desk (639801-LE002006)</t>
  </si>
  <si>
    <t>WTU Oils (695202-LE001838)</t>
  </si>
  <si>
    <t>WWTP (474037-LE001438)</t>
  </si>
  <si>
    <t>WWTP (926037-LE002834)</t>
  </si>
  <si>
    <t>WWTP (953037-LE002001)</t>
  </si>
  <si>
    <t>WWTP (965032-LE002404)</t>
  </si>
  <si>
    <t>Xin Jiang plant (857007-LE001939)</t>
  </si>
  <si>
    <t>Xinjiang Hog (857109-LE001939)</t>
  </si>
  <si>
    <t>Xinjiang Poultry (857409-LE001939)</t>
  </si>
  <si>
    <t>Xinjiang Ruminant (857209-LE001939)</t>
  </si>
  <si>
    <t>Yangjiang Aqua (464309-LE001067)</t>
  </si>
  <si>
    <t>Yangjiang Hog (509109-LE001067)</t>
  </si>
  <si>
    <t>Yangjiang Plant (464007-LE001067)</t>
  </si>
  <si>
    <t>Yantai Aqua (835309-LE001080)</t>
  </si>
  <si>
    <t>Yantai Finance (835812-LE001080)</t>
  </si>
  <si>
    <t>Yantai Hog (835109-LE001080)</t>
  </si>
  <si>
    <t>Yantai Plant (835007-LE001080)</t>
  </si>
  <si>
    <t>Yantai Ruminant (835209-LE001080)</t>
  </si>
  <si>
    <t>YT BinZhou Plant Manufacuring (917007-LE001080)</t>
  </si>
  <si>
    <t>YT-Binzhou plant Hog (917109-LE001080)</t>
  </si>
  <si>
    <t>YT-Binzhou plant Ruminat (917209-LE001080)</t>
  </si>
  <si>
    <t>Zhangzhou Hog (477109-LE002157)</t>
  </si>
  <si>
    <t>Zhengzhou Plant (858007-LE002141)</t>
  </si>
  <si>
    <t>Zhengzhou Ruminant (858209-LE002141)</t>
  </si>
  <si>
    <t>Zhenjiang Aqua (379309-LE002991)</t>
  </si>
  <si>
    <t>Zhenjiang Hog (812109-LE002991)</t>
  </si>
  <si>
    <t>Zhenjiang Pet (998509-LE002991)</t>
  </si>
  <si>
    <t>ZJ Aqua-Plant Exp (379007-LE002991)</t>
  </si>
  <si>
    <t>FO_cost centre_LE001758</t>
  </si>
  <si>
    <t>FO_cost centre_LE002006</t>
  </si>
  <si>
    <t>FO_cost centre_LE001949</t>
  </si>
  <si>
    <t>FO_cost centre_LE001467</t>
  </si>
  <si>
    <t>FO_cost centre_LE002451</t>
  </si>
  <si>
    <t>FO_cost centre_2C_UAT_Legal Entity1_CHN</t>
  </si>
  <si>
    <t>FO_cost centre_2C_UAT_Legal Entity1_IDN</t>
  </si>
  <si>
    <t>FO_cost centre_2C_UAT_Legal Entity1_IND</t>
  </si>
  <si>
    <t>FO_cost centre_2C_UAT_Legal Entity1_MYS</t>
  </si>
  <si>
    <t>FO_cost centre_2C_UAT_Legal Entity1_PHL</t>
  </si>
  <si>
    <t>FO_cost centre_2C_UAT_Legal Entity1_THA</t>
  </si>
  <si>
    <t>FO_cost centre_2C_UAT_Legal Entity1_VNM</t>
  </si>
  <si>
    <t>FO_cost centre_2C_UAT_Legal Entity2_CHN</t>
  </si>
  <si>
    <t>FO_cost centre_2C_UAT_Legal Entity2_IDN</t>
  </si>
  <si>
    <t>FO_cost centre_2C_UAT_Legal Entity2_IND</t>
  </si>
  <si>
    <t>FO_cost centre_2C_UAT_Legal Entity2_MYS</t>
  </si>
  <si>
    <t>FO_cost centre_2C_UAT_Legal Entity2_PHL</t>
  </si>
  <si>
    <t>FO_cost centre_2C_UAT_Legal Entity2_THA</t>
  </si>
  <si>
    <t>FO_cost centre_2C_UAT_Legal Entity2_VNM</t>
  </si>
  <si>
    <t>FO_cost centre_LE001911</t>
  </si>
  <si>
    <t>FO_cost centre_LE001275</t>
  </si>
  <si>
    <t>FO_cost centre_LE003044</t>
  </si>
  <si>
    <t>FO_cost centre_LE001440</t>
  </si>
  <si>
    <t>FO_cost centre_LE002825</t>
  </si>
  <si>
    <t>FO_cost centre_LE003659</t>
  </si>
  <si>
    <t>FO_cost centre_LE002394</t>
  </si>
  <si>
    <t>FO_cost centre_LE003282</t>
  </si>
  <si>
    <t>FO_cost centre_LE002476</t>
  </si>
  <si>
    <t>FO_cost centre_LE001838</t>
  </si>
  <si>
    <t>FO_cost centre_LE002253</t>
  </si>
  <si>
    <t>FO_cost centre_LE002648</t>
  </si>
  <si>
    <t>FO_cost centre_LE002115</t>
  </si>
  <si>
    <t>FO_cost centre_LE003691</t>
  </si>
  <si>
    <t>FO_cost centre_LE002772</t>
  </si>
  <si>
    <t>FO_cost centre_LE001080</t>
  </si>
  <si>
    <t>FO_cost centre_LE003203</t>
  </si>
  <si>
    <t>FO_cost centre_LE003259</t>
  </si>
  <si>
    <t>FO_cost centre_LE002682</t>
  </si>
  <si>
    <t>FO_cost centre_LE003683</t>
  </si>
  <si>
    <t>FO_cost centre_LE003263</t>
  </si>
  <si>
    <t>FO_cost centre_LE001352</t>
  </si>
  <si>
    <t>FO_cost centre_LE002893</t>
  </si>
  <si>
    <t>FO_cost centre_LE002834</t>
  </si>
  <si>
    <t>FO_cost centre_LE001937</t>
  </si>
  <si>
    <t>FO_cost centre_LE003631</t>
  </si>
  <si>
    <t>FO_cost centre_LE003254</t>
  </si>
  <si>
    <t>FO_cost centre_LE002558</t>
  </si>
  <si>
    <t>FO_cost centre_LE002163</t>
  </si>
  <si>
    <t>FO_cost centre_LE001438</t>
  </si>
  <si>
    <t>FO_cost centre_LE002404</t>
  </si>
  <si>
    <t>FO_cost centre_LE002950</t>
  </si>
  <si>
    <t>FO_cost centre_LE001952</t>
  </si>
  <si>
    <t>FO_cost centre_LE002781</t>
  </si>
  <si>
    <t>FO_cost centre_LE002228</t>
  </si>
  <si>
    <t>FO_cost centre_LE003422</t>
  </si>
  <si>
    <t>FO_cost centre_LE002807</t>
  </si>
  <si>
    <t>FO_cost centre_LE001056</t>
  </si>
  <si>
    <t>FO_cost centre_LE001913</t>
  </si>
  <si>
    <t>FO_cost centre_LE002380</t>
  </si>
  <si>
    <t>FO_cost centre_LE001929</t>
  </si>
  <si>
    <t>FO_cost centre_LE002281</t>
  </si>
  <si>
    <t>FO_cost centre_LE001185</t>
  </si>
  <si>
    <t>FO_cost centre_LE002378</t>
  </si>
  <si>
    <t>FO_cost centre_LE002157</t>
  </si>
  <si>
    <t>FO_cost centre_LE003258</t>
  </si>
  <si>
    <t>FO_cost centre_LE003264</t>
  </si>
  <si>
    <t>FO_cost centre_LE001922</t>
  </si>
  <si>
    <t>FO_cost centre_LE003265</t>
  </si>
  <si>
    <t>FO_cost centre_LE002001</t>
  </si>
  <si>
    <t>FO_cost centre_LE001680</t>
  </si>
  <si>
    <t>FO_cost centre_LE003018</t>
  </si>
  <si>
    <t>FO_cost centre_LE002590</t>
  </si>
  <si>
    <t>FO_cost centre_LE003074</t>
  </si>
  <si>
    <t>FO_cost centre_LE002478</t>
  </si>
  <si>
    <t>FO_cost centre_LE002991</t>
  </si>
  <si>
    <t>FO_cost centre_LE001733</t>
  </si>
  <si>
    <t>FO_cost centre_LE003608</t>
  </si>
  <si>
    <t>FO_cost centre_LE002641</t>
  </si>
  <si>
    <t>FO_cost centre_LE001939</t>
  </si>
  <si>
    <t>FO_cost centre_LE001067</t>
  </si>
  <si>
    <t>FO_cost centre_LE002141</t>
  </si>
  <si>
    <t>FO_cost centre_LE001109</t>
  </si>
  <si>
    <t>FO_cost centre_LE003528</t>
  </si>
  <si>
    <t>FO_cost centre_LE002570</t>
  </si>
  <si>
    <t>FO_cost centre_LE002134</t>
  </si>
  <si>
    <t>FO_cost centre_LE001793</t>
  </si>
  <si>
    <t>FO_cost centre_LE003039</t>
  </si>
  <si>
    <t>FO_cost centre_THA_Legal Entity</t>
  </si>
  <si>
    <t>FO_cost centre_LE002734</t>
  </si>
  <si>
    <t>FO_cost centre_LE001675</t>
  </si>
  <si>
    <t>Alvean Sugar JV</t>
  </si>
  <si>
    <t>Animal Protein China</t>
  </si>
  <si>
    <t>BGR_Bus/Fn</t>
  </si>
  <si>
    <t>Cargill Protein Latin America</t>
  </si>
  <si>
    <t>CASC APAC BOSC</t>
  </si>
  <si>
    <t>CASC APAC Finance</t>
  </si>
  <si>
    <t>CASC APAC HR</t>
  </si>
  <si>
    <t>CASC Australia</t>
  </si>
  <si>
    <t>CASC Global Shared Resources</t>
  </si>
  <si>
    <t>CASC North Asia</t>
  </si>
  <si>
    <t>CASC SA BOSC</t>
  </si>
  <si>
    <t>CASC SA Commercial Op</t>
  </si>
  <si>
    <t>CASC SA Crush Softseeds &amp; DomMkt</t>
  </si>
  <si>
    <t>CASC SA Grains &amp; Soybean Exports</t>
  </si>
  <si>
    <t>CASC SA Shared Resources</t>
  </si>
  <si>
    <t>CMS Shared Resources</t>
  </si>
  <si>
    <t>Cocoa &amp; Chocolate Asia Pacific</t>
  </si>
  <si>
    <t>Cocoa &amp; Chocolate Brazil</t>
  </si>
  <si>
    <t>GEOS Australia</t>
  </si>
  <si>
    <t>GEOS China</t>
  </si>
  <si>
    <t>GEOS India</t>
  </si>
  <si>
    <t>GEOS Indonesia</t>
  </si>
  <si>
    <t>GEOS Malaysia</t>
  </si>
  <si>
    <t>GEOS Mexico</t>
  </si>
  <si>
    <t>GEOS South America</t>
  </si>
  <si>
    <t>Protein Southeast Asia</t>
  </si>
  <si>
    <t>Risk Management Group</t>
  </si>
  <si>
    <t>Starches &amp; Sweeteners IDN</t>
  </si>
  <si>
    <t>Starches &amp; Sweeteners India</t>
  </si>
  <si>
    <t>Starches &amp; Sweeteners LA</t>
  </si>
  <si>
    <t>Sugar &amp; Ethanol</t>
  </si>
  <si>
    <t>Texturizing Solutions APAC</t>
  </si>
  <si>
    <t>THA_Bus/Fn</t>
  </si>
  <si>
    <t>Tropical Oils</t>
  </si>
  <si>
    <t>Pink NRIC</t>
  </si>
  <si>
    <t>Blue NRIC</t>
  </si>
  <si>
    <t>Foreign Identification Number</t>
  </si>
  <si>
    <t>Ethnicity</t>
  </si>
  <si>
    <t>Employee Sub-Type_SGP</t>
  </si>
  <si>
    <t>Salary Full Time</t>
  </si>
  <si>
    <t>Salary Part Time</t>
  </si>
  <si>
    <t>workschedulerule_SGP</t>
  </si>
  <si>
    <t>40 Hour 5 Day Week</t>
  </si>
  <si>
    <t>Pay Scale Type_SGP</t>
  </si>
  <si>
    <t>SGP-SG - Standard (SGP/01)</t>
  </si>
  <si>
    <t>Pay Scale Area_SGP</t>
  </si>
  <si>
    <t>SGP- Pay scale area (SGP/PSA01)</t>
  </si>
  <si>
    <t>SGP-SG - Monthly (SGP/01)</t>
  </si>
  <si>
    <t>Pay Scale Group_SGP</t>
  </si>
  <si>
    <t>SGP-Associates professionals and technicians (SGP/01/01/ASSCPROF)</t>
  </si>
  <si>
    <t>SGP-Clerical, sales, service and related employees (SGP/01/01/ASSCSUPP)</t>
  </si>
  <si>
    <t>SGP-Clerical, sales, service and related employees (SGP/01/01/SRSUPP)</t>
  </si>
  <si>
    <t>SGP-Clerical, sales, service and related employees (SGP/01/01/SUPPORT)</t>
  </si>
  <si>
    <t>SGP-Clerical, sales, service and related employees (SGP/01/01/UNBANDED)</t>
  </si>
  <si>
    <t>SGP-Professionals and managers (SGP/01/01/ADV)</t>
  </si>
  <si>
    <t>Korea Registration Number</t>
  </si>
  <si>
    <t>RGN – Resident Registration Number</t>
  </si>
  <si>
    <t>Pension Type</t>
  </si>
  <si>
    <t xml:space="preserve">
Pension Type</t>
  </si>
  <si>
    <t>DB Reference Date</t>
  </si>
  <si>
    <t>DB Reference Date (DD/MM/YYYY)</t>
  </si>
  <si>
    <t>workschedulerule_KOR</t>
  </si>
  <si>
    <t>Taiwan National ID</t>
  </si>
  <si>
    <t>Challenge Group</t>
  </si>
  <si>
    <t>Type of Challenge</t>
  </si>
  <si>
    <t>Date of Birth (Minguo)</t>
  </si>
  <si>
    <t>24x7 StreamLine</t>
  </si>
  <si>
    <t>workschedulerule_TWN</t>
  </si>
  <si>
    <t>Employee Sub-Type_TWN</t>
  </si>
  <si>
    <t>Salaried Monthly</t>
  </si>
  <si>
    <t>Pay Scale Area_TWN</t>
  </si>
  <si>
    <t>TWN-Monthly (TWN/.1)</t>
  </si>
  <si>
    <t>TWN-Standard Area (TWN/.1)</t>
  </si>
  <si>
    <t>Pay Scale Group_TWN</t>
  </si>
  <si>
    <t>TWN-Standard Group (TWN/.1/.1/001)</t>
  </si>
  <si>
    <t>Pay Scale Level_TWN</t>
  </si>
  <si>
    <t>TWN-01 (TWN/.1/.1/001/01)</t>
  </si>
  <si>
    <t>Pay Scale Type_TWN</t>
  </si>
  <si>
    <t>Achang</t>
  </si>
  <si>
    <t>Bai</t>
  </si>
  <si>
    <t>Blang</t>
  </si>
  <si>
    <t>Bonan</t>
  </si>
  <si>
    <t>Buyei</t>
  </si>
  <si>
    <t>Dai</t>
  </si>
  <si>
    <t>Daur</t>
  </si>
  <si>
    <t>De'ang</t>
  </si>
  <si>
    <t>Derung</t>
  </si>
  <si>
    <t>Dong</t>
  </si>
  <si>
    <t>Dongxiang</t>
  </si>
  <si>
    <t>Ewenki</t>
  </si>
  <si>
    <t>Gaoshan</t>
  </si>
  <si>
    <t>Gelao</t>
  </si>
  <si>
    <t>Gin</t>
  </si>
  <si>
    <t>Han</t>
  </si>
  <si>
    <t>Hani</t>
  </si>
  <si>
    <t>Hezhen</t>
  </si>
  <si>
    <t>Hui</t>
  </si>
  <si>
    <t>Jingpo</t>
  </si>
  <si>
    <t>Jino</t>
  </si>
  <si>
    <t>Kazakh</t>
  </si>
  <si>
    <t>Kyrgyz</t>
  </si>
  <si>
    <t>Lahu</t>
  </si>
  <si>
    <t>Lhoba</t>
  </si>
  <si>
    <t>Li</t>
  </si>
  <si>
    <t>Lisu</t>
  </si>
  <si>
    <t>Manchu</t>
  </si>
  <si>
    <t>Maonan</t>
  </si>
  <si>
    <t>Miao</t>
  </si>
  <si>
    <t>Monba</t>
  </si>
  <si>
    <t>Mongol</t>
  </si>
  <si>
    <t>Mulao</t>
  </si>
  <si>
    <t>Nakhi</t>
  </si>
  <si>
    <t>Oroqen</t>
  </si>
  <si>
    <t>Pumi</t>
  </si>
  <si>
    <t>Qiang</t>
  </si>
  <si>
    <t>Salar</t>
  </si>
  <si>
    <t>She</t>
  </si>
  <si>
    <t>Sui</t>
  </si>
  <si>
    <t>Tajik</t>
  </si>
  <si>
    <t>Tatar</t>
  </si>
  <si>
    <t>Tibetian</t>
  </si>
  <si>
    <t>Tu</t>
  </si>
  <si>
    <t>Tujia</t>
  </si>
  <si>
    <t>Undistinguished</t>
  </si>
  <si>
    <t>Uyghur</t>
  </si>
  <si>
    <t>Va</t>
  </si>
  <si>
    <t>Xibe</t>
  </si>
  <si>
    <t>Yao</t>
  </si>
  <si>
    <t>Yi</t>
  </si>
  <si>
    <t>Yugur</t>
  </si>
  <si>
    <t>Zhuang</t>
  </si>
  <si>
    <t>ETHNICGROUP_CHN</t>
  </si>
  <si>
    <t>Detailed Address</t>
  </si>
  <si>
    <t>ARS</t>
  </si>
  <si>
    <t>AUD</t>
  </si>
  <si>
    <t>BRL</t>
  </si>
  <si>
    <t>CNY</t>
  </si>
  <si>
    <t>COP</t>
  </si>
  <si>
    <t>CRC</t>
  </si>
  <si>
    <t>DOP</t>
  </si>
  <si>
    <t>GTQ</t>
  </si>
  <si>
    <t>HKD</t>
  </si>
  <si>
    <t>HNL</t>
  </si>
  <si>
    <t>IDR</t>
  </si>
  <si>
    <t>INR</t>
  </si>
  <si>
    <t>JPY</t>
  </si>
  <si>
    <t>KRW</t>
  </si>
  <si>
    <t>MXN</t>
  </si>
  <si>
    <t>MYR</t>
  </si>
  <si>
    <t>NIO</t>
  </si>
  <si>
    <t>PKR</t>
  </si>
  <si>
    <t>PEN</t>
  </si>
  <si>
    <t>PHP</t>
  </si>
  <si>
    <t>SGD</t>
  </si>
  <si>
    <t>THB</t>
  </si>
  <si>
    <t>TWD</t>
  </si>
  <si>
    <t>VEF</t>
  </si>
  <si>
    <t>VND</t>
  </si>
  <si>
    <t>Compensation Portlet</t>
  </si>
  <si>
    <t>Greater China - Hong Kong</t>
  </si>
  <si>
    <t>Greater China - Taiwan</t>
  </si>
  <si>
    <t>Greater China - Macao</t>
  </si>
  <si>
    <t>Koseki(English)</t>
  </si>
  <si>
    <t>Koseki(Kanji)</t>
  </si>
  <si>
    <t>Koseki(Katakana)</t>
  </si>
  <si>
    <t>Dependent First Name(Kanji))</t>
  </si>
  <si>
    <t>Dependent Last Name(Kanji)</t>
  </si>
  <si>
    <t>Dependent First Name(Katakana)</t>
  </si>
  <si>
    <t>Dependent Last Name(Katakana)</t>
  </si>
  <si>
    <t>Kanji Address Line 1</t>
  </si>
  <si>
    <t>Kanji Address Line 2</t>
  </si>
  <si>
    <t>Kanji Address Line 3</t>
  </si>
  <si>
    <t>Katakana Address Line 1</t>
  </si>
  <si>
    <t>Katakana Address Line 2</t>
  </si>
  <si>
    <t>Katakana Address Line 3</t>
  </si>
  <si>
    <t>workschedulerule_JPN</t>
  </si>
  <si>
    <t>Employee Sub-Type_JPN</t>
  </si>
  <si>
    <t>Pay Scale Type_JPN</t>
  </si>
  <si>
    <t>JPN-Monthly (JPN/.1)</t>
  </si>
  <si>
    <t>Pay Scale Area_JPN</t>
  </si>
  <si>
    <t>JPN-Standard Area (JPN/.1)</t>
  </si>
  <si>
    <t>Pay Scale Group_JPN</t>
  </si>
  <si>
    <t>JPN-Standard Group (JPN/.1/.1/001)</t>
  </si>
  <si>
    <t>Pay Scale Level_JPN</t>
  </si>
  <si>
    <t>JPN-01 (JPN/.1/.1/001/01)</t>
  </si>
  <si>
    <t>Insurance Type (Medical Insurance)</t>
  </si>
  <si>
    <t>SI Entitlement Reason</t>
  </si>
  <si>
    <t>MI Card Number</t>
  </si>
  <si>
    <t>No Premium in the Acquired Month</t>
  </si>
  <si>
    <t>Overseas Worker</t>
  </si>
  <si>
    <t>EI Entitlement (EE ove65)</t>
  </si>
  <si>
    <t>Insurance Type (National Pension)</t>
  </si>
  <si>
    <t>Insurance Type (Employment Pension)</t>
  </si>
  <si>
    <t>Insurance Type (Workers' Compensation Insurance)</t>
  </si>
  <si>
    <t>Insurance Premium Type (Medical Insurance)</t>
  </si>
  <si>
    <t>Monthly Compensation Amount</t>
  </si>
  <si>
    <t>Exempted</t>
  </si>
  <si>
    <t>Average Premium for Previous Year</t>
  </si>
  <si>
    <t>Reason for Change</t>
  </si>
  <si>
    <t>Insurance Premium Type (National Pension)</t>
  </si>
  <si>
    <t>Insurance Premium Type (Employment &amp; Workers' Compension Insurance)</t>
  </si>
  <si>
    <t>Handicapped Employee</t>
  </si>
  <si>
    <t>Handicapped Code</t>
  </si>
  <si>
    <t>Income Tax Percentage</t>
  </si>
  <si>
    <t>Pension Plan</t>
  </si>
  <si>
    <t>Participant Status</t>
  </si>
  <si>
    <t>External Insititution</t>
  </si>
  <si>
    <t>Calc. Start Date</t>
  </si>
  <si>
    <t>Indicator for dependent family member</t>
  </si>
  <si>
    <t>Have you ever worked at Cargill (ie legal entity / subsidiary) before?</t>
  </si>
  <si>
    <t>If "Yes" please give details</t>
  </si>
  <si>
    <t>Do you know anybody currently working in Cargill?</t>
  </si>
  <si>
    <t>If "Yes" please give details (name / relationship)</t>
  </si>
  <si>
    <t>Have you ever been convicted of any crims in any country?</t>
  </si>
  <si>
    <t>Do you currently have any medical conditions that require pro-longed treatment?</t>
  </si>
  <si>
    <t>Saving Plan Type</t>
  </si>
  <si>
    <t>Duties</t>
  </si>
  <si>
    <t>Taxation Type Indicator</t>
  </si>
  <si>
    <t>Disaster Victim</t>
  </si>
  <si>
    <t>Method of Collection</t>
  </si>
  <si>
    <t>Deduction for Disabled</t>
  </si>
  <si>
    <t>Deduction for Old Person</t>
  </si>
  <si>
    <t>Deduction for Widow</t>
  </si>
  <si>
    <t>Deduction for Student Worker</t>
  </si>
  <si>
    <t>Deceased</t>
  </si>
  <si>
    <t>Handicap</t>
  </si>
  <si>
    <t>Reason for Changing Master Data</t>
  </si>
  <si>
    <t>Subtype</t>
  </si>
  <si>
    <t>Insurance Number</t>
  </si>
  <si>
    <t>Social Insurance Deduction</t>
  </si>
  <si>
    <t>Acquired/Lost</t>
  </si>
  <si>
    <t>Indicator for SI Entitlement</t>
  </si>
  <si>
    <t>Health Insurance Indicator</t>
  </si>
  <si>
    <t>Aboriginal or Torres Strait Islander</t>
  </si>
  <si>
    <t>Employee Declaration Sign Date</t>
  </si>
  <si>
    <t>Employer Declaration Sign Date</t>
  </si>
  <si>
    <t>Annual Leave Anniversary Date</t>
  </si>
  <si>
    <t>Long Service Leave Date</t>
  </si>
  <si>
    <t xml:space="preserve">Employee Declaration Sign Date </t>
  </si>
  <si>
    <t>Employee Declaration Sign Date  (DD/MM/YYYY)</t>
  </si>
  <si>
    <t>Employer Declaration Sign Date  (DD/MM/YYYY)</t>
  </si>
  <si>
    <t>Annual Leave Anniversary Date  (DD/MM/YYYY)</t>
  </si>
  <si>
    <t>Long Service Leave Date  (DD/MM/YYYY)</t>
  </si>
  <si>
    <t>Authorised Signatures</t>
  </si>
  <si>
    <t>Retirement for INSS</t>
  </si>
  <si>
    <t>Retirement for INSS  (DD/MM/YYYY)</t>
  </si>
  <si>
    <t>Receiving Unemployment Insurance Benefit</t>
  </si>
  <si>
    <t>City of Birth</t>
  </si>
  <si>
    <t>Número Benefício INSS</t>
  </si>
  <si>
    <t>Retirement Type</t>
  </si>
  <si>
    <t>Tipo Logradouro</t>
  </si>
  <si>
    <t>Harmful Agent Exposure Code</t>
  </si>
  <si>
    <t>First Employment</t>
  </si>
  <si>
    <t>Bank Control Key (Brazil)</t>
  </si>
  <si>
    <t>Bank of Salary Account (Brazil)</t>
  </si>
  <si>
    <t>Branch Of Salary Account (Brazil)</t>
  </si>
  <si>
    <t>RIF-Registro de Información Fiscal</t>
  </si>
  <si>
    <t>Cedula de Identidad</t>
  </si>
  <si>
    <t>Numero Patronal</t>
  </si>
  <si>
    <t>Street Name and Number</t>
  </si>
  <si>
    <t>Parish</t>
  </si>
  <si>
    <t>Blood Group</t>
  </si>
  <si>
    <t>Shirt - Size</t>
  </si>
  <si>
    <t>Pants - Size</t>
  </si>
  <si>
    <t>Shoe - Size</t>
  </si>
  <si>
    <t>Height</t>
  </si>
  <si>
    <t>Weight Kgs.</t>
  </si>
  <si>
    <t>Left Handed</t>
  </si>
  <si>
    <t>Driver´s License (Level)</t>
  </si>
  <si>
    <t>Own Vehicle</t>
  </si>
  <si>
    <t>Brand</t>
  </si>
  <si>
    <t>Model</t>
  </si>
  <si>
    <t>Year</t>
  </si>
  <si>
    <t>Who Would Suggest You To Complete This Offer</t>
  </si>
  <si>
    <t>Aspired Salary</t>
  </si>
  <si>
    <t>Date Available to Start Working</t>
  </si>
  <si>
    <t>Currently Working</t>
  </si>
  <si>
    <t>Availability to Travel</t>
  </si>
  <si>
    <t xml:space="preserve">
Cities Where You Will be Willing to Work </t>
  </si>
  <si>
    <t>Read</t>
  </si>
  <si>
    <t>Writes</t>
  </si>
  <si>
    <t>Speaks</t>
  </si>
  <si>
    <t>End Reason</t>
  </si>
  <si>
    <t xml:space="preserve">First Position </t>
  </si>
  <si>
    <t>Last Position</t>
  </si>
  <si>
    <t>Last Wage/Salary</t>
  </si>
  <si>
    <t xml:space="preserve">Place </t>
  </si>
  <si>
    <t>Duration (Hours)</t>
  </si>
  <si>
    <t>Other knowledge</t>
  </si>
  <si>
    <t>Time you Know</t>
  </si>
  <si>
    <t>I declare that the information provided herein is true, and I authorize Cargill de Venezuela C.A, the verification thereof. On the other hand, I declare that the documentation that I have delivered or will deliver to Cargill de Venezuela C.A, on my person, is owned by the Company.</t>
  </si>
  <si>
    <t>Place and Date</t>
  </si>
  <si>
    <t>Employee´s Signature</t>
  </si>
  <si>
    <t>Comments/Observations</t>
  </si>
  <si>
    <t>Reviewed By</t>
  </si>
  <si>
    <t>Recruiting Singature</t>
  </si>
  <si>
    <t>Personal Details</t>
  </si>
  <si>
    <t>Skills</t>
  </si>
  <si>
    <t>Effective date</t>
  </si>
  <si>
    <t>Job records (previous employer)</t>
  </si>
  <si>
    <t>Training</t>
  </si>
  <si>
    <t>Miscellaneous Empployment Questions</t>
  </si>
  <si>
    <t>Venezuela_Auxiliary</t>
  </si>
  <si>
    <t>Cédula de Ciudadanía (10 Digits)</t>
  </si>
  <si>
    <t>Academic Degree</t>
  </si>
  <si>
    <t>Alternative Occupation</t>
  </si>
  <si>
    <t>Blood Type</t>
  </si>
  <si>
    <t>Working Date</t>
  </si>
  <si>
    <t>Line</t>
  </si>
  <si>
    <t>Receive Subtransport?</t>
  </si>
  <si>
    <t xml:space="preserve">Aditional Transport </t>
  </si>
  <si>
    <t>Management Fee Assistance</t>
  </si>
  <si>
    <t>Guaranteed Commisions</t>
  </si>
  <si>
    <t>Financial Institution</t>
  </si>
  <si>
    <t>Social Security</t>
  </si>
  <si>
    <t>AFP (Pension Funds)</t>
  </si>
  <si>
    <t>ARP (Profit Risk Assurance)</t>
  </si>
  <si>
    <t>Percentage of risk</t>
  </si>
  <si>
    <t>CCF (Family Compensation Fund)</t>
  </si>
  <si>
    <t>Severance funds</t>
  </si>
  <si>
    <t>Voluntary Funds</t>
  </si>
  <si>
    <t>Columbia_Auxiliary</t>
  </si>
  <si>
    <t>DNI - Documento Nacional de Identidad</t>
  </si>
  <si>
    <t>CUIL</t>
  </si>
  <si>
    <t>State of Birth</t>
  </si>
  <si>
    <t>CBU (Argentina)</t>
  </si>
  <si>
    <t>Colony</t>
  </si>
  <si>
    <t>Planned Compensation Type</t>
  </si>
  <si>
    <t>Pay Scale Type_MEX</t>
  </si>
  <si>
    <t>MEX-Semi-Monthly (MEX/01)</t>
  </si>
  <si>
    <t>Pay Scale Area_MEX</t>
  </si>
  <si>
    <t>MEX-Cargill MX (MEX/01)</t>
  </si>
  <si>
    <t>Pay Scale Group_MEX</t>
  </si>
  <si>
    <t>MEX-SALARY-1 (MEX/01/01/SALARY)</t>
  </si>
  <si>
    <t>workschedulerule_MEX</t>
  </si>
  <si>
    <t>S540000 - Monday to Friday</t>
  </si>
  <si>
    <t>S648000 - Monday to Saturday</t>
  </si>
  <si>
    <t>FO_Pay Group_MEX</t>
  </si>
  <si>
    <t>MEX-ADM (XQ)</t>
  </si>
  <si>
    <t>MEX-OPS (XS)</t>
  </si>
  <si>
    <t>Bank Control Key (Mexico)</t>
  </si>
  <si>
    <t>CLABE Number (Mexico)</t>
  </si>
  <si>
    <t>Routing_Num_MEX</t>
  </si>
  <si>
    <t>099</t>
  </si>
  <si>
    <t>Registro Tributario Nacional (RTN)</t>
  </si>
  <si>
    <t>Municipality/Municipio</t>
  </si>
  <si>
    <t>Contract_Type_NIC</t>
  </si>
  <si>
    <t>Fixed-Term</t>
  </si>
  <si>
    <t>Probation Period</t>
  </si>
  <si>
    <t>Undefined</t>
  </si>
  <si>
    <t>CRI/GTM/HND/NIC-Administrativos Mensual (AM)</t>
  </si>
  <si>
    <t>CRI/GTM/HND/NIC-Ejecutivos Mensual (EM)</t>
  </si>
  <si>
    <t>CRI/GTM/HND/NIC-Operarios Quincenal (OQ)</t>
  </si>
  <si>
    <t>UBIGEO</t>
  </si>
  <si>
    <t>Bank Name</t>
  </si>
  <si>
    <t>FO_Pay Group_PER</t>
  </si>
  <si>
    <t>PER-Cargill Agribrands Peru Empleados (PER-AGX-EMP)</t>
  </si>
  <si>
    <t>PER-Cargill Agribrands Peru Operarios (PER-AGX-OPE)</t>
  </si>
  <si>
    <t>PER-Cargill Agribrands Peru Practicantes (AGX-PRA)</t>
  </si>
  <si>
    <t>PER-Cargill Americas Peru Empleados (AMG-EMP)</t>
  </si>
  <si>
    <t>PER-Cargill Americas Peru Practicantes (AMG-PRA)</t>
  </si>
  <si>
    <t>FO_Pay Group_ECU</t>
  </si>
  <si>
    <t>ECU-Aquacargill del Ecuador Empleados (AQE-EMP)</t>
  </si>
  <si>
    <t>ECU-Aquacargill del Ecuador Operarios (AQE-OPE)</t>
  </si>
  <si>
    <t>ECU-Aquacargill del Ecuador Practicantes (AQE-PRA)</t>
  </si>
  <si>
    <t>ECU-Cargill del Ecuador Empleados (CDE-EMP)</t>
  </si>
  <si>
    <t>ECU-Cargill del Ecuador Practicantes (CDE-PRA)</t>
  </si>
  <si>
    <t>Account Type (Ecuador)</t>
  </si>
  <si>
    <t>Registro Tributario Nacional</t>
  </si>
  <si>
    <t>RAP</t>
  </si>
  <si>
    <t>Social Security Number / Seguro Social</t>
  </si>
  <si>
    <t>Bank Name (Honduras)</t>
  </si>
  <si>
    <t>Contract_Type_HND</t>
  </si>
  <si>
    <t>Challenged</t>
  </si>
  <si>
    <t>Level of Education</t>
  </si>
  <si>
    <t>cust_EducationLevel_CentralAmerica</t>
  </si>
  <si>
    <t>Primaria Completada</t>
  </si>
  <si>
    <t>Primaria Incompleta</t>
  </si>
  <si>
    <t>Secundaria Completada</t>
  </si>
  <si>
    <t>Secundaria Incompleta</t>
  </si>
  <si>
    <t>Universidad Completada</t>
  </si>
  <si>
    <t>Universidad Incompleta</t>
  </si>
  <si>
    <t>Posgrado  Completado</t>
  </si>
  <si>
    <t>Zona</t>
  </si>
  <si>
    <t>Department</t>
  </si>
  <si>
    <t>Alta Verapáz</t>
  </si>
  <si>
    <t>Baja Verapáz</t>
  </si>
  <si>
    <t>Chimaltenango</t>
  </si>
  <si>
    <t>Chiquimula</t>
  </si>
  <si>
    <t>El Progreso</t>
  </si>
  <si>
    <t>Escuintla</t>
  </si>
  <si>
    <t>Huehuetenango</t>
  </si>
  <si>
    <t>Izabal</t>
  </si>
  <si>
    <t>Jutiapa</t>
  </si>
  <si>
    <t>Petén</t>
  </si>
  <si>
    <t>Quezaltenango</t>
  </si>
  <si>
    <t>Quiché</t>
  </si>
  <si>
    <t>Retalhuleu</t>
  </si>
  <si>
    <t>Sacatepéquez</t>
  </si>
  <si>
    <t>San Marcos</t>
  </si>
  <si>
    <t>Santa Rosa</t>
  </si>
  <si>
    <t>Sololá</t>
  </si>
  <si>
    <t>Suchitepéquez</t>
  </si>
  <si>
    <t>Totonicapán</t>
  </si>
  <si>
    <t>Zacapa</t>
  </si>
  <si>
    <t>cust_departamento_GTM</t>
  </si>
  <si>
    <t>Position for IGSS</t>
  </si>
  <si>
    <t>Abogados - 0182</t>
  </si>
  <si>
    <t>Acompañantes y ayudas de cámara - 0306</t>
  </si>
  <si>
    <t>Actores y directores de cine, radio, teatro, televisión y afines - 0197</t>
  </si>
  <si>
    <t>Adivinadores, quirománticos y afines - 0310</t>
  </si>
  <si>
    <t>Agentes comerciales y corredores, no clasificados bajo otros epígrafes - 0253</t>
  </si>
  <si>
    <t>Agentes de aduana e inspectores de fronteras - 0259</t>
  </si>
  <si>
    <t>Agentes de bolsa, cambio y otros servicios financieros - 0242</t>
  </si>
  <si>
    <t>Agentes de comprar y consignatarios - 0250</t>
  </si>
  <si>
    <t>Agentes de las administraciones públicas de aduanas, impuestos y afines, no clasificados bajo otros epígrafes - 0263</t>
  </si>
  <si>
    <t>Agentes de seguros - 0243</t>
  </si>
  <si>
    <t>Agentes de viajes - 0245</t>
  </si>
  <si>
    <t>Agentes inmobiliarios - 0244</t>
  </si>
  <si>
    <t>Agentes públicos y privados de colocación y contratistas de mano de obra - 0252</t>
  </si>
  <si>
    <t>Agricultores y trabajadores calificados de cultivos extensivos - 0318</t>
  </si>
  <si>
    <t>Agricultores y trabajadores calificados de cultivos mixtos - 0321</t>
  </si>
  <si>
    <t>Agricultores y trabajadores calificados de huertas, invernaderos y jardines - 0320</t>
  </si>
  <si>
    <t>Agricultores y trabajadores calificados de plantaciones de árboles y arbustos - 0319</t>
  </si>
  <si>
    <t>Agrónomo y afines - 0164</t>
  </si>
  <si>
    <t>Ajustadores electronicistas - 0367</t>
  </si>
  <si>
    <t>Albañiles y mamposteros - 0339</t>
  </si>
  <si>
    <t>Alfareros y afines (barro, arcilla y abrasivos) - 0375</t>
  </si>
  <si>
    <t>Aparejadores y empalmadores de cables - 0357</t>
  </si>
  <si>
    <t>Apelambradores, pellejeros y curtidores - 0404</t>
  </si>
  <si>
    <t>Apicultores y sericicultores y trabajadores calificados de la apicultura y la sericicultura - 0324</t>
  </si>
  <si>
    <t>Archiveros y conservadores de museos - 0185</t>
  </si>
  <si>
    <t>Arquitectos, ingenieros y afines no clasificados bajo otros epígrafes - 0161</t>
  </si>
  <si>
    <t>Arquitectos, urbanistas e ingenieros de tránsito - 0153</t>
  </si>
  <si>
    <t>Artesanos de la madera y materiales similares - 0379</t>
  </si>
  <si>
    <t>Artesanos de los tejidos, el cuero y materiales similares - 0380</t>
  </si>
  <si>
    <t>Astrólogos y afines - 0309</t>
  </si>
  <si>
    <t>Atletas, deportistas y afines - 0270</t>
  </si>
  <si>
    <t>Autores, periodistas y otros escritores - 0193</t>
  </si>
  <si>
    <t>Auxiliares laicos de los cultos - 0271</t>
  </si>
  <si>
    <t>Avicultores y trabajadores calificados de la avicultura - 0323</t>
  </si>
  <si>
    <t>Ayudantes de enfermería a domicilio - 0303</t>
  </si>
  <si>
    <t>Ayudantes de enfermería en instituciones - 0302</t>
  </si>
  <si>
    <t>Barnizadores y afines - 0351</t>
  </si>
  <si>
    <t>Barrenderos y afines - 0488</t>
  </si>
  <si>
    <t>Bibliotecarios, documentalistas y afines - 0186</t>
  </si>
  <si>
    <t>Biólogos, botánicos, zoólogos y afines - 0162</t>
  </si>
  <si>
    <t>Bomberos - 0311</t>
  </si>
  <si>
    <t>Buzos - 0358</t>
  </si>
  <si>
    <t>Cajeros y expendedores de billetes - 0287</t>
  </si>
  <si>
    <t>Cajista, tipógrafos y afines - 0381</t>
  </si>
  <si>
    <t>Camareros y azafatas - 0295</t>
  </si>
  <si>
    <t>Camareros y taberneros - 0300</t>
  </si>
  <si>
    <t>Capitanes, oficiales de Cubierta y Prácticos - 0216</t>
  </si>
  <si>
    <t>Carboneros de carbón vegetal y afines - 0329</t>
  </si>
  <si>
    <t>Carniceros, pescaderos y afines - 0387</t>
  </si>
  <si>
    <t>Carpinteros de armar y de banco - 0341</t>
  </si>
  <si>
    <t>Cartógrafos y agrimensores - 0160</t>
  </si>
  <si>
    <t>Catadores y clasificadores de alimentos y bebidas - 0391</t>
  </si>
  <si>
    <t>Cazadores y tramperos - 0333</t>
  </si>
  <si>
    <t>Cesteros, bruceros y afines - 0396</t>
  </si>
  <si>
    <t>Chapistas y calderos - 0355</t>
  </si>
  <si>
    <t>Cobradores y afines - 0291</t>
  </si>
  <si>
    <t>Cocineros - 0299</t>
  </si>
  <si>
    <t>Codificadores de datos, correctores de pruebas de imprenta y afines - 0284</t>
  </si>
  <si>
    <t>Compositores, músicos y cantantes - 0195</t>
  </si>
  <si>
    <t>Compradores - 0247</t>
  </si>
  <si>
    <t>Conductores de autobuses y tranvías - 0468</t>
  </si>
  <si>
    <t>Conductores de automóviles, taxis y camionetas - 0467</t>
  </si>
  <si>
    <t>Conductores de camiones pesados - 0469</t>
  </si>
  <si>
    <t>Conductores de camiones pesados (agrícolas) - 0473</t>
  </si>
  <si>
    <t>Conductores de motocicletas - 0466</t>
  </si>
  <si>
    <t>Conductores de vehículos accionados a pedal o a brazo - 0497</t>
  </si>
  <si>
    <t>Conductores de vehículos y máquinas de tracción animal - 0498</t>
  </si>
  <si>
    <t>Consejeros agrícolas y forestales - 0224</t>
  </si>
  <si>
    <t>Conserjes - 0482</t>
  </si>
  <si>
    <t>Constructores con técnicas y materiales tradicionales - 0338</t>
  </si>
  <si>
    <t>Constructores y afinadores de instrumentos musicales - 0373</t>
  </si>
  <si>
    <t>Contadores - 0179</t>
  </si>
  <si>
    <t>Controladores de tráfico aéreo - 0218</t>
  </si>
  <si>
    <t>Coreógrafos y bailarines - 0196</t>
  </si>
  <si>
    <t>Costureros, bordadores y afines - 0402</t>
  </si>
  <si>
    <t>Creadores y analistas de sistemas informáticos - 0150</t>
  </si>
  <si>
    <t>Criadores de especies acuáticas - 0330</t>
  </si>
  <si>
    <t>Criadores de ganado y otros animales domésticos, productores de leche y sus derivados - 0322</t>
  </si>
  <si>
    <t>Criadores y trabajadores calificados de la cría de animales domésticos diversos - 0325</t>
  </si>
  <si>
    <t>Criadores y trabajadores pecuarios calificados de la cría de animales para el mercado y afines, no clasificados bajo otros epígrafes - 0326</t>
  </si>
  <si>
    <t>Cristaleros - 0347</t>
  </si>
  <si>
    <t>Curanderos - 0237</t>
  </si>
  <si>
    <t>Declarantes o gestores de aduana - 0251</t>
  </si>
  <si>
    <t>Decoradores y diseñadores - 0266</t>
  </si>
  <si>
    <t>Delineantes y dibujantes técnicos - 0206</t>
  </si>
  <si>
    <t>Dentistas auxiliares y ayudantes de odontología - 0229</t>
  </si>
  <si>
    <t>Directores de departamento de investigaciones y desarrollo - 0133</t>
  </si>
  <si>
    <t>Directores de departamentos de abastecimiento y distribución - 0131</t>
  </si>
  <si>
    <t>Directores de departamentos de personal y de relaciones laborales - 0128</t>
  </si>
  <si>
    <t>Directores de departamentos de producción y operaciones no clasificados bajo otros epígrafes. - 0126</t>
  </si>
  <si>
    <t>Directores de departamentos de producción y operaciones, agricultura, caza, silvicultura y pesca - 0118</t>
  </si>
  <si>
    <t>Directores de departamentos de producción y operaciones, comercio mayorista y minorista - 0121</t>
  </si>
  <si>
    <t>Directores de departamentos de producción y operaciones, construcción y obras públicas - 0120</t>
  </si>
  <si>
    <t>Directores de departamentos de producción y operaciones, empresas de intermediación y servicios a empresas - 0124</t>
  </si>
  <si>
    <t>Directores de departamentos de producción y operaciones, industrias manufactureras - 0119</t>
  </si>
  <si>
    <t>Directores de departamentos de producción y operaciones, restauración y hostelería - 0122</t>
  </si>
  <si>
    <t>Directores de departamentos de producción y operaciones, servicios de cuidados personales, limpieza y servicios similares - 0125</t>
  </si>
  <si>
    <t>Directores de departamentos de producción y operaciones, transporte, almacenamiento y comunicaciones - 0123</t>
  </si>
  <si>
    <t>Directores de departamentos de publicidad y de relaciones públicas - 0130</t>
  </si>
  <si>
    <t>Directores de departamentos de servicios de informática - 0132</t>
  </si>
  <si>
    <t>Directores de departamentos de ventas y comercialización - 0129</t>
  </si>
  <si>
    <t>Directores de departamentos financieros y administrativos - 0127</t>
  </si>
  <si>
    <t>Directores generales y gerentes generales de empresas - 0117</t>
  </si>
  <si>
    <t>Dirigentes y administradores de organizaciones de empleadores, de trabajadores y de otras de interés socioeconómico - 0115</t>
  </si>
  <si>
    <t>Dirigentes y administradores de organizaciones humanitarias y de otras organizaciones - 0116</t>
  </si>
  <si>
    <t>Dirigentes y administradores de partidos políticos - 0114</t>
  </si>
  <si>
    <t>Ebanistas y afines - 0394</t>
  </si>
  <si>
    <t>Economistas - 0187</t>
  </si>
  <si>
    <t>Ecónomos, mayordomos y afines - 0298</t>
  </si>
  <si>
    <t>Electricistas de obras afines - 0349</t>
  </si>
  <si>
    <t>Electrotécnicos - 0201</t>
  </si>
  <si>
    <t>Embaladores manuales y otros peones de la industria manufacturera - 0496</t>
  </si>
  <si>
    <t>Empleados de agencias de viajes - 0292</t>
  </si>
  <si>
    <t>Empleados de bibliotecas y archivos - 0282</t>
  </si>
  <si>
    <t>Empleados de contabilidad y cálculo de costos - 0277</t>
  </si>
  <si>
    <t>Empleados de control de abastecimientos e inventario - 0279</t>
  </si>
  <si>
    <t>Empleados de servicios de apoyo a la producción - 0280</t>
  </si>
  <si>
    <t>Empleados de servicios de correos - 0283</t>
  </si>
  <si>
    <t>Empleados de servicios de transporte - 0281</t>
  </si>
  <si>
    <t>Empleados de servicios estadísticos y financieros - 0278</t>
  </si>
  <si>
    <t>Encuadernadores y afines - 0385</t>
  </si>
  <si>
    <t>Escribientes públicos y afines - 0285</t>
  </si>
  <si>
    <t>Escultores, pintores y afines - 0194</t>
  </si>
  <si>
    <t>Especialistas en métodos pedagógicos y material didáctico - 0176</t>
  </si>
  <si>
    <t>Especialistas en organización y administración de empresas afines, no clasificados bajo otros epígrafes - 0181</t>
  </si>
  <si>
    <t>Especialistas en políticas y servicios de personal y afines - 0180</t>
  </si>
  <si>
    <t>Estadísticos - 0149</t>
  </si>
  <si>
    <t>Estereotipistas y galvanotipistas - 0382</t>
  </si>
  <si>
    <t>Farmacéuticos - 0168</t>
  </si>
  <si>
    <t>Farmacólogos, patólogos y afines - 0163</t>
  </si>
  <si>
    <t>Filósofos, historiadores y especialistas en ciencias políticas - 0189</t>
  </si>
  <si>
    <t>Físicos y astrónomos - 0144</t>
  </si>
  <si>
    <t>Fisioterapeutas y afines - 0230</t>
  </si>
  <si>
    <t>Fontaneros e instaladores de tuberías - 0348</t>
  </si>
  <si>
    <t>Fotógrafos y operadores de equipos de grabación de imagen y sonido - 0211</t>
  </si>
  <si>
    <t>Funcionarios de servicios de expedición de licencias y permisos - 0262</t>
  </si>
  <si>
    <t>Funcionarios de servicios de seguridad social - 0261</t>
  </si>
  <si>
    <t>Funcionarios del fisco - 0260</t>
  </si>
  <si>
    <t>Geólogos y geofísicos - 0147</t>
  </si>
  <si>
    <t>Gerentes de comercios mayoristas y minoristas - 0138</t>
  </si>
  <si>
    <t>Gerentes de empresa de agricultura, caza, silvicultura y pesca - 0135</t>
  </si>
  <si>
    <t>Gerentes de empresas de construcción y obras públicas - 0137</t>
  </si>
  <si>
    <t>Gerentes de empresas de intermediación y servicios a empresas - 0141</t>
  </si>
  <si>
    <t>Gerentes de empresas de restauración y hostelería - 0139</t>
  </si>
  <si>
    <t>Gerentes de empresas de servicios de cuidados personales, limpieza y servicios similares - 0142</t>
  </si>
  <si>
    <t>Gerentes de empresas de transporte, almacenamiento y comunicaciones - 0140</t>
  </si>
  <si>
    <t>Gerentes de empresas no clasificados bajo otros epígrafes - 0143</t>
  </si>
  <si>
    <t>Gerentes de industrias manufactureras - 0136</t>
  </si>
  <si>
    <t>Grabadores de imprenta y fotograbadores - 0383</t>
  </si>
  <si>
    <t>Grabadores de vidrio - 0377</t>
  </si>
  <si>
    <t>Guardafrenos, guardagujas y agentes de maniobras - 0465</t>
  </si>
  <si>
    <t>Guardianes de prisión - 0313</t>
  </si>
  <si>
    <t>Guías - 0297</t>
  </si>
  <si>
    <t>Herramentistas y afines - 0360</t>
  </si>
  <si>
    <t>Herreros y forjadores - 0359</t>
  </si>
  <si>
    <t>Higienistas y otro personal sanitario - 0226</t>
  </si>
  <si>
    <t>Impresores de serigrafía y estampadores, plancha y en textiles - 0386</t>
  </si>
  <si>
    <t>Ingenieros civiles - 0154</t>
  </si>
  <si>
    <t>Ingenieros de minas y metalúrgicos y afines - 0159</t>
  </si>
  <si>
    <t>Ingenieros electricistas - 0155</t>
  </si>
  <si>
    <t>Ingenieros electronicistas y de telecomunicaciones - 0156</t>
  </si>
  <si>
    <t>Ingenieros mecánicos - 0157</t>
  </si>
  <si>
    <t>Ingenieros Químicos - 0158</t>
  </si>
  <si>
    <t>Inspectores de edificios y de prevención e investigación de incendios - 0220</t>
  </si>
  <si>
    <t>Inspectores de la enseñanza - 0177</t>
  </si>
  <si>
    <t>Inspectores de policía y detectives - 0264</t>
  </si>
  <si>
    <t>Inspectores de seguridad y salud y control de calidad - 0221</t>
  </si>
  <si>
    <t>Instaladores de material aislante y de insonorización - 0346</t>
  </si>
  <si>
    <t>Instaladores y reparadores de líneas eléctricas - 0370</t>
  </si>
  <si>
    <t>Instaladores y reparadores de telégrafos y teléfonos - 0369</t>
  </si>
  <si>
    <t>Jefes de pequeñas poblaciones - 0113</t>
  </si>
  <si>
    <t>Joyeros, orfebres y plateros - 0374</t>
  </si>
  <si>
    <t>Jueces - 0183</t>
  </si>
  <si>
    <t>Lavadores de vehículos, ventanas y afines - 0483</t>
  </si>
  <si>
    <t>Lavanderos y planchadores manuales - 0481</t>
  </si>
  <si>
    <t>Limpiabotas y otros trabajadores callejeros - 0478</t>
  </si>
  <si>
    <t>Limpiadores de fachadas y deshollinadores - 0352</t>
  </si>
  <si>
    <t>Limpiadores de oficinas, hoteles y otros establecimientos - 0480</t>
  </si>
  <si>
    <t>Locutores de radio y televisión y afines - 0267</t>
  </si>
  <si>
    <t>Maestros de nivel medio de la enseñanza especial - 0240</t>
  </si>
  <si>
    <t>Maestros de nivel medio de la enseñanza preescolar - 0239</t>
  </si>
  <si>
    <t>Maestros de nivel medio de la enseñanza primaria - 0238</t>
  </si>
  <si>
    <t>Maestros de nivel superior de la enseñanza preescolar - 0174</t>
  </si>
  <si>
    <t>Maestros de nivel superior de la enseñanza primaria - 0173</t>
  </si>
  <si>
    <t>Maestros e instructores de nivel superior de la enseñanza especial - 0175</t>
  </si>
  <si>
    <t>Maquinista de locomotoras - 0464</t>
  </si>
  <si>
    <t>Marineros de cubierta y afines - 0474</t>
  </si>
  <si>
    <t>Matemáticos y afines - 0148</t>
  </si>
  <si>
    <t>Mecánicos y ajustadores de máquinas agrícolas e industriales - 0365</t>
  </si>
  <si>
    <t>Mecánicos y ajustadores de motores de avión - 0364</t>
  </si>
  <si>
    <t>Mecánicos y ajustadores de vehículos de motor - 0363</t>
  </si>
  <si>
    <t>Mecánicos y ajustadores electricistas - 0366</t>
  </si>
  <si>
    <t>Mecánicos y reparadores de aparatos electrónicos - 0368</t>
  </si>
  <si>
    <t>Mecánicos y reparadores de instrumentos de precisión - 0372</t>
  </si>
  <si>
    <t>Médicos - 0165</t>
  </si>
  <si>
    <t>Médicos y profesionales afines (excepto el personal de enfermería y partería) no clasificados bajo otros epígrafes - 0169</t>
  </si>
  <si>
    <t>Mensajeros, porteadores y repartidores - 0484</t>
  </si>
  <si>
    <t>Meteorólogos - 0145</t>
  </si>
  <si>
    <t>Miembros de las fuerzas armadas - 0110</t>
  </si>
  <si>
    <t>Miembros del poder ejecutivo y de los cuerpos legislativos - 0111</t>
  </si>
  <si>
    <t>Mineros y canteros - 0335</t>
  </si>
  <si>
    <t>Modelos de modas, arte y publicidad - 0315</t>
  </si>
  <si>
    <t>Moldeadores y macheros - 0353</t>
  </si>
  <si>
    <t>Montadores de equipos eléctricos - 0458</t>
  </si>
  <si>
    <t>Montadores de equipos electrónicos - 0459</t>
  </si>
  <si>
    <t>Montadores de estructuras metálicas - 0356</t>
  </si>
  <si>
    <t>Montadores de mecanismos y elementos mecánicos de máquinas - 0457</t>
  </si>
  <si>
    <t>Montadores de productos de cartón, textiles y materiales afines - 0462</t>
  </si>
  <si>
    <t>Montadores de productos de madera y de materiales afines - 0461</t>
  </si>
  <si>
    <t>Montadores de productos metálicos, de caucho y de material plástico - 0460</t>
  </si>
  <si>
    <t>Mozos de labranza y peones agropecuarios - 0489</t>
  </si>
  <si>
    <t>Músicos, cantantes y bailarines callejeros, de cabaret y afines - 0268</t>
  </si>
  <si>
    <t>Niñeras y celadoras infantiles - 0301</t>
  </si>
  <si>
    <t>Odontólogos - 0166</t>
  </si>
  <si>
    <t>Oficiales maquinistas - 0215</t>
  </si>
  <si>
    <t>Oficiales y operarios de la construcción (obra gruesa) y afines, no clasificados bajo otros epígrafes - 0342</t>
  </si>
  <si>
    <t>Operadores de aparatos de diagnóstico y tratamiento médicos - 0213</t>
  </si>
  <si>
    <t>Operadores de cadenas de montaje automatizadas - 0427</t>
  </si>
  <si>
    <t>Operadores de calculadoras - 0275</t>
  </si>
  <si>
    <t>Operadores de entrada de datos - 0274</t>
  </si>
  <si>
    <t>Operadores de equipos de destilación y de reacción química (excepto petróleo y gas natural) - 0421</t>
  </si>
  <si>
    <t>Operadores de equipos de filtración y separación de sustancias químicas - 0420</t>
  </si>
  <si>
    <t>Operadores de equipos de radiodifusión, televisión y telecomunicaciones - 0212</t>
  </si>
  <si>
    <t>Operadores de grúas, de aparatos elevadores y afines - 0472</t>
  </si>
  <si>
    <t>Operadores de hornos de minerales y de hornos de primera fusión de metales - 0409</t>
  </si>
  <si>
    <t>Operadores de hornos de segunda fusión, máquinas de colar y moldear metales y trenes de laminación - 0410</t>
  </si>
  <si>
    <t>Operadores de hornos de vidriería y cerámica y operadores de máquinas afines - 0413</t>
  </si>
  <si>
    <t>Operadores de incineradores, instalaciones de tratamiento de agua y afines - 0426</t>
  </si>
  <si>
    <t>Operadores de instalaciones de procesamiento de la madera - 0415</t>
  </si>
  <si>
    <t>Operadores de instalaciones de procesamiento de minerales y rocas - 0407</t>
  </si>
  <si>
    <t>Operadores de instalaciones de producción de energía - 0424</t>
  </si>
  <si>
    <t>Operadores de instalaciones de refinación de petróleo y gas natural - 0422</t>
  </si>
  <si>
    <t>Operadores de instalaciones de tratamiento químico térmico - 0419</t>
  </si>
  <si>
    <t>Operadores de instalaciones de tratamiento térmico de metales - 0411</t>
  </si>
  <si>
    <t>Operadores de instalaciones de tratamientos químicos, no clasificados bajo otros epígrafes - 0423</t>
  </si>
  <si>
    <t>operadores de instalaciones de vidriería, cerámica y afines, no clasificados bajo otros epígrafes - 0414</t>
  </si>
  <si>
    <t>Operadores de instalaciones mineras - 0406</t>
  </si>
  <si>
    <t>Operadores de instalaciones para la fabricación de papel - 0417</t>
  </si>
  <si>
    <t>Operadores de instalaciones para la preparación de la pasta para papel - 0416</t>
  </si>
  <si>
    <t>Operadores de instalaciones quebrantadoras, trituradoras y mezcladoras de sustancias químicas - 0418</t>
  </si>
  <si>
    <t>Operadores de maquinaria agrícola y forestal motorizada - 0470</t>
  </si>
  <si>
    <t>Operadores de maquinarias herramientas - 0429</t>
  </si>
  <si>
    <t>Operadores de máquinas de blanqueo, teñido y tintura - 0445</t>
  </si>
  <si>
    <t>Operadores de máquinas de encuadernación - 0440</t>
  </si>
  <si>
    <t>Operadores de máquinas de imprenta - 0439</t>
  </si>
  <si>
    <t>Operadores de máquinas de movimientos de tierras y afines - 0471</t>
  </si>
  <si>
    <t>Operadores de máquinas de preparación de fibras, hilado y devanado - 0442</t>
  </si>
  <si>
    <t>Operadores de máquinas de tratamiento de pieles y cueros - 0446</t>
  </si>
  <si>
    <t>Operadores de máquinas de tratamiento de textos y afines - 0273</t>
  </si>
  <si>
    <t>Operadores de máquinas de vapor y calderas - 0425</t>
  </si>
  <si>
    <t>Operadores de máquinas para coser - 0444</t>
  </si>
  <si>
    <t>Operadores de máquinas para elaborar carne de pescado y mariscos - 0449</t>
  </si>
  <si>
    <t>Operadores de máquinas para elaborar cereales, productos de panadería, repostería y artículos de chocolate - 0451</t>
  </si>
  <si>
    <t>Operadores de máquinas para elaborar cerveza, vinos y otras bebidas - 0455</t>
  </si>
  <si>
    <t>Operadores de máquinas para elaborar frutos húmedos, secos y hortalizas - 0452</t>
  </si>
  <si>
    <t>Operadores de máquinas para elaborar productos de tabaco - 0456</t>
  </si>
  <si>
    <t>Operadores de máquinas para elaborar productos lácteos - 0450</t>
  </si>
  <si>
    <t>Operadores de máquinas para elaborar té, café y cacao - 0454</t>
  </si>
  <si>
    <t>Operadores de máquinas para fabricar accesorios fotográficos - 0434</t>
  </si>
  <si>
    <t>Operadores de máquinas para fabricar azúcares - 0453</t>
  </si>
  <si>
    <t>Operadores de máquinas para fabricar cemento y otros productos minerales - 0430</t>
  </si>
  <si>
    <t>Operadores de máquinas para fabricar municiones y explosivos - 0432</t>
  </si>
  <si>
    <t>Operadores de máquinas para fabricar productos de caucho - 0436</t>
  </si>
  <si>
    <t>Operadores de máquinas para fabricar productos de madera - 0438</t>
  </si>
  <si>
    <t>Operadores de máquinas para fabricar productos de material plástico - 0437</t>
  </si>
  <si>
    <t>Operadores de máquinas para fabricar productos de papel - 0441</t>
  </si>
  <si>
    <t>Operadores de máquinas para fabricar productos farmacéuticos y cosméticos - 0431</t>
  </si>
  <si>
    <t>Operadores de máquinas para fabricar productos químicos, no clasificados bajo otros epígrafes - 0435</t>
  </si>
  <si>
    <t>Operadores de máquinas para fabricar productos textiles y artículos de piel y cuero, no clasificados bajo otros epígrafes - 0448</t>
  </si>
  <si>
    <t>Operadores de máquinas para la fabricación de calzado y afines - 0447</t>
  </si>
  <si>
    <t>Operadores de máquinas para moler cereales y especies - 0371</t>
  </si>
  <si>
    <t>Operadores de máquinas pulidoras, galvanizadoras y recubridoras de metales - 0433</t>
  </si>
  <si>
    <t>Operadores de máquinas trefiladoras y estiradoras de metales - 0412</t>
  </si>
  <si>
    <t>Operadores de quipos ópticos y electrónicos, no clasificados bajo otros epígrafes - 0214</t>
  </si>
  <si>
    <t>operadores de robots industriales - 0428</t>
  </si>
  <si>
    <t>Operadores de telares y otras máquinas tejedoras - 0443</t>
  </si>
  <si>
    <t>Operarios de la conservación de frutas, legumbres, verduras y afines - 0390</t>
  </si>
  <si>
    <t>Operarios de la elaboración de productos lácteos - 0389</t>
  </si>
  <si>
    <t>Operarios de la fotografía y afines - 0384</t>
  </si>
  <si>
    <t>Operarios en cemento armado, enfoscadores y afines - 0340</t>
  </si>
  <si>
    <t>Operarios en el tratamiento de la madera - 0393</t>
  </si>
  <si>
    <t>Otros directores de departamentos, no clasificados bajo otros epígrafes - 0134</t>
  </si>
  <si>
    <t>Otros maestros e instructores de nivel medio - 0241</t>
  </si>
  <si>
    <t>Otros oficinistas - 0286</t>
  </si>
  <si>
    <t>Otros operadores de máquinas y montadores - 0463</t>
  </si>
  <si>
    <t>Otros profesionales de la enseñanza, no clasificados bajo otros epígrafes - 0178</t>
  </si>
  <si>
    <t>Otros trabajadores de servicios personales a particulares, clasificados bajo otros epígrafes - 0308</t>
  </si>
  <si>
    <t>Panaderos, pasteleros y confiteros - 0388</t>
  </si>
  <si>
    <t>Paqueteros y colocadores de suelos - 0344</t>
  </si>
  <si>
    <t>Patronistas y cortadores de tela, cuero y afines - 0401</t>
  </si>
  <si>
    <t>Payasos, prestidigitadores, acróbatas y afines - 0269</t>
  </si>
  <si>
    <t>Pegadores - 0336</t>
  </si>
  <si>
    <t>Pegadores y cobradores de ventanilla y taquilleros - 0288</t>
  </si>
  <si>
    <t>Peleteros y afines - 0400</t>
  </si>
  <si>
    <t>Peluqueros, especialistas en tratamiento de belleza y afines - 0305</t>
  </si>
  <si>
    <t>Peones de carga - 0499</t>
  </si>
  <si>
    <t>Peones de la construcción de edificios - 0494</t>
  </si>
  <si>
    <t>Peones de la pesca, la caza y la trampa - 0491</t>
  </si>
  <si>
    <t>Peones de minas y canteras - 0492</t>
  </si>
  <si>
    <t>Peones de montaje - 0495</t>
  </si>
  <si>
    <t>Peones de obras públicas y mantenimiento de carreteras, presas y obras similares - 0493</t>
  </si>
  <si>
    <t>Peones forestales - 0490</t>
  </si>
  <si>
    <t>Perforadores y sondistas de pozos y afines - 0408</t>
  </si>
  <si>
    <t>Personal de enfermería de nivel medio - 0234</t>
  </si>
  <si>
    <t>Personal de enfermería y partería a nivel superior - 0170</t>
  </si>
  <si>
    <t>Personal de los servicios de protección y seguridad, no clasificados en otros epígrafes - 0314</t>
  </si>
  <si>
    <t>Personal de partería de nivel medio - 0235</t>
  </si>
  <si>
    <t>Personal de pompas fúnebres y embalsamadores - 0307</t>
  </si>
  <si>
    <t>Personal directivo de la administración pública - 0112</t>
  </si>
  <si>
    <t>Personal doméstico - 0479</t>
  </si>
  <si>
    <t>Pescadores de agua dulce y en aguas costeras - 0331</t>
  </si>
  <si>
    <t>Pescadores de alta mar - 0332</t>
  </si>
  <si>
    <t>Pilotos de aviación y afines - 0217</t>
  </si>
  <si>
    <t>Pintores y empapeladores - 0350</t>
  </si>
  <si>
    <t>Pintores, decoradores de vidrio, cerámica y otros materiales - 0378</t>
  </si>
  <si>
    <t>Policías - 0312</t>
  </si>
  <si>
    <t>Porteros y guardianes y afines - 0485</t>
  </si>
  <si>
    <t>Practicantes de la medicina tradicional - 0236</t>
  </si>
  <si>
    <t>Practicantes y asistentes médicos - 0225</t>
  </si>
  <si>
    <t>Preparadores de fibras - 0397</t>
  </si>
  <si>
    <t>Preparadores y elaboradores de tabaco y productos afines - 0392</t>
  </si>
  <si>
    <t>Prestamistas - 0290</t>
  </si>
  <si>
    <t>Productores y trabajadores agropecuarios calificados cuya producción se destina al mercado - 0327</t>
  </si>
  <si>
    <t>Profesionales de la informática no clasificados bajo otros epígrafes - 0152</t>
  </si>
  <si>
    <t>Profesionales de nivel medio de la medicina moderna y la salud (excepto el personal de enfermería y partería), no clasificados bajo otros epígrafes - 0233</t>
  </si>
  <si>
    <t>Profesionales de nivel medio de servicios administrativos afines - 0254</t>
  </si>
  <si>
    <t>Profesionales de nivel medio de servicios de administración, no clasificados bajo otros epígrafes - 0258</t>
  </si>
  <si>
    <t>Profesionales de nivel medio de servicios estadísticos, matemáticos y afines - 0257</t>
  </si>
  <si>
    <t>Profesionales de nivel medio del derecho y servicios legales o afines - 0255</t>
  </si>
  <si>
    <t>Profesionales de nivel medio en operaciones financiera y comerciales, no clasificados bajo otros epígrafes - 0249</t>
  </si>
  <si>
    <t>profesionales del derecho, no clasificados bajo otros epígrafes - 0184</t>
  </si>
  <si>
    <t>Profesionales del trabajo social - 0192</t>
  </si>
  <si>
    <t>Profesores de la enseñanza secundaria - 0172</t>
  </si>
  <si>
    <t>Profesores de universidades y otros establecimientos de la enseñanza superior - 0171</t>
  </si>
  <si>
    <t>Programadores informáticos y obras públicas - 0151</t>
  </si>
  <si>
    <t>Psicólogos - 0191</t>
  </si>
  <si>
    <t>Pulidores de metales y afiladores de herramientas - 0362</t>
  </si>
  <si>
    <t>Químicos - 0146</t>
  </si>
  <si>
    <t>Recepcionistas y empleados de informaciones - 0293</t>
  </si>
  <si>
    <t>Receptores de apuestas y afines - 0289</t>
  </si>
  <si>
    <t>Recolectores de basura - 0487</t>
  </si>
  <si>
    <t>Recolectores de dinero en aparatos de venta automática, lectores de medidores y afines - 0486</t>
  </si>
  <si>
    <t>Reguladores y reguladores-operadores de máquinas de labrar madera - 0395</t>
  </si>
  <si>
    <t>Reguladores y reguladores-operadores de máquinas herramientas - 0361</t>
  </si>
  <si>
    <t>Representantes comerciales y técnicos de ventas - 0246</t>
  </si>
  <si>
    <t>Revisores, guardas y cobradores de los transportes públicos - 0296</t>
  </si>
  <si>
    <t>Revocadores - 0345</t>
  </si>
  <si>
    <t>Sacerdotes de distintas religiones - 0198</t>
  </si>
  <si>
    <t>Sastres, modistos y sombrereros - 0399</t>
  </si>
  <si>
    <t>Secretarios - 0276</t>
  </si>
  <si>
    <t>Sociólogos, antropólogos y afines - 0188</t>
  </si>
  <si>
    <t>Soldadores y oxicortadores - 0354</t>
  </si>
  <si>
    <t>Sopladores, modeladores, laminadores, cortadores y pulidores de vidrio - 0376</t>
  </si>
  <si>
    <t>Taladores y otros trabajadores forestales - 0328</t>
  </si>
  <si>
    <t>Tapiceros, colchoneros y afines - 0403</t>
  </si>
  <si>
    <t>Taquígrafos y mecanógrafos - 0272</t>
  </si>
  <si>
    <t>Tasadores y subastadores - 0248</t>
  </si>
  <si>
    <t>Techadores - 0343</t>
  </si>
  <si>
    <t>Técnicos en agronomía, zootecnia y silvicultura - 0223</t>
  </si>
  <si>
    <t>Técnicos en ciencias biológicas y afines - 0222</t>
  </si>
  <si>
    <t>Técnicos en ciencias físicas y Químicas - 0199</t>
  </si>
  <si>
    <t>Técnicos en ciencias físicas y químicas y en ingeniería, no clasificados bajo otros epígrafes - 0207</t>
  </si>
  <si>
    <t>Técnicos en control de equipos informáticos - 0209</t>
  </si>
  <si>
    <t>Técnicos en control de robots industriales - 0210</t>
  </si>
  <si>
    <t>Técnicos en dietética y nutrición - 0227</t>
  </si>
  <si>
    <t>Técnicos en electrónica y telecomunicaciones - 0202</t>
  </si>
  <si>
    <t>Técnicos en ingeniería civil - 0200</t>
  </si>
  <si>
    <t>Técnicos en ingeniería de minas y metalurgia - 0205</t>
  </si>
  <si>
    <t>Técnicos en mecánica y construcción mecánica - 0203</t>
  </si>
  <si>
    <t>Técnicos en optometría y ópticos - 0228</t>
  </si>
  <si>
    <t>Técnicos en programación informática - 0208</t>
  </si>
  <si>
    <t>Técnicos en química industrial - 0204</t>
  </si>
  <si>
    <t>Técnicos en seguridad aeronáutica - 0219</t>
  </si>
  <si>
    <t>Técnicos y asistentes farmacéuticos - 0232</t>
  </si>
  <si>
    <t>Técnicos y asistentes veterinarios - 0231</t>
  </si>
  <si>
    <t>Tejedores con telares o de tejidos de punto y afines - 0398</t>
  </si>
  <si>
    <t>telefonistas - 0294</t>
  </si>
  <si>
    <t>Tenedores de libros - 0256</t>
  </si>
  <si>
    <t>Trabajadores agropecuarios y pesqueros de subsistencia - 0334</t>
  </si>
  <si>
    <t>Trabajadores asistentes sociales de nivel medio - 0265</t>
  </si>
  <si>
    <t>Trabajadores de los cuidados personales y afines, no clasificados bajo otros epígrafes - 0304</t>
  </si>
  <si>
    <t>Traductores e intérpretes - 0190</t>
  </si>
  <si>
    <t>Trozadores, labrantes y grabadores de piedra - 0337</t>
  </si>
  <si>
    <t>Vendedores a domicilio y por teléfono - 0477</t>
  </si>
  <si>
    <t>Vendedores ambulantes de productos comestibles - 0475</t>
  </si>
  <si>
    <t>Vendedores ambulantes de productos no comestibles - 0476</t>
  </si>
  <si>
    <t>Vendedores de kioscos y de puestos de mercado - 0317</t>
  </si>
  <si>
    <t>Vendedores y demostradores de tiendas y almacenes - 0316</t>
  </si>
  <si>
    <t>Veterinarios - 0167</t>
  </si>
  <si>
    <t>Zapateros y afines - 0405</t>
  </si>
  <si>
    <t>OccupCode_GTM</t>
  </si>
  <si>
    <t>Registro Fiscal</t>
  </si>
  <si>
    <t>Seguro Social</t>
  </si>
  <si>
    <t>Province</t>
  </si>
  <si>
    <t>Alajuela</t>
  </si>
  <si>
    <t>Cartago</t>
  </si>
  <si>
    <t>Guanacaste</t>
  </si>
  <si>
    <t>Heredia</t>
  </si>
  <si>
    <t>Limón</t>
  </si>
  <si>
    <t>Puntarenas</t>
  </si>
  <si>
    <t>San José</t>
  </si>
  <si>
    <t>cust_province_CRI</t>
  </si>
  <si>
    <t>Data for Registration</t>
  </si>
  <si>
    <t>Code</t>
  </si>
  <si>
    <t>Type of Variable Remuneration</t>
  </si>
  <si>
    <t>Observations</t>
  </si>
  <si>
    <t>Minimum Wage Range</t>
  </si>
  <si>
    <t>Medium Wage Range</t>
  </si>
  <si>
    <t>Maximum Wage Range</t>
  </si>
  <si>
    <t>Functional Leadership/ ID:</t>
  </si>
  <si>
    <t>General Information</t>
  </si>
  <si>
    <t>Admission Details</t>
  </si>
  <si>
    <t>Legal Number</t>
  </si>
  <si>
    <t>PPR Team Code</t>
  </si>
  <si>
    <t>Type of Workmanship</t>
  </si>
  <si>
    <t>Trade Union Region Code (Base Date)</t>
  </si>
  <si>
    <t>Syndicate Category</t>
  </si>
  <si>
    <t>Syndicate prevailing:</t>
  </si>
  <si>
    <t>Time code for Rhevolution</t>
  </si>
  <si>
    <t>Make Experience Contract?</t>
  </si>
  <si>
    <t>Data for regristracion in RONDA</t>
  </si>
  <si>
    <t xml:space="preserve">Badge No. </t>
  </si>
  <si>
    <t>Labor Union</t>
  </si>
  <si>
    <t>Type of Calculation</t>
  </si>
  <si>
    <t>Scale</t>
  </si>
  <si>
    <t>Normal Days Permission</t>
  </si>
  <si>
    <t>Saturday Permission</t>
  </si>
  <si>
    <t>Sunday Permission</t>
  </si>
  <si>
    <t>Holiday Permission</t>
  </si>
  <si>
    <t>Employee Registrated?</t>
  </si>
  <si>
    <t>Employee to clock in/out?</t>
  </si>
  <si>
    <t>Staff Request</t>
  </si>
  <si>
    <t>This is the document through which the selection process for a new recruitment is initiated, either by substitution or increase of the table. This form refers to I and previous bands positions.
The applicant must complete and submit the following form (one form for each open vacancy).</t>
  </si>
  <si>
    <t>Details of the person to be admitted</t>
  </si>
  <si>
    <t>Indirect / Functional Leadership</t>
  </si>
  <si>
    <t>Leadership Abroad (If it exists)</t>
  </si>
  <si>
    <t>Supervision charge? (Yes;No) (Supervision: any function you have subordinated.)</t>
  </si>
  <si>
    <t>Suggested Salary Range</t>
  </si>
  <si>
    <t>Host</t>
  </si>
  <si>
    <t>Application Data</t>
  </si>
  <si>
    <t>Environment Work Code</t>
  </si>
  <si>
    <t>Percentage of performance</t>
  </si>
  <si>
    <t>By</t>
  </si>
  <si>
    <t>Responsible (HR of the BU)</t>
  </si>
  <si>
    <t>Responsible (Applicant)</t>
  </si>
  <si>
    <t>Responsible (CSCRH)</t>
  </si>
  <si>
    <t>Condition of Admission</t>
  </si>
  <si>
    <t>Permanent (for  the replacement of: Name/ID)</t>
  </si>
  <si>
    <t>Permanent - Org Chart Promotion  (In the case of a picture increase it is necessary to be sent a copy of this request to the controller of your division)</t>
  </si>
  <si>
    <t>Controller Data</t>
  </si>
  <si>
    <t xml:space="preserve">Requirements </t>
  </si>
  <si>
    <t xml:space="preserve">Elements of Mandatory Filling </t>
  </si>
  <si>
    <t>Brazil_Auxiliary</t>
  </si>
  <si>
    <t>Contract Data</t>
  </si>
  <si>
    <t>Transfer Bonus</t>
  </si>
  <si>
    <t>Contribution</t>
  </si>
  <si>
    <t>Registration in I.M.S.S</t>
  </si>
  <si>
    <t>RFC (The Federal Taxpayers Registry)</t>
  </si>
  <si>
    <t>CURP (Unique Population Registry Code)</t>
  </si>
  <si>
    <t>Marriaged Date</t>
  </si>
  <si>
    <t>Payroll Card</t>
  </si>
  <si>
    <t xml:space="preserve">Emergency Contact </t>
  </si>
  <si>
    <t>Miscellanious Data</t>
  </si>
  <si>
    <t>Created by</t>
  </si>
  <si>
    <t>Validated by</t>
  </si>
  <si>
    <t>HR Director (Name and Signature)</t>
  </si>
  <si>
    <t>Mexico_Auxiliary</t>
  </si>
  <si>
    <t>Application Description</t>
  </si>
  <si>
    <t>New hire/Replacement (Associate´s No. And Name to be Replaced; Replacement Reason)</t>
  </si>
  <si>
    <t xml:space="preserve">Comments </t>
  </si>
  <si>
    <t xml:space="preserve">Signatures </t>
  </si>
  <si>
    <t>Creation Date</t>
  </si>
  <si>
    <t>Date Received</t>
  </si>
  <si>
    <t>Applied Date</t>
  </si>
  <si>
    <t xml:space="preserve">Created by HR Representative </t>
  </si>
  <si>
    <t>Applied: Payroll</t>
  </si>
  <si>
    <t>Created by HR Representative</t>
  </si>
  <si>
    <t>Nicaragua_Auxiliary</t>
  </si>
  <si>
    <t>Personal Details Form</t>
  </si>
  <si>
    <t>CUIL (unique code of labor identification) / N ° SOCIAL SECURITY / BOX OF INSCRIPTION OIL. (Do not stack to Peru)</t>
  </si>
  <si>
    <t>Education</t>
  </si>
  <si>
    <t>Other Studies/Courses</t>
  </si>
  <si>
    <t>Peru_Ecuador_Auxiliary</t>
  </si>
  <si>
    <t>New hire/Replacement (Employee No. And Name to be Replaced; Replacement Reason)</t>
  </si>
  <si>
    <t>Salary Increase (Current Monthly Salary;New Monthly Salary)</t>
  </si>
  <si>
    <t>Honduras_Auxiliary</t>
  </si>
  <si>
    <t>Employee Data</t>
  </si>
  <si>
    <t>Place where the DPI was extended (Public document, personal and non-transferable)</t>
  </si>
  <si>
    <t>Ocupation</t>
  </si>
  <si>
    <t>Average for Third and Fourteen</t>
  </si>
  <si>
    <t>Guatemala_Auxiliary</t>
  </si>
  <si>
    <t>Employee No.</t>
  </si>
  <si>
    <t>Replaces</t>
  </si>
  <si>
    <t>Reason</t>
  </si>
  <si>
    <t xml:space="preserve">Transfer </t>
  </si>
  <si>
    <t>Promotion</t>
  </si>
  <si>
    <t>License/Vacations</t>
  </si>
  <si>
    <t>Paid Leave</t>
  </si>
  <si>
    <t>Unpaid Leave</t>
  </si>
  <si>
    <t>Vacations (From/to; Days to enjoy)</t>
  </si>
  <si>
    <t>Trial Period Evaluation (From/to. Amount of days)</t>
  </si>
  <si>
    <t>Resignation (Previous Notification/Yes;No/Last Day worked)</t>
  </si>
  <si>
    <t>Desertion (Last Day Worked)</t>
  </si>
  <si>
    <t>Dismissal Without Cause (Start Date; Seniority)</t>
  </si>
  <si>
    <t>Dismissal With Cause  (Start Date; Seniority)</t>
  </si>
  <si>
    <t>Description</t>
  </si>
  <si>
    <t>others</t>
  </si>
  <si>
    <t>Observations/Comments</t>
  </si>
  <si>
    <t>Department requesting the processing</t>
  </si>
  <si>
    <t>Immediate chief Signature</t>
  </si>
  <si>
    <t>Department Manager Signature</t>
  </si>
  <si>
    <t xml:space="preserve">Function Manager Signature </t>
  </si>
  <si>
    <t>Employee Signature</t>
  </si>
  <si>
    <t>HR Signature</t>
  </si>
  <si>
    <t>HR Use only</t>
  </si>
  <si>
    <t xml:space="preserve">Code </t>
  </si>
  <si>
    <t>Received Date</t>
  </si>
  <si>
    <t>Movement Type</t>
  </si>
  <si>
    <t>Outcome</t>
  </si>
  <si>
    <t>Salary changes</t>
  </si>
  <si>
    <t>Classification Change</t>
  </si>
  <si>
    <t>Effective Date</t>
  </si>
  <si>
    <t>Explanation</t>
  </si>
  <si>
    <t>Assigned Benefits</t>
  </si>
  <si>
    <t>Company Car</t>
  </si>
  <si>
    <t>Laptop</t>
  </si>
  <si>
    <t>Cellphone</t>
  </si>
  <si>
    <t>Station PQC Card</t>
  </si>
  <si>
    <t>Amex</t>
  </si>
  <si>
    <t>AT&amp;T Card</t>
  </si>
  <si>
    <t>Medical Exam</t>
  </si>
  <si>
    <t>Action Privacy Club</t>
  </si>
  <si>
    <t>Preferred First Name</t>
  </si>
  <si>
    <t>Preferred Last Name</t>
  </si>
  <si>
    <t>Emergency Contact Address</t>
  </si>
  <si>
    <t>Dependent Contact Address</t>
  </si>
  <si>
    <t>Dependent Address</t>
  </si>
  <si>
    <t>Contract Start Date</t>
  </si>
  <si>
    <t>Contract Start Date (DD/MM/YYYY)</t>
  </si>
  <si>
    <t>Social Benefits_CHN</t>
  </si>
  <si>
    <t>安庆</t>
  </si>
  <si>
    <t>宿州</t>
  </si>
  <si>
    <t>安阳</t>
  </si>
  <si>
    <t>包头</t>
  </si>
  <si>
    <t>蚌埠</t>
  </si>
  <si>
    <t>北京</t>
  </si>
  <si>
    <t>滨州</t>
  </si>
  <si>
    <t>长春</t>
  </si>
  <si>
    <t>承德</t>
  </si>
  <si>
    <t>郴州</t>
  </si>
  <si>
    <t>长丰</t>
  </si>
  <si>
    <t>长沙</t>
  </si>
  <si>
    <t>滁州</t>
  </si>
  <si>
    <t>池州</t>
  </si>
  <si>
    <t>昌吉</t>
  </si>
  <si>
    <t>重庆</t>
  </si>
  <si>
    <t>成都</t>
  </si>
  <si>
    <t>沧州</t>
  </si>
  <si>
    <t>大连</t>
  </si>
  <si>
    <t>东莞</t>
  </si>
  <si>
    <t>福建</t>
  </si>
  <si>
    <t>佛山</t>
  </si>
  <si>
    <t>抚顺</t>
  </si>
  <si>
    <t>阜阳</t>
  </si>
  <si>
    <t>赣榆</t>
  </si>
  <si>
    <t>赣州</t>
  </si>
  <si>
    <t>广州</t>
  </si>
  <si>
    <t>哈尔滨</t>
  </si>
  <si>
    <t>合肥</t>
  </si>
  <si>
    <t>黄冈</t>
  </si>
  <si>
    <t>湖州</t>
  </si>
  <si>
    <t>淮安</t>
  </si>
  <si>
    <t>淮南</t>
  </si>
  <si>
    <t>淮北</t>
  </si>
  <si>
    <t>杭州</t>
  </si>
  <si>
    <t>江阴</t>
  </si>
  <si>
    <t>济宁</t>
  </si>
  <si>
    <t>金华</t>
  </si>
  <si>
    <t>嘉兴</t>
  </si>
  <si>
    <t>吉林</t>
  </si>
  <si>
    <t>济南</t>
  </si>
  <si>
    <t>锦州</t>
  </si>
  <si>
    <t>开封</t>
  </si>
  <si>
    <t>昆山</t>
  </si>
  <si>
    <t>昆明</t>
  </si>
  <si>
    <t>来安</t>
  </si>
  <si>
    <t>廊坊</t>
  </si>
  <si>
    <t>临颍</t>
  </si>
  <si>
    <t>连云港</t>
  </si>
  <si>
    <t>六安</t>
  </si>
  <si>
    <t>洛阳</t>
  </si>
  <si>
    <t>漯河</t>
  </si>
  <si>
    <t>临沂</t>
  </si>
  <si>
    <t>马鞍山</t>
  </si>
  <si>
    <t>麻涌</t>
  </si>
  <si>
    <t>南京</t>
  </si>
  <si>
    <t>南昌</t>
  </si>
  <si>
    <t>宁波</t>
  </si>
  <si>
    <t>南宁</t>
  </si>
  <si>
    <t>南通</t>
  </si>
  <si>
    <t>平湖</t>
  </si>
  <si>
    <t>青岛</t>
  </si>
  <si>
    <t>秦皇岛</t>
  </si>
  <si>
    <t>荣昌</t>
  </si>
  <si>
    <t>上饶</t>
  </si>
  <si>
    <t>深圳</t>
  </si>
  <si>
    <t>商丘</t>
  </si>
  <si>
    <t>上海</t>
  </si>
  <si>
    <t>石家庄</t>
  </si>
  <si>
    <t>嵩明</t>
  </si>
  <si>
    <t>陕西</t>
  </si>
  <si>
    <t>松原</t>
  </si>
  <si>
    <t>苏州市区</t>
  </si>
  <si>
    <t>宿迁</t>
  </si>
  <si>
    <t>沈阳</t>
  </si>
  <si>
    <t>苏州园区</t>
  </si>
  <si>
    <t>泰安</t>
  </si>
  <si>
    <t>天津</t>
  </si>
  <si>
    <t>唐山</t>
  </si>
  <si>
    <t>太原</t>
  </si>
  <si>
    <t>泰州</t>
  </si>
  <si>
    <t>威海</t>
  </si>
  <si>
    <t>潍坊</t>
  </si>
  <si>
    <t>芜湖</t>
  </si>
  <si>
    <t>乌鲁木齐</t>
  </si>
  <si>
    <t>武清</t>
  </si>
  <si>
    <t>武汉</t>
  </si>
  <si>
    <t>无锡</t>
  </si>
  <si>
    <t>西安</t>
  </si>
  <si>
    <t>孝感</t>
  </si>
  <si>
    <t>厦门</t>
  </si>
  <si>
    <t>徐州</t>
  </si>
  <si>
    <t>烟台</t>
  </si>
  <si>
    <t>盐城</t>
  </si>
  <si>
    <t>杨陵</t>
  </si>
  <si>
    <t>宜昌</t>
  </si>
  <si>
    <t>阳江</t>
  </si>
  <si>
    <t>营口</t>
  </si>
  <si>
    <t>云南</t>
  </si>
  <si>
    <t>扬州</t>
  </si>
  <si>
    <t>漳州</t>
  </si>
  <si>
    <t>珠海</t>
  </si>
  <si>
    <t>张家港</t>
  </si>
  <si>
    <t>镇江</t>
  </si>
  <si>
    <t>淄博</t>
  </si>
  <si>
    <t>湛江</t>
  </si>
  <si>
    <t>中山</t>
  </si>
  <si>
    <t>郑州</t>
  </si>
  <si>
    <t>福州</t>
  </si>
  <si>
    <t>汉川</t>
  </si>
  <si>
    <t>黄骅</t>
  </si>
  <si>
    <t>* First Name</t>
  </si>
  <si>
    <t>* Last Name</t>
  </si>
  <si>
    <t>* Hire date (DD/MM/YYYY)</t>
  </si>
  <si>
    <t>* Company</t>
  </si>
  <si>
    <t>* Event reason</t>
  </si>
  <si>
    <t>* Date of Birth (DD/MM/YYYY)</t>
  </si>
  <si>
    <t>* Country</t>
  </si>
  <si>
    <t>* National ID Card Type</t>
  </si>
  <si>
    <t>* National ID</t>
  </si>
  <si>
    <t>* Is Primary</t>
  </si>
  <si>
    <t>* Gender</t>
  </si>
  <si>
    <t>* Religion</t>
  </si>
  <si>
    <t>* Ethnicity</t>
  </si>
  <si>
    <t>* Email</t>
  </si>
  <si>
    <t>* Phone Number</t>
  </si>
  <si>
    <t>* Name</t>
  </si>
  <si>
    <t>* Relationship</t>
  </si>
  <si>
    <t>* Phone</t>
  </si>
  <si>
    <t>* Relationship Type</t>
  </si>
  <si>
    <t>* National ID Country</t>
  </si>
  <si>
    <t>* National ID Type</t>
  </si>
  <si>
    <t>* National ID Number</t>
  </si>
  <si>
    <t>* Manager</t>
  </si>
  <si>
    <t>* Employee Type</t>
  </si>
  <si>
    <t>* Employee Class</t>
  </si>
  <si>
    <t xml:space="preserve">* Standard Weekly Hours </t>
  </si>
  <si>
    <t>* Employee Sub-Type</t>
  </si>
  <si>
    <t>* Work Schedule Rule</t>
  </si>
  <si>
    <t>* Probation Status</t>
  </si>
  <si>
    <t>* Pay Scale Type</t>
  </si>
  <si>
    <t>* Pay Scale Area</t>
  </si>
  <si>
    <t>* Pay Scale Group</t>
  </si>
  <si>
    <t xml:space="preserve">* Working Days Per Week </t>
  </si>
  <si>
    <t>* Original Start Date (DD/MM/YYYY)</t>
  </si>
  <si>
    <t>* Pay Group</t>
  </si>
  <si>
    <t>* Pay Change Reason</t>
  </si>
  <si>
    <t>* Pay Component</t>
  </si>
  <si>
    <t>* Currency</t>
  </si>
  <si>
    <t>* Frequency</t>
  </si>
  <si>
    <t>* Amount</t>
  </si>
  <si>
    <t>First Name (local / preferred)</t>
  </si>
  <si>
    <t>Middle Name (local / preferred)</t>
  </si>
  <si>
    <t>Last Name (local / preferred)</t>
  </si>
  <si>
    <t>ARE - Emirates ID</t>
  </si>
  <si>
    <t>ARE - Labour Card</t>
  </si>
  <si>
    <t>ARE - Resident Permit</t>
  </si>
  <si>
    <t>ARE - Work Visa</t>
  </si>
  <si>
    <t>ARG-24H Transitory Work Authorization</t>
  </si>
  <si>
    <t>ARG-Permanent Residence Visa</t>
  </si>
  <si>
    <t>ARG-Temporary Residence Visa - Article 23(a) (Local Hire)</t>
  </si>
  <si>
    <t>ARG-Temporary Residence Visa - Article 23(e) (Intracompany Transfer)</t>
  </si>
  <si>
    <t>AUS-Passport</t>
  </si>
  <si>
    <t>BEL - A Permit</t>
  </si>
  <si>
    <t>BEL - B Permit</t>
  </si>
  <si>
    <t>BEL - Belgian Identity Card</t>
  </si>
  <si>
    <t>BEL - C Permit</t>
  </si>
  <si>
    <t>BEL - Professional Card for Foreigners</t>
  </si>
  <si>
    <t>BEL-Work Permit</t>
  </si>
  <si>
    <t>BES-Tewerkstellingsvergunning</t>
  </si>
  <si>
    <t>BES-Verblijfsvergunning</t>
  </si>
  <si>
    <t>BGD - Birth Certificate</t>
  </si>
  <si>
    <t>BGD - Driver's Licence</t>
  </si>
  <si>
    <t>BGD - Passport Number</t>
  </si>
  <si>
    <t>BGD - Taxpayer Identification Number (TIN)</t>
  </si>
  <si>
    <t>BGD - Visa</t>
  </si>
  <si>
    <t>BGD - Work Permit</t>
  </si>
  <si>
    <t>BOL-Work Permit</t>
  </si>
  <si>
    <t>BRA - Civilian Identity Registry (RIC)</t>
  </si>
  <si>
    <t>BRA - Driving Licence</t>
  </si>
  <si>
    <t>BRA - Employment Registration Book (CTPS)</t>
  </si>
  <si>
    <t>BRA - Foreigner's Identity Card</t>
  </si>
  <si>
    <t>BRA - Military Reserve Certificate</t>
  </si>
  <si>
    <t>BRA - Registro Geral</t>
  </si>
  <si>
    <t>BRA - Social Integration Program (PIS)</t>
  </si>
  <si>
    <t>BRA - Voter Eligibility Document</t>
  </si>
  <si>
    <t>CAN-Employment Authorization</t>
  </si>
  <si>
    <t>CHE-B</t>
  </si>
  <si>
    <t>CHE-C</t>
  </si>
  <si>
    <t>CHE-G</t>
  </si>
  <si>
    <t>CHE-L</t>
  </si>
  <si>
    <t>CHL - Annual Working Visa</t>
  </si>
  <si>
    <t>CHL - Working Holiday Visa</t>
  </si>
  <si>
    <t>COL - Work Visa</t>
  </si>
  <si>
    <t>COL-Cedule de Extranjería</t>
  </si>
  <si>
    <t>COL-Work Visa</t>
  </si>
  <si>
    <t>CRI-CCSS ID</t>
  </si>
  <si>
    <t>CRI-Passport Number</t>
  </si>
  <si>
    <t>CRI-Resident ID</t>
  </si>
  <si>
    <t>CRI-Visa ID</t>
  </si>
  <si>
    <t>CRI-Work Permit Number</t>
  </si>
  <si>
    <t>CZE - CICN (?íslo ob?anského pr?kazu (?OP))</t>
  </si>
  <si>
    <t>CZE - Czech Republic Blue Card</t>
  </si>
  <si>
    <t>CZE - Czech Republic Green Card</t>
  </si>
  <si>
    <t>CZE - Long-Stay Visa (povolení k dlouhodobému pobytu)</t>
  </si>
  <si>
    <t>CZE - Work Visa</t>
  </si>
  <si>
    <t>DNK - Danish Green Card</t>
  </si>
  <si>
    <t>DOM-Driver's Licence - Category 02</t>
  </si>
  <si>
    <t>DOM-Driver's Licence - Category 03</t>
  </si>
  <si>
    <t>DOM-Passport</t>
  </si>
  <si>
    <t>DOM-Social Security Number</t>
  </si>
  <si>
    <t>DOM-Taxpayer Reference Number (RNC)</t>
  </si>
  <si>
    <t>DOM-Visa / Residence</t>
  </si>
  <si>
    <t>DOM-Work Permit</t>
  </si>
  <si>
    <t>ECU - 12 XI EMV</t>
  </si>
  <si>
    <t>ECU - 12 XI MERCOSUR</t>
  </si>
  <si>
    <t>ECU- 12 VI EC</t>
  </si>
  <si>
    <t>ECU-RUC Number</t>
  </si>
  <si>
    <t>EGY - Residence Permit - Ordinary (3 Years)</t>
  </si>
  <si>
    <t>EGY - Residence Permit - Ordinary (5 Years)</t>
  </si>
  <si>
    <t>EGY - Residence Permit - Special</t>
  </si>
  <si>
    <t>EGY - Work Permit</t>
  </si>
  <si>
    <t>EGY-Driving Licence</t>
  </si>
  <si>
    <t>EGY-Driving Licence - Forklift</t>
  </si>
  <si>
    <t>EGY-Driving Licence - Technical First Degree</t>
  </si>
  <si>
    <t>EGY-Driving Licence - Technical Second Degree</t>
  </si>
  <si>
    <t>EGY-Driving Licence - Technical Third Degree</t>
  </si>
  <si>
    <t>EGY-Entry Visa</t>
  </si>
  <si>
    <t>EGY-Family Book ID</t>
  </si>
  <si>
    <t>EGY-Health Certificate</t>
  </si>
  <si>
    <t>EGY-Social Insurance Number</t>
  </si>
  <si>
    <t>EGY-Spousal Visa</t>
  </si>
  <si>
    <t>EGY-Student Visa</t>
  </si>
  <si>
    <t>EGY-Tax ID</t>
  </si>
  <si>
    <t>EGY-Temporary Work Visa</t>
  </si>
  <si>
    <t>EGY-Work Permit</t>
  </si>
  <si>
    <t>EGY-Work Visa</t>
  </si>
  <si>
    <t>ESP-C</t>
  </si>
  <si>
    <t>FIN-Payee's ID in Home Country</t>
  </si>
  <si>
    <t>FRA-Autorisation de travail</t>
  </si>
  <si>
    <t>FRA-Carte de séjour</t>
  </si>
  <si>
    <t>FRA-Entertainment Leave Number</t>
  </si>
  <si>
    <t>FRA-VISA</t>
  </si>
  <si>
    <t>GBR-Accession Worker</t>
  </si>
  <si>
    <t>GBR-British Citizen</t>
  </si>
  <si>
    <t>GBR-Dependent</t>
  </si>
  <si>
    <t>GBR-Dependent Leave to Remain</t>
  </si>
  <si>
    <t>GBR-Indefinite Leave to Remain</t>
  </si>
  <si>
    <t>GBR-Residence Permit</t>
  </si>
  <si>
    <t>GBR-Spouse/Partner Leave to Remain</t>
  </si>
  <si>
    <t>GBR-T2 ICT Long Term</t>
  </si>
  <si>
    <t>GBR-T2 ICT LTS Partner</t>
  </si>
  <si>
    <t>GBR-Tier 1 General</t>
  </si>
  <si>
    <t>GBR-Tier 2 General</t>
  </si>
  <si>
    <t>GBR-Tier 4</t>
  </si>
  <si>
    <t>GBR-Work Permit</t>
  </si>
  <si>
    <t>GTM-IGSS ID</t>
  </si>
  <si>
    <t>GTM-NIT ID</t>
  </si>
  <si>
    <t>GTM-Resident Number</t>
  </si>
  <si>
    <t>GTM-Work Permit Number</t>
  </si>
  <si>
    <t>HKG-British National Overseas</t>
  </si>
  <si>
    <t>HKG-Certificate of Identity</t>
  </si>
  <si>
    <t>HKG-Foreign Passport</t>
  </si>
  <si>
    <t>HKG-General Employment Visa</t>
  </si>
  <si>
    <t>HKG-Local Driver's Licence</t>
  </si>
  <si>
    <t>HKG-Passport</t>
  </si>
  <si>
    <t>HND-Driver's Licence - International Articulated Heavy Goods Vehicle</t>
  </si>
  <si>
    <t>HND-Driver's Licence - International Light Vehicle</t>
  </si>
  <si>
    <t>HND-Driver's Licence - International Rigid Heavy Goods Vehicle</t>
  </si>
  <si>
    <t>HND-Driver's Licence - National Articulated Heavy Goods Vehicle</t>
  </si>
  <si>
    <t>HND-Driver's Licence - National Light Vehicle</t>
  </si>
  <si>
    <t>HND-Driver's Licence - National Rigid Heavy Goods Vehicle</t>
  </si>
  <si>
    <t>HND-Driver's Licence - National Special</t>
  </si>
  <si>
    <t>HND-Passport</t>
  </si>
  <si>
    <t>HND-Visa / Residence</t>
  </si>
  <si>
    <t>HND-Work Permit</t>
  </si>
  <si>
    <t>HUN - EU Blue Card</t>
  </si>
  <si>
    <t>HUN - Work Permit</t>
  </si>
  <si>
    <t>HUN-Work Permit</t>
  </si>
  <si>
    <t>ISR - Residence Permit</t>
  </si>
  <si>
    <t>ISR - Temporary Residence Permit</t>
  </si>
  <si>
    <t>ISR - Temporary Work Permit</t>
  </si>
  <si>
    <t>ISR - Work Permit</t>
  </si>
  <si>
    <t>JOR - Residence Permit</t>
  </si>
  <si>
    <t>JOR - Work Permit</t>
  </si>
  <si>
    <t>JOR-Business Visa - Multiple Entries</t>
  </si>
  <si>
    <t>JOR-Business Visa - Single Entry</t>
  </si>
  <si>
    <t>JOR-Family Book ID</t>
  </si>
  <si>
    <t>JOR-Personal Card ID</t>
  </si>
  <si>
    <t>JOR-Social Security Number</t>
  </si>
  <si>
    <t>JOR-Tax ID</t>
  </si>
  <si>
    <t>JPN-Passport</t>
  </si>
  <si>
    <t>JPN-Resident Card and Others</t>
  </si>
  <si>
    <t>JPN-Resident Status</t>
  </si>
  <si>
    <t>JPN-Visa</t>
  </si>
  <si>
    <t>KAZ Identity Card</t>
  </si>
  <si>
    <t>KEN - Certificate of Challenge</t>
  </si>
  <si>
    <t>KEN - Corporate Work Permit</t>
  </si>
  <si>
    <t>KEN - Driver's Licence</t>
  </si>
  <si>
    <t>KEN - Exceptional Skills Work Permit</t>
  </si>
  <si>
    <t>KEN - External Medical Aid Scheme</t>
  </si>
  <si>
    <t>KEN - General Work Permit</t>
  </si>
  <si>
    <t>KEN - Intra-Company Transfer Work Permit</t>
  </si>
  <si>
    <t>KEN - National Hospital Insurance Fund (NHIF)</t>
  </si>
  <si>
    <t>KEN - National Identity Card</t>
  </si>
  <si>
    <t>KEN - National Social Security Fund ID</t>
  </si>
  <si>
    <t>KEN - Passport</t>
  </si>
  <si>
    <t>KEN - Personal Identification Number (PIN)</t>
  </si>
  <si>
    <t>KEN - Personal Identification Number Card</t>
  </si>
  <si>
    <t>KEN - Quota Work Permit</t>
  </si>
  <si>
    <t>KEN - Residence Permit Visa</t>
  </si>
  <si>
    <t>KEN - Staff ID Card</t>
  </si>
  <si>
    <t>KEN - Work Permit Visa</t>
  </si>
  <si>
    <t>KHM - Birth Certificate</t>
  </si>
  <si>
    <t>KHM - Driving Licence</t>
  </si>
  <si>
    <t>KHM - Family Record Identification</t>
  </si>
  <si>
    <t>KHM - Khmer Identity Card</t>
  </si>
  <si>
    <t>KHM - Passport Number</t>
  </si>
  <si>
    <t>KHM - Visa</t>
  </si>
  <si>
    <t>KHM - Work Permit</t>
  </si>
  <si>
    <t>KOR-Passport</t>
  </si>
  <si>
    <t>LBN-Business Visa - Multiple Entries</t>
  </si>
  <si>
    <t>LBN-Business Visa - Single Entry</t>
  </si>
  <si>
    <t>LBN-Family Book ID</t>
  </si>
  <si>
    <t>LBN-Official Visa - Multiple Entries</t>
  </si>
  <si>
    <t>LBN-Official Visa - Single Entry</t>
  </si>
  <si>
    <t>LBN-Passport Number</t>
  </si>
  <si>
    <t>LBN-Personal Book ID</t>
  </si>
  <si>
    <t>LBN-Personal Financial Number (MOF)</t>
  </si>
  <si>
    <t>LBN-Social Security Number</t>
  </si>
  <si>
    <t>LKA - Visa</t>
  </si>
  <si>
    <t>LKA - Work Permit</t>
  </si>
  <si>
    <t>MAR - Birth Certificate</t>
  </si>
  <si>
    <t>MAR - Certificate of Conduct</t>
  </si>
  <si>
    <t>MAR - Driving Licence</t>
  </si>
  <si>
    <t>MAR - National Identity Card Electronic (NIEC)</t>
  </si>
  <si>
    <t>MAR - Passport Number</t>
  </si>
  <si>
    <t>MAR - Residence Certificate</t>
  </si>
  <si>
    <t>MAR - Visa</t>
  </si>
  <si>
    <t>MAR - Work Permit</t>
  </si>
  <si>
    <t>MEX - AFORE</t>
  </si>
  <si>
    <t>MEX - Driving Licence</t>
  </si>
  <si>
    <t>MEX - Federal Taxpayer Registration</t>
  </si>
  <si>
    <t>MEX - ICEFA Internal Control Number</t>
  </si>
  <si>
    <t>MEX - IMSS Mexican Social Security Institute</t>
  </si>
  <si>
    <t>MEX - ISSSTE Number</t>
  </si>
  <si>
    <t>MEX - Migratory Grade: FM2</t>
  </si>
  <si>
    <t>MEX - Migratory Grade: FM3</t>
  </si>
  <si>
    <t>MEX - Migratory Grade: Immigrant</t>
  </si>
  <si>
    <t>MEX - Migratory Grade: Tourist</t>
  </si>
  <si>
    <t>MEX - Military Card</t>
  </si>
  <si>
    <t>MEX - Passport</t>
  </si>
  <si>
    <t>MEX - Voter Credential</t>
  </si>
  <si>
    <t>MLT - Driving Licence</t>
  </si>
  <si>
    <t>MLT - Identity Card</t>
  </si>
  <si>
    <t>MLT - Naturalisation Certificate Number</t>
  </si>
  <si>
    <t>MLT - Passport Number</t>
  </si>
  <si>
    <t>MLT - Residence Permit</t>
  </si>
  <si>
    <t>MLT - Taxpayer Reference Number</t>
  </si>
  <si>
    <t>MLT - Visa</t>
  </si>
  <si>
    <t>MLT - Work Permit</t>
  </si>
  <si>
    <t>NGA - Birth Certificate</t>
  </si>
  <si>
    <t>NGA - International Passport</t>
  </si>
  <si>
    <t>NGA - Marriage Certificate</t>
  </si>
  <si>
    <t>NGA - National Housing Fund Number (NHF)</t>
  </si>
  <si>
    <t>NGA - National Youth Service Certificate</t>
  </si>
  <si>
    <t>NGA - Pension ID</t>
  </si>
  <si>
    <t>NGA - Proof of Change of Name</t>
  </si>
  <si>
    <t>NGA - Taxpayer Identification Number (TIN)</t>
  </si>
  <si>
    <t>NGA - Work Permit Visa</t>
  </si>
  <si>
    <t>NIC - Birth Certificate</t>
  </si>
  <si>
    <t>NIC - Driver's Licence</t>
  </si>
  <si>
    <t>NIC - Passport Number</t>
  </si>
  <si>
    <t>NIC - Residence Number</t>
  </si>
  <si>
    <t>NIC - Social Security Number</t>
  </si>
  <si>
    <t>NIC - Taxpayer Identification Number</t>
  </si>
  <si>
    <t>NOR - Entry Visa Type D</t>
  </si>
  <si>
    <t>NOR - Residence Permit</t>
  </si>
  <si>
    <t>NZL-Passport</t>
  </si>
  <si>
    <t>OMN - Birth Certificate</t>
  </si>
  <si>
    <t>OMN - Driving Licence</t>
  </si>
  <si>
    <t>OMN - Identity Card</t>
  </si>
  <si>
    <t>OMN - Passport Number</t>
  </si>
  <si>
    <t>OMN - Residence Card</t>
  </si>
  <si>
    <t>OMN - Visa</t>
  </si>
  <si>
    <t>OMN - Work Permit</t>
  </si>
  <si>
    <t>PAK-Passport</t>
  </si>
  <si>
    <t>PAN-CSS ID</t>
  </si>
  <si>
    <t>PAN-Passport Number</t>
  </si>
  <si>
    <t>PAN-RUC Number</t>
  </si>
  <si>
    <t>PAN-Work Permit Number</t>
  </si>
  <si>
    <t>PER-Birth Certificate Number</t>
  </si>
  <si>
    <t>PER-ESSALUD ID</t>
  </si>
  <si>
    <t>PER-Foreign Resident Card Number</t>
  </si>
  <si>
    <t>PER-Passport Number</t>
  </si>
  <si>
    <t>PER-RUC Number</t>
  </si>
  <si>
    <t>PRT - Birth Certificate</t>
  </si>
  <si>
    <t>PRT - Passport</t>
  </si>
  <si>
    <t>PRT - Residence Card (autorização de residência)</t>
  </si>
  <si>
    <t>QAT - RP (Resident Permit)</t>
  </si>
  <si>
    <t>QAT - Visa</t>
  </si>
  <si>
    <t>ROU - Cross-Border Workers WA</t>
  </si>
  <si>
    <t>ROU - Driving Licence</t>
  </si>
  <si>
    <t>ROU - Exception WA</t>
  </si>
  <si>
    <t>ROU - Highly Qualified Workers WA</t>
  </si>
  <si>
    <t>ROU - Nominal WA</t>
  </si>
  <si>
    <t>ROU - Permanent Workers WA</t>
  </si>
  <si>
    <t>ROU - Probationary Workers WA</t>
  </si>
  <si>
    <t>ROU - Resident Permit</t>
  </si>
  <si>
    <t>ROU - Seasonal Workers WA</t>
  </si>
  <si>
    <t>ROU - Sportsmen WA</t>
  </si>
  <si>
    <t>RUS - Domestic Passport</t>
  </si>
  <si>
    <t>RUS - International Passport</t>
  </si>
  <si>
    <t>RUS - Taxpayer Identification Number (INN)</t>
  </si>
  <si>
    <t>SAU - Exit - Re-Entry Visa</t>
  </si>
  <si>
    <t>SAU - Final Exit Visa</t>
  </si>
  <si>
    <t>SAU - Iqama</t>
  </si>
  <si>
    <t>SAU - Work Permit</t>
  </si>
  <si>
    <t>SAU - Work Visa</t>
  </si>
  <si>
    <t>SGP-Passport</t>
  </si>
  <si>
    <t>SLV - Passport</t>
  </si>
  <si>
    <t>SLV - Residence ID</t>
  </si>
  <si>
    <t>SLV - Visa</t>
  </si>
  <si>
    <t>TUR-Driver's Licence Category - A1</t>
  </si>
  <si>
    <t>TUR-Driver's Licence Category - A2</t>
  </si>
  <si>
    <t>TUR-Driver's Licence Category - G</t>
  </si>
  <si>
    <t>TUR-Driver's Licence Category - H</t>
  </si>
  <si>
    <t>TWN - Passport</t>
  </si>
  <si>
    <t>TZA - Birth Certificate</t>
  </si>
  <si>
    <t>TZA - Citizen Identity Card</t>
  </si>
  <si>
    <t>TZA - Passport Number</t>
  </si>
  <si>
    <t>TZA - Visa</t>
  </si>
  <si>
    <t>TZA - Work Permit</t>
  </si>
  <si>
    <t>URY-Visa / Residence</t>
  </si>
  <si>
    <t>URY-Work Permit</t>
  </si>
  <si>
    <t>VEN - Work Visa</t>
  </si>
  <si>
    <t>ZAF - Corporate Work Permit</t>
  </si>
  <si>
    <t>ZAF - Exceptional Skills Work Permit</t>
  </si>
  <si>
    <t>ZAF - General Work Permit</t>
  </si>
  <si>
    <t>ZAF - Intra-Company Transfer Work Permit</t>
  </si>
  <si>
    <t>ZAF - Quota Work Permit</t>
  </si>
  <si>
    <t>Argentina Pay Group UAT (UAT_PGRP_ARG)</t>
  </si>
  <si>
    <t>ARG-Monthy ([M)</t>
  </si>
  <si>
    <t>AUS-Footscray Weekly (QW)</t>
  </si>
  <si>
    <t>AUS-Malt Bi-Weekly (QK)</t>
  </si>
  <si>
    <t>AUS-Malt Weekly (QX)</t>
  </si>
  <si>
    <t>AUS-Monthly - AU (QM)</t>
  </si>
  <si>
    <t>AUS-Narrabri Weekly (QS)</t>
  </si>
  <si>
    <t>AUS-Newcastle Bi-Weekly (QG)</t>
  </si>
  <si>
    <t>BRA-Monthly (BRA-Monthly)</t>
  </si>
  <si>
    <t>COL-Mensuales (MES)</t>
  </si>
  <si>
    <t>CRI-Operarios Semanal (OS)</t>
  </si>
  <si>
    <t>DOM-Republica Dominicana Empleado (RD-EMP)</t>
  </si>
  <si>
    <t>HKG-Monthly (13/Year) (HKG-M1)</t>
  </si>
  <si>
    <t>JPN/TWN/BGR-Monthly  (ZZ)</t>
  </si>
  <si>
    <t>KOR-Hourly - Monthly (5H)</t>
  </si>
  <si>
    <t>KOR-Monthly (5M)</t>
  </si>
  <si>
    <t>No Pay Group (PGNONE)</t>
  </si>
  <si>
    <t>PAK-Monthly (12/Year) (PAK-M1)</t>
  </si>
  <si>
    <t>SGP-Monthly (RM)</t>
  </si>
  <si>
    <t>VEN-Agribrands Purina Empleado (VEN-AGX-EMP)</t>
  </si>
  <si>
    <t>VEN-Agribrands Purina Operador (VEN-AGX-OPE)</t>
  </si>
  <si>
    <t>VEN-Cargill de Venezuela Empleado (CDV-EMP)</t>
  </si>
  <si>
    <t>VEN-Cargill de Venezuela Operador (CDV-OPE)</t>
  </si>
  <si>
    <t>VEN-Productora de Sal Empleado (PDS- EMP)</t>
  </si>
  <si>
    <t>FO_Pay Group_ARG</t>
  </si>
  <si>
    <t>FO_Pay Group_AUS</t>
  </si>
  <si>
    <t>FO_Pay Group_BRA</t>
  </si>
  <si>
    <t>FO_Pay Group_COL</t>
  </si>
  <si>
    <t>FO_Pay Group_CRI</t>
  </si>
  <si>
    <t>FO_Pay Group_DOM</t>
  </si>
  <si>
    <t>FO_Pay Group_HKG</t>
  </si>
  <si>
    <t>FO_Pay Group_JPN</t>
  </si>
  <si>
    <t>FO_Pay Group_KOR</t>
  </si>
  <si>
    <t>FO_Pay Group_PAK</t>
  </si>
  <si>
    <t>FO_Pay Group_SGP</t>
  </si>
  <si>
    <t>FO_Pay Group_VEN</t>
  </si>
  <si>
    <t>ARG-Base Salary (Global Mobility Inbound)</t>
  </si>
  <si>
    <t>ARG-Base Salary (Hourly, Union)</t>
  </si>
  <si>
    <t>ARG-Base Salary (Salary, Non-Union, Global Mobility Outbound)</t>
  </si>
  <si>
    <t>ARG-Base Salary (Student)</t>
  </si>
  <si>
    <t>AUS-Extraction</t>
  </si>
  <si>
    <t>AUS-Food Training</t>
  </si>
  <si>
    <t>AUS-Hourly Rate</t>
  </si>
  <si>
    <t>AUS-Leading Hand Relief</t>
  </si>
  <si>
    <t>AUS-Leading Hand up to 10</t>
  </si>
  <si>
    <t>AUS-Preparation</t>
  </si>
  <si>
    <t>AUS-WC Refund rate</t>
  </si>
  <si>
    <t>DOM-Republica Dominicana Empleado</t>
  </si>
  <si>
    <t>GTM-Bono Decreto</t>
  </si>
  <si>
    <t>IND-Base Salary</t>
  </si>
  <si>
    <t>JPN-Monthly Base-Contractor</t>
  </si>
  <si>
    <t>JPN-Monthly Base-Director</t>
  </si>
  <si>
    <t>JPN-Monthly Base-K Band 1</t>
  </si>
  <si>
    <t>JPN-Monthly Base-K Band 2</t>
  </si>
  <si>
    <t>JPN-Monthly Base-P Band 1</t>
  </si>
  <si>
    <t>JPN-Monthly Base-P Band 2-FOT</t>
  </si>
  <si>
    <t>JPN-Monthly Base-P Band 2-IT</t>
  </si>
  <si>
    <t>JPN-Monthly Base-P Band 2-Sal</t>
  </si>
  <si>
    <t>JPN-Monthly Base-S Band 1</t>
  </si>
  <si>
    <t>KOR-Hourly Rate</t>
  </si>
  <si>
    <t>MEX - Car Bonus</t>
  </si>
  <si>
    <t>MEX - Oil Bonus</t>
  </si>
  <si>
    <t>PHL-Base Salary</t>
  </si>
  <si>
    <t>FO_Pay Component_ARG</t>
  </si>
  <si>
    <t>FO_Pay Component_AUS</t>
  </si>
  <si>
    <t>FO_Pay Component_DOM</t>
  </si>
  <si>
    <t>FO_Pay Component_GTM</t>
  </si>
  <si>
    <t>FO_Pay Component_JPN</t>
  </si>
  <si>
    <t>FO_Pay Component_KOR</t>
  </si>
  <si>
    <t>FO_Pay Component_MEX</t>
  </si>
  <si>
    <t>FO_Pay Component_PHL</t>
  </si>
  <si>
    <t>* Detailed Address</t>
  </si>
  <si>
    <t>* District</t>
  </si>
  <si>
    <t>Busan</t>
  </si>
  <si>
    <t>Chungcheongbuk-do</t>
  </si>
  <si>
    <t>Chungcheongnam-do</t>
  </si>
  <si>
    <t>Daegu</t>
  </si>
  <si>
    <t>Daejeon</t>
  </si>
  <si>
    <t>Gangwon-do</t>
  </si>
  <si>
    <t>Gwangju</t>
  </si>
  <si>
    <t>Gyeonggi-do</t>
  </si>
  <si>
    <t>Gyeongsangbuk-do</t>
  </si>
  <si>
    <t>Gyeongsangnam-do</t>
  </si>
  <si>
    <t>Incheon</t>
  </si>
  <si>
    <t>Jeju-do</t>
  </si>
  <si>
    <t>Jeollabuk-do</t>
  </si>
  <si>
    <t>Jeollanam-do</t>
  </si>
  <si>
    <t>Seoul</t>
  </si>
  <si>
    <t>Ulsan</t>
  </si>
  <si>
    <t>REGION_KOR</t>
  </si>
  <si>
    <t>SIEOW YEEK</t>
  </si>
  <si>
    <t>TAN</t>
  </si>
  <si>
    <t>AHYEEK</t>
  </si>
  <si>
    <t>19/08/1978</t>
  </si>
  <si>
    <t>PULAU PINANG</t>
  </si>
  <si>
    <t>780819075407</t>
  </si>
  <si>
    <t>MANDARINE</t>
  </si>
  <si>
    <t>TAN SIEOW YEEK</t>
  </si>
  <si>
    <t>CHINESE</t>
  </si>
  <si>
    <t>A-15-06,ASEANA PUTERI</t>
  </si>
  <si>
    <t>JALAN PUTERI 9/1</t>
  </si>
  <si>
    <t>BANDAR PUTERI</t>
  </si>
  <si>
    <t>PUCHONG</t>
  </si>
  <si>
    <t>SELANGOR</t>
  </si>
  <si>
    <t>0123783277</t>
  </si>
  <si>
    <t>AHYEEK@GMAIL.COM</t>
  </si>
  <si>
    <t>TAN CHENG HAI</t>
  </si>
  <si>
    <t>0125772429</t>
  </si>
  <si>
    <t>6045394075</t>
  </si>
  <si>
    <t>N/A</t>
  </si>
  <si>
    <t>5123-4305-8588</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</si>
</sst>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0"/>
      <name val="Calibri"/>
      <family val="2"/>
      <scheme val="minor"/>
    </font>
    <font>
      <sz val="9"/>
      <color rgb="FF222222"/>
      <name val="Open sans"/>
    </font>
    <font>
      <sz val="8"/>
      <color rgb="FF000000"/>
      <name val="Arial"/>
      <family val="2"/>
    </font>
    <font>
      <b/>
      <sz val="11"/>
      <color theme="1"/>
      <name val="Calibri"/>
      <family val="2"/>
      <scheme val="minor"/>
    </font>
    <font>
      <u/>
      <sz val="11"/>
      <color theme="10"/>
      <name val="Calibri"/>
      <family val="2"/>
      <scheme val="minor"/>
    </font>
    <font>
      <b/>
      <sz val="11"/>
      <color theme="1"/>
      <name val="Calibri"/>
      <family val="2"/>
      <charset val="238"/>
      <scheme val="minor"/>
    </font>
    <font>
      <sz val="11"/>
      <color rgb="FF000000"/>
      <name val="Calibri"/>
      <family val="2"/>
    </font>
    <font>
      <sz val="10"/>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005C84"/>
        <bgColor indexed="64"/>
      </patternFill>
    </fill>
    <fill>
      <patternFill patternType="solid">
        <fgColor rgb="FF007A87"/>
        <bgColor indexed="64"/>
      </patternFill>
    </fill>
    <fill>
      <patternFill patternType="solid">
        <fgColor rgb="FF1E9F89"/>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4" fillId="0" borderId="0" applyNumberFormat="0" applyFill="0" applyBorder="0" applyAlignment="0" applyProtection="0"/>
  </cellStyleXfs>
  <cellXfs count="117">
    <xf numFmtId="0" fontId="0" fillId="0" borderId="0" xfId="0"/>
    <xf numFmtId="0" fontId="0" fillId="3" borderId="0" xfId="0" applyFill="1"/>
    <xf numFmtId="0" fontId="22" fillId="3" borderId="0" xfId="0" applyFont="1" applyFill="1" applyAlignment="1">
      <alignment vertical="center" wrapText="1"/>
    </xf>
    <xf numFmtId="0" fontId="0" fillId="3" borderId="0" xfId="0" applyFill="1" applyAlignment="1">
      <alignment horizontal="right"/>
    </xf>
    <xf numFmtId="0" fontId="0" fillId="0" borderId="2" xfId="0" applyBorder="1"/>
    <xf numFmtId="0" fontId="0" fillId="2" borderId="1" xfId="0" applyFill="1" applyBorder="1" applyProtection="1">
      <protection locked="0"/>
    </xf>
    <xf numFmtId="0" fontId="0" fillId="4" borderId="0" xfId="0" applyFill="1"/>
    <xf numFmtId="0" fontId="20" fillId="4" borderId="0" xfId="0" applyFont="1" applyFill="1"/>
    <xf numFmtId="0" fontId="18" fillId="3" borderId="0" xfId="0" applyFont="1" applyFill="1" applyAlignment="1">
      <alignment horizontal="right"/>
    </xf>
    <xf numFmtId="0" fontId="24" fillId="3" borderId="0" xfId="1" applyFill="1"/>
    <xf numFmtId="0" fontId="16" fillId="3" borderId="0" xfId="0" applyFont="1" applyFill="1" applyAlignment="1">
      <alignment horizontal="right"/>
    </xf>
    <xf numFmtId="0" fontId="15" fillId="3" borderId="0" xfId="0" applyFont="1" applyFill="1" applyAlignment="1">
      <alignment horizontal="right"/>
    </xf>
    <xf numFmtId="0" fontId="0" fillId="3" borderId="0" xfId="0" applyFill="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3" borderId="3" xfId="0" applyFill="1" applyBorder="1"/>
    <xf numFmtId="0" fontId="0" fillId="3" borderId="4" xfId="0" applyFill="1" applyBorder="1"/>
    <xf numFmtId="0" fontId="23" fillId="0" borderId="2" xfId="0" applyFont="1" applyBorder="1" applyAlignment="1">
      <alignment vertical="top" wrapText="1"/>
    </xf>
    <xf numFmtId="0" fontId="0" fillId="0" borderId="0" xfId="0" applyBorder="1"/>
    <xf numFmtId="0" fontId="0" fillId="0" borderId="12" xfId="0" applyBorder="1"/>
    <xf numFmtId="0" fontId="0" fillId="0" borderId="13" xfId="0" applyBorder="1"/>
    <xf numFmtId="0" fontId="25" fillId="0" borderId="0" xfId="0" applyFont="1"/>
    <xf numFmtId="0" fontId="25" fillId="0" borderId="0" xfId="0" applyFont="1" applyBorder="1"/>
    <xf numFmtId="0" fontId="0" fillId="0" borderId="0" xfId="0" quotePrefix="1"/>
    <xf numFmtId="0" fontId="0" fillId="0" borderId="2" xfId="0" applyBorder="1" applyAlignment="1">
      <alignment wrapText="1"/>
    </xf>
    <xf numFmtId="0" fontId="0" fillId="0" borderId="0" xfId="0" applyAlignment="1">
      <alignment wrapText="1"/>
    </xf>
    <xf numFmtId="0" fontId="20" fillId="4" borderId="0" xfId="0" applyFont="1" applyFill="1" applyAlignment="1">
      <alignment wrapText="1"/>
    </xf>
    <xf numFmtId="0" fontId="0" fillId="3" borderId="0" xfId="0" applyFill="1" applyAlignment="1">
      <alignment wrapText="1"/>
    </xf>
    <xf numFmtId="0" fontId="19" fillId="3" borderId="0" xfId="0" applyFont="1" applyFill="1" applyAlignment="1">
      <alignment horizontal="right" wrapText="1"/>
    </xf>
    <xf numFmtId="0" fontId="0" fillId="3" borderId="0" xfId="0" applyFill="1" applyAlignment="1">
      <alignment horizontal="right" wrapText="1"/>
    </xf>
    <xf numFmtId="0" fontId="0" fillId="3" borderId="0" xfId="0" applyFont="1" applyFill="1" applyAlignment="1">
      <alignment horizontal="right" wrapText="1"/>
    </xf>
    <xf numFmtId="0" fontId="13" fillId="3" borderId="0" xfId="0" applyFont="1" applyFill="1" applyAlignment="1">
      <alignment horizontal="right" wrapText="1"/>
    </xf>
    <xf numFmtId="0" fontId="10" fillId="3" borderId="0" xfId="0" applyFont="1" applyFill="1" applyAlignment="1">
      <alignment horizontal="right" wrapText="1"/>
    </xf>
    <xf numFmtId="0" fontId="14" fillId="3" borderId="0" xfId="0" applyFont="1" applyFill="1" applyAlignment="1">
      <alignment horizontal="right" wrapText="1"/>
    </xf>
    <xf numFmtId="0" fontId="21" fillId="3" borderId="0" xfId="0" applyFont="1" applyFill="1" applyAlignment="1">
      <alignment wrapText="1"/>
    </xf>
    <xf numFmtId="0" fontId="18" fillId="3" borderId="0" xfId="0" applyFont="1" applyFill="1" applyAlignment="1">
      <alignment horizontal="right" wrapText="1"/>
    </xf>
    <xf numFmtId="0" fontId="17" fillId="3" borderId="0" xfId="0" applyFont="1" applyFill="1" applyAlignment="1">
      <alignment horizontal="right" wrapText="1"/>
    </xf>
    <xf numFmtId="0" fontId="12" fillId="3" borderId="0" xfId="0" applyFont="1" applyFill="1" applyAlignment="1">
      <alignment horizontal="right" wrapText="1"/>
    </xf>
    <xf numFmtId="0" fontId="0" fillId="3" borderId="0" xfId="0" applyFill="1" applyAlignment="1">
      <alignment horizontal="left" wrapText="1"/>
    </xf>
    <xf numFmtId="0" fontId="0" fillId="0" borderId="0" xfId="0" applyAlignment="1">
      <alignment horizontal="right" wrapText="1"/>
    </xf>
    <xf numFmtId="0" fontId="9" fillId="3" borderId="0" xfId="0" applyFont="1" applyFill="1" applyAlignment="1">
      <alignment horizontal="right" wrapText="1"/>
    </xf>
    <xf numFmtId="0" fontId="20" fillId="5" borderId="2" xfId="0" applyFont="1" applyFill="1" applyBorder="1" applyAlignment="1">
      <alignment wrapText="1"/>
    </xf>
    <xf numFmtId="0" fontId="20" fillId="6" borderId="2" xfId="0" applyFont="1" applyFill="1" applyBorder="1"/>
    <xf numFmtId="0" fontId="0" fillId="4" borderId="0" xfId="0" applyFill="1" applyAlignment="1">
      <alignment vertical="center"/>
    </xf>
    <xf numFmtId="0" fontId="0" fillId="0" borderId="0" xfId="0" applyAlignment="1">
      <alignment vertical="center"/>
    </xf>
    <xf numFmtId="0" fontId="0" fillId="3" borderId="0" xfId="0" applyFill="1" applyAlignment="1">
      <alignment vertical="center"/>
    </xf>
    <xf numFmtId="14" fontId="0" fillId="2" borderId="1" xfId="0" applyNumberFormat="1" applyFill="1" applyBorder="1" applyAlignment="1" applyProtection="1">
      <alignment vertical="center"/>
      <protection locked="0"/>
    </xf>
    <xf numFmtId="0" fontId="0" fillId="2" borderId="1" xfId="0" applyFill="1" applyBorder="1" applyAlignment="1" applyProtection="1">
      <alignment vertical="center"/>
      <protection locked="0"/>
    </xf>
    <xf numFmtId="0" fontId="20" fillId="4" borderId="0" xfId="0" applyFont="1" applyFill="1" applyAlignment="1">
      <alignment vertical="center"/>
    </xf>
    <xf numFmtId="0" fontId="0" fillId="2" borderId="1" xfId="0" applyNumberFormat="1" applyFill="1" applyBorder="1" applyAlignment="1" applyProtection="1">
      <alignment vertical="center"/>
      <protection locked="0"/>
    </xf>
    <xf numFmtId="0" fontId="0" fillId="2" borderId="1" xfId="0" applyFill="1" applyBorder="1" applyAlignment="1" applyProtection="1">
      <alignment vertical="center"/>
    </xf>
    <xf numFmtId="14" fontId="0" fillId="0" borderId="0" xfId="0" applyNumberFormat="1" applyAlignment="1">
      <alignment horizontal="left" vertical="center"/>
    </xf>
    <xf numFmtId="0" fontId="18" fillId="3" borderId="0" xfId="0" applyFont="1" applyFill="1" applyAlignment="1">
      <alignment horizontal="right" vertical="center"/>
    </xf>
    <xf numFmtId="0" fontId="0" fillId="3" borderId="0" xfId="0" applyFill="1" applyAlignment="1">
      <alignment horizontal="right" vertical="center"/>
    </xf>
    <xf numFmtId="0" fontId="17" fillId="3" borderId="0" xfId="0" applyFont="1" applyFill="1" applyAlignment="1">
      <alignment horizontal="right" vertical="center"/>
    </xf>
    <xf numFmtId="0" fontId="0" fillId="3" borderId="0" xfId="0" applyFont="1" applyFill="1" applyAlignment="1">
      <alignment horizontal="right" vertical="center"/>
    </xf>
    <xf numFmtId="0" fontId="8" fillId="0" borderId="0" xfId="0" applyFont="1"/>
    <xf numFmtId="0" fontId="7" fillId="3" borderId="0" xfId="0" applyFont="1" applyFill="1" applyAlignment="1">
      <alignment horizontal="right"/>
    </xf>
    <xf numFmtId="0" fontId="7" fillId="0" borderId="0" xfId="0" applyFont="1"/>
    <xf numFmtId="0" fontId="7" fillId="3" borderId="0" xfId="0" applyFont="1" applyFill="1" applyAlignment="1">
      <alignment horizontal="right" wrapText="1"/>
    </xf>
    <xf numFmtId="0" fontId="6" fillId="3" borderId="0" xfId="0" applyFont="1" applyFill="1" applyAlignment="1">
      <alignment horizontal="right" wrapText="1"/>
    </xf>
    <xf numFmtId="49" fontId="0" fillId="0" borderId="0" xfId="0" quotePrefix="1" applyNumberFormat="1"/>
    <xf numFmtId="49" fontId="0" fillId="0" borderId="0" xfId="0" applyNumberFormat="1"/>
    <xf numFmtId="0" fontId="5" fillId="3" borderId="0" xfId="0" applyFont="1" applyFill="1" applyAlignment="1">
      <alignment horizontal="right" wrapText="1"/>
    </xf>
    <xf numFmtId="0" fontId="4" fillId="3" borderId="0" xfId="0" applyFont="1" applyFill="1" applyAlignment="1">
      <alignment horizontal="right" wrapText="1"/>
    </xf>
    <xf numFmtId="0" fontId="3" fillId="3" borderId="0" xfId="0" applyFont="1" applyFill="1" applyAlignment="1">
      <alignment horizontal="right" wrapText="1"/>
    </xf>
    <xf numFmtId="49" fontId="0" fillId="2" borderId="1" xfId="0" applyNumberFormat="1" applyFill="1" applyBorder="1" applyAlignment="1" applyProtection="1">
      <alignment vertical="center"/>
      <protection locked="0"/>
    </xf>
    <xf numFmtId="0" fontId="2" fillId="3" borderId="0" xfId="0" applyFont="1" applyFill="1" applyAlignment="1">
      <alignment horizontal="right" wrapText="1"/>
    </xf>
    <xf numFmtId="0" fontId="1" fillId="3" borderId="0" xfId="0" applyFont="1" applyFill="1" applyAlignment="1">
      <alignment horizontal="right" wrapText="1"/>
    </xf>
    <xf numFmtId="0" fontId="0" fillId="3" borderId="0" xfId="0" applyFill="1" applyAlignment="1">
      <alignment vertical="center" wrapText="1"/>
    </xf>
    <xf numFmtId="0" fontId="20" fillId="5" borderId="2" xfId="0" quotePrefix="1" applyFont="1" applyFill="1" applyBorder="1" applyAlignment="1">
      <alignment wrapText="1"/>
    </xf>
    <xf numFmtId="0" fontId="0" fillId="2" borderId="1" xfId="0" applyFill="1" applyBorder="1" applyAlignment="1" applyProtection="1">
      <alignment vertical="top"/>
      <protection locked="0"/>
    </xf>
    <xf numFmtId="49" fontId="0" fillId="0" borderId="2" xfId="0" applyNumberFormat="1" applyBorder="1"/>
    <xf numFmtId="0" fontId="0" fillId="0" borderId="0" xfId="0" applyAlignment="1"/>
    <xf numFmtId="0" fontId="0" fillId="0" borderId="5" xfId="0" applyFill="1" applyBorder="1"/>
    <xf numFmtId="0" fontId="0" fillId="0" borderId="0" xfId="0" applyFill="1" applyBorder="1"/>
    <xf numFmtId="0" fontId="0" fillId="0" borderId="6" xfId="0" applyFill="1" applyBorder="1"/>
    <xf numFmtId="0" fontId="10" fillId="3" borderId="0" xfId="0" applyFont="1" applyFill="1" applyAlignment="1">
      <alignment horizontal="right"/>
    </xf>
    <xf numFmtId="0" fontId="20" fillId="5" borderId="2" xfId="0" applyFont="1" applyFill="1" applyBorder="1"/>
    <xf numFmtId="0" fontId="0" fillId="0" borderId="0" xfId="0" applyFont="1" applyFill="1" applyBorder="1"/>
    <xf numFmtId="0" fontId="27" fillId="0" borderId="2" xfId="0" applyFont="1" applyBorder="1" applyAlignment="1">
      <alignment vertical="center"/>
    </xf>
    <xf numFmtId="0" fontId="0" fillId="0" borderId="0" xfId="0" applyBorder="1" applyAlignment="1"/>
    <xf numFmtId="0" fontId="0" fillId="0" borderId="14" xfId="0" applyBorder="1"/>
    <xf numFmtId="0" fontId="0" fillId="0" borderId="0" xfId="0" applyBorder="1" applyAlignment="1">
      <alignment vertical="top" wrapText="1"/>
    </xf>
    <xf numFmtId="0" fontId="0" fillId="0" borderId="0" xfId="0" applyFont="1"/>
    <xf numFmtId="0" fontId="0" fillId="0" borderId="0" xfId="0" quotePrefix="1" applyFont="1"/>
    <xf numFmtId="9" fontId="0" fillId="2" borderId="1" xfId="0" applyNumberFormat="1" applyFill="1" applyBorder="1" applyAlignment="1" applyProtection="1">
      <alignment vertical="center"/>
      <protection locked="0"/>
    </xf>
    <xf numFmtId="0" fontId="0" fillId="3" borderId="0" xfId="0" applyFont="1" applyFill="1"/>
    <xf numFmtId="0" fontId="0" fillId="2" borderId="1" xfId="0" applyFont="1" applyFill="1" applyBorder="1" applyAlignment="1" applyProtection="1">
      <alignment vertical="center"/>
      <protection locked="0"/>
    </xf>
    <xf numFmtId="0" fontId="0" fillId="3" borderId="0" xfId="0" applyFont="1" applyFill="1" applyAlignment="1">
      <alignment vertical="center"/>
    </xf>
    <xf numFmtId="0" fontId="20" fillId="5" borderId="15" xfId="0" applyFont="1" applyFill="1" applyBorder="1"/>
    <xf numFmtId="0" fontId="1" fillId="3" borderId="0" xfId="0" applyFont="1" applyFill="1" applyAlignment="1">
      <alignment horizontal="right"/>
    </xf>
    <xf numFmtId="0" fontId="0" fillId="0" borderId="0" xfId="0" applyNumberFormat="1"/>
    <xf numFmtId="0" fontId="23" fillId="0" borderId="0" xfId="0" applyFont="1"/>
    <xf numFmtId="0" fontId="20" fillId="6" borderId="15" xfId="0" applyFont="1" applyFill="1" applyBorder="1"/>
    <xf numFmtId="0" fontId="20" fillId="6" borderId="0" xfId="0" applyFont="1" applyFill="1" applyBorder="1"/>
    <xf numFmtId="0" fontId="20" fillId="5" borderId="6" xfId="0" applyFont="1" applyFill="1" applyBorder="1"/>
    <xf numFmtId="0" fontId="20" fillId="5" borderId="0" xfId="0" applyFont="1" applyFill="1" applyBorder="1"/>
    <xf numFmtId="49" fontId="0" fillId="0" borderId="14" xfId="0" applyNumberFormat="1" applyBorder="1"/>
    <xf numFmtId="49" fontId="0" fillId="0" borderId="0" xfId="0" applyNumberFormat="1" applyBorder="1"/>
    <xf numFmtId="0" fontId="27" fillId="0" borderId="0" xfId="0" applyFont="1" applyBorder="1" applyAlignment="1">
      <alignment vertical="center"/>
    </xf>
    <xf numFmtId="0" fontId="0" fillId="0" borderId="0" xfId="0" applyAlignment="1">
      <alignment horizontal="right"/>
    </xf>
    <xf numFmtId="0" fontId="0" fillId="3" borderId="0" xfId="0" applyFill="1" applyAlignment="1">
      <alignment horizontal="left" wrapText="1"/>
    </xf>
    <xf numFmtId="0" fontId="11" fillId="2" borderId="9" xfId="0" applyFont="1" applyFill="1" applyBorder="1" applyAlignment="1" applyProtection="1">
      <alignment horizontal="center"/>
      <protection locked="0"/>
    </xf>
    <xf numFmtId="0" fontId="19" fillId="2" borderId="10" xfId="0" applyFont="1" applyFill="1" applyBorder="1" applyAlignment="1" applyProtection="1">
      <alignment horizontal="center"/>
      <protection locked="0"/>
    </xf>
    <xf numFmtId="0" fontId="19" fillId="2" borderId="11" xfId="0" applyFont="1" applyFill="1" applyBorder="1" applyAlignment="1" applyProtection="1">
      <alignment horizontal="center"/>
      <protection locked="0"/>
    </xf>
    <xf numFmtId="0" fontId="1" fillId="2" borderId="9" xfId="0" applyFont="1" applyFill="1" applyBorder="1" applyAlignment="1" applyProtection="1">
      <alignment horizontal="center"/>
      <protection locked="0"/>
    </xf>
    <xf numFmtId="0" fontId="18" fillId="3" borderId="0" xfId="0" applyFont="1" applyFill="1" applyAlignment="1">
      <alignment horizontal="left" wrapText="1"/>
    </xf>
    <xf numFmtId="0" fontId="0" fillId="3" borderId="0" xfId="0" applyFill="1" applyAlignment="1">
      <alignment horizontal="left" vertical="center" wrapText="1"/>
    </xf>
    <xf numFmtId="0" fontId="0" fillId="3" borderId="0" xfId="0" applyFill="1" applyAlignment="1">
      <alignment horizontal="left" wrapText="1"/>
    </xf>
    <xf numFmtId="0" fontId="0" fillId="3" borderId="0" xfId="0" applyFill="1" applyAlignment="1">
      <alignment horizontal="center" wrapText="1"/>
    </xf>
    <xf numFmtId="0" fontId="0" fillId="3" borderId="0" xfId="0" applyFill="1" applyAlignment="1">
      <alignment horizontal="center"/>
    </xf>
    <xf numFmtId="0" fontId="0" fillId="2" borderId="1" xfId="0" quotePrefix="1" applyNumberFormat="1" applyFill="1" applyBorder="1" applyAlignment="1" applyProtection="1">
      <alignment vertical="center"/>
      <protection locked="0"/>
    </xf>
  </cellXfs>
  <cellStyles count="2">
    <cellStyle name="Hyperlink" xfId="1" builtinId="8"/>
    <cellStyle name="Normal" xfId="0" builtinId="0"/>
  </cellStyles>
  <dxfs count="67">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7A87"/>
      <color rgb="FF005C84"/>
      <color rgb="FF1E9F8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372133</xdr:colOff>
      <xdr:row>3</xdr:row>
      <xdr:rowOff>22992</xdr:rowOff>
    </xdr:from>
    <xdr:to>
      <xdr:col>10</xdr:col>
      <xdr:colOff>327461</xdr:colOff>
      <xdr:row>7</xdr:row>
      <xdr:rowOff>33194</xdr:rowOff>
    </xdr:to>
    <xdr:pic>
      <xdr:nvPicPr>
        <xdr:cNvPr id="3" name="Picture 2" descr="Cargill_graphics-02.pn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4648530" y="594492"/>
          <a:ext cx="1788069" cy="77220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9525</xdr:colOff>
          <xdr:row>1</xdr:row>
          <xdr:rowOff>9525</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xmlns=""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459442</xdr:colOff>
      <xdr:row>13</xdr:row>
      <xdr:rowOff>112059</xdr:rowOff>
    </xdr:from>
    <xdr:to>
      <xdr:col>10</xdr:col>
      <xdr:colOff>1605395</xdr:colOff>
      <xdr:row>15</xdr:row>
      <xdr:rowOff>220669</xdr:rowOff>
    </xdr:to>
    <xdr:pic>
      <xdr:nvPicPr>
        <xdr:cNvPr id="2" name="Picture 1" descr="Cargill_graphics-02.png">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10387854" y="2655794"/>
          <a:ext cx="1145953" cy="5120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1</xdr:col>
          <xdr:colOff>504825</xdr:colOff>
          <xdr:row>12</xdr:row>
          <xdr:rowOff>19050</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xmlns=""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7</xdr:col>
      <xdr:colOff>115795</xdr:colOff>
      <xdr:row>145</xdr:row>
      <xdr:rowOff>5232</xdr:rowOff>
    </xdr:from>
    <xdr:to>
      <xdr:col>7</xdr:col>
      <xdr:colOff>1337199</xdr:colOff>
      <xdr:row>151</xdr:row>
      <xdr:rowOff>73214</xdr:rowOff>
    </xdr:to>
    <xdr:pic>
      <xdr:nvPicPr>
        <xdr:cNvPr id="2" name="Picture 1" descr="Cargill_graphics-02.png">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576736" y="737349"/>
          <a:ext cx="1221404" cy="4445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238125</xdr:colOff>
          <xdr:row>0</xdr:row>
          <xdr:rowOff>28575</xdr:rowOff>
        </xdr:from>
        <xdr:to>
          <xdr:col>17</xdr:col>
          <xdr:colOff>66675</xdr:colOff>
          <xdr:row>0</xdr:row>
          <xdr:rowOff>285750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Build Pick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238125</xdr:colOff>
          <xdr:row>0</xdr:row>
          <xdr:rowOff>28575</xdr:rowOff>
        </xdr:from>
        <xdr:to>
          <xdr:col>17</xdr:col>
          <xdr:colOff>66675</xdr:colOff>
          <xdr:row>0</xdr:row>
          <xdr:rowOff>285750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Build Pick Lists</a:t>
              </a:r>
            </a:p>
          </xdr:txBody>
        </xdr:sp>
        <xdr:clientData fPrintsWithSheet="0"/>
      </xdr:twoCellAnchor>
    </mc:Choice>
    <mc:Fallback/>
  </mc:AlternateContent>
</xdr:wsDr>
</file>

<file path=xl/tables/table1.xml><?xml version="1.0" encoding="utf-8"?>
<table xmlns="http://schemas.openxmlformats.org/spreadsheetml/2006/main" id="1" name="Table1" displayName="Table1" ref="A1:E38" totalsRowShown="0">
  <tableColumns count="5">
    <tableColumn id="1" name="Selected country"/>
    <tableColumn id="2" name="National ID Description1"/>
    <tableColumn id="3" name="National ID Description2"/>
    <tableColumn id="4" name="National ID Description3"/>
    <tableColumn id="5" name="National ID Description4"/>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G1:AR28" totalsRowShown="0">
  <autoFilter ref="G1:AR28"/>
  <tableColumns count="38">
    <tableColumn id="1" name="Address fields"/>
    <tableColumn id="2" name="Care of"/>
    <tableColumn id="3" name="House number"/>
    <tableColumn id="4" name="Apartment"/>
    <tableColumn id="5" name="Extra address line"/>
    <tableColumn id="6" name="City"/>
    <tableColumn id="7" name="Locality"/>
    <tableColumn id="8" name="County / District / Department"/>
    <tableColumn id="9" name="Canton / Province / Region / State "/>
    <tableColumn id="10" name="Building"/>
    <tableColumn id="11" name="Staircase"/>
    <tableColumn id="12" name="Floor"/>
    <tableColumn id="13" name="Post"/>
    <tableColumn id="14" name="Street type"/>
    <tableColumn id="15" name="Name of Addressee"/>
    <tableColumn id="17" name="Street" dataDxfId="66">
      <calculatedColumnFormula>IFERROR(VLOOKUP($G$2,$G$3:$V$28,15,0),"True")</calculatedColumnFormula>
    </tableColumn>
    <tableColumn id="18" name="Address1" dataDxfId="65">
      <calculatedColumnFormula>IFERROR(VLOOKUP($G$2,$G$3:$V$28,17,0),"True")</calculatedColumnFormula>
    </tableColumn>
    <tableColumn id="19" name="Address2" dataDxfId="64">
      <calculatedColumnFormula>IFERROR(VLOOKUP($G$2,$G$3:$V$28,18,0),"True")</calculatedColumnFormula>
    </tableColumn>
    <tableColumn id="20" name="Area" dataDxfId="63">
      <calculatedColumnFormula>IFERROR(VLOOKUP($G$2,$G$3:$Y$28,19,0),"True")</calculatedColumnFormula>
    </tableColumn>
    <tableColumn id="21" name="Detailed Address" dataDxfId="62"/>
    <tableColumn id="28" name="Kanji Address Line 1"/>
    <tableColumn id="27" name="Kanji Address Line 2"/>
    <tableColumn id="26" name="Kanji Address Line 3"/>
    <tableColumn id="25" name="Katakana Address Line 1"/>
    <tableColumn id="24" name="Katakana Address Line 2"/>
    <tableColumn id="23" name="Katakana Address Line 3"/>
    <tableColumn id="22" name="Neighborhood" dataDxfId="61">
      <calculatedColumnFormula>IFERROR(VLOOKUP($G$2,$G$3:$AF$28,27,0),"True")</calculatedColumnFormula>
    </tableColumn>
    <tableColumn id="29" name="Tipo Logradouro"/>
    <tableColumn id="30" name="Street Name and Number" dataDxfId="60"/>
    <tableColumn id="31" name="Municipality/Municipio"/>
    <tableColumn id="32" name="Colony" dataDxfId="59">
      <calculatedColumnFormula>IFERROR(VLOOKUP($G$2,$G$3:$AK$28,31,0),"True")</calculatedColumnFormula>
    </tableColumn>
    <tableColumn id="33" name="UBIGEO" dataDxfId="58">
      <calculatedColumnFormula>IFERROR(VLOOKUP($G$2,$G$3:$AK$28,31,0),"True")</calculatedColumnFormula>
    </tableColumn>
    <tableColumn id="34" name="Zona" dataDxfId="57">
      <calculatedColumnFormula>IFERROR(VLOOKUP($G$2,$G$3:$AL$28,33,0),"True")</calculatedColumnFormula>
    </tableColumn>
    <tableColumn id="35" name="Department" dataDxfId="56">
      <calculatedColumnFormula>IFERROR(VLOOKUP($G$2,$G$3:$AM$28,33,0),"True")</calculatedColumnFormula>
    </tableColumn>
    <tableColumn id="36" name="Province" dataDxfId="55"/>
    <tableColumn id="38" name="Canton" dataDxfId="54"/>
    <tableColumn id="37" name="District" dataDxfId="53"/>
    <tableColumn id="16" name="CountrySheet"/>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V2:BW130" totalsRowShown="0">
  <tableColumns count="28">
    <tableColumn id="1" name="Field Name"/>
    <tableColumn id="2" name="Default" dataDxfId="52">
      <calculatedColumnFormula>IFERROR(HLOOKUP($AW$1,Table3[[#All],[India]:[Dominican Republic]],ROW(Table3[[#This Row],[Default]])-1,0),"True")</calculatedColumnFormula>
    </tableColumn>
    <tableColumn id="27" name="India" dataDxfId="51"/>
    <tableColumn id="28" name="China" dataDxfId="50"/>
    <tableColumn id="4" name="Thailand" dataDxfId="49"/>
    <tableColumn id="3" name="Philippines" dataDxfId="48"/>
    <tableColumn id="5" name="Indonesia" dataDxfId="47"/>
    <tableColumn id="6" name="Viet nam" dataDxfId="46"/>
    <tableColumn id="7" name="Malaysia" dataDxfId="45"/>
    <tableColumn id="8" name="Singapore" dataDxfId="44"/>
    <tableColumn id="9" name="Greater China - Hong Kong" dataDxfId="43"/>
    <tableColumn id="10" name="Pakistan" dataDxfId="42"/>
    <tableColumn id="11" name="Korea, Republic of" dataDxfId="41"/>
    <tableColumn id="12" name="Taiwan" dataDxfId="40"/>
    <tableColumn id="13" name="Japan" dataDxfId="39"/>
    <tableColumn id="14" name="Australia" dataDxfId="38"/>
    <tableColumn id="15" name="Brazil" dataDxfId="37"/>
    <tableColumn id="16" name="Venezuela, Bolivarian Republic of" dataDxfId="36"/>
    <tableColumn id="17" name="Colombia" dataDxfId="35"/>
    <tableColumn id="18" name="Argentina" dataDxfId="34"/>
    <tableColumn id="19" name="Mexico" dataDxfId="33"/>
    <tableColumn id="20" name="Nicaragua" dataDxfId="32"/>
    <tableColumn id="21" name="Peru" dataDxfId="31"/>
    <tableColumn id="22" name="Ecuador" dataDxfId="30"/>
    <tableColumn id="23" name="Honduras" dataDxfId="29"/>
    <tableColumn id="24" name="Guatemala" dataDxfId="28"/>
    <tableColumn id="25" name="Costa Rica" dataDxfId="27"/>
    <tableColumn id="26" name="Dominican Republic" dataDxfId="26"/>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BZ2:DA257" totalsRowShown="0">
  <autoFilter ref="BZ2:DA257"/>
  <tableColumns count="28">
    <tableColumn id="1" name="Field Name"/>
    <tableColumn id="2" name="Default">
      <calculatedColumnFormula>IFERROR(HLOOKUP(CA1,#REF!,ROW(Table4[[#This Row],[Default]])-1,0),"True")</calculatedColumnFormula>
    </tableColumn>
    <tableColumn id="27" name="India" dataDxfId="25"/>
    <tableColumn id="28" name="China" dataDxfId="24"/>
    <tableColumn id="4" name="Thailand" dataDxfId="23"/>
    <tableColumn id="3" name="Philippines" dataDxfId="22"/>
    <tableColumn id="5" name="Indonesia" dataDxfId="21"/>
    <tableColumn id="6" name="Viet nam" dataDxfId="20"/>
    <tableColumn id="7" name="Malaysia" dataDxfId="19"/>
    <tableColumn id="8" name="Singapore" dataDxfId="18"/>
    <tableColumn id="9" name="Hong Kong" dataDxfId="17"/>
    <tableColumn id="10" name="Pakistan" dataDxfId="16"/>
    <tableColumn id="11" name="South Korea" dataDxfId="15"/>
    <tableColumn id="12" name="Taiwan" dataDxfId="14"/>
    <tableColumn id="13" name="Japan" dataDxfId="13"/>
    <tableColumn id="14" name="Australia" dataDxfId="12"/>
    <tableColumn id="15" name="Brazil" dataDxfId="11"/>
    <tableColumn id="16" name="Venezuela, Bolivarian Republic of" dataDxfId="10"/>
    <tableColumn id="17" name="Colombia" dataDxfId="9"/>
    <tableColumn id="18" name="Argentina" dataDxfId="8"/>
    <tableColumn id="19" name="Mexico" dataDxfId="7"/>
    <tableColumn id="20" name="Nicaragua" dataDxfId="6"/>
    <tableColumn id="21" name="Peru" dataDxfId="5"/>
    <tableColumn id="22" name="Ecuador" dataDxfId="4"/>
    <tableColumn id="23" name="Honduras" dataDxfId="3"/>
    <tableColumn id="24" name="Guatemala" dataDxfId="2"/>
    <tableColumn id="25" name="Costa Rica" dataDxfId="1"/>
    <tableColumn id="26" name="Dominican Republic" dataDxfId="0"/>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A42:B69" totalsRowShown="0">
  <autoFilter ref="A42:B69"/>
  <tableColumns count="2">
    <tableColumn id="1" name="ISO"/>
    <tableColumn id="2" name="Currency"/>
  </tableColumns>
  <tableStyleInfo name="TableStyleMedium2" showFirstColumn="0" showLastColumn="0" showRowStripes="1" showColumnStripes="0"/>
</table>
</file>

<file path=xl/tables/table6.xml><?xml version="1.0" encoding="utf-8"?>
<table xmlns="http://schemas.openxmlformats.org/spreadsheetml/2006/main" id="6" name="Table57" displayName="Table57" ref="D42:E69" totalsRowShown="0">
  <autoFilter ref="D42:E69"/>
  <tableColumns count="2">
    <tableColumn id="1" name="ISO"/>
    <tableColumn id="2" nam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5C84"/>
  </sheetPr>
  <dimension ref="A1:K9"/>
  <sheetViews>
    <sheetView showGridLines="0" zoomScale="145" zoomScaleNormal="145" workbookViewId="0">
      <selection activeCell="B8" sqref="B8:D8"/>
    </sheetView>
  </sheetViews>
  <sheetFormatPr defaultRowHeight="15"/>
  <sheetData>
    <row r="1" spans="1:11">
      <c r="A1" s="7"/>
      <c r="B1" s="7"/>
      <c r="C1" s="7"/>
      <c r="D1" s="7"/>
      <c r="E1" s="7"/>
      <c r="F1" s="7"/>
      <c r="G1" s="7"/>
      <c r="H1" s="7"/>
      <c r="I1" s="7"/>
      <c r="J1" s="7"/>
      <c r="K1" s="7"/>
    </row>
    <row r="3" spans="1:11">
      <c r="A3" s="1"/>
      <c r="B3" s="1"/>
      <c r="C3" s="1"/>
      <c r="D3" s="1"/>
      <c r="E3" s="1"/>
      <c r="F3" s="1"/>
      <c r="G3" s="1"/>
      <c r="H3" s="1"/>
      <c r="I3" s="1"/>
      <c r="J3" s="1"/>
      <c r="K3" s="1"/>
    </row>
    <row r="4" spans="1:11" ht="15.75" thickBot="1">
      <c r="A4" s="1" t="s">
        <v>1956</v>
      </c>
      <c r="B4" s="1"/>
      <c r="C4" s="1"/>
      <c r="D4" s="1"/>
      <c r="E4" s="1"/>
      <c r="F4" s="1"/>
      <c r="G4" s="1"/>
      <c r="H4" s="1"/>
      <c r="I4" s="1"/>
      <c r="J4" s="1"/>
      <c r="K4" s="1"/>
    </row>
    <row r="5" spans="1:11" ht="15.75" thickBot="1">
      <c r="A5" s="1"/>
      <c r="B5" s="110" t="s">
        <v>356</v>
      </c>
      <c r="C5" s="108"/>
      <c r="D5" s="109"/>
      <c r="E5" s="1"/>
      <c r="F5" s="1"/>
      <c r="G5" s="1"/>
      <c r="H5" s="1"/>
      <c r="I5" s="1"/>
      <c r="J5" s="1"/>
      <c r="K5" s="1"/>
    </row>
    <row r="6" spans="1:11">
      <c r="A6" s="1"/>
      <c r="B6" s="1"/>
      <c r="C6" s="1"/>
      <c r="D6" s="1"/>
      <c r="E6" s="12"/>
      <c r="F6" s="1"/>
      <c r="G6" s="1"/>
      <c r="H6" s="1"/>
      <c r="I6" s="1"/>
      <c r="J6" s="1"/>
      <c r="K6" s="1"/>
    </row>
    <row r="7" spans="1:11" ht="15.75" thickBot="1">
      <c r="A7" s="1" t="s">
        <v>1955</v>
      </c>
      <c r="B7" s="12"/>
      <c r="C7" s="12"/>
      <c r="D7" s="12"/>
      <c r="E7" s="12"/>
      <c r="F7" s="1"/>
      <c r="G7" s="1"/>
      <c r="H7" s="1"/>
      <c r="I7" s="1"/>
      <c r="J7" s="1"/>
      <c r="K7" s="1"/>
    </row>
    <row r="8" spans="1:11" ht="15.75" thickBot="1">
      <c r="A8" s="1"/>
      <c r="B8" s="107" t="s">
        <v>397</v>
      </c>
      <c r="C8" s="108"/>
      <c r="D8" s="109"/>
      <c r="E8" s="1"/>
      <c r="F8" s="1"/>
      <c r="G8" s="1"/>
      <c r="H8" s="1"/>
      <c r="I8" s="1"/>
      <c r="J8" s="1"/>
      <c r="K8" s="1"/>
    </row>
    <row r="9" spans="1:11">
      <c r="A9" s="1"/>
      <c r="B9" s="3"/>
      <c r="C9" s="1"/>
      <c r="D9" s="1"/>
      <c r="E9" s="1"/>
      <c r="F9" s="1"/>
      <c r="G9" s="1"/>
      <c r="H9" s="1"/>
      <c r="I9" s="1"/>
      <c r="J9" s="1"/>
      <c r="K9" s="1"/>
    </row>
  </sheetData>
  <sheetProtection algorithmName="SHA-512" hashValue="1Ea0mYMZgNYoGheQBM7bAxJkl42ToNdkfRN3lMDBMtKOXQOkJGWOWwsYT4Mvph4SmCy4OqdaAtFh4c9puchlSA==" saltValue="NQ7snaMVJWR/NPxwdnmX/A==" spinCount="100000" sheet="1" objects="1" scenarios="1"/>
  <mergeCells count="2">
    <mergeCell ref="B8:D8"/>
    <mergeCell ref="B5:D5"/>
  </mergeCells>
  <pageMargins left="0.7" right="0.7" top="0.75" bottom="0.75" header="0.3" footer="0.3"/>
  <drawing r:id="rId1"/>
  <legacyDrawing r:id="rId2"/>
  <controls>
    <mc:AlternateContent xmlns:mc="http://schemas.openxmlformats.org/markup-compatibility/2006">
      <mc:Choice Requires="x14">
        <control shapeId="3074" r:id="rId3" name="CommandButton1">
          <controlPr print="0" autoFill="0" autoLine="0" r:id="rId4">
            <anchor>
              <from>
                <xdr:col>0</xdr:col>
                <xdr:colOff>0</xdr:colOff>
                <xdr:row>0</xdr:row>
                <xdr:rowOff>0</xdr:rowOff>
              </from>
              <to>
                <xdr:col>1</xdr:col>
                <xdr:colOff>9525</xdr:colOff>
                <xdr:row>1</xdr:row>
                <xdr:rowOff>9525</xdr:rowOff>
              </to>
            </anchor>
          </controlPr>
        </control>
      </mc:Choice>
      <mc:Fallback>
        <control shapeId="3074" r:id="rId3"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'Field labels'!$P$3</xm:f>
          </x14:formula1>
          <xm:sqref>B8:D8</xm:sqref>
        </x14:dataValidation>
        <x14:dataValidation type="list" allowBlank="1" showInputMessage="1" showErrorMessage="1">
          <x14:formula1>
            <xm:f>DynamicPicklists!$G$3:$G$28</xm:f>
          </x14:formula1>
          <xm:sqref>B5:D5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A87"/>
    <pageSetUpPr fitToPage="1"/>
  </sheetPr>
  <dimension ref="A2:T605"/>
  <sheetViews>
    <sheetView showGridLines="0" tabSelected="1" topLeftCell="A27" zoomScale="85" zoomScaleNormal="85" workbookViewId="0">
      <selection activeCell="E43" sqref="E43"/>
    </sheetView>
  </sheetViews>
  <sheetFormatPr defaultRowHeight="15"/>
  <cols>
    <col min="2" max="2" width="8.42578125" customWidth="1"/>
    <col min="3" max="3" width="49.5703125" style="29" bestFit="1" customWidth="1"/>
    <col min="4" max="4" width="2.7109375" customWidth="1"/>
    <col min="5" max="5" width="29.5703125" style="48" customWidth="1"/>
    <col min="7" max="7" width="29.5703125" style="48" customWidth="1"/>
    <col min="9" max="9" width="29.5703125" style="48" customWidth="1"/>
    <col min="11" max="11" width="29.5703125" style="48" customWidth="1"/>
    <col min="12" max="12" width="9.140625" customWidth="1"/>
    <col min="13" max="13" width="29.5703125" customWidth="1"/>
    <col min="15" max="15" width="29.5703125" customWidth="1"/>
    <col min="17" max="17" width="29.5703125" customWidth="1"/>
    <col min="19" max="19" width="29.5703125" customWidth="1"/>
  </cols>
  <sheetData>
    <row r="2" spans="1:12" hidden="1">
      <c r="A2" t="s">
        <v>875</v>
      </c>
      <c r="B2" s="6"/>
      <c r="C2" s="30" t="str">
        <f ca="1">Identity</f>
        <v>Identity</v>
      </c>
      <c r="D2" s="6"/>
      <c r="E2" s="47"/>
      <c r="F2" s="6"/>
      <c r="G2" s="47"/>
      <c r="H2" s="6"/>
      <c r="I2" s="47"/>
      <c r="J2" s="6"/>
      <c r="K2" s="47"/>
      <c r="L2" s="6"/>
    </row>
    <row r="3" spans="1:12" hidden="1">
      <c r="A3" t="s">
        <v>875</v>
      </c>
    </row>
    <row r="4" spans="1:12" ht="15.75" hidden="1" thickBot="1">
      <c r="A4" t="s">
        <v>875</v>
      </c>
      <c r="B4" s="1"/>
      <c r="C4" s="31"/>
      <c r="D4" s="1"/>
      <c r="E4" s="49"/>
      <c r="F4" s="1"/>
      <c r="G4" s="49"/>
      <c r="H4" s="1"/>
      <c r="I4" s="49"/>
      <c r="J4" s="1"/>
      <c r="K4" s="49"/>
      <c r="L4" s="1"/>
    </row>
    <row r="5" spans="1:12" ht="15.75" hidden="1" thickBot="1">
      <c r="A5" t="s">
        <v>875</v>
      </c>
      <c r="B5" s="1"/>
      <c r="C5" s="32" t="str">
        <f ca="1">'Field labels'!Hire_date</f>
        <v>* Hire date (DD/MM/YYYY)</v>
      </c>
      <c r="D5" s="1"/>
      <c r="E5" s="50"/>
      <c r="F5" s="1"/>
      <c r="G5" s="49"/>
      <c r="H5" s="1"/>
      <c r="I5" s="49"/>
      <c r="J5" s="1"/>
      <c r="K5" s="49"/>
      <c r="L5" s="1"/>
    </row>
    <row r="6" spans="1:12" ht="15.75" hidden="1" thickBot="1">
      <c r="A6" t="s">
        <v>875</v>
      </c>
      <c r="B6" s="1"/>
      <c r="C6" s="33"/>
      <c r="D6" s="1"/>
      <c r="E6" s="49"/>
      <c r="F6" s="1"/>
      <c r="G6" s="49"/>
      <c r="H6" s="1"/>
      <c r="I6" s="49"/>
      <c r="J6" s="1"/>
      <c r="K6" s="49"/>
      <c r="L6" s="1"/>
    </row>
    <row r="7" spans="1:12" ht="15.75" hidden="1" thickBot="1">
      <c r="A7" t="s">
        <v>875</v>
      </c>
      <c r="B7" s="1"/>
      <c r="C7" s="32" t="str">
        <f ca="1">Company_label</f>
        <v>* Company</v>
      </c>
      <c r="D7" s="1"/>
      <c r="E7" s="51"/>
      <c r="F7" s="1"/>
      <c r="G7" s="49"/>
      <c r="H7" s="1"/>
      <c r="I7" s="49"/>
      <c r="J7" s="1"/>
      <c r="K7" s="49"/>
      <c r="L7" s="1"/>
    </row>
    <row r="8" spans="1:12" ht="15.75" hidden="1" thickBot="1">
      <c r="A8" t="s">
        <v>875</v>
      </c>
      <c r="B8" s="1"/>
      <c r="C8" s="33"/>
      <c r="D8" s="1"/>
      <c r="E8" s="49"/>
      <c r="F8" s="1"/>
      <c r="G8" s="49"/>
      <c r="H8" s="1"/>
      <c r="I8" s="49"/>
      <c r="J8" s="1"/>
      <c r="K8" s="49"/>
      <c r="L8" s="1"/>
    </row>
    <row r="9" spans="1:12" ht="15.75" hidden="1" thickBot="1">
      <c r="A9" t="s">
        <v>875</v>
      </c>
      <c r="B9" s="1"/>
      <c r="C9" s="32" t="str">
        <f ca="1">'Field labels'!Event_reason</f>
        <v>* Event reason</v>
      </c>
      <c r="D9" s="1"/>
      <c r="E9" s="51"/>
      <c r="F9" s="1"/>
      <c r="G9" s="49"/>
      <c r="H9" s="1"/>
      <c r="I9" s="49"/>
      <c r="J9" s="1"/>
      <c r="K9" s="49"/>
      <c r="L9" s="1"/>
    </row>
    <row r="10" spans="1:12" hidden="1">
      <c r="A10" t="s">
        <v>875</v>
      </c>
      <c r="B10" s="1"/>
      <c r="C10" s="31"/>
      <c r="D10" s="1"/>
      <c r="E10" s="49"/>
      <c r="F10" s="1"/>
      <c r="G10" s="49"/>
      <c r="H10" s="1"/>
      <c r="I10" s="49"/>
      <c r="J10" s="1"/>
      <c r="K10" s="49"/>
      <c r="L10" s="1"/>
    </row>
    <row r="11" spans="1:12" hidden="1">
      <c r="A11" t="s">
        <v>875</v>
      </c>
    </row>
    <row r="12" spans="1:12">
      <c r="B12" s="7"/>
      <c r="C12" s="30" t="str">
        <f ca="1">Name_Information</f>
        <v>Name Information</v>
      </c>
      <c r="D12" s="7"/>
      <c r="E12" s="52"/>
      <c r="F12" s="7"/>
      <c r="G12" s="52"/>
      <c r="H12" s="7"/>
      <c r="I12" s="52"/>
      <c r="J12" s="7"/>
      <c r="K12" s="52"/>
      <c r="L12" s="7"/>
    </row>
    <row r="14" spans="1:12" ht="15.75" thickBot="1">
      <c r="B14" s="1"/>
      <c r="C14" s="31"/>
      <c r="D14" s="1"/>
      <c r="E14" s="49"/>
      <c r="F14" s="1"/>
      <c r="G14" s="49"/>
      <c r="H14" s="1"/>
      <c r="I14" s="49"/>
      <c r="J14" s="1"/>
      <c r="K14" s="49"/>
      <c r="L14" s="1"/>
    </row>
    <row r="15" spans="1:12" ht="15.75" thickBot="1">
      <c r="B15" s="1"/>
      <c r="C15" s="34" t="str">
        <f ca="1">'Field labels'!Salutation</f>
        <v>Salutation</v>
      </c>
      <c r="D15" s="1"/>
      <c r="E15" s="51" t="s">
        <v>703</v>
      </c>
      <c r="F15" s="1"/>
      <c r="G15" s="49"/>
      <c r="H15" s="1"/>
      <c r="I15" s="49"/>
      <c r="J15" s="1"/>
      <c r="K15" s="49"/>
      <c r="L15" s="1"/>
    </row>
    <row r="16" spans="1:12" ht="15.75" thickBot="1">
      <c r="B16" s="1"/>
      <c r="C16" s="33"/>
      <c r="D16" s="1"/>
      <c r="E16" s="49"/>
      <c r="F16" s="1"/>
      <c r="G16" s="49"/>
      <c r="H16" s="1"/>
      <c r="I16" s="49"/>
      <c r="J16" s="1"/>
      <c r="K16" s="49"/>
      <c r="L16" s="1"/>
    </row>
    <row r="17" spans="2:12" ht="15.75" thickBot="1">
      <c r="B17" s="1"/>
      <c r="C17" s="32" t="str">
        <f ca="1">'Field labels'!First_Name</f>
        <v>* First Name</v>
      </c>
      <c r="D17" s="1"/>
      <c r="E17" s="51" t="s">
        <v>9038</v>
      </c>
      <c r="F17" s="1"/>
      <c r="G17" s="49"/>
      <c r="H17" s="1"/>
      <c r="I17" s="49"/>
      <c r="J17" s="1"/>
      <c r="K17" s="49"/>
      <c r="L17" s="1"/>
    </row>
    <row r="18" spans="2:12" ht="15.75" thickBot="1">
      <c r="B18" s="1"/>
      <c r="C18" s="33"/>
      <c r="D18" s="1"/>
      <c r="E18" s="49"/>
      <c r="F18" s="1"/>
      <c r="G18" s="49"/>
      <c r="H18" s="1"/>
      <c r="I18" s="49"/>
      <c r="J18" s="1"/>
      <c r="K18" s="49"/>
      <c r="L18" s="1"/>
    </row>
    <row r="19" spans="2:12" ht="15.75" thickBot="1">
      <c r="B19" s="1"/>
      <c r="C19" s="32" t="str">
        <f ca="1">mid_name_lbl</f>
        <v>Middle Name</v>
      </c>
      <c r="D19" s="1"/>
      <c r="E19" s="51"/>
      <c r="F19" s="1"/>
      <c r="G19" s="49"/>
      <c r="H19" s="1"/>
      <c r="I19" s="49"/>
      <c r="J19" s="1"/>
      <c r="K19" s="49"/>
      <c r="L19" s="1"/>
    </row>
    <row r="20" spans="2:12" ht="15.75" thickBot="1">
      <c r="B20" s="1"/>
      <c r="C20" s="33"/>
      <c r="D20" s="1"/>
      <c r="E20" s="49"/>
      <c r="F20" s="1"/>
      <c r="G20" s="49"/>
      <c r="H20" s="1"/>
      <c r="I20" s="49"/>
      <c r="J20" s="1"/>
      <c r="K20" s="49"/>
      <c r="L20" s="1"/>
    </row>
    <row r="21" spans="2:12" ht="15.75" thickBot="1">
      <c r="B21" s="1"/>
      <c r="C21" s="32" t="str">
        <f ca="1">'Field labels'!Last_Name</f>
        <v>* Last Name</v>
      </c>
      <c r="D21" s="1"/>
      <c r="E21" s="51" t="s">
        <v>9039</v>
      </c>
      <c r="F21" s="1"/>
      <c r="G21" s="49"/>
      <c r="H21" s="1"/>
      <c r="I21" s="49"/>
      <c r="J21" s="1"/>
      <c r="K21" s="49"/>
      <c r="L21" s="1"/>
    </row>
    <row r="22" spans="2:12" ht="15.75" thickBot="1">
      <c r="B22" s="1"/>
      <c r="C22" s="33"/>
      <c r="D22" s="1"/>
      <c r="E22" s="49"/>
      <c r="F22" s="1"/>
      <c r="G22" s="49"/>
      <c r="H22" s="1"/>
      <c r="I22" s="49"/>
      <c r="J22" s="1"/>
      <c r="K22" s="49"/>
      <c r="L22" s="1"/>
    </row>
    <row r="23" spans="2:12" ht="15.75" hidden="1" thickBot="1">
      <c r="B23" s="1"/>
      <c r="C23" s="72" t="str">
        <f ca="1">Pref_Name_lbl</f>
        <v>Preferred First Name</v>
      </c>
      <c r="D23" s="1"/>
      <c r="E23" s="51"/>
      <c r="F23" s="1"/>
      <c r="G23" s="49"/>
      <c r="H23" s="1"/>
      <c r="I23" s="49"/>
      <c r="J23" s="1"/>
      <c r="K23" s="49"/>
      <c r="L23" s="1"/>
    </row>
    <row r="24" spans="2:12" ht="15.75" hidden="1" thickBot="1">
      <c r="B24" s="1"/>
      <c r="C24" s="33"/>
      <c r="D24" s="1"/>
      <c r="E24" s="49"/>
      <c r="F24" s="1"/>
      <c r="G24" s="49"/>
      <c r="H24" s="1"/>
      <c r="I24" s="49"/>
      <c r="J24" s="1"/>
      <c r="K24" s="49"/>
      <c r="L24" s="1"/>
    </row>
    <row r="25" spans="2:12" ht="15.75" hidden="1" thickBot="1">
      <c r="B25" s="1"/>
      <c r="C25" s="72" t="str">
        <f ca="1">Pref_Last_Name_lbl</f>
        <v>Preferred Last Name</v>
      </c>
      <c r="D25" s="1"/>
      <c r="E25" s="51"/>
      <c r="F25" s="1"/>
      <c r="G25" s="49"/>
      <c r="H25" s="1"/>
      <c r="I25" s="49"/>
      <c r="J25" s="1"/>
      <c r="K25" s="49"/>
      <c r="L25" s="1"/>
    </row>
    <row r="26" spans="2:12" ht="15.75" hidden="1" thickBot="1">
      <c r="B26" s="1"/>
      <c r="C26" s="33"/>
      <c r="D26" s="1"/>
      <c r="E26" s="49"/>
      <c r="F26" s="1"/>
      <c r="G26" s="49"/>
      <c r="H26" s="1"/>
      <c r="I26" s="49"/>
      <c r="J26" s="1"/>
      <c r="K26" s="49"/>
      <c r="L26" s="1"/>
    </row>
    <row r="27" spans="2:12" ht="15.75" thickBot="1">
      <c r="B27" s="1"/>
      <c r="C27" s="32" t="str">
        <f ca="1">Birth_name_label</f>
        <v>Birth Name</v>
      </c>
      <c r="D27" s="1"/>
      <c r="E27" s="51" t="s">
        <v>9040</v>
      </c>
      <c r="F27" s="1"/>
      <c r="G27" s="49"/>
      <c r="H27" s="1"/>
      <c r="I27" s="49"/>
      <c r="J27" s="1"/>
      <c r="K27" s="49"/>
      <c r="L27" s="1"/>
    </row>
    <row r="28" spans="2:12" ht="15.75" thickBot="1">
      <c r="B28" s="1"/>
      <c r="C28" s="33"/>
      <c r="D28" s="1"/>
      <c r="E28" s="49"/>
      <c r="F28" s="1"/>
      <c r="G28" s="49"/>
      <c r="H28" s="1"/>
      <c r="I28" s="49"/>
      <c r="J28" s="1"/>
      <c r="K28" s="49"/>
      <c r="L28" s="1"/>
    </row>
    <row r="29" spans="2:12" ht="15.75" hidden="1" thickBot="1">
      <c r="B29" s="1"/>
      <c r="C29" s="32" t="str">
        <f ca="1">birth_prefix_label</f>
        <v>Birth Name Prefix</v>
      </c>
      <c r="D29" s="1"/>
      <c r="E29" s="51"/>
      <c r="F29" s="1"/>
      <c r="G29" s="49"/>
      <c r="H29" s="1"/>
      <c r="I29" s="49"/>
      <c r="J29" s="1"/>
      <c r="K29" s="49"/>
      <c r="L29" s="1"/>
    </row>
    <row r="30" spans="2:12" ht="15.75" hidden="1" thickBot="1">
      <c r="B30" s="1"/>
      <c r="C30" s="33"/>
      <c r="D30" s="1"/>
      <c r="E30" s="49"/>
      <c r="F30" s="1"/>
      <c r="G30" s="49"/>
      <c r="H30" s="1"/>
      <c r="I30" s="49"/>
      <c r="J30" s="1"/>
      <c r="K30" s="49"/>
      <c r="L30" s="1"/>
    </row>
    <row r="31" spans="2:12" ht="15.75" hidden="1" thickBot="1">
      <c r="B31" s="1"/>
      <c r="C31" s="32" t="str">
        <f ca="1">partner_prefix_label</f>
        <v>Partner’s Last Name Prefix</v>
      </c>
      <c r="D31" s="1"/>
      <c r="E31" s="51"/>
      <c r="F31" s="1"/>
      <c r="G31" s="49"/>
      <c r="H31" s="1"/>
      <c r="I31" s="49"/>
      <c r="J31" s="1"/>
      <c r="K31" s="49"/>
      <c r="L31" s="1"/>
    </row>
    <row r="32" spans="2:12" ht="15.75" hidden="1" thickBot="1">
      <c r="B32" s="1"/>
      <c r="C32" s="33"/>
      <c r="D32" s="1"/>
      <c r="E32" s="49"/>
      <c r="F32" s="1"/>
      <c r="G32" s="49"/>
      <c r="H32" s="1"/>
      <c r="I32" s="49"/>
      <c r="J32" s="1"/>
      <c r="K32" s="49"/>
      <c r="L32" s="1"/>
    </row>
    <row r="33" spans="2:12" ht="15.75" thickBot="1">
      <c r="B33" s="1"/>
      <c r="C33" s="32" t="str">
        <f ca="1">fn_local</f>
        <v>First Name (local / preferred)</v>
      </c>
      <c r="D33" s="1"/>
      <c r="E33" s="51" t="s">
        <v>9038</v>
      </c>
      <c r="F33" s="1" t="s">
        <v>3800</v>
      </c>
      <c r="G33" s="49"/>
      <c r="H33" s="1"/>
      <c r="I33" s="49"/>
      <c r="J33" s="1"/>
      <c r="K33" s="49"/>
      <c r="L33" s="1"/>
    </row>
    <row r="34" spans="2:12" ht="15.75" thickBot="1">
      <c r="B34" s="1"/>
      <c r="C34" s="33"/>
      <c r="D34" s="1"/>
      <c r="E34" s="49"/>
      <c r="F34" s="1"/>
      <c r="G34" s="49"/>
      <c r="H34" s="1"/>
      <c r="I34" s="49"/>
      <c r="J34" s="1"/>
      <c r="K34" s="49"/>
      <c r="L34" s="1"/>
    </row>
    <row r="35" spans="2:12" ht="15.75" thickBot="1">
      <c r="B35" s="1"/>
      <c r="C35" s="32" t="str">
        <f ca="1">mn_local</f>
        <v>Middle Name (local / preferred)</v>
      </c>
      <c r="D35" s="1"/>
      <c r="E35" s="51"/>
      <c r="F35" s="1" t="s">
        <v>3800</v>
      </c>
      <c r="G35" s="49"/>
      <c r="H35" s="1"/>
      <c r="I35" s="49"/>
      <c r="J35" s="1"/>
      <c r="K35" s="49"/>
      <c r="L35" s="1"/>
    </row>
    <row r="36" spans="2:12" ht="15.75" thickBot="1">
      <c r="B36" s="1"/>
      <c r="C36" s="33"/>
      <c r="D36" s="1"/>
      <c r="E36" s="49"/>
      <c r="F36" s="1"/>
      <c r="G36" s="49"/>
      <c r="H36" s="1"/>
      <c r="I36" s="49"/>
      <c r="J36" s="1"/>
      <c r="K36" s="49"/>
      <c r="L36" s="1"/>
    </row>
    <row r="37" spans="2:12" ht="15.75" thickBot="1">
      <c r="B37" s="1"/>
      <c r="C37" s="32" t="str">
        <f ca="1">ln_local</f>
        <v>Last Name (local / preferred)</v>
      </c>
      <c r="D37" s="1"/>
      <c r="E37" s="51" t="s">
        <v>9039</v>
      </c>
      <c r="F37" s="1" t="s">
        <v>3800</v>
      </c>
      <c r="G37" s="49"/>
      <c r="H37" s="1"/>
      <c r="I37" s="49"/>
      <c r="J37" s="1"/>
      <c r="K37" s="49"/>
      <c r="L37" s="1"/>
    </row>
    <row r="38" spans="2:12">
      <c r="B38" s="1"/>
      <c r="C38" s="33"/>
      <c r="D38" s="1"/>
      <c r="E38" s="49"/>
      <c r="F38" s="1"/>
      <c r="G38" s="49"/>
      <c r="H38" s="1"/>
      <c r="I38" s="49"/>
      <c r="J38" s="1"/>
      <c r="K38" s="49"/>
      <c r="L38" s="1"/>
    </row>
    <row r="40" spans="2:12">
      <c r="B40" s="7"/>
      <c r="C40" s="30" t="str">
        <f ca="1">Biographical_Information</f>
        <v>Biographical Information</v>
      </c>
      <c r="D40" s="7"/>
      <c r="E40" s="52"/>
      <c r="F40" s="7"/>
      <c r="G40" s="52"/>
      <c r="H40" s="7"/>
      <c r="I40" s="52"/>
      <c r="J40" s="7"/>
      <c r="K40" s="52"/>
      <c r="L40" s="7"/>
    </row>
    <row r="42" spans="2:12" ht="15.75" thickBot="1">
      <c r="B42" s="1"/>
      <c r="C42" s="31"/>
      <c r="D42" s="1"/>
      <c r="E42" s="49"/>
      <c r="F42" s="1"/>
      <c r="G42" s="49"/>
      <c r="H42" s="1"/>
      <c r="I42" s="49"/>
      <c r="J42" s="1"/>
      <c r="K42" s="49"/>
      <c r="L42" s="1"/>
    </row>
    <row r="43" spans="2:12" ht="15.75" thickBot="1">
      <c r="B43" s="1"/>
      <c r="C43" s="32" t="str">
        <f ca="1">'Field labels'!Date_of_Birth</f>
        <v>* Date of Birth (DD/MM/YYYY)</v>
      </c>
      <c r="D43" s="1"/>
      <c r="E43" s="70" t="s">
        <v>9041</v>
      </c>
      <c r="F43" s="1"/>
      <c r="G43" s="49"/>
      <c r="H43" s="1"/>
      <c r="I43" s="49"/>
      <c r="J43" s="1"/>
      <c r="K43" s="49"/>
      <c r="L43" s="1"/>
    </row>
    <row r="44" spans="2:12" ht="15.75" thickBot="1">
      <c r="B44" s="1"/>
      <c r="C44" s="33"/>
      <c r="D44" s="1"/>
      <c r="E44" s="49"/>
      <c r="F44" s="1"/>
      <c r="G44" s="49"/>
      <c r="H44" s="1"/>
      <c r="I44" s="49"/>
      <c r="J44" s="1"/>
      <c r="K44" s="49"/>
      <c r="L44" s="1"/>
    </row>
    <row r="45" spans="2:12" ht="15.75" thickBot="1">
      <c r="B45" s="1"/>
      <c r="C45" s="64" t="str">
        <f ca="1">birth_cn_lbl</f>
        <v>Birth Country</v>
      </c>
      <c r="D45" s="1"/>
      <c r="E45" s="53" t="s">
        <v>356</v>
      </c>
      <c r="F45" s="1"/>
      <c r="G45" s="49"/>
      <c r="H45" s="1"/>
      <c r="I45" s="49"/>
      <c r="J45" s="1"/>
      <c r="K45" s="49"/>
      <c r="L45" s="1"/>
    </row>
    <row r="46" spans="2:12" ht="15.75" thickBot="1">
      <c r="B46" s="1"/>
      <c r="C46" s="33"/>
      <c r="D46" s="1"/>
      <c r="E46" s="49"/>
      <c r="F46" s="1"/>
      <c r="G46" s="49"/>
      <c r="H46" s="1"/>
      <c r="I46" s="49"/>
      <c r="J46" s="1"/>
      <c r="K46" s="49"/>
      <c r="L46" s="1"/>
    </row>
    <row r="47" spans="2:12" ht="15.75" thickBot="1">
      <c r="B47" s="1"/>
      <c r="C47" s="35" t="str">
        <f ca="1">birthplace_label</f>
        <v>Place of Birth</v>
      </c>
      <c r="D47" s="1"/>
      <c r="E47" s="53" t="s">
        <v>9042</v>
      </c>
      <c r="F47" s="1"/>
      <c r="G47" s="49"/>
      <c r="H47" s="1"/>
      <c r="I47" s="49"/>
      <c r="J47" s="1"/>
      <c r="K47" s="49"/>
      <c r="L47" s="1"/>
    </row>
    <row r="48" spans="2:12">
      <c r="B48" s="1"/>
      <c r="C48" s="33"/>
      <c r="D48" s="1"/>
      <c r="E48" s="49"/>
      <c r="F48" s="1"/>
      <c r="G48" s="49"/>
      <c r="H48" s="1"/>
      <c r="I48" s="49"/>
      <c r="J48" s="1"/>
      <c r="K48" s="49"/>
      <c r="L48" s="1"/>
    </row>
    <row r="49" spans="2:12" ht="15.75" hidden="1" thickBot="1">
      <c r="B49" s="1"/>
      <c r="C49" s="35" t="str">
        <f ca="1">birth_prov_label</f>
        <v>Department / Province of Birth</v>
      </c>
      <c r="D49" s="1"/>
      <c r="E49" s="53"/>
      <c r="F49" s="1"/>
      <c r="G49" s="49"/>
      <c r="H49" s="1"/>
      <c r="I49" s="49"/>
      <c r="J49" s="1"/>
      <c r="K49" s="49"/>
      <c r="L49" s="1"/>
    </row>
    <row r="50" spans="2:12" hidden="1">
      <c r="B50" s="1"/>
      <c r="C50" s="33"/>
      <c r="D50" s="1"/>
      <c r="E50" s="49"/>
      <c r="F50" s="1"/>
      <c r="G50" s="49"/>
      <c r="H50" s="1"/>
      <c r="I50" s="49"/>
      <c r="J50" s="1"/>
      <c r="K50" s="49"/>
      <c r="L50" s="1"/>
    </row>
    <row r="52" spans="2:12">
      <c r="B52" s="7"/>
      <c r="C52" s="30" t="str">
        <f ca="1">National_ID_Information</f>
        <v>National ID Information</v>
      </c>
      <c r="D52" s="7"/>
      <c r="E52" s="52"/>
      <c r="F52" s="7"/>
      <c r="G52" s="52"/>
      <c r="H52" s="7"/>
      <c r="I52" s="52"/>
      <c r="J52" s="7"/>
      <c r="K52" s="52"/>
      <c r="L52" s="7"/>
    </row>
    <row r="54" spans="2:12" ht="15.75" thickBot="1">
      <c r="B54" s="1"/>
      <c r="C54" s="33"/>
      <c r="D54" s="1"/>
      <c r="E54" s="49"/>
      <c r="F54" s="1"/>
      <c r="G54" s="49"/>
      <c r="H54" s="1"/>
      <c r="I54" s="49"/>
      <c r="J54" s="1"/>
      <c r="K54" s="49"/>
      <c r="L54" s="1"/>
    </row>
    <row r="55" spans="2:12" ht="15.75" thickBot="1">
      <c r="B55" s="1"/>
      <c r="C55" s="32" t="str">
        <f ca="1">'Field labels'!NationalID_Country</f>
        <v>* Country</v>
      </c>
      <c r="D55" s="1"/>
      <c r="E55" s="51" t="s">
        <v>356</v>
      </c>
      <c r="F55" s="1"/>
      <c r="G55" s="51"/>
      <c r="H55" s="1"/>
      <c r="I55" s="51"/>
      <c r="J55" s="1"/>
      <c r="K55" s="49"/>
      <c r="L55" s="1"/>
    </row>
    <row r="56" spans="2:12" ht="15.75" thickBot="1">
      <c r="B56" s="1"/>
      <c r="C56" s="33"/>
      <c r="D56" s="1"/>
      <c r="E56" s="49"/>
      <c r="F56" s="1"/>
      <c r="G56" s="49"/>
      <c r="H56" s="1"/>
      <c r="I56" s="49"/>
      <c r="J56" s="1"/>
      <c r="K56" s="49"/>
      <c r="L56" s="1"/>
    </row>
    <row r="57" spans="2:12" s="29" customFormat="1" ht="15.75" thickBot="1">
      <c r="B57" s="31"/>
      <c r="C57" s="32" t="str">
        <f ca="1">'Field labels'!NationalID_Type</f>
        <v>* National ID Card Type</v>
      </c>
      <c r="D57" s="31"/>
      <c r="E57" s="75" t="s">
        <v>1912</v>
      </c>
      <c r="F57" s="31"/>
      <c r="G57" s="51"/>
      <c r="H57" s="31"/>
      <c r="I57" s="51"/>
      <c r="J57" s="31"/>
      <c r="K57" s="73"/>
      <c r="L57" s="31"/>
    </row>
    <row r="58" spans="2:12" ht="15.75" thickBot="1">
      <c r="B58" s="1"/>
      <c r="C58" s="33"/>
      <c r="D58" s="1"/>
      <c r="E58" s="49"/>
      <c r="F58" s="1"/>
      <c r="G58" s="49"/>
      <c r="H58" s="1"/>
      <c r="I58" s="49"/>
      <c r="J58" s="1"/>
      <c r="K58" s="49"/>
      <c r="L58" s="1"/>
    </row>
    <row r="59" spans="2:12" ht="15.75" thickBot="1">
      <c r="B59" s="1"/>
      <c r="C59" s="32" t="str">
        <f ca="1">'Field labels'!NationalID</f>
        <v>* National ID</v>
      </c>
      <c r="D59" s="1"/>
      <c r="E59" s="70" t="s">
        <v>9043</v>
      </c>
      <c r="F59" s="1"/>
      <c r="G59" s="70"/>
      <c r="H59" s="1"/>
      <c r="I59" s="70"/>
      <c r="J59" s="1"/>
      <c r="K59" s="49"/>
      <c r="L59" s="1"/>
    </row>
    <row r="60" spans="2:12" ht="15.75" thickBot="1">
      <c r="B60" s="1"/>
      <c r="C60" s="33"/>
      <c r="D60" s="1"/>
      <c r="E60" s="49"/>
      <c r="F60" s="1"/>
      <c r="G60" s="49"/>
      <c r="H60" s="1"/>
      <c r="I60" s="49"/>
      <c r="J60" s="1"/>
      <c r="K60" s="49"/>
      <c r="L60" s="1"/>
    </row>
    <row r="61" spans="2:12" ht="15.75" thickBot="1">
      <c r="B61" s="1"/>
      <c r="C61" s="32" t="str">
        <f ca="1">'Field labels'!NationalID_Primary</f>
        <v>* Is Primary</v>
      </c>
      <c r="D61" s="1"/>
      <c r="E61" s="51" t="s">
        <v>669</v>
      </c>
      <c r="F61" s="1"/>
      <c r="G61" s="51"/>
      <c r="H61" s="1"/>
      <c r="I61" s="51"/>
      <c r="J61" s="1"/>
      <c r="K61" s="49"/>
      <c r="L61" s="1"/>
    </row>
    <row r="62" spans="2:12">
      <c r="B62" s="1"/>
      <c r="C62" s="33"/>
      <c r="D62" s="1"/>
      <c r="E62" s="49"/>
      <c r="F62" s="1"/>
      <c r="G62" s="49"/>
      <c r="H62" s="1"/>
      <c r="I62" s="49"/>
      <c r="J62" s="1"/>
      <c r="K62" s="49"/>
      <c r="L62" s="1"/>
    </row>
    <row r="63" spans="2:12" ht="15.75" hidden="1" thickBot="1">
      <c r="B63" s="1"/>
      <c r="C63" s="69" t="str">
        <f ca="1">NationalID_date</f>
        <v>Issue date</v>
      </c>
      <c r="D63" s="1"/>
      <c r="E63" s="51"/>
      <c r="F63" s="1"/>
      <c r="G63" s="51"/>
      <c r="H63" s="1"/>
      <c r="I63" s="49"/>
      <c r="J63" s="1"/>
      <c r="K63" s="49"/>
      <c r="L63" s="1"/>
    </row>
    <row r="64" spans="2:12" ht="15.75" hidden="1" thickBot="1">
      <c r="B64" s="1"/>
      <c r="C64" s="33"/>
      <c r="D64" s="1"/>
      <c r="E64" s="49"/>
      <c r="F64" s="1"/>
      <c r="G64" s="49"/>
      <c r="H64" s="1"/>
      <c r="I64" s="49"/>
      <c r="J64" s="1"/>
      <c r="K64" s="49"/>
      <c r="L64" s="1"/>
    </row>
    <row r="65" spans="2:12" ht="15.75" hidden="1" thickBot="1">
      <c r="B65" s="1"/>
      <c r="C65" s="69" t="str">
        <f ca="1">NationalID_issue</f>
        <v>Issued by</v>
      </c>
      <c r="D65" s="1"/>
      <c r="E65" s="51"/>
      <c r="F65" s="1"/>
      <c r="G65" s="51"/>
      <c r="H65" s="1"/>
      <c r="I65" s="49"/>
      <c r="J65" s="1"/>
      <c r="K65" s="49"/>
      <c r="L65" s="1"/>
    </row>
    <row r="66" spans="2:12" hidden="1">
      <c r="B66" s="1"/>
      <c r="C66" s="33"/>
      <c r="D66" s="1"/>
      <c r="E66" s="49"/>
      <c r="F66" s="1"/>
      <c r="G66" s="49"/>
      <c r="H66" s="1"/>
      <c r="I66" s="49"/>
      <c r="J66" s="1"/>
      <c r="K66" s="49"/>
      <c r="L66" s="1"/>
    </row>
    <row r="68" spans="2:12">
      <c r="B68" s="7"/>
      <c r="C68" s="30" t="str">
        <f ca="1">Personal_Information</f>
        <v>Personal Information</v>
      </c>
      <c r="D68" s="7"/>
      <c r="E68" s="52"/>
      <c r="F68" s="7"/>
      <c r="G68" s="52"/>
      <c r="H68" s="7"/>
      <c r="I68" s="52"/>
      <c r="J68" s="7"/>
      <c r="K68" s="52"/>
      <c r="L68" s="7"/>
    </row>
    <row r="70" spans="2:12" ht="15.75" thickBot="1">
      <c r="B70" s="1"/>
      <c r="C70" s="31"/>
      <c r="D70" s="1"/>
      <c r="E70" s="49"/>
      <c r="F70" s="1"/>
      <c r="G70" s="49"/>
      <c r="H70" s="1"/>
      <c r="I70" s="49"/>
      <c r="J70" s="1"/>
      <c r="K70" s="49"/>
      <c r="L70" s="1"/>
    </row>
    <row r="71" spans="2:12" ht="15.75" thickBot="1">
      <c r="B71" s="1"/>
      <c r="C71" s="32" t="str">
        <f ca="1">'Field labels'!Gender</f>
        <v>* Gender</v>
      </c>
      <c r="D71" s="2"/>
      <c r="E71" s="51" t="s">
        <v>374</v>
      </c>
      <c r="F71" s="1"/>
      <c r="G71" s="49"/>
      <c r="H71" s="1"/>
      <c r="I71" s="49"/>
      <c r="J71" s="1"/>
      <c r="K71" s="49"/>
      <c r="L71" s="1"/>
    </row>
    <row r="72" spans="2:12" ht="15.75" thickBot="1">
      <c r="B72" s="1"/>
      <c r="C72" s="33"/>
      <c r="D72" s="1"/>
      <c r="E72" s="49"/>
      <c r="F72" s="1"/>
      <c r="G72" s="49"/>
      <c r="H72" s="1"/>
      <c r="I72" s="49"/>
      <c r="J72" s="1"/>
      <c r="K72" s="49"/>
      <c r="L72" s="1"/>
    </row>
    <row r="73" spans="2:12" ht="15.75" thickBot="1">
      <c r="B73" s="1"/>
      <c r="C73" s="44" t="str">
        <f ca="1">marital_label</f>
        <v>Marital Status</v>
      </c>
      <c r="D73" s="1"/>
      <c r="E73" s="51" t="s">
        <v>376</v>
      </c>
      <c r="F73" s="1"/>
      <c r="G73" s="49"/>
      <c r="H73" s="1"/>
      <c r="I73" s="49"/>
      <c r="J73" s="1"/>
      <c r="K73" s="49"/>
      <c r="L73" s="1"/>
    </row>
    <row r="74" spans="2:12" ht="15.75" thickBot="1">
      <c r="B74" s="1"/>
      <c r="C74" s="33"/>
      <c r="D74" s="1"/>
      <c r="E74" s="49"/>
      <c r="F74" s="1"/>
      <c r="G74" s="49"/>
      <c r="H74" s="1"/>
      <c r="I74" s="49"/>
      <c r="J74" s="1"/>
      <c r="K74" s="49"/>
      <c r="L74" s="1"/>
    </row>
    <row r="75" spans="2:12" ht="15.75" hidden="1" thickBot="1">
      <c r="B75" s="1"/>
      <c r="C75" s="67" t="str">
        <f ca="1">ms_date_label</f>
        <v>Marital Status date</v>
      </c>
      <c r="D75" s="1"/>
      <c r="E75" s="51"/>
      <c r="F75" s="1"/>
      <c r="G75" s="49"/>
      <c r="H75" s="1"/>
      <c r="I75" s="49"/>
      <c r="J75" s="1"/>
      <c r="K75" s="49"/>
      <c r="L75" s="1"/>
    </row>
    <row r="76" spans="2:12" ht="15.75" hidden="1" thickBot="1">
      <c r="B76" s="1"/>
      <c r="C76" s="33"/>
      <c r="D76" s="1"/>
      <c r="E76" s="49"/>
      <c r="F76" s="1"/>
      <c r="G76" s="49"/>
      <c r="H76" s="1"/>
      <c r="I76" s="49"/>
      <c r="J76" s="1"/>
      <c r="K76" s="49"/>
      <c r="L76" s="1"/>
    </row>
    <row r="77" spans="2:12" ht="15.75" thickBot="1">
      <c r="B77" s="1"/>
      <c r="C77" s="32" t="str">
        <f ca="1">'Field labels'!Nationality</f>
        <v>Nationality</v>
      </c>
      <c r="D77" s="1"/>
      <c r="E77" s="51" t="s">
        <v>356</v>
      </c>
      <c r="F77" s="1"/>
      <c r="G77" s="49"/>
      <c r="H77" s="1"/>
      <c r="I77" s="49"/>
      <c r="J77" s="1"/>
      <c r="K77" s="49"/>
      <c r="L77" s="1"/>
    </row>
    <row r="78" spans="2:12" ht="15.75" thickBot="1">
      <c r="B78" s="1"/>
      <c r="C78" s="33"/>
      <c r="D78" s="1"/>
      <c r="E78" s="49"/>
      <c r="F78" s="1"/>
      <c r="G78" s="49"/>
      <c r="H78" s="1"/>
      <c r="I78" s="49"/>
      <c r="J78" s="1"/>
      <c r="K78" s="49"/>
      <c r="L78" s="1"/>
    </row>
    <row r="79" spans="2:12" ht="15.75" hidden="1" thickBot="1">
      <c r="B79" s="1"/>
      <c r="C79" s="32" t="str">
        <f ca="1">dt_learned_lbl</f>
        <v>Date Learned (DD/MM/YYYY)</v>
      </c>
      <c r="D79" s="1"/>
      <c r="E79" s="51"/>
      <c r="F79" s="1"/>
      <c r="G79" s="49"/>
      <c r="H79" s="1"/>
      <c r="I79" s="49"/>
      <c r="J79" s="1"/>
      <c r="K79" s="49"/>
      <c r="L79" s="1"/>
    </row>
    <row r="80" spans="2:12" ht="15.75" hidden="1" thickBot="1">
      <c r="B80" s="1"/>
      <c r="C80" s="33"/>
      <c r="D80" s="1"/>
      <c r="E80" s="49"/>
      <c r="F80" s="1"/>
      <c r="G80" s="49"/>
      <c r="H80" s="1"/>
      <c r="I80" s="49"/>
      <c r="J80" s="1"/>
      <c r="K80" s="49"/>
      <c r="L80" s="1"/>
    </row>
    <row r="81" spans="2:12" ht="15.75" hidden="1" thickBot="1">
      <c r="B81" s="1"/>
      <c r="C81" s="32" t="str">
        <f ca="1">Challenge_Grp_lbl</f>
        <v>Challenge Group</v>
      </c>
      <c r="D81" s="1"/>
      <c r="E81" s="51"/>
      <c r="F81" s="1"/>
      <c r="G81" s="49"/>
      <c r="H81" s="1"/>
      <c r="I81" s="49"/>
      <c r="J81" s="1"/>
      <c r="K81" s="49"/>
      <c r="L81" s="1"/>
    </row>
    <row r="82" spans="2:12" ht="15.75" hidden="1" thickBot="1">
      <c r="B82" s="1"/>
      <c r="C82" s="33"/>
      <c r="D82" s="1"/>
      <c r="E82" s="49"/>
      <c r="F82" s="1"/>
      <c r="G82" s="49"/>
      <c r="H82" s="1"/>
      <c r="I82" s="49"/>
      <c r="J82" s="1"/>
      <c r="K82" s="49"/>
      <c r="L82" s="1"/>
    </row>
    <row r="83" spans="2:12" ht="15.75" hidden="1" thickBot="1">
      <c r="B83" s="1"/>
      <c r="C83" s="32" t="str">
        <f ca="1">Challenge_Type_Lbl</f>
        <v>Type of Challenge</v>
      </c>
      <c r="D83" s="1"/>
      <c r="E83" s="51"/>
      <c r="F83" s="1"/>
      <c r="G83" s="49"/>
      <c r="H83" s="1"/>
      <c r="I83" s="49"/>
      <c r="J83" s="1"/>
      <c r="K83" s="49"/>
      <c r="L83" s="1"/>
    </row>
    <row r="84" spans="2:12" ht="15.75" hidden="1" thickBot="1">
      <c r="B84" s="1"/>
      <c r="C84" s="33"/>
      <c r="D84" s="1"/>
      <c r="E84" s="49"/>
      <c r="F84" s="1"/>
      <c r="G84" s="49"/>
      <c r="H84" s="1"/>
      <c r="I84" s="49"/>
      <c r="J84" s="1"/>
      <c r="K84" s="49"/>
      <c r="L84" s="1"/>
    </row>
    <row r="85" spans="2:12" ht="15.75" hidden="1" thickBot="1">
      <c r="B85" s="1"/>
      <c r="C85" s="32" t="str">
        <f ca="1">DOB_Minguo_Lbl</f>
        <v>Date of Birth (Minguo)</v>
      </c>
      <c r="D85" s="1"/>
      <c r="E85" s="51"/>
      <c r="F85" s="1"/>
      <c r="G85" s="49"/>
      <c r="H85" s="1"/>
      <c r="I85" s="49"/>
      <c r="J85" s="1"/>
      <c r="K85" s="49"/>
      <c r="L85" s="1"/>
    </row>
    <row r="86" spans="2:12" ht="15.75" hidden="1" thickBot="1">
      <c r="B86" s="1"/>
      <c r="C86" s="33"/>
      <c r="D86" s="1"/>
      <c r="E86" s="49"/>
      <c r="F86" s="1"/>
      <c r="G86" s="49"/>
      <c r="H86" s="1"/>
      <c r="I86" s="49"/>
      <c r="J86" s="1"/>
      <c r="K86" s="49"/>
      <c r="L86" s="1"/>
    </row>
    <row r="87" spans="2:12" ht="15.75" hidden="1" thickBot="1">
      <c r="B87" s="1"/>
      <c r="C87" s="32" t="str">
        <f ca="1">issue_auth_lbl</f>
        <v>Issuing Authority</v>
      </c>
      <c r="D87" s="1"/>
      <c r="E87" s="51"/>
      <c r="F87" s="1"/>
      <c r="G87" s="49"/>
      <c r="H87" s="1"/>
      <c r="I87" s="49"/>
      <c r="J87" s="1"/>
      <c r="K87" s="49"/>
      <c r="L87" s="1"/>
    </row>
    <row r="88" spans="2:12" ht="15.75" hidden="1" thickBot="1">
      <c r="B88" s="1"/>
      <c r="C88" s="33"/>
      <c r="D88" s="1"/>
      <c r="E88" s="49"/>
      <c r="F88" s="1"/>
      <c r="G88" s="49"/>
      <c r="H88" s="1"/>
      <c r="I88" s="49"/>
      <c r="J88" s="1"/>
      <c r="K88" s="49"/>
      <c r="L88" s="1"/>
    </row>
    <row r="89" spans="2:12" ht="15.75" hidden="1" thickBot="1">
      <c r="B89" s="1"/>
      <c r="C89" s="32" t="str">
        <f ca="1">high_edu_lbl</f>
        <v>Highest Education Attained</v>
      </c>
      <c r="D89" s="1"/>
      <c r="E89" s="51"/>
      <c r="F89" s="1"/>
      <c r="G89" s="49"/>
      <c r="H89" s="1"/>
      <c r="I89" s="49"/>
      <c r="J89" s="1"/>
      <c r="K89" s="49"/>
      <c r="L89" s="1"/>
    </row>
    <row r="90" spans="2:12" ht="15.75" hidden="1" thickBot="1">
      <c r="B90" s="1"/>
      <c r="C90" s="33"/>
      <c r="D90" s="1"/>
      <c r="E90" s="49"/>
      <c r="F90" s="1"/>
      <c r="G90" s="49"/>
      <c r="H90" s="1"/>
      <c r="I90" s="49"/>
      <c r="J90" s="1"/>
      <c r="K90" s="49"/>
      <c r="L90" s="1"/>
    </row>
    <row r="91" spans="2:12" ht="15.75" thickBot="1">
      <c r="B91" s="1"/>
      <c r="C91" s="32" t="str">
        <f ca="1">nationality2_label</f>
        <v>Second Nationality</v>
      </c>
      <c r="D91" s="1"/>
      <c r="E91" s="51"/>
      <c r="F91" s="1"/>
      <c r="G91" s="49"/>
      <c r="H91" s="1"/>
      <c r="I91" s="49"/>
      <c r="J91" s="1"/>
      <c r="K91" s="49"/>
      <c r="L91" s="1"/>
    </row>
    <row r="92" spans="2:12" ht="15.75" thickBot="1">
      <c r="B92" s="1"/>
      <c r="C92" s="33"/>
      <c r="D92" s="1"/>
      <c r="E92" s="49"/>
      <c r="F92" s="1"/>
      <c r="G92" s="49"/>
      <c r="H92" s="1"/>
      <c r="I92" s="49"/>
      <c r="J92" s="1"/>
      <c r="K92" s="49"/>
      <c r="L92" s="1"/>
    </row>
    <row r="93" spans="2:12" ht="15.75" thickBot="1">
      <c r="B93" s="1"/>
      <c r="C93" s="44" t="str">
        <f ca="1">Pref_Language_label</f>
        <v>Preferred Language</v>
      </c>
      <c r="D93" s="1"/>
      <c r="E93" s="51" t="s">
        <v>9044</v>
      </c>
      <c r="F93" s="1"/>
      <c r="G93" s="49"/>
      <c r="H93" s="1"/>
      <c r="I93" s="49"/>
      <c r="J93" s="1"/>
      <c r="K93" s="49"/>
      <c r="L93" s="1"/>
    </row>
    <row r="94" spans="2:12" ht="15.75" thickBot="1">
      <c r="B94" s="1"/>
      <c r="C94" s="33"/>
      <c r="D94" s="1"/>
      <c r="E94" s="49"/>
      <c r="F94" s="1"/>
      <c r="G94" s="49"/>
      <c r="H94" s="1"/>
      <c r="I94" s="49"/>
      <c r="J94" s="1"/>
      <c r="K94" s="49"/>
      <c r="L94" s="1"/>
    </row>
    <row r="95" spans="2:12" ht="15.75" hidden="1" thickBot="1">
      <c r="B95" s="1"/>
      <c r="C95" s="36" t="str">
        <f ca="1">Ethnic_Group_label</f>
        <v>Ethnic Group</v>
      </c>
      <c r="D95" s="1"/>
      <c r="E95" s="51"/>
      <c r="F95" s="1"/>
      <c r="G95" s="49"/>
      <c r="H95" s="1"/>
      <c r="I95" s="49"/>
      <c r="J95" s="1"/>
      <c r="K95" s="49"/>
      <c r="L95" s="1"/>
    </row>
    <row r="96" spans="2:12" ht="15.75" hidden="1" thickBot="1">
      <c r="B96" s="1"/>
      <c r="C96" s="33"/>
      <c r="D96" s="1"/>
      <c r="E96" s="49"/>
      <c r="F96" s="1"/>
      <c r="G96" s="49"/>
      <c r="H96" s="1"/>
      <c r="I96" s="49"/>
      <c r="J96" s="1"/>
      <c r="K96" s="49"/>
      <c r="L96" s="1"/>
    </row>
    <row r="97" spans="2:12" ht="15.75" thickBot="1">
      <c r="B97" s="1"/>
      <c r="C97" s="44" t="str">
        <f ca="1">Religion_Label</f>
        <v>* Religion</v>
      </c>
      <c r="D97" s="1"/>
      <c r="E97" s="51" t="s">
        <v>5302</v>
      </c>
      <c r="F97" s="1"/>
      <c r="G97" s="49"/>
      <c r="H97" s="1"/>
      <c r="I97" s="49"/>
      <c r="J97" s="1"/>
      <c r="K97" s="49"/>
      <c r="L97" s="1"/>
    </row>
    <row r="98" spans="2:12" ht="15.75" thickBot="1">
      <c r="B98" s="1"/>
      <c r="C98" s="33"/>
      <c r="D98" s="1"/>
      <c r="E98" s="49"/>
      <c r="F98" s="1"/>
      <c r="G98" s="49"/>
      <c r="H98" s="1"/>
      <c r="I98" s="49"/>
      <c r="J98" s="1"/>
      <c r="K98" s="49"/>
      <c r="L98" s="1"/>
    </row>
    <row r="99" spans="2:12" ht="15.75" hidden="1" thickBot="1">
      <c r="B99" s="1"/>
      <c r="C99" s="33" t="str">
        <f ca="1">arg_state_of_birth_lbl</f>
        <v>State of Birth</v>
      </c>
      <c r="D99" s="1"/>
      <c r="E99" s="51"/>
      <c r="F99" s="1"/>
      <c r="G99" s="49"/>
      <c r="H99" s="1"/>
      <c r="I99" s="49"/>
      <c r="J99" s="1"/>
      <c r="K99" s="49"/>
      <c r="L99" s="1"/>
    </row>
    <row r="100" spans="2:12" ht="15.75" hidden="1" thickBot="1">
      <c r="B100" s="1"/>
      <c r="C100" s="33"/>
      <c r="D100" s="1"/>
      <c r="E100" s="49"/>
      <c r="F100" s="1"/>
      <c r="G100" s="49"/>
      <c r="H100" s="1"/>
      <c r="I100" s="49"/>
      <c r="J100" s="1"/>
      <c r="K100" s="49"/>
      <c r="L100" s="1"/>
    </row>
    <row r="101" spans="2:12" s="88" customFormat="1" ht="15.75" hidden="1" thickBot="1">
      <c r="B101" s="91"/>
      <c r="C101" s="34" t="str">
        <f ca="1">jpn_koseki_eng_lbl</f>
        <v>Koseki(English)</v>
      </c>
      <c r="D101" s="91"/>
      <c r="E101" s="92"/>
      <c r="F101" s="91"/>
      <c r="G101" s="93"/>
      <c r="H101" s="91"/>
      <c r="I101" s="93"/>
      <c r="J101" s="91"/>
      <c r="K101" s="93"/>
      <c r="L101" s="91"/>
    </row>
    <row r="102" spans="2:12" s="88" customFormat="1" ht="15.75" hidden="1" thickBot="1">
      <c r="B102" s="91"/>
      <c r="C102" s="34"/>
      <c r="D102" s="91"/>
      <c r="E102" s="93"/>
      <c r="F102" s="91"/>
      <c r="G102" s="93"/>
      <c r="H102" s="91"/>
      <c r="I102" s="93"/>
      <c r="J102" s="91"/>
      <c r="K102" s="93"/>
      <c r="L102" s="91"/>
    </row>
    <row r="103" spans="2:12" s="88" customFormat="1" ht="15.75" hidden="1" thickBot="1">
      <c r="B103" s="91"/>
      <c r="C103" s="34" t="str">
        <f ca="1">jpn_koseki_kanji_lbl</f>
        <v>Koseki(Kanji)</v>
      </c>
      <c r="D103" s="91"/>
      <c r="E103" s="92"/>
      <c r="F103" s="91"/>
      <c r="G103" s="93"/>
      <c r="H103" s="91"/>
      <c r="I103" s="93"/>
      <c r="J103" s="91"/>
      <c r="K103" s="93"/>
      <c r="L103" s="91"/>
    </row>
    <row r="104" spans="2:12" s="88" customFormat="1" ht="15.75" hidden="1" thickBot="1">
      <c r="B104" s="91"/>
      <c r="C104" s="34"/>
      <c r="D104" s="91"/>
      <c r="E104" s="93"/>
      <c r="F104" s="91"/>
      <c r="G104" s="93"/>
      <c r="H104" s="91"/>
      <c r="I104" s="93"/>
      <c r="J104" s="91"/>
      <c r="K104" s="93"/>
      <c r="L104" s="91"/>
    </row>
    <row r="105" spans="2:12" s="88" customFormat="1" ht="15.75" hidden="1" thickBot="1">
      <c r="B105" s="91"/>
      <c r="C105" s="34" t="str">
        <f ca="1">jpn_koseki_katakana_lbl</f>
        <v>Koseki(Katakana)</v>
      </c>
      <c r="D105" s="91"/>
      <c r="E105" s="92"/>
      <c r="F105" s="91"/>
      <c r="G105" s="93"/>
      <c r="H105" s="91"/>
      <c r="I105" s="93"/>
      <c r="J105" s="91"/>
      <c r="K105" s="93"/>
      <c r="L105" s="91"/>
    </row>
    <row r="106" spans="2:12" s="88" customFormat="1" ht="15.75" hidden="1" thickBot="1">
      <c r="B106" s="91"/>
      <c r="C106" s="34"/>
      <c r="D106" s="91"/>
      <c r="E106" s="93"/>
      <c r="F106" s="91"/>
      <c r="G106" s="93"/>
      <c r="H106" s="91"/>
      <c r="I106" s="93"/>
      <c r="J106" s="91"/>
      <c r="K106" s="93"/>
      <c r="L106" s="91"/>
    </row>
    <row r="107" spans="2:12" s="88" customFormat="1" ht="15.75" hidden="1" thickBot="1">
      <c r="B107" s="91"/>
      <c r="C107" s="34" t="str">
        <f ca="1">jpn_depnt_firstname_kanji_lbl</f>
        <v>Dependent First Name(Kanji))</v>
      </c>
      <c r="D107" s="91"/>
      <c r="E107" s="92"/>
      <c r="F107" s="91"/>
      <c r="G107" s="93"/>
      <c r="H107" s="91"/>
      <c r="I107" s="93"/>
      <c r="J107" s="91"/>
      <c r="K107" s="93"/>
      <c r="L107" s="91"/>
    </row>
    <row r="108" spans="2:12" s="88" customFormat="1" ht="15.75" hidden="1" thickBot="1">
      <c r="B108" s="91"/>
      <c r="C108" s="34"/>
      <c r="D108" s="91"/>
      <c r="E108" s="93"/>
      <c r="F108" s="91"/>
      <c r="G108" s="93"/>
      <c r="H108" s="91"/>
      <c r="I108" s="93"/>
      <c r="J108" s="91"/>
      <c r="K108" s="93"/>
      <c r="L108" s="91"/>
    </row>
    <row r="109" spans="2:12" s="88" customFormat="1" ht="15.75" hidden="1" thickBot="1">
      <c r="B109" s="91"/>
      <c r="C109" s="34" t="str">
        <f ca="1">jpn_depnt_lastname_kanji_lbl</f>
        <v>Dependent Last Name(Kanji)</v>
      </c>
      <c r="D109" s="91"/>
      <c r="E109" s="92"/>
      <c r="F109" s="91"/>
      <c r="G109" s="93"/>
      <c r="H109" s="91"/>
      <c r="I109" s="93"/>
      <c r="J109" s="91"/>
      <c r="K109" s="93"/>
      <c r="L109" s="91"/>
    </row>
    <row r="110" spans="2:12" s="88" customFormat="1" ht="15.75" hidden="1" thickBot="1">
      <c r="B110" s="91"/>
      <c r="C110" s="34"/>
      <c r="D110" s="91"/>
      <c r="E110" s="93"/>
      <c r="F110" s="91"/>
      <c r="G110" s="93"/>
      <c r="H110" s="91"/>
      <c r="I110" s="93"/>
      <c r="J110" s="91"/>
      <c r="K110" s="93"/>
      <c r="L110" s="91"/>
    </row>
    <row r="111" spans="2:12" s="88" customFormat="1" ht="15.75" hidden="1" thickBot="1">
      <c r="B111" s="91"/>
      <c r="C111" s="34" t="str">
        <f ca="1">jpn_depnt_firstname_katakana_lbl</f>
        <v>Dependent First Name(Katakana)</v>
      </c>
      <c r="D111" s="91"/>
      <c r="E111" s="92"/>
      <c r="F111" s="91"/>
      <c r="G111" s="93"/>
      <c r="H111" s="91"/>
      <c r="I111" s="93"/>
      <c r="J111" s="91"/>
      <c r="K111" s="93"/>
      <c r="L111" s="91"/>
    </row>
    <row r="112" spans="2:12" s="88" customFormat="1" ht="15.75" hidden="1" thickBot="1">
      <c r="B112" s="91"/>
      <c r="C112" s="34"/>
      <c r="D112" s="91"/>
      <c r="E112" s="93"/>
      <c r="F112" s="91"/>
      <c r="G112" s="93"/>
      <c r="H112" s="91"/>
      <c r="I112" s="93"/>
      <c r="J112" s="91"/>
      <c r="K112" s="93"/>
      <c r="L112" s="91"/>
    </row>
    <row r="113" spans="2:12" s="88" customFormat="1" ht="15.75" hidden="1" thickBot="1">
      <c r="B113" s="91"/>
      <c r="C113" s="34" t="str">
        <f ca="1">jpn_depnt_lastname_katakana_lbl</f>
        <v>Dependent Last Name(Katakana)</v>
      </c>
      <c r="D113" s="91"/>
      <c r="E113" s="92"/>
      <c r="F113" s="91"/>
      <c r="G113" s="93"/>
      <c r="H113" s="91"/>
      <c r="I113" s="93"/>
      <c r="J113" s="91"/>
      <c r="K113" s="93"/>
      <c r="L113" s="91"/>
    </row>
    <row r="114" spans="2:12" hidden="1">
      <c r="B114" s="1"/>
      <c r="C114" s="33"/>
      <c r="D114" s="1"/>
      <c r="E114" s="49"/>
      <c r="F114" s="1"/>
      <c r="G114" s="49"/>
      <c r="H114" s="1"/>
      <c r="I114" s="49"/>
      <c r="J114" s="1"/>
      <c r="K114" s="49"/>
      <c r="L114" s="1"/>
    </row>
    <row r="115" spans="2:12" ht="15.75" hidden="1" thickBot="1">
      <c r="B115" s="1"/>
      <c r="C115" s="44" t="str">
        <f ca="1">Ethnicity_lbl</f>
        <v>* Ethnicity</v>
      </c>
      <c r="D115" s="1"/>
      <c r="E115" s="51"/>
      <c r="F115" s="1"/>
      <c r="G115" s="49"/>
      <c r="H115" s="1"/>
      <c r="I115" s="49"/>
      <c r="J115" s="1"/>
      <c r="K115" s="49"/>
      <c r="L115" s="1"/>
    </row>
    <row r="116" spans="2:12" hidden="1">
      <c r="B116" s="1"/>
      <c r="C116" s="33"/>
      <c r="D116" s="1"/>
      <c r="E116" s="49"/>
      <c r="F116" s="1"/>
      <c r="G116" s="49"/>
      <c r="H116" s="1"/>
      <c r="I116" s="49"/>
      <c r="J116" s="1"/>
      <c r="K116" s="49"/>
      <c r="L116" s="1"/>
    </row>
    <row r="117" spans="2:12" ht="15.75" thickBot="1">
      <c r="B117" s="1"/>
      <c r="C117" s="44" t="str">
        <f ca="1">ID_Card_Name_Lbl</f>
        <v>Full Name on Identity Card</v>
      </c>
      <c r="D117" s="1"/>
      <c r="E117" s="51" t="s">
        <v>9045</v>
      </c>
      <c r="F117" s="1"/>
      <c r="G117" s="49"/>
      <c r="H117" s="1"/>
      <c r="I117" s="49"/>
      <c r="J117" s="1"/>
      <c r="K117" s="49"/>
      <c r="L117" s="1"/>
    </row>
    <row r="118" spans="2:12" ht="15.75" thickBot="1">
      <c r="B118" s="1"/>
      <c r="C118" s="33"/>
      <c r="D118" s="1"/>
      <c r="E118" s="49"/>
      <c r="F118" s="1"/>
      <c r="G118" s="49"/>
      <c r="H118" s="1"/>
      <c r="I118" s="49"/>
      <c r="J118" s="1"/>
      <c r="K118" s="49"/>
      <c r="L118" s="1"/>
    </row>
    <row r="119" spans="2:12" ht="15.75" hidden="1" thickBot="1">
      <c r="B119" s="1"/>
      <c r="C119" s="44" t="str">
        <f ca="1">complete_name_lbl</f>
        <v>Complete Name</v>
      </c>
      <c r="D119" s="1"/>
      <c r="E119" s="51"/>
      <c r="F119" s="1"/>
      <c r="G119" s="49"/>
      <c r="H119" s="1"/>
      <c r="I119" s="49"/>
      <c r="J119" s="1"/>
      <c r="K119" s="49"/>
      <c r="L119" s="1"/>
    </row>
    <row r="120" spans="2:12" hidden="1">
      <c r="B120" s="1"/>
      <c r="C120" s="33"/>
      <c r="D120" s="1"/>
      <c r="E120" s="49"/>
      <c r="F120" s="1"/>
      <c r="G120" s="49"/>
      <c r="H120" s="1"/>
      <c r="I120" s="49"/>
      <c r="J120" s="1"/>
      <c r="K120" s="49"/>
      <c r="L120" s="1"/>
    </row>
    <row r="121" spans="2:12" ht="15.75" hidden="1" thickBot="1">
      <c r="B121" s="1"/>
      <c r="C121" s="44" t="str">
        <f ca="1">chl_numb_lbl</f>
        <v>Number of Children</v>
      </c>
      <c r="D121" s="1"/>
      <c r="E121" s="51"/>
      <c r="F121" s="1"/>
      <c r="G121" s="49"/>
      <c r="H121" s="1"/>
      <c r="I121" s="49"/>
      <c r="J121" s="1"/>
      <c r="K121" s="49"/>
      <c r="L121" s="1"/>
    </row>
    <row r="122" spans="2:12" hidden="1">
      <c r="B122" s="1"/>
      <c r="C122" s="33"/>
      <c r="D122" s="1"/>
      <c r="E122" s="49"/>
      <c r="F122" s="1"/>
      <c r="G122" s="49"/>
      <c r="H122" s="1"/>
      <c r="I122" s="49"/>
      <c r="J122" s="1"/>
      <c r="K122" s="49"/>
      <c r="L122" s="1"/>
    </row>
    <row r="123" spans="2:12" ht="15.75" thickBot="1">
      <c r="B123" s="1"/>
      <c r="C123" s="36" t="str">
        <f ca="1">race_lbl</f>
        <v>Ethnic Origin (Race)</v>
      </c>
      <c r="D123" s="1"/>
      <c r="E123" s="51" t="s">
        <v>9046</v>
      </c>
      <c r="F123" s="1"/>
      <c r="G123" s="49"/>
      <c r="H123" s="1"/>
      <c r="I123" s="49"/>
      <c r="J123" s="1"/>
      <c r="K123" s="49"/>
      <c r="L123" s="1"/>
    </row>
    <row r="124" spans="2:12">
      <c r="B124" s="1"/>
      <c r="C124" s="33"/>
      <c r="D124" s="1"/>
      <c r="E124" s="49"/>
      <c r="F124" s="1"/>
      <c r="G124" s="49"/>
      <c r="H124" s="1"/>
      <c r="I124" s="49"/>
      <c r="J124" s="1"/>
      <c r="K124" s="49"/>
      <c r="L124" s="1"/>
    </row>
    <row r="125" spans="2:12" ht="15.75" hidden="1" thickBot="1">
      <c r="B125" s="1"/>
      <c r="C125" s="36" t="str">
        <f ca="1">MandatoryHousing_Lbl</f>
        <v>City of Mandatory Housing</v>
      </c>
      <c r="D125" s="1"/>
      <c r="E125" s="51"/>
      <c r="F125" s="1"/>
      <c r="G125" s="49"/>
      <c r="H125" s="1"/>
      <c r="I125" s="49"/>
      <c r="J125" s="1"/>
      <c r="K125" s="49"/>
      <c r="L125" s="1"/>
    </row>
    <row r="126" spans="2:12" ht="15.75" hidden="1" thickBot="1">
      <c r="B126" s="1"/>
      <c r="C126" s="33"/>
      <c r="D126" s="1"/>
      <c r="E126" s="49"/>
      <c r="F126" s="1"/>
      <c r="G126" s="49"/>
      <c r="H126" s="1"/>
      <c r="I126" s="49"/>
      <c r="J126" s="1"/>
      <c r="K126" s="49"/>
      <c r="L126" s="1"/>
    </row>
    <row r="127" spans="2:12" ht="15.75" hidden="1" thickBot="1">
      <c r="B127" s="1"/>
      <c r="C127" s="81" t="str">
        <f ca="1">MandatortHousing_Date_Lbl</f>
        <v>City of Mandatory Housing Effective Date (DD/MM/YYYY)</v>
      </c>
      <c r="D127" s="1"/>
      <c r="E127" s="51"/>
      <c r="F127" s="1"/>
      <c r="G127" s="49"/>
      <c r="H127" s="1"/>
      <c r="I127" s="49"/>
      <c r="J127" s="1"/>
      <c r="K127" s="49"/>
      <c r="L127" s="1"/>
    </row>
    <row r="128" spans="2:12" ht="15.75" hidden="1" thickBot="1">
      <c r="B128" s="1"/>
      <c r="C128" s="33"/>
      <c r="D128" s="1"/>
      <c r="E128" s="49"/>
      <c r="F128" s="1"/>
      <c r="G128" s="49"/>
      <c r="H128" s="1"/>
      <c r="I128" s="49"/>
      <c r="J128" s="1"/>
      <c r="K128" s="49"/>
      <c r="L128" s="1"/>
    </row>
    <row r="129" spans="2:12" ht="15.75" hidden="1" thickBot="1">
      <c r="B129" s="1"/>
      <c r="C129" s="36" t="str">
        <f ca="1">Social_Benefits_lbl</f>
        <v>City of Social Benefits</v>
      </c>
      <c r="D129" s="1"/>
      <c r="E129" s="51"/>
      <c r="F129" s="1"/>
      <c r="G129" s="49"/>
      <c r="H129" s="1"/>
      <c r="I129" s="49"/>
      <c r="J129" s="1"/>
      <c r="K129" s="49"/>
      <c r="L129" s="1"/>
    </row>
    <row r="130" spans="2:12" ht="15.75" hidden="1" thickBot="1">
      <c r="B130" s="1"/>
      <c r="C130" s="33"/>
      <c r="D130" s="1"/>
      <c r="E130" s="49"/>
      <c r="F130" s="1"/>
      <c r="G130" s="49"/>
      <c r="H130" s="1"/>
      <c r="I130" s="49"/>
      <c r="J130" s="1"/>
      <c r="K130" s="49"/>
      <c r="L130" s="1"/>
    </row>
    <row r="131" spans="2:12" ht="15.75" hidden="1" thickBot="1">
      <c r="B131" s="1"/>
      <c r="C131" s="81" t="str">
        <f ca="1">SocialBenefits_Date_Lbl</f>
        <v>City of Social Benefits Effective Date (DD/MM/YYYY)</v>
      </c>
      <c r="D131" s="1"/>
      <c r="E131" s="51"/>
      <c r="F131" s="1"/>
      <c r="G131" s="49"/>
      <c r="H131" s="1"/>
      <c r="I131" s="49"/>
      <c r="J131" s="1"/>
      <c r="K131" s="49"/>
      <c r="L131" s="1"/>
    </row>
    <row r="132" spans="2:12" hidden="1">
      <c r="B132" s="1"/>
      <c r="C132" s="33"/>
      <c r="D132" s="1"/>
      <c r="E132" s="49"/>
      <c r="F132" s="1"/>
      <c r="G132" s="49"/>
      <c r="H132" s="1"/>
      <c r="I132" s="49"/>
      <c r="J132" s="1"/>
      <c r="K132" s="49"/>
      <c r="L132" s="1"/>
    </row>
    <row r="133" spans="2:12" ht="15.75" hidden="1" thickBot="1">
      <c r="B133" s="1"/>
      <c r="C133" s="36" t="str">
        <f ca="1">Disclosed_Veteran_Category_label</f>
        <v>Disclosed Veteran Category</v>
      </c>
      <c r="D133" s="1"/>
      <c r="E133" s="51"/>
      <c r="F133" s="1"/>
      <c r="G133" s="49"/>
      <c r="H133" s="1"/>
      <c r="I133" s="49"/>
      <c r="J133" s="1"/>
      <c r="K133" s="49"/>
      <c r="L133" s="1"/>
    </row>
    <row r="134" spans="2:12" ht="15.75" hidden="1" thickBot="1">
      <c r="B134" s="1"/>
      <c r="C134" s="33"/>
      <c r="D134" s="1"/>
      <c r="E134" s="49"/>
      <c r="F134" s="1"/>
      <c r="G134" s="49"/>
      <c r="H134" s="1"/>
      <c r="I134" s="49"/>
      <c r="J134" s="1"/>
      <c r="K134" s="49"/>
      <c r="L134" s="1"/>
    </row>
    <row r="135" spans="2:12" ht="15.75" hidden="1" thickBot="1">
      <c r="B135" s="1"/>
      <c r="C135" s="36" t="str">
        <f ca="1">Disability_Status_label</f>
        <v>Disability Status</v>
      </c>
      <c r="D135" s="1"/>
      <c r="E135" s="51"/>
      <c r="F135" s="1"/>
      <c r="G135" s="49"/>
      <c r="H135" s="1"/>
      <c r="I135" s="49"/>
      <c r="J135" s="1"/>
      <c r="K135" s="49"/>
      <c r="L135" s="1"/>
    </row>
    <row r="136" spans="2:12" ht="15.75" hidden="1" thickBot="1">
      <c r="B136" s="1"/>
      <c r="C136" s="33"/>
      <c r="D136" s="1"/>
      <c r="E136" s="49"/>
      <c r="F136" s="1"/>
      <c r="G136" s="49"/>
      <c r="H136" s="1"/>
      <c r="I136" s="49"/>
      <c r="J136" s="1"/>
      <c r="K136" s="49"/>
      <c r="L136" s="1"/>
    </row>
    <row r="137" spans="2:12" ht="15.75" hidden="1" thickBot="1">
      <c r="B137" s="1"/>
      <c r="C137" s="36" t="str">
        <f ca="1">Aboriginal_People_label</f>
        <v>Aboriginal People</v>
      </c>
      <c r="D137" s="1"/>
      <c r="E137" s="51"/>
      <c r="F137" s="1"/>
      <c r="G137" s="49"/>
      <c r="H137" s="1"/>
      <c r="I137" s="49"/>
      <c r="J137" s="1"/>
      <c r="K137" s="49"/>
      <c r="L137" s="1"/>
    </row>
    <row r="138" spans="2:12" ht="15.75" hidden="1" thickBot="1">
      <c r="B138" s="1"/>
      <c r="C138" s="33"/>
      <c r="D138" s="1"/>
      <c r="E138" s="49"/>
      <c r="F138" s="1"/>
      <c r="G138" s="49"/>
      <c r="H138" s="1"/>
      <c r="I138" s="49"/>
      <c r="J138" s="1"/>
      <c r="K138" s="49"/>
      <c r="L138" s="1"/>
    </row>
    <row r="139" spans="2:12" ht="15.75" hidden="1" thickBot="1">
      <c r="B139" s="1"/>
      <c r="C139" s="36" t="str">
        <f ca="1">Is_a_Visible_Minority_label</f>
        <v>Is a Visible Minority?</v>
      </c>
      <c r="D139" s="1"/>
      <c r="E139" s="51"/>
      <c r="F139" s="1"/>
      <c r="G139" s="49"/>
      <c r="H139" s="1"/>
      <c r="I139" s="49"/>
      <c r="J139" s="1"/>
      <c r="K139" s="49"/>
      <c r="L139" s="1"/>
    </row>
    <row r="140" spans="2:12" ht="15.75" hidden="1" thickBot="1">
      <c r="B140" s="1"/>
      <c r="C140" s="33"/>
      <c r="D140" s="1"/>
      <c r="E140" s="49"/>
      <c r="F140" s="1"/>
      <c r="G140" s="49"/>
      <c r="H140" s="1"/>
      <c r="I140" s="49"/>
      <c r="J140" s="1"/>
      <c r="K140" s="49"/>
      <c r="L140" s="1"/>
    </row>
    <row r="141" spans="2:12" ht="15.75" hidden="1" thickBot="1">
      <c r="B141" s="1"/>
      <c r="C141" s="36" t="str">
        <f ca="1">Person_with_Disability_label</f>
        <v>Person with Disability</v>
      </c>
      <c r="D141" s="1"/>
      <c r="E141" s="51"/>
      <c r="F141" s="1"/>
      <c r="G141" s="49"/>
      <c r="H141" s="1"/>
      <c r="I141" s="49"/>
      <c r="J141" s="1"/>
      <c r="K141" s="49"/>
      <c r="L141" s="1"/>
    </row>
    <row r="142" spans="2:12" ht="15.75" hidden="1" thickBot="1">
      <c r="B142" s="1"/>
      <c r="C142" s="33"/>
      <c r="D142" s="1"/>
      <c r="E142" s="49"/>
      <c r="F142" s="1"/>
      <c r="G142" s="49"/>
      <c r="H142" s="1"/>
      <c r="I142" s="49"/>
      <c r="J142" s="1"/>
      <c r="K142" s="49"/>
      <c r="L142" s="1"/>
    </row>
    <row r="143" spans="2:12" ht="15.75" hidden="1" thickBot="1">
      <c r="B143" s="1"/>
      <c r="C143" s="36" t="str">
        <f ca="1">Accommodation_Provided_label</f>
        <v>Accommodation Provided</v>
      </c>
      <c r="D143" s="1"/>
      <c r="E143" s="51"/>
      <c r="F143" s="1"/>
      <c r="G143" s="49"/>
      <c r="H143" s="1"/>
      <c r="I143" s="49"/>
      <c r="J143" s="1"/>
      <c r="K143" s="49"/>
      <c r="L143" s="1"/>
    </row>
    <row r="144" spans="2:12" ht="15.75" hidden="1" thickBot="1">
      <c r="B144" s="1"/>
      <c r="C144" s="33"/>
      <c r="D144" s="1"/>
      <c r="E144" s="49"/>
      <c r="F144" s="1"/>
      <c r="G144" s="49"/>
      <c r="H144" s="1"/>
      <c r="I144" s="49"/>
      <c r="J144" s="1"/>
      <c r="K144" s="49"/>
      <c r="L144" s="1"/>
    </row>
    <row r="145" spans="2:12" ht="15.75" hidden="1" thickBot="1">
      <c r="B145" s="1"/>
      <c r="C145" s="44" t="str">
        <f ca="1">dad_name_label</f>
        <v>Father's name</v>
      </c>
      <c r="D145" s="1"/>
      <c r="E145" s="51"/>
      <c r="F145" s="1"/>
      <c r="G145" s="49"/>
      <c r="H145" s="1"/>
      <c r="I145" s="49"/>
      <c r="J145" s="1"/>
      <c r="K145" s="49"/>
      <c r="L145" s="1"/>
    </row>
    <row r="146" spans="2:12" ht="15.75" hidden="1" thickBot="1">
      <c r="B146" s="1"/>
      <c r="C146" s="33"/>
      <c r="D146" s="1"/>
      <c r="E146" s="49"/>
      <c r="F146" s="1"/>
      <c r="G146" s="49"/>
      <c r="H146" s="1"/>
      <c r="I146" s="49"/>
      <c r="J146" s="1"/>
      <c r="K146" s="49"/>
      <c r="L146" s="1"/>
    </row>
    <row r="147" spans="2:12" ht="15.75" hidden="1" thickBot="1">
      <c r="B147" s="1"/>
      <c r="C147" s="44" t="str">
        <f ca="1">mum_name_label</f>
        <v>Mother's name</v>
      </c>
      <c r="D147" s="1"/>
      <c r="E147" s="51"/>
      <c r="F147" s="1"/>
      <c r="G147" s="49"/>
      <c r="H147" s="1"/>
      <c r="I147" s="49"/>
      <c r="J147" s="1"/>
      <c r="K147" s="49"/>
      <c r="L147" s="1"/>
    </row>
    <row r="148" spans="2:12" hidden="1">
      <c r="B148" s="1"/>
      <c r="C148" s="44"/>
      <c r="D148" s="1"/>
      <c r="E148" s="1"/>
      <c r="F148" s="1"/>
      <c r="G148" s="49"/>
      <c r="H148" s="1"/>
      <c r="I148" s="49"/>
      <c r="J148" s="1"/>
      <c r="K148" s="49"/>
      <c r="L148" s="1"/>
    </row>
    <row r="150" spans="2:12">
      <c r="B150" s="7"/>
      <c r="C150" s="30" t="str">
        <f ca="1">Address_Label</f>
        <v>Address</v>
      </c>
      <c r="D150" s="7"/>
      <c r="E150" s="52"/>
      <c r="F150" s="7"/>
      <c r="G150" s="52"/>
      <c r="H150" s="7"/>
      <c r="I150" s="52"/>
      <c r="J150" s="7"/>
      <c r="K150" s="52"/>
      <c r="L150" s="7"/>
    </row>
    <row r="152" spans="2:12" ht="15.75" thickBot="1">
      <c r="B152" s="1"/>
      <c r="C152" s="31"/>
      <c r="D152" s="1"/>
      <c r="E152" s="49"/>
      <c r="F152" s="1"/>
      <c r="G152" s="49"/>
      <c r="H152" s="1"/>
      <c r="I152" s="49"/>
      <c r="J152" s="1"/>
      <c r="K152" s="49"/>
      <c r="L152" s="1"/>
    </row>
    <row r="153" spans="2:12" ht="15.75" thickBot="1">
      <c r="B153" s="1"/>
      <c r="C153" s="32" t="str">
        <f ca="1">"* "&amp;Address_type_label</f>
        <v>* Address Type</v>
      </c>
      <c r="D153" s="1"/>
      <c r="E153" s="51" t="s">
        <v>2563</v>
      </c>
      <c r="F153" s="1"/>
      <c r="G153" s="51"/>
      <c r="H153" s="1"/>
      <c r="I153" s="51"/>
      <c r="J153" s="1"/>
      <c r="K153" s="49"/>
      <c r="L153" s="1"/>
    </row>
    <row r="154" spans="2:12" ht="15.75" thickBot="1">
      <c r="B154" s="1"/>
      <c r="C154" s="33"/>
      <c r="D154" s="1"/>
      <c r="E154" s="49"/>
      <c r="F154" s="1"/>
      <c r="G154" s="49"/>
      <c r="H154" s="1"/>
      <c r="I154" s="49"/>
      <c r="J154" s="1"/>
      <c r="K154" s="49"/>
      <c r="L154" s="1"/>
    </row>
    <row r="155" spans="2:12" ht="15.75" thickBot="1">
      <c r="B155" s="1"/>
      <c r="C155" s="32" t="str">
        <f ca="1">"* "&amp;Country_label</f>
        <v>* Country</v>
      </c>
      <c r="D155" s="1"/>
      <c r="E155" s="51" t="s">
        <v>356</v>
      </c>
      <c r="F155" s="1"/>
      <c r="G155" s="51"/>
      <c r="H155" s="1"/>
      <c r="I155" s="51"/>
      <c r="J155" s="1"/>
      <c r="K155" s="49"/>
      <c r="L155" s="1"/>
    </row>
    <row r="156" spans="2:12" ht="15.75" thickBot="1">
      <c r="B156" s="1"/>
      <c r="C156" s="33"/>
      <c r="D156" s="1"/>
      <c r="E156" s="49"/>
      <c r="F156" s="1"/>
      <c r="G156" s="49"/>
      <c r="H156" s="1"/>
      <c r="I156" s="49"/>
      <c r="J156" s="1"/>
      <c r="K156" s="49"/>
      <c r="L156" s="1"/>
    </row>
    <row r="157" spans="2:12" ht="15.75" hidden="1" thickBot="1">
      <c r="B157" s="1"/>
      <c r="C157" s="33" t="str">
        <f ca="1">Care_of_label</f>
        <v>Care of</v>
      </c>
      <c r="D157" s="1"/>
      <c r="E157" s="51"/>
      <c r="F157" s="1"/>
      <c r="G157" s="51"/>
      <c r="H157" s="1"/>
      <c r="I157" s="51"/>
      <c r="J157" s="1"/>
      <c r="K157" s="49"/>
      <c r="L157" s="1"/>
    </row>
    <row r="158" spans="2:12" ht="15.75" hidden="1" thickBot="1">
      <c r="B158" s="1"/>
      <c r="C158" s="33"/>
      <c r="D158" s="1"/>
      <c r="E158" s="49"/>
      <c r="F158" s="1"/>
      <c r="G158" s="49"/>
      <c r="H158" s="1"/>
      <c r="I158" s="49"/>
      <c r="J158" s="1"/>
      <c r="K158" s="49"/>
      <c r="L158" s="1"/>
    </row>
    <row r="159" spans="2:12" ht="15.75" hidden="1" thickBot="1">
      <c r="B159" s="1"/>
      <c r="C159" s="33" t="str">
        <f ca="1">Street_label</f>
        <v>Street</v>
      </c>
      <c r="D159" s="1"/>
      <c r="E159" s="51"/>
      <c r="F159" s="1"/>
      <c r="G159" s="51"/>
      <c r="H159" s="1"/>
      <c r="I159" s="51"/>
      <c r="J159" s="1"/>
      <c r="K159" s="49"/>
      <c r="L159" s="1"/>
    </row>
    <row r="160" spans="2:12" ht="15.75" hidden="1" thickBot="1">
      <c r="B160" s="1"/>
      <c r="C160" s="33"/>
      <c r="D160" s="1"/>
      <c r="E160" s="49"/>
      <c r="F160" s="1"/>
      <c r="G160" s="49"/>
      <c r="H160" s="1"/>
      <c r="I160" s="49"/>
      <c r="J160" s="1"/>
      <c r="K160" s="49"/>
      <c r="L160" s="1"/>
    </row>
    <row r="161" spans="2:12" ht="15.75" hidden="1" thickBot="1">
      <c r="B161" s="1"/>
      <c r="C161" s="33" t="str">
        <f ca="1">col_muncipality_lbl</f>
        <v>Municipality/Municipio</v>
      </c>
      <c r="D161" s="1"/>
      <c r="E161" s="51"/>
      <c r="F161" s="1"/>
      <c r="G161" s="51"/>
      <c r="H161" s="1"/>
      <c r="I161" s="51"/>
      <c r="J161" s="1"/>
      <c r="K161" s="49"/>
      <c r="L161" s="1"/>
    </row>
    <row r="162" spans="2:12" ht="15.75" hidden="1" thickBot="1">
      <c r="B162" s="1"/>
      <c r="C162" s="33"/>
      <c r="D162" s="1"/>
      <c r="E162" s="49"/>
      <c r="F162" s="1"/>
      <c r="G162" s="49"/>
      <c r="H162" s="1"/>
      <c r="I162" s="49"/>
      <c r="J162" s="1"/>
      <c r="K162" s="49"/>
      <c r="L162" s="1"/>
    </row>
    <row r="163" spans="2:12" ht="15.75" hidden="1" thickBot="1">
      <c r="B163" s="1"/>
      <c r="C163" s="33" t="str">
        <f ca="1">ven_street_name_number_lbl</f>
        <v>Street Name and Number</v>
      </c>
      <c r="D163" s="1"/>
      <c r="E163" s="51"/>
      <c r="F163" s="1"/>
      <c r="G163" s="51"/>
      <c r="H163" s="1"/>
      <c r="I163" s="51"/>
      <c r="J163" s="1"/>
      <c r="K163" s="49"/>
      <c r="L163" s="1"/>
    </row>
    <row r="164" spans="2:12" ht="15.75" hidden="1" thickBot="1">
      <c r="B164" s="1"/>
      <c r="C164" s="33"/>
      <c r="D164" s="1"/>
      <c r="E164" s="49"/>
      <c r="F164" s="1"/>
      <c r="G164" s="49"/>
      <c r="H164" s="1"/>
      <c r="I164" s="49"/>
      <c r="J164" s="1"/>
      <c r="K164" s="49"/>
      <c r="L164" s="1"/>
    </row>
    <row r="165" spans="2:12" ht="15.75" hidden="1" thickBot="1">
      <c r="B165" s="1"/>
      <c r="C165" s="33" t="str">
        <f ca="1">cri_add_province_lbl</f>
        <v>Province</v>
      </c>
      <c r="D165" s="1"/>
      <c r="E165" s="51"/>
      <c r="F165" s="1"/>
      <c r="G165" s="51"/>
      <c r="H165" s="1"/>
      <c r="I165" s="51"/>
      <c r="J165" s="1"/>
      <c r="K165" s="49"/>
      <c r="L165" s="1"/>
    </row>
    <row r="166" spans="2:12" ht="15.75" hidden="1" thickBot="1">
      <c r="B166" s="1"/>
      <c r="C166" s="33"/>
      <c r="D166" s="1"/>
      <c r="E166" s="49"/>
      <c r="F166" s="1"/>
      <c r="G166" s="49"/>
      <c r="H166" s="1"/>
      <c r="I166" s="49"/>
      <c r="J166" s="1"/>
      <c r="K166" s="49"/>
      <c r="L166" s="1"/>
    </row>
    <row r="167" spans="2:12" ht="15.75" hidden="1" thickBot="1">
      <c r="B167" s="1"/>
      <c r="C167" s="33" t="str">
        <f ca="1">cri_add_canton_lbl</f>
        <v>Canton</v>
      </c>
      <c r="D167" s="1"/>
      <c r="E167" s="51"/>
      <c r="F167" s="1"/>
      <c r="G167" s="51"/>
      <c r="H167" s="1"/>
      <c r="I167" s="51"/>
      <c r="J167" s="1"/>
      <c r="K167" s="49"/>
      <c r="L167" s="1"/>
    </row>
    <row r="168" spans="2:12" ht="15.75" hidden="1" thickBot="1">
      <c r="B168" s="1"/>
      <c r="C168" s="33"/>
      <c r="D168" s="1"/>
      <c r="E168" s="49"/>
      <c r="F168" s="1"/>
      <c r="G168" s="49"/>
      <c r="H168" s="1"/>
      <c r="I168" s="49"/>
      <c r="J168" s="1"/>
      <c r="K168" s="49"/>
      <c r="L168" s="1"/>
    </row>
    <row r="169" spans="2:12" ht="15.75" hidden="1" thickBot="1">
      <c r="B169" s="1"/>
      <c r="C169" s="34" t="str">
        <f ca="1">gtm_add_zona_lbl</f>
        <v>Zona</v>
      </c>
      <c r="D169" s="1"/>
      <c r="E169" s="51"/>
      <c r="F169" s="1"/>
      <c r="G169" s="51"/>
      <c r="H169" s="1"/>
      <c r="I169" s="51"/>
      <c r="J169" s="1"/>
      <c r="K169" s="49"/>
      <c r="L169" s="1"/>
    </row>
    <row r="170" spans="2:12" ht="15.75" hidden="1" thickBot="1">
      <c r="B170" s="1"/>
      <c r="C170" s="33"/>
      <c r="D170" s="1"/>
      <c r="E170" s="49"/>
      <c r="F170" s="1"/>
      <c r="G170" s="49"/>
      <c r="H170" s="1"/>
      <c r="I170" s="49"/>
      <c r="J170" s="1"/>
      <c r="K170" s="49"/>
      <c r="L170" s="1"/>
    </row>
    <row r="171" spans="2:12" ht="15.75" hidden="1" thickBot="1">
      <c r="B171" s="1"/>
      <c r="C171" s="34" t="str">
        <f ca="1">House_number_label</f>
        <v>House number</v>
      </c>
      <c r="D171" s="1"/>
      <c r="E171" s="51"/>
      <c r="F171" s="1"/>
      <c r="G171" s="51"/>
      <c r="H171" s="1"/>
      <c r="I171" s="51"/>
      <c r="J171" s="1"/>
      <c r="K171" s="49"/>
      <c r="L171" s="1"/>
    </row>
    <row r="172" spans="2:12" ht="15.75" hidden="1" thickBot="1">
      <c r="B172" s="1"/>
      <c r="C172" s="33"/>
      <c r="D172" s="1"/>
      <c r="E172" s="49"/>
      <c r="F172" s="1"/>
      <c r="G172" s="49"/>
      <c r="H172" s="1"/>
      <c r="I172" s="49"/>
      <c r="J172" s="1"/>
      <c r="K172" s="49"/>
      <c r="L172" s="1"/>
    </row>
    <row r="173" spans="2:12" ht="15.75" hidden="1" thickBot="1">
      <c r="B173" s="1"/>
      <c r="C173" s="33" t="str">
        <f ca="1">Apartment_label</f>
        <v>Apartment</v>
      </c>
      <c r="D173" s="1"/>
      <c r="E173" s="51"/>
      <c r="F173" s="1"/>
      <c r="G173" s="51"/>
      <c r="H173" s="1"/>
      <c r="I173" s="51"/>
      <c r="J173" s="1"/>
      <c r="K173" s="49"/>
      <c r="L173" s="1"/>
    </row>
    <row r="174" spans="2:12" ht="15.75" hidden="1" thickBot="1">
      <c r="B174" s="1"/>
      <c r="C174" s="33"/>
      <c r="D174" s="1"/>
      <c r="E174" s="49"/>
      <c r="F174" s="1"/>
      <c r="G174" s="49"/>
      <c r="H174" s="1"/>
      <c r="I174" s="49"/>
      <c r="J174" s="1"/>
      <c r="K174" s="49"/>
      <c r="L174" s="1"/>
    </row>
    <row r="175" spans="2:12" ht="15.75" thickBot="1">
      <c r="B175" s="1"/>
      <c r="C175" s="33" t="str">
        <f ca="1">add1_lbl</f>
        <v>Address1</v>
      </c>
      <c r="D175" s="1"/>
      <c r="E175" s="51" t="s">
        <v>9047</v>
      </c>
      <c r="F175" s="1"/>
      <c r="G175" s="51" t="s">
        <v>9048</v>
      </c>
      <c r="H175" s="1"/>
      <c r="I175" s="51" t="s">
        <v>9049</v>
      </c>
      <c r="J175" s="1"/>
      <c r="K175" s="49"/>
      <c r="L175" s="1"/>
    </row>
    <row r="176" spans="2:12" ht="15.75" thickBot="1">
      <c r="B176" s="1"/>
      <c r="C176" s="33"/>
      <c r="D176" s="1"/>
      <c r="E176" s="49"/>
      <c r="F176" s="1"/>
      <c r="G176" s="49"/>
      <c r="H176" s="1"/>
      <c r="I176" s="49"/>
      <c r="J176" s="1"/>
      <c r="K176" s="49"/>
      <c r="L176" s="1"/>
    </row>
    <row r="177" spans="2:12" ht="15.75" thickBot="1">
      <c r="B177" s="1"/>
      <c r="C177" s="33" t="str">
        <f ca="1">add2_lbl</f>
        <v>Address2</v>
      </c>
      <c r="D177" s="1"/>
      <c r="E177" s="51"/>
      <c r="F177" s="1"/>
      <c r="G177" s="51"/>
      <c r="H177" s="1"/>
      <c r="I177" s="51"/>
      <c r="J177" s="1"/>
      <c r="K177" s="49"/>
      <c r="L177" s="1"/>
    </row>
    <row r="178" spans="2:12" ht="15.75" thickBot="1">
      <c r="B178" s="1"/>
      <c r="C178" s="33"/>
      <c r="D178" s="1"/>
      <c r="E178" s="49"/>
      <c r="F178" s="1"/>
      <c r="G178" s="49"/>
      <c r="H178" s="1"/>
      <c r="I178" s="49"/>
      <c r="J178" s="1"/>
      <c r="K178" s="49"/>
      <c r="L178" s="1"/>
    </row>
    <row r="179" spans="2:12" s="88" customFormat="1" ht="15.75" hidden="1" thickBot="1">
      <c r="B179" s="91"/>
      <c r="C179" s="34" t="str">
        <f ca="1">jpn_kanji_addl1_lbl</f>
        <v>Kanji Address Line 1</v>
      </c>
      <c r="D179" s="91"/>
      <c r="E179" s="92"/>
      <c r="F179" s="91"/>
      <c r="G179" s="92"/>
      <c r="H179" s="91"/>
      <c r="I179" s="92"/>
      <c r="J179" s="91"/>
      <c r="K179" s="93"/>
      <c r="L179" s="91"/>
    </row>
    <row r="180" spans="2:12" s="88" customFormat="1" ht="15.75" hidden="1" thickBot="1">
      <c r="B180" s="91"/>
      <c r="C180" s="34"/>
      <c r="D180" s="91"/>
      <c r="E180" s="93"/>
      <c r="F180" s="91"/>
      <c r="G180" s="93"/>
      <c r="H180" s="91"/>
      <c r="I180" s="93"/>
      <c r="J180" s="91"/>
      <c r="K180" s="93"/>
      <c r="L180" s="91"/>
    </row>
    <row r="181" spans="2:12" s="88" customFormat="1" ht="15.75" hidden="1" thickBot="1">
      <c r="B181" s="91"/>
      <c r="C181" s="34" t="str">
        <f ca="1">jpn_kanji_addl2_lbl</f>
        <v>Kanji Address Line 2</v>
      </c>
      <c r="D181" s="91"/>
      <c r="E181" s="92"/>
      <c r="F181" s="91"/>
      <c r="G181" s="92"/>
      <c r="H181" s="91"/>
      <c r="I181" s="92"/>
      <c r="J181" s="91"/>
      <c r="K181" s="93"/>
      <c r="L181" s="91"/>
    </row>
    <row r="182" spans="2:12" s="88" customFormat="1" ht="15.75" hidden="1" thickBot="1">
      <c r="B182" s="91"/>
      <c r="C182" s="34"/>
      <c r="D182" s="91"/>
      <c r="E182" s="93"/>
      <c r="F182" s="91"/>
      <c r="G182" s="93"/>
      <c r="H182" s="91"/>
      <c r="I182" s="93"/>
      <c r="J182" s="91"/>
      <c r="K182" s="93"/>
      <c r="L182" s="91"/>
    </row>
    <row r="183" spans="2:12" s="88" customFormat="1" ht="15.75" hidden="1" thickBot="1">
      <c r="B183" s="91"/>
      <c r="C183" s="34" t="str">
        <f ca="1">jpn_kanji_addl3_lbl</f>
        <v>Kanji Address Line 3</v>
      </c>
      <c r="D183" s="91"/>
      <c r="E183" s="92"/>
      <c r="F183" s="91"/>
      <c r="G183" s="92"/>
      <c r="H183" s="91"/>
      <c r="I183" s="92"/>
      <c r="J183" s="91"/>
      <c r="K183" s="93"/>
      <c r="L183" s="91"/>
    </row>
    <row r="184" spans="2:12" s="88" customFormat="1" ht="15.75" hidden="1" thickBot="1">
      <c r="B184" s="91"/>
      <c r="C184" s="34"/>
      <c r="D184" s="91"/>
      <c r="E184" s="93"/>
      <c r="F184" s="91"/>
      <c r="G184" s="93"/>
      <c r="H184" s="91"/>
      <c r="I184" s="93"/>
      <c r="J184" s="91"/>
      <c r="K184" s="93"/>
      <c r="L184" s="91"/>
    </row>
    <row r="185" spans="2:12" s="88" customFormat="1" ht="15.75" hidden="1" thickBot="1">
      <c r="B185" s="91"/>
      <c r="C185" s="34" t="str">
        <f ca="1" xml:space="preserve">
jpn_katakana_addl1_lbl</f>
        <v>Katakana Address Line 1</v>
      </c>
      <c r="D185" s="91"/>
      <c r="E185" s="92"/>
      <c r="F185" s="91"/>
      <c r="G185" s="92"/>
      <c r="H185" s="91"/>
      <c r="I185" s="92"/>
      <c r="J185" s="91"/>
      <c r="K185" s="93"/>
      <c r="L185" s="91"/>
    </row>
    <row r="186" spans="2:12" s="88" customFormat="1" ht="15.75" hidden="1" thickBot="1">
      <c r="B186" s="91"/>
      <c r="C186" s="34"/>
      <c r="D186" s="91"/>
      <c r="E186" s="93"/>
      <c r="F186" s="91"/>
      <c r="G186" s="93"/>
      <c r="H186" s="91"/>
      <c r="I186" s="93"/>
      <c r="J186" s="91"/>
      <c r="K186" s="93"/>
      <c r="L186" s="91"/>
    </row>
    <row r="187" spans="2:12" s="88" customFormat="1" ht="15.75" hidden="1" thickBot="1">
      <c r="B187" s="91"/>
      <c r="C187" s="34" t="str">
        <f ca="1" xml:space="preserve">
jpn_katakana_addl2_lbl</f>
        <v>Katakana Address Line 2</v>
      </c>
      <c r="D187" s="91"/>
      <c r="E187" s="92"/>
      <c r="F187" s="91"/>
      <c r="G187" s="92"/>
      <c r="H187" s="91"/>
      <c r="I187" s="92"/>
      <c r="J187" s="91"/>
      <c r="K187" s="93"/>
      <c r="L187" s="91"/>
    </row>
    <row r="188" spans="2:12" s="88" customFormat="1" ht="15.75" hidden="1" thickBot="1">
      <c r="B188" s="91"/>
      <c r="C188" s="34"/>
      <c r="D188" s="91"/>
      <c r="E188" s="93"/>
      <c r="F188" s="91"/>
      <c r="G188" s="93"/>
      <c r="H188" s="91"/>
      <c r="I188" s="93"/>
      <c r="J188" s="91"/>
      <c r="K188" s="93"/>
      <c r="L188" s="91"/>
    </row>
    <row r="189" spans="2:12" s="88" customFormat="1" ht="15.75" hidden="1" thickBot="1">
      <c r="B189" s="91"/>
      <c r="C189" s="34" t="str">
        <f ca="1">jpn_katakana_addl3_lbl</f>
        <v>Katakana Address Line 3</v>
      </c>
      <c r="D189" s="91"/>
      <c r="E189" s="92"/>
      <c r="F189" s="91"/>
      <c r="G189" s="92"/>
      <c r="H189" s="91"/>
      <c r="I189" s="92"/>
      <c r="J189" s="91"/>
      <c r="K189" s="93"/>
      <c r="L189" s="91"/>
    </row>
    <row r="190" spans="2:12" ht="15.75" hidden="1" thickBot="1">
      <c r="B190" s="1"/>
      <c r="C190" s="33"/>
      <c r="D190" s="1"/>
      <c r="E190" s="49"/>
      <c r="F190" s="1"/>
      <c r="G190" s="49"/>
      <c r="H190" s="1"/>
      <c r="I190" s="49"/>
      <c r="J190" s="1"/>
      <c r="K190" s="49"/>
      <c r="L190" s="1"/>
    </row>
    <row r="191" spans="2:12" ht="15.75" hidden="1" thickBot="1">
      <c r="B191" s="1"/>
      <c r="C191" s="33" t="str">
        <f ca="1">add_detailed_address_lbl</f>
        <v>* Detailed Address</v>
      </c>
      <c r="D191" s="1"/>
      <c r="E191" s="51"/>
      <c r="F191" s="1"/>
      <c r="G191" s="51"/>
      <c r="H191" s="1"/>
      <c r="I191" s="51"/>
      <c r="J191" s="1"/>
      <c r="K191" s="49"/>
      <c r="L191" s="1"/>
    </row>
    <row r="192" spans="2:12" ht="15.75" hidden="1" thickBot="1">
      <c r="B192" s="1"/>
      <c r="C192" s="33"/>
      <c r="D192" s="1"/>
      <c r="E192" s="49"/>
      <c r="F192" s="1"/>
      <c r="G192" s="49"/>
      <c r="H192" s="1"/>
      <c r="I192" s="49"/>
      <c r="J192" s="1"/>
      <c r="K192" s="49"/>
      <c r="L192" s="1"/>
    </row>
    <row r="193" spans="2:12" ht="15.75" hidden="1" thickBot="1">
      <c r="B193" s="1"/>
      <c r="C193" s="33" t="str">
        <f ca="1">kor_add_district_lbl</f>
        <v>* District</v>
      </c>
      <c r="D193" s="1"/>
      <c r="E193" s="51"/>
      <c r="F193" s="1"/>
      <c r="G193" s="51"/>
      <c r="H193" s="1"/>
      <c r="I193" s="51"/>
      <c r="J193" s="1"/>
      <c r="K193" s="49"/>
      <c r="L193" s="1"/>
    </row>
    <row r="194" spans="2:12" ht="15.75" hidden="1" thickBot="1">
      <c r="B194" s="1"/>
      <c r="C194" s="33"/>
      <c r="D194" s="1"/>
      <c r="E194" s="49"/>
      <c r="F194" s="1"/>
      <c r="G194" s="49"/>
      <c r="H194" s="1"/>
      <c r="I194" s="49"/>
      <c r="J194" s="1"/>
      <c r="K194" s="49"/>
      <c r="L194" s="1"/>
    </row>
    <row r="195" spans="2:12" ht="15.75" thickBot="1">
      <c r="B195" s="1"/>
      <c r="C195" s="33" t="str">
        <f ca="1">Extra_line_label</f>
        <v>Extra address line</v>
      </c>
      <c r="D195" s="1"/>
      <c r="E195" s="51"/>
      <c r="F195" s="1"/>
      <c r="G195" s="51"/>
      <c r="H195" s="1"/>
      <c r="I195" s="51"/>
      <c r="J195" s="1"/>
      <c r="K195" s="49"/>
      <c r="L195" s="1"/>
    </row>
    <row r="196" spans="2:12" ht="15.75" thickBot="1">
      <c r="B196" s="1"/>
      <c r="C196" s="33"/>
      <c r="D196" s="1"/>
      <c r="E196" s="49"/>
      <c r="F196" s="1"/>
      <c r="G196" s="49"/>
      <c r="H196" s="1"/>
      <c r="I196" s="49"/>
      <c r="J196" s="1"/>
      <c r="K196" s="49"/>
      <c r="L196" s="1"/>
    </row>
    <row r="197" spans="2:12" ht="15.75" thickBot="1">
      <c r="B197" s="1"/>
      <c r="C197" s="34" t="str">
        <f ca="1">Postal_code_label</f>
        <v>Postal / Zip code</v>
      </c>
      <c r="D197" s="1"/>
      <c r="E197" s="51">
        <v>47100</v>
      </c>
      <c r="F197" s="1"/>
      <c r="G197" s="51"/>
      <c r="H197" s="1"/>
      <c r="I197" s="51"/>
      <c r="J197" s="1"/>
      <c r="K197" s="49"/>
      <c r="L197" s="1"/>
    </row>
    <row r="198" spans="2:12" ht="15.75" thickBot="1">
      <c r="B198" s="1"/>
      <c r="C198" s="33"/>
      <c r="D198" s="1"/>
      <c r="E198" s="49"/>
      <c r="F198" s="1"/>
      <c r="G198" s="49"/>
      <c r="H198" s="1"/>
      <c r="I198" s="49"/>
      <c r="J198" s="1"/>
      <c r="K198" s="49"/>
      <c r="L198" s="1"/>
    </row>
    <row r="199" spans="2:12" ht="15.75" hidden="1" thickBot="1">
      <c r="B199" s="1"/>
      <c r="C199" s="34" t="str">
        <f ca="1">Colony_lbl</f>
        <v>Colony</v>
      </c>
      <c r="D199" s="1"/>
      <c r="E199" s="51"/>
      <c r="F199" s="1"/>
      <c r="G199" s="51"/>
      <c r="H199" s="1"/>
      <c r="I199" s="51"/>
      <c r="J199" s="1"/>
      <c r="K199" s="49"/>
      <c r="L199" s="1"/>
    </row>
    <row r="200" spans="2:12" ht="15.75" hidden="1" thickBot="1">
      <c r="B200" s="1"/>
      <c r="C200" s="33"/>
      <c r="D200" s="1"/>
      <c r="E200" s="49"/>
      <c r="F200" s="1"/>
      <c r="G200" s="49"/>
      <c r="H200" s="1"/>
      <c r="I200" s="49"/>
      <c r="J200" s="1"/>
      <c r="K200" s="49"/>
      <c r="L200" s="1"/>
    </row>
    <row r="201" spans="2:12" ht="15.75" hidden="1" thickBot="1">
      <c r="B201" s="1"/>
      <c r="C201" s="34" t="str">
        <f ca="1">gtm_add_department_lbl</f>
        <v>Department</v>
      </c>
      <c r="D201" s="1"/>
      <c r="E201" s="51"/>
      <c r="F201" s="1"/>
      <c r="G201" s="51"/>
      <c r="H201" s="1"/>
      <c r="I201" s="51"/>
      <c r="J201" s="1"/>
      <c r="K201" s="49"/>
      <c r="L201" s="1"/>
    </row>
    <row r="202" spans="2:12" hidden="1">
      <c r="B202" s="1"/>
      <c r="C202" s="33"/>
      <c r="D202" s="1"/>
      <c r="E202" s="49"/>
      <c r="F202" s="1"/>
      <c r="G202" s="49"/>
      <c r="H202" s="1"/>
      <c r="I202" s="49"/>
      <c r="J202" s="1"/>
      <c r="K202" s="49"/>
      <c r="L202" s="1"/>
    </row>
    <row r="203" spans="2:12" ht="15.75" thickBot="1">
      <c r="B203" s="1"/>
      <c r="C203" s="34" t="str">
        <f ca="1">City_label</f>
        <v>City</v>
      </c>
      <c r="D203" s="1"/>
      <c r="E203" s="51" t="s">
        <v>9050</v>
      </c>
      <c r="F203" s="1"/>
      <c r="G203" s="51"/>
      <c r="H203" s="1"/>
      <c r="I203" s="51"/>
      <c r="J203" s="1"/>
      <c r="K203" s="49"/>
      <c r="L203" s="1"/>
    </row>
    <row r="204" spans="2:12" ht="15.75" thickBot="1">
      <c r="B204" s="1"/>
      <c r="C204" s="33"/>
      <c r="D204" s="1"/>
      <c r="E204" s="49"/>
      <c r="F204" s="1"/>
      <c r="G204" s="49"/>
      <c r="H204" s="1"/>
      <c r="I204" s="49"/>
      <c r="J204" s="1"/>
      <c r="K204" s="49"/>
      <c r="L204" s="1"/>
    </row>
    <row r="205" spans="2:12" ht="15.75" hidden="1" thickBot="1">
      <c r="B205" s="1"/>
      <c r="C205" s="34" t="str">
        <f ca="1">Locality_label</f>
        <v>Locality</v>
      </c>
      <c r="D205" s="1"/>
      <c r="E205" s="51"/>
      <c r="F205" s="1"/>
      <c r="G205" s="51"/>
      <c r="H205" s="1"/>
      <c r="I205" s="51"/>
      <c r="J205" s="1"/>
      <c r="K205" s="49"/>
      <c r="L205" s="1"/>
    </row>
    <row r="206" spans="2:12" ht="15.75" hidden="1" thickBot="1">
      <c r="B206" s="1"/>
      <c r="C206" s="33"/>
      <c r="D206" s="1"/>
      <c r="E206" s="49"/>
      <c r="F206" s="1"/>
      <c r="G206" s="49"/>
      <c r="H206" s="1"/>
      <c r="I206" s="49"/>
      <c r="J206" s="1"/>
      <c r="K206" s="49"/>
      <c r="L206" s="1"/>
    </row>
    <row r="207" spans="2:12" ht="15.75" hidden="1" thickBot="1">
      <c r="B207" s="1"/>
      <c r="C207" s="34" t="str">
        <f ca="1">County_label</f>
        <v>County / District / Department</v>
      </c>
      <c r="D207" s="1"/>
      <c r="E207" s="51"/>
      <c r="F207" s="1"/>
      <c r="G207" s="51"/>
      <c r="H207" s="1"/>
      <c r="I207" s="51"/>
      <c r="J207" s="1"/>
      <c r="K207" s="49"/>
      <c r="L207" s="1"/>
    </row>
    <row r="208" spans="2:12" ht="15.75" hidden="1" thickBot="1">
      <c r="B208" s="1"/>
      <c r="C208" s="33"/>
      <c r="D208" s="1"/>
      <c r="E208" s="49"/>
      <c r="F208" s="1"/>
      <c r="G208" s="49"/>
      <c r="H208" s="1"/>
      <c r="I208" s="49"/>
      <c r="J208" s="1"/>
      <c r="K208" s="49"/>
      <c r="L208" s="1"/>
    </row>
    <row r="209" spans="2:12" ht="15.75" hidden="1" thickBot="1">
      <c r="B209" s="1"/>
      <c r="C209" s="34" t="str">
        <f ca="1">Area_lbl</f>
        <v>Area</v>
      </c>
      <c r="D209" s="1"/>
      <c r="E209" s="51"/>
      <c r="F209" s="1"/>
      <c r="G209" s="51"/>
      <c r="H209" s="1"/>
      <c r="I209" s="51"/>
      <c r="J209" s="1"/>
      <c r="K209" s="49"/>
      <c r="L209" s="1"/>
    </row>
    <row r="210" spans="2:12" ht="15.75" hidden="1" thickBot="1">
      <c r="B210" s="1"/>
      <c r="C210" s="33"/>
      <c r="D210" s="1"/>
      <c r="E210" s="49"/>
      <c r="F210" s="1"/>
      <c r="G210" s="49"/>
      <c r="H210" s="1"/>
      <c r="I210" s="49"/>
      <c r="J210" s="1"/>
      <c r="K210" s="49"/>
      <c r="L210" s="1"/>
    </row>
    <row r="211" spans="2:12" ht="15.75" hidden="1" thickBot="1">
      <c r="B211" s="1"/>
      <c r="C211" s="34" t="str">
        <f ca="1">UBIGEO_lbl</f>
        <v>UBIGEO</v>
      </c>
      <c r="D211" s="1"/>
      <c r="E211" s="51"/>
      <c r="F211" s="1"/>
      <c r="G211" s="51"/>
      <c r="H211" s="1"/>
      <c r="I211" s="51"/>
      <c r="J211" s="1"/>
      <c r="K211" s="49"/>
      <c r="L211" s="1"/>
    </row>
    <row r="212" spans="2:12" hidden="1">
      <c r="B212" s="1"/>
      <c r="C212" s="33"/>
      <c r="D212" s="1"/>
      <c r="E212" s="49"/>
      <c r="F212" s="1"/>
      <c r="G212" s="49"/>
      <c r="H212" s="1"/>
      <c r="I212" s="49"/>
      <c r="J212" s="1"/>
      <c r="K212" s="49"/>
      <c r="L212" s="1"/>
    </row>
    <row r="213" spans="2:12" ht="15.75" thickBot="1">
      <c r="B213" s="1"/>
      <c r="C213" s="34" t="str">
        <f ca="1">Region_label</f>
        <v xml:space="preserve">Canton / Province / Region / State </v>
      </c>
      <c r="D213" s="1"/>
      <c r="E213" s="51" t="s">
        <v>9051</v>
      </c>
      <c r="F213" s="1"/>
      <c r="G213" s="51"/>
      <c r="H213" s="1"/>
      <c r="I213" s="51"/>
      <c r="J213" s="1"/>
      <c r="K213" s="49"/>
      <c r="L213" s="1"/>
    </row>
    <row r="214" spans="2:12">
      <c r="B214" s="1"/>
      <c r="C214" s="33"/>
      <c r="D214" s="1"/>
      <c r="E214" s="49"/>
      <c r="F214" s="1"/>
      <c r="G214" s="49"/>
      <c r="H214" s="1"/>
      <c r="I214" s="49"/>
      <c r="J214" s="1"/>
      <c r="K214" s="49"/>
      <c r="L214" s="1"/>
    </row>
    <row r="215" spans="2:12" ht="15.75" hidden="1" thickBot="1">
      <c r="B215" s="1"/>
      <c r="C215" s="34" t="str">
        <f ca="1">Building_label</f>
        <v>Building</v>
      </c>
      <c r="D215" s="1"/>
      <c r="E215" s="51"/>
      <c r="F215" s="1"/>
      <c r="G215" s="51"/>
      <c r="H215" s="1"/>
      <c r="I215" s="51"/>
      <c r="J215" s="1"/>
      <c r="K215" s="49"/>
      <c r="L215" s="1"/>
    </row>
    <row r="216" spans="2:12" ht="15.75" hidden="1" thickBot="1">
      <c r="B216" s="1"/>
      <c r="C216" s="33"/>
      <c r="D216" s="1"/>
      <c r="E216" s="49"/>
      <c r="F216" s="1"/>
      <c r="G216" s="49"/>
      <c r="H216" s="1"/>
      <c r="I216" s="49"/>
      <c r="J216" s="1"/>
      <c r="K216" s="49"/>
      <c r="L216" s="1"/>
    </row>
    <row r="217" spans="2:12" ht="15.75" hidden="1" thickBot="1">
      <c r="B217" s="1"/>
      <c r="C217" s="34" t="str">
        <f ca="1">Staircase_label</f>
        <v>Staircase</v>
      </c>
      <c r="D217" s="1"/>
      <c r="E217" s="51"/>
      <c r="F217" s="1"/>
      <c r="G217" s="51"/>
      <c r="H217" s="1"/>
      <c r="I217" s="51"/>
      <c r="J217" s="1"/>
      <c r="K217" s="49"/>
      <c r="L217" s="1"/>
    </row>
    <row r="218" spans="2:12" ht="15.75" hidden="1" thickBot="1">
      <c r="B218" s="1"/>
      <c r="C218" s="33"/>
      <c r="D218" s="1"/>
      <c r="E218" s="49"/>
      <c r="F218" s="1"/>
      <c r="G218" s="49"/>
      <c r="H218" s="1"/>
      <c r="I218" s="49"/>
      <c r="J218" s="1"/>
      <c r="K218" s="49"/>
      <c r="L218" s="1"/>
    </row>
    <row r="219" spans="2:12" ht="15.75" hidden="1" thickBot="1">
      <c r="B219" s="1"/>
      <c r="C219" s="34" t="str">
        <f ca="1">Floor_label</f>
        <v>Floor</v>
      </c>
      <c r="D219" s="1"/>
      <c r="E219" s="51"/>
      <c r="F219" s="1"/>
      <c r="G219" s="51"/>
      <c r="H219" s="1"/>
      <c r="I219" s="51"/>
      <c r="J219" s="1"/>
      <c r="K219" s="49"/>
      <c r="L219" s="1"/>
    </row>
    <row r="220" spans="2:12" ht="15.75" hidden="1" thickBot="1">
      <c r="B220" s="1"/>
      <c r="C220" s="33"/>
      <c r="D220" s="1"/>
      <c r="E220" s="49"/>
      <c r="F220" s="1"/>
      <c r="G220" s="49"/>
      <c r="H220" s="1"/>
      <c r="I220" s="49"/>
      <c r="J220" s="1"/>
      <c r="K220" s="49"/>
      <c r="L220" s="1"/>
    </row>
    <row r="221" spans="2:12" ht="15.75" hidden="1" thickBot="1">
      <c r="B221" s="1"/>
      <c r="C221" s="34" t="str">
        <f ca="1">Post_label</f>
        <v>Post</v>
      </c>
      <c r="D221" s="1"/>
      <c r="E221" s="51"/>
      <c r="F221" s="1"/>
      <c r="G221" s="51"/>
      <c r="H221" s="1"/>
      <c r="I221" s="51"/>
      <c r="J221" s="1"/>
      <c r="K221" s="49"/>
      <c r="L221" s="1"/>
    </row>
    <row r="222" spans="2:12" ht="15.75" hidden="1" thickBot="1">
      <c r="B222" s="1"/>
      <c r="C222" s="33"/>
      <c r="D222" s="1"/>
      <c r="E222" s="49"/>
      <c r="F222" s="1"/>
      <c r="G222" s="49"/>
      <c r="H222" s="1"/>
      <c r="I222" s="49"/>
      <c r="J222" s="1"/>
      <c r="K222" s="49"/>
      <c r="L222" s="1"/>
    </row>
    <row r="223" spans="2:12" ht="15.75" hidden="1" thickBot="1">
      <c r="B223" s="1"/>
      <c r="C223" s="34" t="str">
        <f ca="1">Street_type_label</f>
        <v>Street type</v>
      </c>
      <c r="D223" s="1"/>
      <c r="E223" s="51"/>
      <c r="F223" s="1"/>
      <c r="G223" s="51"/>
      <c r="H223" s="1"/>
      <c r="I223" s="51"/>
      <c r="J223" s="1"/>
      <c r="K223" s="49"/>
      <c r="L223" s="1"/>
    </row>
    <row r="224" spans="2:12" ht="15.75" hidden="1" thickBot="1">
      <c r="B224" s="1"/>
      <c r="C224" s="33"/>
      <c r="D224" s="1"/>
      <c r="E224" s="49"/>
      <c r="F224" s="1"/>
      <c r="G224" s="49"/>
      <c r="H224" s="1"/>
      <c r="I224" s="49"/>
      <c r="J224" s="1"/>
      <c r="K224" s="49"/>
      <c r="L224" s="1"/>
    </row>
    <row r="225" spans="2:12" ht="15.75" hidden="1" thickBot="1">
      <c r="B225" s="1"/>
      <c r="C225" s="34" t="str">
        <f ca="1">Addressee_label</f>
        <v>Name of Addressee</v>
      </c>
      <c r="D225" s="1"/>
      <c r="E225" s="51"/>
      <c r="F225" s="1"/>
      <c r="G225" s="51"/>
      <c r="H225" s="1"/>
      <c r="I225" s="51"/>
      <c r="J225" s="1"/>
      <c r="K225" s="49"/>
      <c r="L225" s="1"/>
    </row>
    <row r="226" spans="2:12" ht="15.75" hidden="1" thickBot="1">
      <c r="B226" s="1"/>
      <c r="C226" s="33"/>
      <c r="D226" s="1"/>
      <c r="E226" s="49"/>
      <c r="F226" s="1"/>
      <c r="G226" s="49"/>
      <c r="H226" s="1"/>
      <c r="I226" s="49"/>
      <c r="J226" s="1"/>
      <c r="K226" s="49"/>
      <c r="L226" s="1"/>
    </row>
    <row r="227" spans="2:12" ht="15.75" hidden="1" thickBot="1">
      <c r="B227" s="1"/>
      <c r="C227" s="34" t="str">
        <f ca="1">Neighborood_lbl</f>
        <v>Neighborhood</v>
      </c>
      <c r="D227" s="1"/>
      <c r="E227" s="51"/>
      <c r="F227" s="1"/>
      <c r="G227" s="51"/>
      <c r="H227" s="1"/>
      <c r="I227" s="51"/>
      <c r="J227" s="1"/>
      <c r="K227" s="49"/>
      <c r="L227" s="1"/>
    </row>
    <row r="228" spans="2:12" ht="15.75" hidden="1" thickBot="1">
      <c r="B228" s="1"/>
      <c r="C228" s="33"/>
      <c r="D228" s="1"/>
      <c r="E228" s="49"/>
      <c r="F228" s="1"/>
      <c r="G228" s="49"/>
      <c r="H228" s="1"/>
      <c r="I228" s="49"/>
      <c r="J228" s="1"/>
      <c r="K228" s="49"/>
      <c r="L228" s="1"/>
    </row>
    <row r="229" spans="2:12" ht="15.75" hidden="1" thickBot="1">
      <c r="B229" s="1"/>
      <c r="C229" s="34" t="str">
        <f ca="1">Tipo_Logradouro_lbl</f>
        <v>Tipo Logradouro</v>
      </c>
      <c r="D229" s="1"/>
      <c r="E229" s="51"/>
      <c r="F229" s="1"/>
      <c r="G229" s="51"/>
      <c r="H229" s="1"/>
      <c r="I229" s="51"/>
      <c r="J229" s="1"/>
      <c r="K229" s="49"/>
      <c r="L229" s="1"/>
    </row>
    <row r="230" spans="2:12" hidden="1">
      <c r="B230" s="1"/>
      <c r="C230" s="33"/>
      <c r="D230" s="1"/>
      <c r="E230" s="49"/>
      <c r="F230" s="1"/>
      <c r="G230" s="49"/>
      <c r="H230" s="1"/>
      <c r="I230" s="49"/>
      <c r="J230" s="1"/>
      <c r="K230" s="49"/>
      <c r="L230" s="1"/>
    </row>
    <row r="232" spans="2:12">
      <c r="B232" s="7"/>
      <c r="C232" s="30" t="str">
        <f ca="1">wp_info_label</f>
        <v>Work Permit Information</v>
      </c>
      <c r="D232" s="7"/>
      <c r="E232" s="52"/>
      <c r="F232" s="7"/>
      <c r="G232" s="52"/>
      <c r="H232" s="7"/>
      <c r="I232" s="52"/>
      <c r="J232" s="7"/>
      <c r="K232" s="52"/>
      <c r="L232" s="7"/>
    </row>
    <row r="234" spans="2:12" ht="15.75" thickBot="1">
      <c r="B234" s="1"/>
      <c r="C234" s="31"/>
      <c r="D234" s="1"/>
      <c r="E234" s="49"/>
      <c r="F234" s="1"/>
      <c r="G234" s="49"/>
      <c r="H234" s="1"/>
      <c r="I234" s="49"/>
      <c r="J234" s="1"/>
      <c r="K234" s="49"/>
      <c r="L234" s="1"/>
    </row>
    <row r="235" spans="2:12" ht="15.75" thickBot="1">
      <c r="B235" s="1"/>
      <c r="C235" s="32" t="str">
        <f ca="1">wp_country_label</f>
        <v>Country</v>
      </c>
      <c r="D235" s="1"/>
      <c r="E235" s="53"/>
      <c r="F235" s="1"/>
      <c r="G235" s="53"/>
      <c r="H235" s="1"/>
      <c r="I235" s="49"/>
      <c r="J235" s="1"/>
      <c r="K235" s="49"/>
      <c r="L235" s="1"/>
    </row>
    <row r="236" spans="2:12" ht="15.75" thickBot="1">
      <c r="B236" s="1"/>
      <c r="C236" s="33"/>
      <c r="D236" s="1"/>
      <c r="E236" s="49"/>
      <c r="F236" s="1"/>
      <c r="G236" s="49"/>
      <c r="H236" s="1"/>
      <c r="I236" s="49"/>
      <c r="J236" s="1"/>
      <c r="K236" s="49"/>
      <c r="L236" s="1"/>
    </row>
    <row r="237" spans="2:12" ht="15.75" thickBot="1">
      <c r="B237" s="1"/>
      <c r="C237" s="32" t="str">
        <f ca="1">wp_type_label</f>
        <v>Document Type</v>
      </c>
      <c r="D237" s="1"/>
      <c r="E237" s="53"/>
      <c r="F237" s="1"/>
      <c r="G237" s="53"/>
      <c r="H237" s="1"/>
      <c r="I237" s="49"/>
      <c r="J237" s="1"/>
      <c r="K237" s="49"/>
      <c r="L237" s="1"/>
    </row>
    <row r="238" spans="2:12" ht="15.75" thickBot="1">
      <c r="B238" s="1"/>
      <c r="C238" s="33"/>
      <c r="D238" s="1"/>
      <c r="E238" s="49"/>
      <c r="F238" s="1"/>
      <c r="G238" s="49"/>
      <c r="H238" s="1"/>
      <c r="I238" s="49"/>
      <c r="J238" s="1"/>
      <c r="K238" s="49"/>
      <c r="L238" s="1"/>
    </row>
    <row r="239" spans="2:12" ht="15.75" thickBot="1">
      <c r="B239" s="1"/>
      <c r="C239" s="32" t="str">
        <f ca="1">DocTitle_lbl</f>
        <v>Document Title</v>
      </c>
      <c r="D239" s="1"/>
      <c r="E239" s="53"/>
      <c r="F239" s="1"/>
      <c r="G239" s="53"/>
      <c r="H239" s="1"/>
      <c r="I239" s="49"/>
      <c r="J239" s="1"/>
      <c r="K239" s="49"/>
      <c r="L239" s="1"/>
    </row>
    <row r="240" spans="2:12" ht="15.75" thickBot="1">
      <c r="B240" s="1"/>
      <c r="C240" s="33"/>
      <c r="D240" s="1"/>
      <c r="E240" s="49"/>
      <c r="F240" s="1"/>
      <c r="G240" s="49"/>
      <c r="H240" s="1"/>
      <c r="I240" s="49"/>
      <c r="J240" s="1"/>
      <c r="K240" s="49"/>
      <c r="L240" s="1"/>
    </row>
    <row r="241" spans="2:12" ht="15.75" thickBot="1">
      <c r="B241" s="1"/>
      <c r="C241" s="32" t="str">
        <f ca="1">wp_number_label</f>
        <v>Document Number</v>
      </c>
      <c r="D241" s="1"/>
      <c r="E241" s="70"/>
      <c r="F241" s="1"/>
      <c r="G241" s="70"/>
      <c r="H241" s="1"/>
      <c r="I241" s="49"/>
      <c r="J241" s="1"/>
      <c r="K241" s="49"/>
      <c r="L241" s="1"/>
    </row>
    <row r="242" spans="2:12" ht="15.75" thickBot="1">
      <c r="B242" s="1"/>
      <c r="C242" s="33"/>
      <c r="D242" s="1"/>
      <c r="E242" s="49"/>
      <c r="F242" s="1"/>
      <c r="G242" s="49"/>
      <c r="H242" s="1"/>
      <c r="I242" s="49"/>
      <c r="J242" s="1"/>
      <c r="K242" s="49"/>
      <c r="L242" s="1"/>
    </row>
    <row r="243" spans="2:12" ht="15.75" thickBot="1">
      <c r="B243" s="1"/>
      <c r="C243" s="32" t="str">
        <f ca="1">wp_issue_label</f>
        <v>Issue Date (DD/MM/YYYY)</v>
      </c>
      <c r="D243" s="1"/>
      <c r="E243" s="53"/>
      <c r="F243" s="1"/>
      <c r="G243" s="53"/>
      <c r="H243" s="1"/>
      <c r="I243" s="49"/>
      <c r="J243" s="1"/>
      <c r="K243" s="49"/>
      <c r="L243" s="1"/>
    </row>
    <row r="244" spans="2:12" ht="15.75" thickBot="1">
      <c r="B244" s="1"/>
      <c r="C244" s="33"/>
      <c r="D244" s="1"/>
      <c r="E244" s="49"/>
      <c r="F244" s="1"/>
      <c r="G244" s="49"/>
      <c r="H244" s="1"/>
      <c r="I244" s="49"/>
      <c r="J244" s="1"/>
      <c r="K244" s="49"/>
      <c r="L244" s="1"/>
    </row>
    <row r="245" spans="2:12" ht="15.75" thickBot="1">
      <c r="B245" s="1"/>
      <c r="C245" s="35" t="str">
        <f ca="1">wp_expiry_label</f>
        <v>Expiry Date (DD/MM/YYYY)</v>
      </c>
      <c r="D245" s="1"/>
      <c r="E245" s="53"/>
      <c r="F245" s="1"/>
      <c r="G245" s="53"/>
      <c r="H245" s="1"/>
      <c r="I245" s="49"/>
      <c r="J245" s="1"/>
      <c r="K245" s="49"/>
      <c r="L245" s="1"/>
    </row>
    <row r="246" spans="2:12" ht="15.75" thickBot="1">
      <c r="B246" s="1"/>
      <c r="C246" s="33"/>
      <c r="D246" s="1"/>
      <c r="E246" s="49"/>
      <c r="F246" s="1"/>
      <c r="G246" s="49"/>
      <c r="H246" s="1"/>
      <c r="I246" s="49"/>
      <c r="J246" s="1"/>
      <c r="K246" s="49"/>
      <c r="L246" s="1"/>
    </row>
    <row r="247" spans="2:12" ht="15.75" thickBot="1">
      <c r="B247" s="1"/>
      <c r="C247" s="32" t="str">
        <f ca="1">IssueAuth_lbl</f>
        <v>Issuing Authority</v>
      </c>
      <c r="D247" s="1"/>
      <c r="E247" s="70"/>
      <c r="F247" s="1"/>
      <c r="G247" s="70"/>
      <c r="H247" s="1"/>
      <c r="I247" s="49"/>
      <c r="J247" s="1"/>
      <c r="K247" s="49"/>
      <c r="L247" s="1"/>
    </row>
    <row r="248" spans="2:12" ht="15.75" thickBot="1">
      <c r="B248" s="1"/>
      <c r="C248" s="33"/>
      <c r="D248" s="1"/>
      <c r="E248" s="49"/>
      <c r="F248" s="1"/>
      <c r="G248" s="49"/>
      <c r="H248" s="1"/>
      <c r="I248" s="49"/>
      <c r="J248" s="1"/>
      <c r="K248" s="49"/>
      <c r="L248" s="1"/>
    </row>
    <row r="249" spans="2:12" ht="15.75" thickBot="1">
      <c r="B249" s="1"/>
      <c r="C249" s="32" t="str">
        <f ca="1">IssuePlace_lbl</f>
        <v>Issue Place</v>
      </c>
      <c r="D249" s="1"/>
      <c r="E249" s="70"/>
      <c r="F249" s="1"/>
      <c r="G249" s="70"/>
      <c r="H249" s="1"/>
      <c r="I249" s="49"/>
      <c r="J249" s="1"/>
      <c r="K249" s="49"/>
      <c r="L249" s="1"/>
    </row>
    <row r="250" spans="2:12" ht="15.75" thickBot="1">
      <c r="B250" s="1"/>
      <c r="C250" s="33"/>
      <c r="D250" s="1"/>
      <c r="E250" s="49"/>
      <c r="F250" s="1"/>
      <c r="G250" s="49"/>
      <c r="H250" s="1"/>
      <c r="I250" s="49"/>
      <c r="J250" s="1"/>
      <c r="K250" s="49"/>
      <c r="L250" s="1"/>
    </row>
    <row r="251" spans="2:12" ht="15.75" thickBot="1">
      <c r="B251" s="1"/>
      <c r="C251" s="32" t="str">
        <f ca="1">WorkPermit_Validate_Lbl</f>
        <v>Validated</v>
      </c>
      <c r="D251" s="1"/>
      <c r="E251" s="70"/>
      <c r="F251" s="1"/>
      <c r="G251" s="70"/>
      <c r="H251" s="1"/>
      <c r="I251" s="49"/>
      <c r="J251" s="1"/>
      <c r="K251" s="49"/>
      <c r="L251" s="1"/>
    </row>
    <row r="252" spans="2:12" ht="15.75" thickBot="1">
      <c r="B252" s="1"/>
      <c r="C252" s="33"/>
      <c r="D252" s="1"/>
      <c r="E252" s="49"/>
      <c r="F252" s="1"/>
      <c r="G252" s="49"/>
      <c r="H252" s="1"/>
      <c r="I252" s="49"/>
      <c r="J252" s="1"/>
      <c r="K252" s="49"/>
      <c r="L252" s="1"/>
    </row>
    <row r="253" spans="2:12" ht="15.75" thickBot="1">
      <c r="B253" s="1"/>
      <c r="C253" s="35" t="str">
        <f ca="1">Renewal_date_lbl</f>
        <v>Date Applied for Renewal (DD/MM/YYYY)</v>
      </c>
      <c r="D253" s="1"/>
      <c r="E253" s="53"/>
      <c r="F253" s="1"/>
      <c r="G253" s="53"/>
      <c r="H253" s="1"/>
      <c r="I253" s="49"/>
      <c r="J253" s="1"/>
      <c r="K253" s="49"/>
      <c r="L253" s="1"/>
    </row>
    <row r="254" spans="2:12">
      <c r="B254" s="1"/>
      <c r="C254" s="33"/>
      <c r="D254" s="1"/>
      <c r="E254" s="49"/>
      <c r="F254" s="1"/>
      <c r="G254" s="49"/>
      <c r="H254" s="1"/>
      <c r="I254" s="49"/>
      <c r="J254" s="1"/>
      <c r="K254" s="49"/>
      <c r="L254" s="1"/>
    </row>
    <row r="256" spans="2:12">
      <c r="B256" s="7"/>
      <c r="C256" s="30" t="str">
        <f ca="1">cont_info_label</f>
        <v>Contact Information</v>
      </c>
      <c r="D256" s="7"/>
      <c r="E256" s="52"/>
      <c r="F256" s="7"/>
      <c r="G256" s="52"/>
      <c r="H256" s="7"/>
      <c r="I256" s="52"/>
      <c r="J256" s="7"/>
      <c r="K256" s="52"/>
      <c r="L256" s="7"/>
    </row>
    <row r="258" spans="2:12" ht="15.75" thickBot="1">
      <c r="B258" s="1"/>
      <c r="C258" s="31"/>
      <c r="D258" s="1"/>
      <c r="E258" s="49"/>
      <c r="F258" s="1"/>
      <c r="G258" s="49"/>
      <c r="H258" s="1"/>
      <c r="I258" s="49"/>
      <c r="J258" s="1"/>
      <c r="K258" s="49"/>
      <c r="L258" s="1"/>
    </row>
    <row r="259" spans="2:12" ht="15.75" thickBot="1">
      <c r="B259" s="1"/>
      <c r="C259" s="32" t="str">
        <f ca="1">cont_type_label</f>
        <v>Type</v>
      </c>
      <c r="D259" s="1"/>
      <c r="E259" s="53" t="s">
        <v>429</v>
      </c>
      <c r="F259" s="1"/>
      <c r="G259" s="32" t="str">
        <f ca="1">cont_type_label</f>
        <v>Type</v>
      </c>
      <c r="H259" s="1"/>
      <c r="I259" s="53"/>
      <c r="J259" s="1"/>
      <c r="K259" s="49"/>
      <c r="L259" s="1"/>
    </row>
    <row r="260" spans="2:12" ht="15.75" thickBot="1">
      <c r="B260" s="1"/>
      <c r="C260" s="33"/>
      <c r="D260" s="1"/>
      <c r="E260" s="49"/>
      <c r="F260" s="1"/>
      <c r="G260" s="33"/>
      <c r="H260" s="1"/>
      <c r="I260" s="49"/>
      <c r="J260" s="1"/>
      <c r="K260" s="49"/>
      <c r="L260" s="1"/>
    </row>
    <row r="261" spans="2:12" ht="15.75" thickBot="1">
      <c r="B261" s="1"/>
      <c r="C261" s="35" t="str">
        <f ca="1">cont_number_label</f>
        <v>* Phone Number</v>
      </c>
      <c r="D261" s="1"/>
      <c r="E261" s="70" t="s">
        <v>9052</v>
      </c>
      <c r="F261" s="1"/>
      <c r="G261" s="35" t="str">
        <f ca="1">cont_number_label</f>
        <v>* Phone Number</v>
      </c>
      <c r="H261" s="1"/>
      <c r="I261" s="70"/>
      <c r="J261" s="1"/>
      <c r="K261" s="49"/>
      <c r="L261" s="1"/>
    </row>
    <row r="262" spans="2:12" ht="15.75" thickBot="1">
      <c r="B262" s="1"/>
      <c r="C262" s="33"/>
      <c r="D262" s="1"/>
      <c r="E262" s="49"/>
      <c r="F262" s="1"/>
      <c r="G262" s="33"/>
      <c r="H262" s="1"/>
      <c r="I262" s="49"/>
      <c r="J262" s="1"/>
      <c r="K262" s="49"/>
      <c r="L262" s="1"/>
    </row>
    <row r="263" spans="2:12" ht="15.75" thickBot="1">
      <c r="B263" s="1"/>
      <c r="C263" s="35" t="str">
        <f ca="1">pers_email_label</f>
        <v>* Email</v>
      </c>
      <c r="D263" s="1"/>
      <c r="E263" s="53" t="s">
        <v>9053</v>
      </c>
      <c r="F263" s="1"/>
      <c r="G263" s="35" t="str">
        <f ca="1">pers_email_label</f>
        <v>* Email</v>
      </c>
      <c r="H263" s="1"/>
      <c r="I263" s="53"/>
      <c r="J263" s="1"/>
      <c r="K263" s="49"/>
      <c r="L263" s="1"/>
    </row>
    <row r="264" spans="2:12">
      <c r="B264" s="1"/>
      <c r="C264" s="33"/>
      <c r="D264" s="1"/>
      <c r="E264" s="49"/>
      <c r="F264" s="1"/>
      <c r="G264" s="49"/>
      <c r="H264" s="1"/>
      <c r="I264" s="49"/>
      <c r="J264" s="1"/>
      <c r="K264" s="49"/>
      <c r="L264" s="1"/>
    </row>
    <row r="266" spans="2:12">
      <c r="B266" s="7"/>
      <c r="C266" s="30" t="str">
        <f ca="1">emer_cont_label</f>
        <v>Emergency Contact</v>
      </c>
      <c r="D266" s="7"/>
      <c r="E266" s="52"/>
      <c r="F266" s="7"/>
      <c r="G266" s="52"/>
      <c r="H266" s="7"/>
      <c r="I266" s="52"/>
      <c r="J266" s="7"/>
      <c r="K266" s="52"/>
      <c r="L266" s="7"/>
    </row>
    <row r="268" spans="2:12" ht="15.75" thickBot="1">
      <c r="B268" s="1"/>
      <c r="C268" s="31"/>
      <c r="D268" s="1"/>
      <c r="E268" s="49"/>
      <c r="F268" s="1"/>
      <c r="G268" s="49"/>
      <c r="H268" s="1"/>
      <c r="I268" s="49"/>
      <c r="J268" s="1"/>
      <c r="K268" s="49"/>
      <c r="L268" s="1"/>
    </row>
    <row r="269" spans="2:12" ht="15.75" thickBot="1">
      <c r="B269" s="1"/>
      <c r="C269" s="32" t="str">
        <f ca="1">emer_name_label</f>
        <v>* Name</v>
      </c>
      <c r="D269" s="1"/>
      <c r="E269" s="53" t="s">
        <v>9054</v>
      </c>
      <c r="F269" s="1"/>
      <c r="G269" s="32" t="str">
        <f ca="1">emer_name_label</f>
        <v>* Name</v>
      </c>
      <c r="H269" s="1"/>
      <c r="I269" s="53"/>
      <c r="J269" s="1"/>
      <c r="K269" s="49"/>
      <c r="L269" s="1"/>
    </row>
    <row r="270" spans="2:12" ht="15.75" thickBot="1">
      <c r="B270" s="1"/>
      <c r="C270" s="33"/>
      <c r="D270" s="1"/>
      <c r="E270" s="49"/>
      <c r="F270" s="1"/>
      <c r="G270" s="33"/>
      <c r="H270" s="1"/>
      <c r="I270" s="49"/>
      <c r="J270" s="1"/>
      <c r="K270" s="49"/>
      <c r="L270" s="1"/>
    </row>
    <row r="271" spans="2:12" ht="15.75" thickBot="1">
      <c r="B271" s="1"/>
      <c r="C271" s="35" t="str">
        <f ca="1">emer_relat_label</f>
        <v>* Relationship</v>
      </c>
      <c r="D271" s="1"/>
      <c r="E271" s="53" t="s">
        <v>667</v>
      </c>
      <c r="F271" s="1"/>
      <c r="G271" s="35" t="str">
        <f ca="1">emer_relat_label</f>
        <v>* Relationship</v>
      </c>
      <c r="H271" s="1"/>
      <c r="I271" s="53"/>
      <c r="J271" s="1"/>
      <c r="K271" s="49"/>
      <c r="L271" s="1"/>
    </row>
    <row r="272" spans="2:12" ht="15.75" thickBot="1">
      <c r="B272" s="1"/>
      <c r="C272" s="33"/>
      <c r="D272" s="1"/>
      <c r="E272" s="49"/>
      <c r="F272" s="1"/>
      <c r="G272" s="33"/>
      <c r="H272" s="1"/>
      <c r="I272" s="49"/>
      <c r="J272" s="1"/>
      <c r="K272" s="49"/>
      <c r="L272" s="1"/>
    </row>
    <row r="273" spans="2:20" ht="15.75" thickBot="1">
      <c r="B273" s="1"/>
      <c r="C273" s="35" t="str">
        <f ca="1">emer_phone_label</f>
        <v>* Phone</v>
      </c>
      <c r="D273" s="1"/>
      <c r="E273" s="116" t="s">
        <v>9055</v>
      </c>
      <c r="F273" s="1"/>
      <c r="G273" s="35" t="str">
        <f ca="1">emer_phone_label</f>
        <v>* Phone</v>
      </c>
      <c r="H273" s="1"/>
      <c r="I273" s="53"/>
      <c r="J273" s="1"/>
      <c r="K273" s="49"/>
      <c r="L273" s="1"/>
    </row>
    <row r="274" spans="2:20" ht="15.75" thickBot="1">
      <c r="B274" s="1"/>
      <c r="C274" s="33"/>
      <c r="D274" s="1"/>
      <c r="E274" s="49"/>
      <c r="F274" s="1"/>
      <c r="G274" s="33"/>
      <c r="H274" s="1"/>
      <c r="I274" s="49"/>
      <c r="J274" s="1"/>
      <c r="K274" s="49"/>
      <c r="L274" s="1"/>
    </row>
    <row r="275" spans="2:20" ht="15.75" thickBot="1">
      <c r="B275" s="1"/>
      <c r="C275" s="35" t="str">
        <f ca="1">emer_alt_phone_label</f>
        <v>Alt Phone</v>
      </c>
      <c r="D275" s="1"/>
      <c r="E275" s="116" t="s">
        <v>9056</v>
      </c>
      <c r="F275" s="1"/>
      <c r="G275" s="35" t="str">
        <f ca="1">emer_alt_phone_label</f>
        <v>Alt Phone</v>
      </c>
      <c r="H275" s="1"/>
      <c r="I275" s="53"/>
      <c r="J275" s="1"/>
      <c r="K275" s="49"/>
      <c r="L275" s="1"/>
    </row>
    <row r="276" spans="2:20" ht="15.75" thickBot="1">
      <c r="B276" s="1"/>
      <c r="C276" s="33"/>
      <c r="D276" s="1"/>
      <c r="E276" s="49"/>
      <c r="F276" s="1"/>
      <c r="G276" s="33"/>
      <c r="H276" s="1"/>
      <c r="I276" s="49"/>
      <c r="J276" s="1"/>
      <c r="K276" s="49"/>
      <c r="L276" s="1"/>
    </row>
    <row r="277" spans="2:20" ht="15.75" thickBot="1">
      <c r="B277" s="1"/>
      <c r="C277" s="35" t="str">
        <f ca="1">emer_email_label</f>
        <v>Email</v>
      </c>
      <c r="D277" s="1"/>
      <c r="E277" s="53" t="s">
        <v>9057</v>
      </c>
      <c r="F277" s="1"/>
      <c r="G277" s="35" t="str">
        <f ca="1">emer_email_label</f>
        <v>Email</v>
      </c>
      <c r="H277" s="1"/>
      <c r="I277" s="53"/>
      <c r="J277" s="1"/>
      <c r="K277" s="49"/>
      <c r="L277" s="1"/>
    </row>
    <row r="278" spans="2:20" ht="15.75" thickBot="1">
      <c r="B278" s="1"/>
      <c r="C278" s="33"/>
      <c r="D278" s="1"/>
      <c r="E278" s="49"/>
      <c r="F278" s="1"/>
      <c r="G278" s="33"/>
      <c r="H278" s="1"/>
      <c r="I278" s="49"/>
      <c r="J278" s="1"/>
      <c r="K278" s="49"/>
      <c r="L278" s="1"/>
    </row>
    <row r="279" spans="2:20" ht="15.75" thickBot="1">
      <c r="B279" s="1"/>
      <c r="C279" s="35" t="str">
        <f ca="1">emer_is_primary_label</f>
        <v>* Is Primary</v>
      </c>
      <c r="D279" s="1"/>
      <c r="E279" s="53" t="s">
        <v>669</v>
      </c>
      <c r="F279" s="1"/>
      <c r="G279" s="35" t="str">
        <f ca="1">emer_is_primary_label</f>
        <v>* Is Primary</v>
      </c>
      <c r="H279" s="1"/>
      <c r="I279" s="53"/>
      <c r="J279" s="1"/>
      <c r="K279" s="49"/>
      <c r="L279" s="1"/>
    </row>
    <row r="280" spans="2:20">
      <c r="B280" s="1"/>
      <c r="C280" s="33"/>
      <c r="D280" s="1"/>
      <c r="E280" s="49"/>
      <c r="F280" s="1"/>
      <c r="G280" s="49"/>
      <c r="H280" s="1"/>
      <c r="I280" s="49"/>
      <c r="J280" s="1"/>
      <c r="K280" s="49"/>
      <c r="L280" s="1"/>
    </row>
    <row r="281" spans="2:20" hidden="1">
      <c r="B281" s="7"/>
      <c r="C281" s="30" t="str">
        <f ca="1">Emer_Cont_Addr_lbl</f>
        <v>Emergency Contact Address</v>
      </c>
      <c r="D281" s="7"/>
      <c r="E281" s="52"/>
      <c r="F281" s="7"/>
      <c r="G281" s="52"/>
      <c r="H281" s="7"/>
      <c r="I281" s="52"/>
      <c r="J281" s="7"/>
      <c r="K281" s="52"/>
      <c r="L281" s="7"/>
    </row>
    <row r="282" spans="2:20" ht="15.75" hidden="1" thickBot="1">
      <c r="B282" s="1"/>
      <c r="C282" s="33"/>
      <c r="D282" s="1"/>
      <c r="E282" s="49"/>
      <c r="F282" s="1"/>
      <c r="G282" s="33"/>
      <c r="H282" s="1"/>
      <c r="I282" s="49"/>
      <c r="J282" s="1"/>
      <c r="K282" s="49"/>
      <c r="L282" s="1"/>
    </row>
    <row r="283" spans="2:20" ht="15.75" hidden="1" thickBot="1">
      <c r="B283" s="1"/>
      <c r="C283" s="35" t="str">
        <f ca="1">add_detailed_address_lbl</f>
        <v>* Detailed Address</v>
      </c>
      <c r="D283" s="1"/>
      <c r="E283" s="53"/>
      <c r="F283" s="1"/>
      <c r="G283" s="35"/>
      <c r="H283" s="1"/>
      <c r="I283" s="49"/>
      <c r="J283" s="1"/>
      <c r="K283" s="49"/>
      <c r="L283" s="1"/>
    </row>
    <row r="284" spans="2:20" ht="15.75" hidden="1" thickBot="1">
      <c r="B284" s="1"/>
      <c r="C284" s="33"/>
      <c r="D284" s="1"/>
      <c r="E284" s="49"/>
      <c r="F284" s="1"/>
      <c r="G284" s="33"/>
      <c r="H284" s="1"/>
      <c r="I284" s="49"/>
      <c r="J284" s="1"/>
      <c r="K284" s="49"/>
      <c r="L284" s="1"/>
    </row>
    <row r="285" spans="2:20" ht="15.75" hidden="1" thickBot="1">
      <c r="B285" s="1"/>
      <c r="C285" s="35" t="str">
        <f ca="1">Postal_code_label</f>
        <v>Postal / Zip code</v>
      </c>
      <c r="D285" s="1"/>
      <c r="E285" s="53"/>
      <c r="F285" s="1"/>
      <c r="G285" s="35"/>
      <c r="H285" s="1"/>
      <c r="I285" s="49"/>
      <c r="J285" s="1"/>
      <c r="K285" s="49"/>
      <c r="L285" s="1"/>
    </row>
    <row r="286" spans="2:20" hidden="1">
      <c r="B286" s="1"/>
      <c r="C286" s="33"/>
      <c r="D286" s="1"/>
      <c r="E286" s="49"/>
      <c r="F286" s="1"/>
      <c r="G286" s="33"/>
      <c r="H286" s="1"/>
      <c r="I286" s="49"/>
      <c r="J286" s="1"/>
      <c r="K286" s="49"/>
      <c r="L286" s="1"/>
    </row>
    <row r="287" spans="2:20">
      <c r="M287" s="48"/>
      <c r="O287" s="48"/>
      <c r="Q287" s="48"/>
      <c r="S287" s="48"/>
    </row>
    <row r="288" spans="2:20">
      <c r="B288" s="7"/>
      <c r="C288" s="30" t="str">
        <f ca="1">dep_lbl</f>
        <v>Dependents</v>
      </c>
      <c r="D288" s="7"/>
      <c r="E288" s="52"/>
      <c r="F288" s="7"/>
      <c r="G288" s="52"/>
      <c r="H288" s="7"/>
      <c r="I288" s="52"/>
      <c r="J288" s="7"/>
      <c r="K288" s="52"/>
      <c r="L288" s="7"/>
      <c r="M288" s="7"/>
      <c r="N288" s="7"/>
      <c r="O288" s="7"/>
      <c r="P288" s="7"/>
      <c r="Q288" s="7"/>
      <c r="R288" s="7"/>
      <c r="S288" s="7"/>
      <c r="T288" s="7"/>
    </row>
    <row r="289" spans="2:20">
      <c r="M289" s="48"/>
      <c r="O289" s="48"/>
      <c r="Q289" s="48"/>
      <c r="S289" s="48"/>
    </row>
    <row r="290" spans="2:20" ht="15.75" thickBot="1">
      <c r="B290" s="1"/>
      <c r="C290" s="31"/>
      <c r="D290" s="1"/>
      <c r="E290" s="49"/>
      <c r="F290" s="1"/>
      <c r="G290" s="49"/>
      <c r="H290" s="1"/>
      <c r="I290" s="49"/>
      <c r="J290" s="1"/>
      <c r="K290" s="49"/>
      <c r="L290" s="1"/>
      <c r="M290" s="49"/>
      <c r="N290" s="1"/>
      <c r="O290" s="49"/>
      <c r="P290" s="1"/>
      <c r="Q290" s="49"/>
      <c r="R290" s="1"/>
      <c r="S290" s="49"/>
      <c r="T290" s="1"/>
    </row>
    <row r="291" spans="2:20" ht="15.75" thickBot="1">
      <c r="B291" s="1"/>
      <c r="C291" s="32" t="str">
        <f ca="1">dep_type_lbl</f>
        <v>* Relationship Type</v>
      </c>
      <c r="D291" s="1"/>
      <c r="E291" s="53"/>
      <c r="F291" s="1"/>
      <c r="G291" s="53"/>
      <c r="H291" s="1"/>
      <c r="I291" s="53"/>
      <c r="J291" s="1"/>
      <c r="K291" s="53"/>
      <c r="L291" s="1"/>
      <c r="M291" s="53"/>
      <c r="N291" s="1"/>
      <c r="O291" s="53"/>
      <c r="P291" s="1"/>
      <c r="Q291" s="53"/>
      <c r="R291" s="1"/>
      <c r="S291" s="53"/>
      <c r="T291" s="1"/>
    </row>
    <row r="292" spans="2:20" ht="15.75" thickBot="1">
      <c r="B292" s="1"/>
      <c r="C292" s="33"/>
      <c r="D292" s="1"/>
      <c r="E292" s="49"/>
      <c r="F292" s="1"/>
      <c r="G292" s="49"/>
      <c r="H292" s="1"/>
      <c r="I292" s="49"/>
      <c r="J292" s="1"/>
      <c r="K292" s="49"/>
      <c r="L292" s="1"/>
      <c r="M292" s="49"/>
      <c r="N292" s="1"/>
      <c r="O292" s="49"/>
      <c r="P292" s="1"/>
      <c r="Q292" s="49"/>
      <c r="R292" s="1"/>
      <c r="S292" s="49"/>
      <c r="T292" s="1"/>
    </row>
    <row r="293" spans="2:20" ht="15.75" thickBot="1">
      <c r="B293" s="1"/>
      <c r="C293" s="35" t="str">
        <f ca="1">dep_fn_lbl</f>
        <v>* First Name</v>
      </c>
      <c r="D293" s="1"/>
      <c r="E293" s="53"/>
      <c r="F293" s="1"/>
      <c r="G293" s="53"/>
      <c r="H293" s="1"/>
      <c r="I293" s="53"/>
      <c r="J293" s="1"/>
      <c r="K293" s="53"/>
      <c r="L293" s="1"/>
      <c r="M293" s="53"/>
      <c r="N293" s="1"/>
      <c r="O293" s="53"/>
      <c r="P293" s="1"/>
      <c r="Q293" s="53"/>
      <c r="R293" s="1"/>
      <c r="S293" s="53"/>
      <c r="T293" s="1"/>
    </row>
    <row r="294" spans="2:20" ht="15.75" thickBot="1">
      <c r="B294" s="1"/>
      <c r="C294" s="33"/>
      <c r="D294" s="1"/>
      <c r="E294" s="49"/>
      <c r="F294" s="1"/>
      <c r="G294" s="49"/>
      <c r="H294" s="1"/>
      <c r="I294" s="49"/>
      <c r="J294" s="1"/>
      <c r="K294" s="49"/>
      <c r="L294" s="1"/>
      <c r="M294" s="49"/>
      <c r="N294" s="1"/>
      <c r="O294" s="49"/>
      <c r="P294" s="1"/>
      <c r="Q294" s="49"/>
      <c r="R294" s="1"/>
      <c r="S294" s="49"/>
      <c r="T294" s="1"/>
    </row>
    <row r="295" spans="2:20" ht="15.75" thickBot="1">
      <c r="B295" s="1"/>
      <c r="C295" s="32" t="str">
        <f ca="1">dep_ln_lbl</f>
        <v>* Last Name</v>
      </c>
      <c r="D295" s="1"/>
      <c r="E295" s="53"/>
      <c r="F295" s="1"/>
      <c r="G295" s="53"/>
      <c r="H295" s="1"/>
      <c r="I295" s="53"/>
      <c r="J295" s="1"/>
      <c r="K295" s="53"/>
      <c r="L295" s="1"/>
      <c r="M295" s="53"/>
      <c r="N295" s="1"/>
      <c r="O295" s="53"/>
      <c r="P295" s="1"/>
      <c r="Q295" s="53"/>
      <c r="R295" s="1"/>
      <c r="S295" s="53"/>
      <c r="T295" s="1"/>
    </row>
    <row r="296" spans="2:20" ht="15.75" thickBot="1">
      <c r="B296" s="1"/>
      <c r="C296" s="33"/>
      <c r="D296" s="1"/>
      <c r="E296" s="49"/>
      <c r="F296" s="1"/>
      <c r="G296" s="49"/>
      <c r="H296" s="1"/>
      <c r="I296" s="49"/>
      <c r="J296" s="1"/>
      <c r="K296" s="49"/>
      <c r="L296" s="1"/>
      <c r="M296" s="49"/>
      <c r="N296" s="1"/>
      <c r="O296" s="49"/>
      <c r="P296" s="1"/>
      <c r="Q296" s="49"/>
      <c r="R296" s="1"/>
      <c r="S296" s="49"/>
      <c r="T296" s="1"/>
    </row>
    <row r="297" spans="2:20" ht="15.75" thickBot="1">
      <c r="B297" s="1"/>
      <c r="C297" s="35" t="str">
        <f ca="1">dep_gend_lbl</f>
        <v>* Gender</v>
      </c>
      <c r="D297" s="1"/>
      <c r="E297" s="53"/>
      <c r="F297" s="1"/>
      <c r="G297" s="53"/>
      <c r="H297" s="1"/>
      <c r="I297" s="53"/>
      <c r="J297" s="1"/>
      <c r="K297" s="53"/>
      <c r="L297" s="1"/>
      <c r="M297" s="53"/>
      <c r="N297" s="1"/>
      <c r="O297" s="53"/>
      <c r="P297" s="1"/>
      <c r="Q297" s="53"/>
      <c r="R297" s="1"/>
      <c r="S297" s="53"/>
      <c r="T297" s="1"/>
    </row>
    <row r="298" spans="2:20" ht="15.75" thickBot="1">
      <c r="B298" s="1"/>
      <c r="C298" s="33"/>
      <c r="D298" s="1"/>
      <c r="E298" s="49"/>
      <c r="F298" s="1"/>
      <c r="G298" s="49"/>
      <c r="H298" s="1"/>
      <c r="I298" s="49"/>
      <c r="J298" s="1"/>
      <c r="K298" s="49"/>
      <c r="L298" s="1"/>
      <c r="M298" s="49"/>
      <c r="N298" s="1"/>
      <c r="O298" s="49"/>
      <c r="P298" s="1"/>
      <c r="Q298" s="49"/>
      <c r="R298" s="1"/>
      <c r="S298" s="49"/>
      <c r="T298" s="1"/>
    </row>
    <row r="299" spans="2:20" ht="15.75" thickBot="1">
      <c r="B299" s="1"/>
      <c r="C299" s="32" t="str">
        <f ca="1">dep_dob_lbl</f>
        <v>* Date of Birth (DD/MM/YYYY)</v>
      </c>
      <c r="D299" s="1"/>
      <c r="E299" s="53"/>
      <c r="F299" s="1"/>
      <c r="G299" s="53"/>
      <c r="H299" s="1"/>
      <c r="I299" s="53"/>
      <c r="J299" s="1"/>
      <c r="K299" s="53"/>
      <c r="L299" s="1"/>
      <c r="M299" s="53"/>
      <c r="N299" s="1"/>
      <c r="O299" s="53"/>
      <c r="P299" s="1"/>
      <c r="Q299" s="53"/>
      <c r="R299" s="1"/>
      <c r="S299" s="53"/>
      <c r="T299" s="1"/>
    </row>
    <row r="300" spans="2:20" ht="15.75" thickBot="1">
      <c r="B300" s="1"/>
      <c r="C300" s="33"/>
      <c r="D300" s="1"/>
      <c r="E300" s="49"/>
      <c r="F300" s="1"/>
      <c r="G300" s="49"/>
      <c r="H300" s="1"/>
      <c r="I300" s="49"/>
      <c r="J300" s="1"/>
      <c r="K300" s="49"/>
      <c r="L300" s="1"/>
      <c r="M300" s="49"/>
      <c r="N300" s="1"/>
      <c r="O300" s="49"/>
      <c r="P300" s="1"/>
      <c r="Q300" s="49"/>
      <c r="R300" s="1"/>
      <c r="S300" s="49"/>
      <c r="T300" s="1"/>
    </row>
    <row r="301" spans="2:20" ht="15.75" thickBot="1">
      <c r="B301" s="1"/>
      <c r="C301" s="32" t="str">
        <f ca="1">dep_bc_lbl</f>
        <v>Birth Country</v>
      </c>
      <c r="D301" s="1"/>
      <c r="E301" s="53"/>
      <c r="F301" s="1"/>
      <c r="G301" s="53"/>
      <c r="H301" s="1"/>
      <c r="I301" s="53"/>
      <c r="J301" s="1"/>
      <c r="K301" s="53"/>
      <c r="L301" s="1"/>
      <c r="M301" s="53"/>
      <c r="N301" s="1"/>
      <c r="O301" s="53"/>
      <c r="P301" s="1"/>
      <c r="Q301" s="53"/>
      <c r="R301" s="1"/>
      <c r="S301" s="53"/>
      <c r="T301" s="1"/>
    </row>
    <row r="302" spans="2:20" ht="15.75" thickBot="1">
      <c r="B302" s="1"/>
      <c r="C302" s="33"/>
      <c r="D302" s="1"/>
      <c r="E302" s="49"/>
      <c r="F302" s="1"/>
      <c r="G302" s="49"/>
      <c r="H302" s="1"/>
      <c r="I302" s="49"/>
      <c r="J302" s="1"/>
      <c r="K302" s="49"/>
      <c r="L302" s="1"/>
      <c r="M302" s="49"/>
      <c r="N302" s="1"/>
      <c r="O302" s="49"/>
      <c r="P302" s="1"/>
      <c r="Q302" s="49"/>
      <c r="R302" s="1"/>
      <c r="S302" s="49"/>
      <c r="T302" s="1"/>
    </row>
    <row r="303" spans="2:20" ht="15.75" thickBot="1">
      <c r="B303" s="1"/>
      <c r="C303" s="32" t="str">
        <f ca="1">dep_nat_lbl</f>
        <v>Nationality</v>
      </c>
      <c r="D303" s="1"/>
      <c r="E303" s="53"/>
      <c r="F303" s="1"/>
      <c r="G303" s="53"/>
      <c r="H303" s="1"/>
      <c r="I303" s="53"/>
      <c r="J303" s="1"/>
      <c r="K303" s="53"/>
      <c r="L303" s="1"/>
      <c r="M303" s="53"/>
      <c r="N303" s="1"/>
      <c r="O303" s="53"/>
      <c r="P303" s="1"/>
      <c r="Q303" s="53"/>
      <c r="R303" s="1"/>
      <c r="S303" s="53"/>
      <c r="T303" s="1"/>
    </row>
    <row r="304" spans="2:20" ht="15.75" thickBot="1">
      <c r="B304" s="1"/>
      <c r="C304" s="33"/>
      <c r="D304" s="1"/>
      <c r="E304" s="49"/>
      <c r="F304" s="1"/>
      <c r="G304" s="49"/>
      <c r="H304" s="1"/>
      <c r="I304" s="49"/>
      <c r="J304" s="1"/>
      <c r="K304" s="49"/>
      <c r="L304" s="1"/>
      <c r="M304" s="49"/>
      <c r="N304" s="1"/>
      <c r="O304" s="49"/>
      <c r="P304" s="1"/>
      <c r="Q304" s="49"/>
      <c r="R304" s="1"/>
      <c r="S304" s="49"/>
      <c r="T304" s="1"/>
    </row>
    <row r="305" spans="2:20" ht="15.75" thickBot="1">
      <c r="B305" s="1"/>
      <c r="C305" s="32" t="str">
        <f ca="1">dep_ms_lbl</f>
        <v>Marital Status</v>
      </c>
      <c r="D305" s="1"/>
      <c r="E305" s="53"/>
      <c r="F305" s="1"/>
      <c r="G305" s="53"/>
      <c r="H305" s="1"/>
      <c r="I305" s="53"/>
      <c r="J305" s="1"/>
      <c r="K305" s="53"/>
      <c r="L305" s="1"/>
      <c r="M305" s="53"/>
      <c r="N305" s="1"/>
      <c r="O305" s="53"/>
      <c r="P305" s="1"/>
      <c r="Q305" s="53"/>
      <c r="R305" s="1"/>
      <c r="S305" s="53"/>
      <c r="T305" s="1"/>
    </row>
    <row r="306" spans="2:20" ht="15.75" thickBot="1">
      <c r="B306" s="1"/>
      <c r="C306" s="33"/>
      <c r="D306" s="1"/>
      <c r="E306" s="49"/>
      <c r="F306" s="1"/>
      <c r="G306" s="49"/>
      <c r="H306" s="1"/>
      <c r="I306" s="49"/>
      <c r="J306" s="1"/>
      <c r="K306" s="49"/>
      <c r="L306" s="1"/>
      <c r="M306" s="49"/>
      <c r="N306" s="1"/>
      <c r="O306" s="49"/>
      <c r="P306" s="1"/>
      <c r="Q306" s="49"/>
      <c r="R306" s="1"/>
      <c r="S306" s="49"/>
      <c r="T306" s="1"/>
    </row>
    <row r="307" spans="2:20" ht="15.75" thickBot="1">
      <c r="B307" s="1"/>
      <c r="C307" s="32" t="str">
        <f ca="1">dep_ID_cn_lbl</f>
        <v>* National ID Country</v>
      </c>
      <c r="D307" s="1"/>
      <c r="E307" s="53"/>
      <c r="F307" s="1"/>
      <c r="G307" s="53"/>
      <c r="H307" s="1"/>
      <c r="I307" s="53"/>
      <c r="J307" s="1"/>
      <c r="K307" s="53"/>
      <c r="L307" s="1"/>
      <c r="M307" s="51"/>
      <c r="N307" s="1"/>
      <c r="O307" s="51"/>
      <c r="P307" s="1"/>
      <c r="Q307" s="51"/>
      <c r="R307" s="1"/>
      <c r="S307" s="51"/>
      <c r="T307" s="1"/>
    </row>
    <row r="308" spans="2:20" ht="15.75" thickBot="1">
      <c r="B308" s="1"/>
      <c r="C308" s="33"/>
      <c r="D308" s="1"/>
      <c r="E308" s="49"/>
      <c r="F308" s="1"/>
      <c r="G308" s="49"/>
      <c r="H308" s="1"/>
      <c r="I308" s="49"/>
      <c r="J308" s="1"/>
      <c r="K308" s="49"/>
      <c r="L308" s="1"/>
      <c r="M308" s="49"/>
      <c r="N308" s="1"/>
      <c r="O308" s="49"/>
      <c r="P308" s="1"/>
      <c r="Q308" s="49"/>
      <c r="R308" s="1"/>
      <c r="S308" s="49"/>
      <c r="T308" s="1"/>
    </row>
    <row r="309" spans="2:20" ht="15.75" thickBot="1">
      <c r="B309" s="1"/>
      <c r="C309" s="32" t="str">
        <f ca="1">dep_ID_type_lbl</f>
        <v>* National ID Type</v>
      </c>
      <c r="D309" s="1"/>
      <c r="E309" s="51"/>
      <c r="F309" s="1"/>
      <c r="G309" s="51" t="s">
        <v>1921</v>
      </c>
      <c r="H309" s="1"/>
      <c r="I309" s="51" t="s">
        <v>1921</v>
      </c>
      <c r="J309" s="1"/>
      <c r="K309" s="51" t="s">
        <v>1921</v>
      </c>
      <c r="L309" s="1"/>
      <c r="M309" s="51" t="s">
        <v>1921</v>
      </c>
      <c r="N309" s="1"/>
      <c r="O309" s="51" t="s">
        <v>1921</v>
      </c>
      <c r="P309" s="1"/>
      <c r="Q309" s="51" t="s">
        <v>1921</v>
      </c>
      <c r="R309" s="1"/>
      <c r="S309" s="51" t="s">
        <v>1921</v>
      </c>
      <c r="T309" s="1"/>
    </row>
    <row r="310" spans="2:20" ht="15.75" thickBot="1">
      <c r="B310" s="1"/>
      <c r="C310" s="33"/>
      <c r="D310" s="1"/>
      <c r="E310" s="49"/>
      <c r="F310" s="1"/>
      <c r="G310" s="49"/>
      <c r="H310" s="1"/>
      <c r="I310" s="49"/>
      <c r="J310" s="1"/>
      <c r="K310" s="49"/>
      <c r="L310" s="1"/>
      <c r="M310" s="49"/>
      <c r="N310" s="1"/>
      <c r="O310" s="49"/>
      <c r="P310" s="1"/>
      <c r="Q310" s="49"/>
      <c r="R310" s="1"/>
      <c r="S310" s="49"/>
      <c r="T310" s="1"/>
    </row>
    <row r="311" spans="2:20" ht="15.75" thickBot="1">
      <c r="B311" s="1"/>
      <c r="C311" s="32" t="str">
        <f ca="1">dep_ID_numb_lbl</f>
        <v>* National ID Number</v>
      </c>
      <c r="D311" s="1"/>
      <c r="E311" s="53"/>
      <c r="F311" s="1"/>
      <c r="G311" s="53"/>
      <c r="H311" s="1"/>
      <c r="I311" s="53"/>
      <c r="J311" s="1"/>
      <c r="K311" s="53"/>
      <c r="L311" s="1"/>
      <c r="M311" s="53"/>
      <c r="N311" s="1"/>
      <c r="O311" s="53"/>
      <c r="P311" s="1"/>
      <c r="Q311" s="53"/>
      <c r="R311" s="1"/>
      <c r="S311" s="53"/>
      <c r="T311" s="1"/>
    </row>
    <row r="312" spans="2:20">
      <c r="B312" s="1"/>
      <c r="C312" s="33"/>
      <c r="D312" s="1"/>
      <c r="E312" s="49"/>
      <c r="F312" s="1"/>
      <c r="G312" s="49"/>
      <c r="H312" s="1"/>
      <c r="I312" s="49"/>
      <c r="J312" s="1"/>
      <c r="K312" s="49"/>
      <c r="L312" s="1"/>
      <c r="M312" s="49"/>
      <c r="N312" s="1"/>
      <c r="O312" s="49"/>
      <c r="P312" s="1"/>
      <c r="Q312" s="49"/>
      <c r="R312" s="1"/>
      <c r="S312" s="49"/>
      <c r="T312" s="1"/>
    </row>
    <row r="313" spans="2:20" ht="15.75" hidden="1" thickBot="1">
      <c r="B313" s="1"/>
      <c r="C313" s="35" t="str">
        <f ca="1">dep_occ_lbl</f>
        <v>Occupation</v>
      </c>
      <c r="D313" s="1"/>
      <c r="E313" s="53"/>
      <c r="F313" s="1"/>
      <c r="G313" s="53"/>
      <c r="H313" s="1"/>
      <c r="I313" s="53"/>
      <c r="J313" s="1"/>
      <c r="K313" s="53"/>
      <c r="L313" s="1"/>
      <c r="M313" s="53"/>
      <c r="N313" s="1"/>
      <c r="O313" s="53"/>
      <c r="P313" s="1"/>
      <c r="Q313" s="53"/>
      <c r="R313" s="1"/>
      <c r="S313" s="53"/>
      <c r="T313" s="1"/>
    </row>
    <row r="314" spans="2:20" ht="15.75" hidden="1" thickBot="1">
      <c r="B314" s="1"/>
      <c r="C314" s="33"/>
      <c r="D314" s="1"/>
      <c r="E314" s="49"/>
      <c r="F314" s="1"/>
      <c r="G314" s="49"/>
      <c r="H314" s="1"/>
      <c r="I314" s="49"/>
      <c r="J314" s="1"/>
      <c r="K314" s="49"/>
      <c r="L314" s="1"/>
      <c r="M314" s="49"/>
      <c r="N314" s="1"/>
      <c r="O314" s="49"/>
      <c r="P314" s="1"/>
      <c r="Q314" s="49"/>
      <c r="R314" s="1"/>
      <c r="S314" s="49"/>
      <c r="T314" s="1"/>
    </row>
    <row r="315" spans="2:20" ht="15.75" hidden="1" thickBot="1">
      <c r="B315" s="1"/>
      <c r="C315" s="32" t="str">
        <f ca="1">dep_pi_lbl</f>
        <v>Partner Income</v>
      </c>
      <c r="D315" s="1"/>
      <c r="E315" s="53"/>
      <c r="F315" s="1"/>
      <c r="G315" s="53"/>
      <c r="H315" s="1"/>
      <c r="I315" s="53"/>
      <c r="J315" s="1"/>
      <c r="K315" s="53"/>
      <c r="L315" s="1"/>
      <c r="M315" s="53"/>
      <c r="N315" s="1"/>
      <c r="O315" s="53"/>
      <c r="P315" s="1"/>
      <c r="Q315" s="53"/>
      <c r="R315" s="1"/>
      <c r="S315" s="53"/>
      <c r="T315" s="1"/>
    </row>
    <row r="316" spans="2:20" ht="15.75" hidden="1" thickBot="1">
      <c r="B316" s="1"/>
      <c r="C316" s="33"/>
      <c r="D316" s="1"/>
      <c r="E316" s="49"/>
      <c r="F316" s="1"/>
      <c r="G316" s="49"/>
      <c r="H316" s="1"/>
      <c r="I316" s="49"/>
      <c r="J316" s="1"/>
      <c r="K316" s="49"/>
      <c r="L316" s="1"/>
      <c r="M316" s="49"/>
      <c r="N316" s="1"/>
      <c r="O316" s="49"/>
      <c r="P316" s="1"/>
      <c r="Q316" s="49"/>
      <c r="R316" s="1"/>
      <c r="S316" s="49"/>
      <c r="T316" s="1"/>
    </row>
    <row r="317" spans="2:20" ht="15.75" hidden="1" thickBot="1">
      <c r="B317" s="1"/>
      <c r="C317" s="35" t="str">
        <f ca="1">dep_jhi_lbl</f>
        <v>Joining Hospitalization Insurance</v>
      </c>
      <c r="D317" s="1"/>
      <c r="E317" s="53"/>
      <c r="F317" s="1"/>
      <c r="G317" s="53"/>
      <c r="H317" s="1"/>
      <c r="I317" s="53"/>
      <c r="J317" s="1"/>
      <c r="K317" s="53"/>
      <c r="L317" s="1"/>
      <c r="M317" s="53"/>
      <c r="N317" s="1"/>
      <c r="O317" s="53"/>
      <c r="P317" s="1"/>
      <c r="Q317" s="53"/>
      <c r="R317" s="1"/>
      <c r="S317" s="53"/>
      <c r="T317" s="1"/>
    </row>
    <row r="318" spans="2:20" ht="15.75" hidden="1" thickBot="1">
      <c r="B318" s="1"/>
      <c r="C318" s="33"/>
      <c r="D318" s="1"/>
      <c r="E318" s="49"/>
      <c r="F318" s="1"/>
      <c r="G318" s="49"/>
      <c r="H318" s="1"/>
      <c r="I318" s="49"/>
      <c r="J318" s="1"/>
      <c r="K318" s="49"/>
      <c r="L318" s="1"/>
      <c r="M318" s="49"/>
      <c r="N318" s="1"/>
      <c r="O318" s="49"/>
      <c r="P318" s="1"/>
      <c r="Q318" s="49"/>
      <c r="R318" s="1"/>
      <c r="S318" s="49"/>
      <c r="T318" s="1"/>
    </row>
    <row r="319" spans="2:20" ht="15.75" hidden="1" thickBot="1">
      <c r="B319" s="1"/>
      <c r="C319" s="32" t="str">
        <f ca="1">dep_dp_lbl</f>
        <v>Disabled Person</v>
      </c>
      <c r="D319" s="1"/>
      <c r="E319" s="53"/>
      <c r="F319" s="1"/>
      <c r="G319" s="53"/>
      <c r="H319" s="1"/>
      <c r="I319" s="53"/>
      <c r="J319" s="1"/>
      <c r="K319" s="53"/>
      <c r="L319" s="1"/>
      <c r="M319" s="53"/>
      <c r="N319" s="1"/>
      <c r="O319" s="53"/>
      <c r="P319" s="1"/>
      <c r="Q319" s="53"/>
      <c r="R319" s="1"/>
      <c r="S319" s="53"/>
      <c r="T319" s="1"/>
    </row>
    <row r="320" spans="2:20" ht="15.75" hidden="1" thickBot="1">
      <c r="B320" s="1"/>
      <c r="C320" s="33"/>
      <c r="D320" s="1"/>
      <c r="E320" s="49"/>
      <c r="F320" s="1"/>
      <c r="G320" s="49"/>
      <c r="H320" s="1"/>
      <c r="I320" s="49"/>
      <c r="J320" s="1"/>
      <c r="K320" s="49"/>
      <c r="L320" s="1"/>
      <c r="M320" s="49"/>
      <c r="N320" s="1"/>
      <c r="O320" s="49"/>
      <c r="P320" s="1"/>
      <c r="Q320" s="49"/>
      <c r="R320" s="1"/>
      <c r="S320" s="49"/>
      <c r="T320" s="1"/>
    </row>
    <row r="321" spans="2:20" ht="15.75" hidden="1" thickBot="1">
      <c r="B321" s="1"/>
      <c r="C321" s="35" t="str">
        <f ca="1">dep_dperc_lbl</f>
        <v>Disabled %</v>
      </c>
      <c r="D321" s="1"/>
      <c r="E321" s="53"/>
      <c r="F321" s="1"/>
      <c r="G321" s="53"/>
      <c r="H321" s="1"/>
      <c r="I321" s="53"/>
      <c r="J321" s="1"/>
      <c r="K321" s="53"/>
      <c r="L321" s="1"/>
      <c r="M321" s="53"/>
      <c r="N321" s="1"/>
      <c r="O321" s="53"/>
      <c r="P321" s="1"/>
      <c r="Q321" s="53"/>
      <c r="R321" s="1"/>
      <c r="S321" s="53"/>
      <c r="T321" s="1"/>
    </row>
    <row r="322" spans="2:20" ht="15.75" hidden="1" thickBot="1">
      <c r="B322" s="1"/>
      <c r="C322" s="33"/>
      <c r="D322" s="1"/>
      <c r="E322" s="49"/>
      <c r="F322" s="1"/>
      <c r="G322" s="49"/>
      <c r="H322" s="1"/>
      <c r="I322" s="49"/>
      <c r="J322" s="1"/>
      <c r="K322" s="49"/>
      <c r="L322" s="1"/>
      <c r="M322" s="49"/>
      <c r="N322" s="1"/>
      <c r="O322" s="49"/>
      <c r="P322" s="1"/>
      <c r="Q322" s="49"/>
      <c r="R322" s="1"/>
      <c r="S322" s="49"/>
      <c r="T322" s="1"/>
    </row>
    <row r="323" spans="2:20" ht="15.75" hidden="1" thickBot="1">
      <c r="B323" s="1"/>
      <c r="C323" s="68" t="str">
        <f ca="1">dep_bjt_lbl</f>
        <v>Job Title</v>
      </c>
      <c r="D323" s="1"/>
      <c r="E323" s="53"/>
      <c r="F323" s="1"/>
      <c r="G323" s="53"/>
      <c r="H323" s="1"/>
      <c r="I323" s="53"/>
      <c r="J323" s="1"/>
      <c r="K323" s="53"/>
      <c r="L323" s="1"/>
      <c r="M323" s="53"/>
      <c r="N323" s="1"/>
      <c r="O323" s="53"/>
      <c r="P323" s="1"/>
      <c r="Q323" s="53"/>
      <c r="R323" s="1"/>
      <c r="S323" s="53"/>
      <c r="T323" s="1"/>
    </row>
    <row r="324" spans="2:20" ht="15.75" hidden="1" thickBot="1">
      <c r="B324" s="1"/>
      <c r="C324" s="33"/>
      <c r="D324" s="1"/>
      <c r="E324" s="49"/>
      <c r="F324" s="1"/>
      <c r="G324" s="49"/>
      <c r="H324" s="1"/>
      <c r="I324" s="49"/>
      <c r="J324" s="1"/>
      <c r="K324" s="49"/>
      <c r="L324" s="1"/>
      <c r="M324" s="49"/>
      <c r="N324" s="1"/>
      <c r="O324" s="49"/>
      <c r="P324" s="1"/>
      <c r="Q324" s="49"/>
      <c r="R324" s="1"/>
      <c r="S324" s="49"/>
      <c r="T324" s="1"/>
    </row>
    <row r="325" spans="2:20" ht="15.75" hidden="1" thickBot="1">
      <c r="B325" s="1"/>
      <c r="C325" s="71" t="s">
        <v>3197</v>
      </c>
      <c r="D325" s="1"/>
      <c r="E325" s="53"/>
      <c r="F325" s="1"/>
      <c r="G325" s="53"/>
      <c r="H325" s="1"/>
      <c r="I325" s="53"/>
      <c r="J325" s="1"/>
      <c r="K325" s="53"/>
      <c r="L325" s="1"/>
      <c r="M325" s="53"/>
      <c r="N325" s="1"/>
      <c r="O325" s="53"/>
      <c r="P325" s="1"/>
      <c r="Q325" s="53"/>
      <c r="R325" s="1"/>
      <c r="S325" s="53"/>
      <c r="T325" s="1"/>
    </row>
    <row r="326" spans="2:20" ht="15.75" hidden="1" thickBot="1">
      <c r="B326" s="1"/>
      <c r="C326" s="33"/>
      <c r="D326" s="1"/>
      <c r="E326" s="49"/>
      <c r="F326" s="1"/>
      <c r="G326" s="49"/>
      <c r="H326" s="1"/>
      <c r="I326" s="49"/>
      <c r="J326" s="1"/>
      <c r="K326" s="49"/>
      <c r="L326" s="1"/>
      <c r="M326" s="49"/>
      <c r="N326" s="1"/>
      <c r="O326" s="49"/>
      <c r="P326" s="1"/>
      <c r="Q326" s="49"/>
      <c r="R326" s="1"/>
      <c r="S326" s="49"/>
      <c r="T326" s="1"/>
    </row>
    <row r="327" spans="2:20" ht="15.75" hidden="1" thickBot="1">
      <c r="B327" s="1"/>
      <c r="C327" s="68" t="str">
        <f ca="1">healt_ins_lbl</f>
        <v>Health Insurance</v>
      </c>
      <c r="D327" s="1"/>
      <c r="E327" s="53"/>
      <c r="F327" s="1"/>
      <c r="G327" s="53"/>
      <c r="H327" s="1"/>
      <c r="I327" s="53"/>
      <c r="J327" s="1"/>
      <c r="K327" s="53"/>
      <c r="L327" s="1"/>
      <c r="M327" s="53"/>
      <c r="N327" s="1"/>
      <c r="O327" s="53"/>
      <c r="P327" s="1"/>
      <c r="Q327" s="53"/>
      <c r="R327" s="1"/>
      <c r="S327" s="53"/>
      <c r="T327" s="1"/>
    </row>
    <row r="328" spans="2:20" ht="15.75" hidden="1" thickBot="1">
      <c r="B328" s="1"/>
      <c r="C328" s="33"/>
      <c r="D328" s="1"/>
      <c r="E328" s="49"/>
      <c r="F328" s="1"/>
      <c r="G328" s="49"/>
      <c r="H328" s="1"/>
      <c r="I328" s="49"/>
      <c r="J328" s="1"/>
      <c r="K328" s="49"/>
      <c r="L328" s="1"/>
      <c r="M328" s="49"/>
      <c r="N328" s="1"/>
      <c r="O328" s="49"/>
      <c r="P328" s="1"/>
      <c r="Q328" s="49"/>
      <c r="R328" s="1"/>
      <c r="S328" s="49"/>
      <c r="T328" s="1"/>
    </row>
    <row r="329" spans="2:20" ht="15.75" hidden="1" thickBot="1">
      <c r="B329" s="1"/>
      <c r="C329" s="68" t="str">
        <f ca="1">deg_chall_lbl</f>
        <v>Degree of Challenge</v>
      </c>
      <c r="D329" s="1"/>
      <c r="E329" s="53"/>
      <c r="F329" s="1"/>
      <c r="G329" s="53"/>
      <c r="H329" s="1"/>
      <c r="I329" s="53"/>
      <c r="J329" s="1"/>
      <c r="K329" s="53"/>
      <c r="L329" s="1"/>
      <c r="M329" s="53"/>
      <c r="N329" s="1"/>
      <c r="O329" s="53"/>
      <c r="P329" s="1"/>
      <c r="Q329" s="53"/>
      <c r="R329" s="1"/>
      <c r="S329" s="53"/>
      <c r="T329" s="1"/>
    </row>
    <row r="330" spans="2:20" hidden="1">
      <c r="B330" s="1"/>
      <c r="C330" s="33"/>
      <c r="D330" s="1"/>
      <c r="E330" s="49"/>
      <c r="F330" s="1"/>
      <c r="G330" s="49"/>
      <c r="H330" s="1"/>
      <c r="I330" s="49"/>
      <c r="J330" s="1"/>
      <c r="K330" s="49"/>
      <c r="L330" s="1"/>
      <c r="M330" s="49"/>
      <c r="N330" s="1"/>
      <c r="O330" s="49"/>
      <c r="P330" s="1"/>
      <c r="Q330" s="49"/>
      <c r="R330" s="1"/>
      <c r="S330" s="49"/>
      <c r="T330" s="1"/>
    </row>
    <row r="331" spans="2:20" hidden="1">
      <c r="B331" s="7"/>
      <c r="C331" s="30" t="str">
        <f ca="1">Dep_Cont_Addr_lbl</f>
        <v>Dependent Address</v>
      </c>
      <c r="D331" s="7"/>
      <c r="E331" s="52"/>
      <c r="F331" s="7"/>
      <c r="G331" s="52"/>
      <c r="H331" s="7"/>
      <c r="I331" s="52"/>
      <c r="J331" s="7"/>
      <c r="K331" s="52"/>
      <c r="L331" s="7"/>
    </row>
    <row r="332" spans="2:20" ht="15.75" hidden="1" thickBot="1">
      <c r="B332" s="1"/>
      <c r="C332" s="33"/>
      <c r="D332" s="1"/>
      <c r="E332" s="49"/>
      <c r="F332" s="1"/>
      <c r="G332" s="33"/>
      <c r="H332" s="1"/>
      <c r="I332" s="49"/>
      <c r="J332" s="1"/>
      <c r="K332" s="49"/>
      <c r="L332" s="1"/>
    </row>
    <row r="333" spans="2:20" ht="15.75" hidden="1" thickBot="1">
      <c r="B333" s="1"/>
      <c r="C333" s="35" t="str">
        <f ca="1">add_detailed_address_lbl</f>
        <v>* Detailed Address</v>
      </c>
      <c r="D333" s="1"/>
      <c r="E333" s="53"/>
      <c r="F333" s="1"/>
      <c r="G333" s="35"/>
      <c r="H333" s="1"/>
      <c r="I333" s="49"/>
      <c r="J333" s="1"/>
      <c r="K333" s="49"/>
      <c r="L333" s="1"/>
    </row>
    <row r="334" spans="2:20" ht="15.75" hidden="1" thickBot="1">
      <c r="B334" s="1"/>
      <c r="C334" s="33"/>
      <c r="D334" s="1"/>
      <c r="E334" s="49"/>
      <c r="F334" s="1"/>
      <c r="G334" s="33"/>
      <c r="H334" s="1"/>
      <c r="I334" s="49"/>
      <c r="J334" s="1"/>
      <c r="K334" s="49"/>
      <c r="L334" s="1"/>
    </row>
    <row r="335" spans="2:20" ht="15.75" hidden="1" thickBot="1">
      <c r="B335" s="1"/>
      <c r="C335" s="35" t="str">
        <f ca="1">Postal_code_label</f>
        <v>Postal / Zip code</v>
      </c>
      <c r="D335" s="1"/>
      <c r="E335" s="53"/>
      <c r="F335" s="1"/>
      <c r="G335" s="35"/>
      <c r="H335" s="1"/>
      <c r="I335" s="49"/>
      <c r="J335" s="1"/>
      <c r="K335" s="49"/>
      <c r="L335" s="1"/>
    </row>
    <row r="336" spans="2:20" hidden="1">
      <c r="B336" s="1"/>
      <c r="C336" s="33"/>
      <c r="D336" s="1"/>
      <c r="E336" s="49"/>
      <c r="F336" s="1"/>
      <c r="G336" s="33"/>
      <c r="H336" s="1"/>
      <c r="I336" s="49"/>
      <c r="J336" s="1"/>
      <c r="K336" s="49"/>
      <c r="L336" s="1"/>
    </row>
    <row r="337" spans="2:15">
      <c r="M337" s="48"/>
      <c r="O337" s="48"/>
    </row>
    <row r="338" spans="2:15">
      <c r="B338" s="7"/>
      <c r="C338" s="30" t="str">
        <f ca="1">Payment_Information</f>
        <v>Payment Information</v>
      </c>
      <c r="D338" s="7"/>
      <c r="E338" s="52"/>
      <c r="F338" s="7"/>
      <c r="G338" s="52"/>
      <c r="H338" s="7"/>
      <c r="I338" s="52"/>
      <c r="J338" s="7"/>
      <c r="K338" s="52"/>
      <c r="L338" s="7"/>
    </row>
    <row r="340" spans="2:15" ht="15.75" thickBot="1">
      <c r="B340" s="1"/>
      <c r="C340" s="31"/>
      <c r="D340" s="1"/>
      <c r="E340" s="49"/>
      <c r="F340" s="1"/>
      <c r="G340" s="49"/>
      <c r="H340" s="1"/>
      <c r="I340" s="49"/>
      <c r="J340" s="1"/>
      <c r="K340" s="49"/>
      <c r="L340" s="1"/>
    </row>
    <row r="341" spans="2:15" ht="15.75" thickBot="1">
      <c r="B341" s="1"/>
      <c r="C341" s="32" t="str">
        <f ca="1">Pay_Type_label</f>
        <v>Pay Type</v>
      </c>
      <c r="D341" s="1"/>
      <c r="E341" s="51" t="s">
        <v>2583</v>
      </c>
      <c r="F341" s="1"/>
      <c r="G341" s="49"/>
      <c r="H341" s="1"/>
      <c r="I341" s="49"/>
      <c r="J341" s="1"/>
      <c r="K341" s="49"/>
      <c r="L341" s="1"/>
    </row>
    <row r="342" spans="2:15" ht="15.75" thickBot="1">
      <c r="B342" s="1"/>
      <c r="C342" s="33"/>
      <c r="D342" s="1"/>
      <c r="E342" s="49"/>
      <c r="F342" s="1"/>
      <c r="G342" s="49"/>
      <c r="H342" s="1"/>
      <c r="I342" s="49"/>
      <c r="J342" s="1"/>
      <c r="K342" s="49"/>
      <c r="L342" s="1"/>
    </row>
    <row r="343" spans="2:15" ht="15.75" thickBot="1">
      <c r="B343" s="1"/>
      <c r="C343" s="32" t="str">
        <f ca="1">Payment_Method_label</f>
        <v>Payment Method</v>
      </c>
      <c r="D343" s="1"/>
      <c r="E343" s="51" t="s">
        <v>2584</v>
      </c>
      <c r="F343" s="1"/>
      <c r="G343" s="49"/>
      <c r="H343" s="1"/>
      <c r="I343" s="49"/>
      <c r="J343" s="1"/>
      <c r="K343" s="49"/>
      <c r="L343" s="1"/>
    </row>
    <row r="344" spans="2:15" ht="15.75" thickBot="1">
      <c r="B344" s="1"/>
      <c r="C344" s="33"/>
      <c r="D344" s="1"/>
      <c r="E344" s="49"/>
      <c r="F344" s="1"/>
      <c r="G344" s="49"/>
      <c r="H344" s="1"/>
      <c r="I344" s="49"/>
      <c r="J344" s="1"/>
      <c r="K344" s="49"/>
      <c r="L344" s="1"/>
    </row>
    <row r="345" spans="2:15" ht="15.75" thickBot="1">
      <c r="B345" s="1"/>
      <c r="C345" s="33" t="str">
        <f ca="1">Bank_Country_label</f>
        <v>Bank Country</v>
      </c>
      <c r="D345" s="1"/>
      <c r="E345" s="51" t="s">
        <v>356</v>
      </c>
      <c r="F345" s="1"/>
      <c r="G345" s="49"/>
      <c r="H345" s="1"/>
      <c r="I345" s="49"/>
      <c r="J345" s="1"/>
      <c r="K345" s="49"/>
      <c r="L345" s="1"/>
    </row>
    <row r="346" spans="2:15" ht="15.75" thickBot="1">
      <c r="B346" s="1"/>
      <c r="C346" s="33"/>
      <c r="D346" s="1"/>
      <c r="E346" s="49"/>
      <c r="F346" s="1"/>
      <c r="G346" s="49"/>
      <c r="H346" s="1"/>
      <c r="I346" s="49"/>
      <c r="J346" s="1"/>
      <c r="K346" s="49"/>
      <c r="L346" s="1"/>
    </row>
    <row r="347" spans="2:15" ht="15.75" hidden="1" thickBot="1">
      <c r="B347" s="1"/>
      <c r="C347" s="33" t="str">
        <f ca="1">branch_id_label</f>
        <v>Branch ID</v>
      </c>
      <c r="D347" s="1"/>
      <c r="E347" s="51"/>
      <c r="F347" s="1"/>
      <c r="G347" s="49"/>
      <c r="H347" s="1"/>
      <c r="I347" s="49"/>
      <c r="J347" s="1"/>
      <c r="K347" s="49"/>
      <c r="L347" s="1"/>
    </row>
    <row r="348" spans="2:15" ht="15.75" hidden="1" thickBot="1">
      <c r="B348" s="1"/>
      <c r="C348" s="33"/>
      <c r="D348" s="1"/>
      <c r="E348" s="49"/>
      <c r="F348" s="1"/>
      <c r="G348" s="49"/>
      <c r="H348" s="1"/>
      <c r="I348" s="49"/>
      <c r="J348" s="1"/>
      <c r="K348" s="49"/>
      <c r="L348" s="1"/>
    </row>
    <row r="349" spans="2:15" ht="15.75" thickBot="1">
      <c r="B349" s="1"/>
      <c r="C349" s="33" t="str">
        <f ca="1">Account_Owner</f>
        <v>Account Owner</v>
      </c>
      <c r="D349" s="1"/>
      <c r="E349" s="51" t="s">
        <v>9045</v>
      </c>
      <c r="F349" s="1"/>
      <c r="G349" s="49"/>
      <c r="H349" s="1"/>
      <c r="I349" s="49"/>
      <c r="J349" s="1"/>
      <c r="K349" s="49"/>
      <c r="L349" s="1"/>
    </row>
    <row r="350" spans="2:15" ht="15.75" thickBot="1">
      <c r="B350" s="1"/>
      <c r="C350" s="33"/>
      <c r="D350" s="1"/>
      <c r="E350" s="49"/>
      <c r="F350" s="1"/>
      <c r="G350" s="49"/>
      <c r="H350" s="1"/>
      <c r="I350" s="49"/>
      <c r="J350" s="1"/>
      <c r="K350" s="49"/>
      <c r="L350" s="1"/>
    </row>
    <row r="351" spans="2:15" ht="15.75" hidden="1" thickBot="1">
      <c r="B351" s="1"/>
      <c r="C351" s="33" t="str">
        <f ca="1">BRA_Bank_Key_lbl</f>
        <v>Bank Control Key (Brazil)</v>
      </c>
      <c r="D351" s="1"/>
      <c r="E351" s="51"/>
      <c r="F351" s="1"/>
      <c r="G351" s="49"/>
      <c r="H351" s="1"/>
      <c r="I351" s="49"/>
      <c r="J351" s="1"/>
      <c r="K351" s="49"/>
      <c r="L351" s="1"/>
    </row>
    <row r="352" spans="2:15" ht="15.75" hidden="1" thickBot="1">
      <c r="B352" s="1"/>
      <c r="C352" s="33"/>
      <c r="D352" s="1"/>
      <c r="E352" s="49"/>
      <c r="F352" s="1"/>
      <c r="G352" s="49"/>
      <c r="H352" s="1"/>
      <c r="I352" s="49"/>
      <c r="J352" s="1"/>
      <c r="K352" s="49"/>
      <c r="L352" s="1"/>
    </row>
    <row r="353" spans="2:12" ht="15.75" hidden="1" thickBot="1">
      <c r="B353" s="1"/>
      <c r="C353" s="33" t="str">
        <f ca="1">MEX_Bank_Key_lbl</f>
        <v>Bank Control Key (Mexico)</v>
      </c>
      <c r="D353" s="1"/>
      <c r="E353" s="51"/>
      <c r="F353" s="1"/>
      <c r="G353" s="49"/>
      <c r="H353" s="1"/>
      <c r="I353" s="49"/>
      <c r="J353" s="1"/>
      <c r="K353" s="49"/>
      <c r="L353" s="1"/>
    </row>
    <row r="354" spans="2:12" ht="15.75" hidden="1" thickBot="1">
      <c r="B354" s="1"/>
      <c r="C354" s="33"/>
      <c r="D354" s="1"/>
      <c r="E354" s="49"/>
      <c r="F354" s="1"/>
      <c r="G354" s="49"/>
      <c r="H354" s="1"/>
      <c r="I354" s="49"/>
      <c r="J354" s="1"/>
      <c r="K354" s="49"/>
      <c r="L354" s="1"/>
    </row>
    <row r="355" spans="2:12" ht="15.75" hidden="1" thickBot="1">
      <c r="B355" s="1"/>
      <c r="C355" s="33" t="str">
        <f ca="1">MEX_CLABE_lbl</f>
        <v>CLABE Number (Mexico)</v>
      </c>
      <c r="D355" s="1"/>
      <c r="E355" s="51"/>
      <c r="F355" s="1"/>
      <c r="G355" s="49"/>
      <c r="H355" s="1"/>
      <c r="I355" s="49"/>
      <c r="J355" s="1"/>
      <c r="K355" s="49"/>
      <c r="L355" s="1"/>
    </row>
    <row r="356" spans="2:12" ht="15.75" hidden="1" thickBot="1">
      <c r="B356" s="1"/>
      <c r="C356" s="33"/>
      <c r="D356" s="1"/>
      <c r="E356" s="49"/>
      <c r="F356" s="1"/>
      <c r="G356" s="49"/>
      <c r="H356" s="1"/>
      <c r="I356" s="49"/>
      <c r="J356" s="1"/>
      <c r="K356" s="49"/>
      <c r="L356" s="1"/>
    </row>
    <row r="357" spans="2:12" ht="15.75" hidden="1" thickBot="1">
      <c r="B357" s="1"/>
      <c r="C357" s="34" t="str">
        <f ca="1">Account_Type_label</f>
        <v>Account Type</v>
      </c>
      <c r="D357" s="1"/>
      <c r="E357" s="51"/>
      <c r="F357" s="1"/>
      <c r="G357" s="49"/>
      <c r="H357" s="1"/>
      <c r="I357" s="49"/>
      <c r="J357" s="1"/>
      <c r="K357" s="49"/>
      <c r="L357" s="1"/>
    </row>
    <row r="358" spans="2:12" ht="15.75" hidden="1" thickBot="1">
      <c r="B358" s="1"/>
      <c r="C358" s="33"/>
      <c r="D358" s="1"/>
      <c r="E358" s="49"/>
      <c r="F358" s="1"/>
      <c r="G358" s="49"/>
      <c r="H358" s="1"/>
      <c r="I358" s="49"/>
      <c r="J358" s="1"/>
      <c r="K358" s="49"/>
      <c r="L358" s="1"/>
    </row>
    <row r="359" spans="2:12" ht="15.75" hidden="1" thickBot="1">
      <c r="B359" s="1"/>
      <c r="C359" s="34" t="str">
        <f ca="1">ECU_Ac_Type_lbl</f>
        <v>Account Type (Ecuador)</v>
      </c>
      <c r="D359" s="1"/>
      <c r="E359" s="51"/>
      <c r="F359" s="1"/>
      <c r="G359" s="49"/>
      <c r="H359" s="1"/>
      <c r="I359" s="49"/>
      <c r="J359" s="1"/>
      <c r="K359" s="49"/>
      <c r="L359" s="1"/>
    </row>
    <row r="360" spans="2:12" ht="15.75" hidden="1" thickBot="1">
      <c r="B360" s="1"/>
      <c r="C360" s="33"/>
      <c r="D360" s="1"/>
      <c r="E360" s="49"/>
      <c r="F360" s="1"/>
      <c r="G360" s="49"/>
      <c r="H360" s="1"/>
      <c r="I360" s="49"/>
      <c r="J360" s="1"/>
      <c r="K360" s="49"/>
      <c r="L360" s="1"/>
    </row>
    <row r="361" spans="2:12" ht="15.75" hidden="1" thickBot="1">
      <c r="B361" s="1"/>
      <c r="C361" s="33" t="str">
        <f ca="1">bsrn_lbl</f>
        <v>Building Society Roll Number</v>
      </c>
      <c r="D361" s="1"/>
      <c r="E361" s="70"/>
      <c r="F361" s="1"/>
      <c r="G361" s="49"/>
      <c r="H361" s="1"/>
      <c r="I361" s="49"/>
      <c r="J361" s="1"/>
      <c r="K361" s="49"/>
      <c r="L361" s="1"/>
    </row>
    <row r="362" spans="2:12" ht="15.75" hidden="1" thickBot="1">
      <c r="B362" s="1"/>
      <c r="C362" s="33"/>
      <c r="D362" s="1"/>
      <c r="E362" s="49"/>
      <c r="F362" s="1"/>
      <c r="G362" s="49"/>
      <c r="H362" s="1"/>
      <c r="I362" s="49"/>
      <c r="J362" s="1"/>
      <c r="K362" s="49"/>
      <c r="L362" s="1"/>
    </row>
    <row r="363" spans="2:12" ht="15.75" hidden="1" thickBot="1">
      <c r="B363" s="1"/>
      <c r="C363" s="33" t="str">
        <f ca="1">Sort_Code</f>
        <v>Sort Code</v>
      </c>
      <c r="D363" s="1"/>
      <c r="E363" s="70"/>
      <c r="F363" s="1"/>
      <c r="G363" s="49"/>
      <c r="H363" s="1"/>
      <c r="I363" s="49"/>
      <c r="J363" s="1"/>
      <c r="K363" s="49"/>
      <c r="L363" s="1"/>
    </row>
    <row r="364" spans="2:12" ht="15.75" hidden="1" thickBot="1">
      <c r="B364" s="1"/>
      <c r="C364" s="33"/>
      <c r="D364" s="1"/>
      <c r="E364" s="49"/>
      <c r="F364" s="1"/>
      <c r="G364" s="49"/>
      <c r="H364" s="1"/>
      <c r="I364" s="49"/>
      <c r="J364" s="1"/>
      <c r="K364" s="49"/>
      <c r="L364" s="1"/>
    </row>
    <row r="365" spans="2:12" ht="15.75" thickBot="1">
      <c r="B365" s="1"/>
      <c r="C365" s="33" t="str">
        <f ca="1">routing_no_label</f>
        <v>Routing Number</v>
      </c>
      <c r="D365" s="1"/>
      <c r="E365" s="51"/>
      <c r="F365" s="1"/>
      <c r="G365" s="49"/>
      <c r="H365" s="1"/>
      <c r="I365" s="49"/>
      <c r="J365" s="1"/>
      <c r="K365" s="49"/>
      <c r="L365" s="1"/>
    </row>
    <row r="366" spans="2:12" ht="15.75" thickBot="1">
      <c r="B366" s="1"/>
      <c r="C366" s="33"/>
      <c r="D366" s="1"/>
      <c r="E366" s="49"/>
      <c r="F366" s="1"/>
      <c r="G366" s="49"/>
      <c r="H366" s="1"/>
      <c r="I366" s="49"/>
      <c r="J366" s="1"/>
      <c r="K366" s="49"/>
      <c r="L366" s="1"/>
    </row>
    <row r="367" spans="2:12" ht="15.75" thickBot="1">
      <c r="B367" s="1"/>
      <c r="C367" s="33" t="str">
        <f ca="1">Account_Number</f>
        <v>Account Number</v>
      </c>
      <c r="D367" s="1"/>
      <c r="E367" s="70" t="s">
        <v>9058</v>
      </c>
      <c r="F367" s="1"/>
      <c r="G367" s="49"/>
      <c r="H367" s="1"/>
      <c r="I367" s="49"/>
      <c r="J367" s="1"/>
      <c r="K367" s="49"/>
      <c r="L367" s="1"/>
    </row>
    <row r="368" spans="2:12" ht="15.75" thickBot="1">
      <c r="B368" s="1"/>
      <c r="C368" s="33"/>
      <c r="D368" s="1"/>
      <c r="E368" s="49"/>
      <c r="F368" s="1"/>
      <c r="G368" s="49"/>
      <c r="H368" s="1"/>
      <c r="I368" s="49"/>
      <c r="J368" s="1"/>
      <c r="K368" s="49"/>
      <c r="L368" s="1"/>
    </row>
    <row r="369" spans="2:12" ht="15.75" hidden="1" thickBot="1">
      <c r="B369" s="1"/>
      <c r="C369" s="33" t="str">
        <f ca="1">arg_cbu_lbl</f>
        <v>CBU (Argentina)</v>
      </c>
      <c r="D369" s="1"/>
      <c r="E369" s="70"/>
      <c r="F369" s="1"/>
      <c r="G369" s="49"/>
      <c r="H369" s="1"/>
      <c r="I369" s="49"/>
      <c r="J369" s="1"/>
      <c r="K369" s="49"/>
      <c r="L369" s="1"/>
    </row>
    <row r="370" spans="2:12" ht="15.75" hidden="1" thickBot="1">
      <c r="B370" s="1"/>
      <c r="C370" s="33"/>
      <c r="D370" s="1"/>
      <c r="E370" s="49"/>
      <c r="F370" s="1"/>
      <c r="G370" s="49"/>
      <c r="H370" s="1"/>
      <c r="I370" s="49"/>
      <c r="J370" s="1"/>
      <c r="K370" s="49"/>
      <c r="L370" s="1"/>
    </row>
    <row r="371" spans="2:12" ht="15.75" hidden="1" thickBot="1">
      <c r="B371" s="1"/>
      <c r="C371" s="33" t="str">
        <f ca="1">BRA_Sal_Ac_Bank_lbl</f>
        <v>Bank of Salary Account (Brazil)</v>
      </c>
      <c r="D371" s="1"/>
      <c r="E371" s="51"/>
      <c r="F371" s="1"/>
      <c r="G371" s="49"/>
      <c r="H371" s="1"/>
      <c r="I371" s="49"/>
      <c r="J371" s="1"/>
      <c r="K371" s="49"/>
      <c r="L371" s="1"/>
    </row>
    <row r="372" spans="2:12" ht="15.75" hidden="1" thickBot="1">
      <c r="B372" s="1"/>
      <c r="C372" s="33"/>
      <c r="D372" s="1"/>
      <c r="E372" s="49"/>
      <c r="F372" s="1"/>
      <c r="G372" s="49"/>
      <c r="H372" s="1"/>
      <c r="I372" s="49"/>
      <c r="J372" s="1"/>
      <c r="K372" s="49"/>
      <c r="L372" s="1"/>
    </row>
    <row r="373" spans="2:12" ht="15.75" hidden="1" thickBot="1">
      <c r="B373" s="1"/>
      <c r="C373" s="33" t="str">
        <f ca="1">BRA_Sal_Ac_Branch_lbl</f>
        <v>Branch Of Salary Account (Brazil)</v>
      </c>
      <c r="D373" s="1"/>
      <c r="E373" s="51"/>
      <c r="F373" s="1"/>
      <c r="G373" s="49"/>
      <c r="H373" s="1"/>
      <c r="I373" s="49"/>
      <c r="J373" s="1"/>
      <c r="K373" s="49"/>
      <c r="L373" s="1"/>
    </row>
    <row r="374" spans="2:12" ht="15.75" hidden="1" thickBot="1">
      <c r="B374" s="1"/>
      <c r="C374" s="33"/>
      <c r="D374" s="1"/>
      <c r="E374" s="49"/>
      <c r="F374" s="1"/>
      <c r="G374" s="49"/>
      <c r="H374" s="1"/>
      <c r="I374" s="49"/>
      <c r="J374" s="1"/>
      <c r="K374" s="49"/>
      <c r="L374" s="1"/>
    </row>
    <row r="375" spans="2:12" ht="15.75" hidden="1" thickBot="1">
      <c r="B375" s="1"/>
      <c r="C375" s="34" t="str">
        <f ca="1">Business_Identifier_Code</f>
        <v>Business Identifier Code</v>
      </c>
      <c r="D375" s="1"/>
      <c r="E375" s="51"/>
      <c r="F375" s="1"/>
      <c r="G375" s="49"/>
      <c r="H375" s="1"/>
      <c r="I375" s="49"/>
      <c r="J375" s="1"/>
      <c r="K375" s="49"/>
      <c r="L375" s="1"/>
    </row>
    <row r="376" spans="2:12" ht="15.75" hidden="1" thickBot="1">
      <c r="B376" s="1"/>
      <c r="C376" s="33"/>
      <c r="D376" s="1"/>
      <c r="E376" s="49"/>
      <c r="F376" s="1"/>
      <c r="G376" s="49"/>
      <c r="H376" s="1"/>
      <c r="I376" s="49"/>
      <c r="J376" s="1"/>
      <c r="K376" s="49"/>
      <c r="L376" s="1"/>
    </row>
    <row r="377" spans="2:12" ht="15.75" hidden="1" thickBot="1">
      <c r="B377" s="1"/>
      <c r="C377" s="34" t="str">
        <f ca="1">IBAN</f>
        <v>IBAN</v>
      </c>
      <c r="D377" s="1"/>
      <c r="E377" s="70"/>
      <c r="F377" s="1"/>
      <c r="G377" s="49"/>
      <c r="H377" s="1"/>
      <c r="I377" s="49"/>
      <c r="J377" s="1"/>
      <c r="K377" s="49"/>
      <c r="L377" s="1"/>
    </row>
    <row r="378" spans="2:12" ht="15.75" hidden="1" thickBot="1">
      <c r="B378" s="1"/>
      <c r="C378" s="33"/>
      <c r="D378" s="1"/>
      <c r="E378" s="49"/>
      <c r="F378" s="1"/>
      <c r="G378" s="49"/>
      <c r="H378" s="1"/>
      <c r="I378" s="49"/>
      <c r="J378" s="1"/>
      <c r="K378" s="49"/>
      <c r="L378" s="1"/>
    </row>
    <row r="379" spans="2:12" ht="15.75" hidden="1" thickBot="1">
      <c r="B379" s="1"/>
      <c r="C379" s="34" t="str">
        <f ca="1">NIC_Bank_Name_lbl</f>
        <v>Bank Name</v>
      </c>
      <c r="D379" s="1"/>
      <c r="E379" s="70"/>
      <c r="F379" s="1"/>
      <c r="G379" s="49"/>
      <c r="H379" s="1"/>
      <c r="I379" s="49"/>
      <c r="J379" s="1"/>
      <c r="K379" s="49"/>
      <c r="L379" s="1"/>
    </row>
    <row r="380" spans="2:12" ht="15.75" hidden="1" thickBot="1">
      <c r="B380" s="1"/>
      <c r="C380" s="33"/>
      <c r="D380" s="1"/>
      <c r="E380" s="49"/>
      <c r="F380" s="1"/>
      <c r="G380" s="49"/>
      <c r="H380" s="1"/>
      <c r="I380" s="49"/>
      <c r="J380" s="1"/>
      <c r="K380" s="49"/>
      <c r="L380" s="1"/>
    </row>
    <row r="381" spans="2:12" ht="15.75" hidden="1" thickBot="1">
      <c r="B381" s="1"/>
      <c r="C381" s="34" t="str">
        <f ca="1">HON_Bank_Name_lbl</f>
        <v>Bank Name (Honduras)</v>
      </c>
      <c r="D381" s="1"/>
      <c r="E381" s="70"/>
      <c r="F381" s="1"/>
      <c r="G381" s="49"/>
      <c r="H381" s="1"/>
      <c r="I381" s="49"/>
      <c r="J381" s="1"/>
      <c r="K381" s="49"/>
      <c r="L381" s="1"/>
    </row>
    <row r="382" spans="2:12" ht="15.75" hidden="1" thickBot="1">
      <c r="B382" s="1"/>
      <c r="C382" s="33"/>
      <c r="D382" s="1"/>
      <c r="E382" s="49"/>
      <c r="F382" s="1"/>
      <c r="G382" s="49"/>
      <c r="H382" s="1"/>
      <c r="I382" s="49"/>
      <c r="J382" s="1"/>
      <c r="K382" s="49"/>
      <c r="L382" s="1"/>
    </row>
    <row r="383" spans="2:12" ht="15.75" thickBot="1">
      <c r="B383" s="1"/>
      <c r="C383" s="34" t="str">
        <f ca="1">Currency_lbl</f>
        <v>Currency</v>
      </c>
      <c r="D383" s="1"/>
      <c r="E383" s="51" t="s">
        <v>4838</v>
      </c>
      <c r="F383" s="1"/>
      <c r="G383" s="49"/>
      <c r="H383" s="1"/>
      <c r="I383" s="49"/>
      <c r="J383" s="1"/>
      <c r="K383" s="49"/>
      <c r="L383" s="1"/>
    </row>
    <row r="384" spans="2:12">
      <c r="B384" s="1"/>
      <c r="C384" s="33"/>
      <c r="D384" s="1"/>
      <c r="E384" s="49"/>
      <c r="F384" s="1"/>
      <c r="G384" s="49"/>
      <c r="H384" s="1"/>
      <c r="I384" s="49"/>
      <c r="J384" s="1"/>
      <c r="K384" s="49"/>
      <c r="L384" s="1"/>
    </row>
    <row r="385" spans="2:12" ht="15.75" hidden="1" thickBot="1">
      <c r="B385" s="1"/>
      <c r="C385" s="34" t="str">
        <f ca="1">pay_slip_language</f>
        <v>Pay Slip Language</v>
      </c>
      <c r="D385" s="1"/>
      <c r="E385" s="51"/>
      <c r="F385" s="1"/>
      <c r="G385" s="49"/>
      <c r="H385" s="1"/>
      <c r="I385" s="49"/>
      <c r="J385" s="1"/>
      <c r="K385" s="49"/>
      <c r="L385" s="1"/>
    </row>
    <row r="386" spans="2:12" hidden="1">
      <c r="B386" s="1"/>
      <c r="C386" s="33"/>
      <c r="D386" s="1"/>
      <c r="E386" s="49"/>
      <c r="F386" s="1"/>
      <c r="G386" s="49"/>
      <c r="H386" s="1"/>
      <c r="I386" s="49"/>
      <c r="J386" s="1"/>
      <c r="K386" s="49"/>
      <c r="L386" s="1"/>
    </row>
    <row r="388" spans="2:12" hidden="1">
      <c r="B388" s="7"/>
      <c r="C388" s="30" t="str">
        <f ca="1">add_info_label</f>
        <v>Additional Information</v>
      </c>
      <c r="D388" s="7"/>
      <c r="E388" s="52"/>
      <c r="F388" s="7"/>
      <c r="G388" s="52"/>
      <c r="H388" s="7"/>
      <c r="I388" s="52"/>
      <c r="J388" s="7"/>
      <c r="K388" s="52"/>
      <c r="L388" s="7"/>
    </row>
    <row r="389" spans="2:12" hidden="1"/>
    <row r="390" spans="2:12" ht="15.75" hidden="1" thickBot="1">
      <c r="B390" s="1"/>
      <c r="C390" s="31"/>
      <c r="D390" s="1"/>
      <c r="E390" s="49"/>
      <c r="F390" s="1"/>
      <c r="G390" s="49"/>
      <c r="H390" s="1"/>
      <c r="I390" s="49"/>
      <c r="J390" s="1"/>
      <c r="K390" s="49"/>
      <c r="L390" s="1"/>
    </row>
    <row r="391" spans="2:12" ht="15.75" hidden="1" thickBot="1">
      <c r="B391" s="1"/>
      <c r="C391" s="32" t="str">
        <f ca="1">court_cert_label</f>
        <v>Court certificate provided?</v>
      </c>
      <c r="D391" s="1"/>
      <c r="E391" s="53"/>
      <c r="F391" s="1"/>
      <c r="G391" s="49"/>
      <c r="H391" s="1"/>
      <c r="I391" s="49"/>
      <c r="J391" s="1"/>
      <c r="K391" s="49"/>
      <c r="L391" s="1"/>
    </row>
    <row r="392" spans="2:12" ht="15.75" hidden="1" thickBot="1">
      <c r="B392" s="1"/>
      <c r="C392" s="33"/>
      <c r="D392" s="1"/>
      <c r="E392" s="49"/>
      <c r="F392" s="1"/>
      <c r="G392" s="49"/>
      <c r="H392" s="1"/>
      <c r="I392" s="49"/>
      <c r="J392" s="1"/>
      <c r="K392" s="49"/>
      <c r="L392" s="1"/>
    </row>
    <row r="393" spans="2:12" ht="15.75" hidden="1" thickBot="1">
      <c r="B393" s="1"/>
      <c r="C393" s="32" t="str">
        <f ca="1">med_cert_label</f>
        <v>Medical certificate provided?</v>
      </c>
      <c r="D393" s="1"/>
      <c r="E393" s="53"/>
      <c r="F393" s="1"/>
      <c r="G393" s="49"/>
      <c r="H393" s="1"/>
      <c r="I393" s="49"/>
      <c r="J393" s="1"/>
      <c r="K393" s="49"/>
      <c r="L393" s="1"/>
    </row>
    <row r="394" spans="2:12" ht="15.75" hidden="1" thickBot="1">
      <c r="B394" s="1"/>
      <c r="C394" s="33"/>
      <c r="D394" s="1"/>
      <c r="E394" s="49"/>
      <c r="F394" s="1"/>
      <c r="G394" s="49"/>
      <c r="H394" s="1"/>
      <c r="I394" s="49"/>
      <c r="J394" s="1"/>
      <c r="K394" s="49"/>
      <c r="L394" s="1"/>
    </row>
    <row r="395" spans="2:12" ht="15.75" hidden="1" thickBot="1">
      <c r="B395" s="1"/>
      <c r="C395" s="32" t="str">
        <f ca="1">tax_id_label</f>
        <v>Tax ID</v>
      </c>
      <c r="D395" s="1"/>
      <c r="E395" s="53"/>
      <c r="F395" s="1"/>
      <c r="G395" s="49"/>
      <c r="H395" s="1"/>
      <c r="I395" s="49"/>
      <c r="J395" s="1"/>
      <c r="K395" s="49"/>
      <c r="L395" s="1"/>
    </row>
    <row r="396" spans="2:12" ht="15.75" hidden="1" thickBot="1">
      <c r="B396" s="1"/>
      <c r="C396" s="33"/>
      <c r="D396" s="1"/>
      <c r="E396" s="49"/>
      <c r="F396" s="1"/>
      <c r="G396" s="49"/>
      <c r="H396" s="1"/>
      <c r="I396" s="49"/>
      <c r="J396" s="1"/>
      <c r="K396" s="49"/>
      <c r="L396" s="1"/>
    </row>
    <row r="397" spans="2:12" ht="15.75" hidden="1" thickBot="1">
      <c r="B397" s="1"/>
      <c r="C397" s="32" t="str">
        <f ca="1">tax_class_label</f>
        <v>Tax class</v>
      </c>
      <c r="D397" s="1"/>
      <c r="E397" s="53"/>
      <c r="F397" s="1"/>
      <c r="G397" s="49"/>
      <c r="H397" s="1"/>
      <c r="I397" s="49"/>
      <c r="J397" s="1"/>
      <c r="K397" s="49"/>
      <c r="L397" s="1"/>
    </row>
    <row r="398" spans="2:12" ht="15.75" hidden="1" thickBot="1">
      <c r="B398" s="1"/>
      <c r="C398" s="33"/>
      <c r="D398" s="1"/>
      <c r="E398" s="49"/>
      <c r="F398" s="1"/>
      <c r="G398" s="49"/>
      <c r="H398" s="1"/>
      <c r="I398" s="49"/>
      <c r="J398" s="1"/>
      <c r="K398" s="49"/>
      <c r="L398" s="1"/>
    </row>
    <row r="399" spans="2:12" ht="15.75" hidden="1" thickBot="1">
      <c r="B399" s="1"/>
      <c r="C399" s="32" t="str">
        <f ca="1">konfession_label</f>
        <v>Konfession</v>
      </c>
      <c r="D399" s="1"/>
      <c r="E399" s="53"/>
      <c r="F399" s="1"/>
      <c r="G399" s="49"/>
      <c r="H399" s="1"/>
      <c r="I399" s="49"/>
      <c r="J399" s="1"/>
      <c r="K399" s="49"/>
      <c r="L399" s="1"/>
    </row>
    <row r="400" spans="2:12" ht="15.75" hidden="1" thickBot="1">
      <c r="B400" s="1"/>
      <c r="C400" s="33"/>
      <c r="D400" s="1"/>
      <c r="E400" s="49"/>
      <c r="F400" s="1"/>
      <c r="G400" s="49"/>
      <c r="H400" s="1"/>
      <c r="I400" s="49"/>
      <c r="J400" s="1"/>
      <c r="K400" s="49"/>
      <c r="L400" s="1"/>
    </row>
    <row r="401" spans="2:12" ht="15.75" hidden="1" thickBot="1">
      <c r="B401" s="1"/>
      <c r="C401" s="64" t="str">
        <f ca="1">disab_lbl</f>
        <v>Disability</v>
      </c>
      <c r="D401" s="1"/>
      <c r="E401" s="53"/>
      <c r="F401" s="1"/>
      <c r="G401" s="49"/>
      <c r="H401" s="1"/>
      <c r="I401" s="49"/>
      <c r="J401" s="1"/>
      <c r="K401" s="49"/>
      <c r="L401" s="1"/>
    </row>
    <row r="402" spans="2:12" ht="15.75" hidden="1" thickBot="1">
      <c r="B402" s="1"/>
      <c r="C402" s="33"/>
      <c r="D402" s="1"/>
      <c r="E402" s="49"/>
      <c r="F402" s="1"/>
      <c r="G402" s="49"/>
      <c r="H402" s="1"/>
      <c r="I402" s="49"/>
      <c r="J402" s="1"/>
      <c r="K402" s="49"/>
      <c r="L402" s="1"/>
    </row>
    <row r="403" spans="2:12" ht="15.75" hidden="1" thickBot="1">
      <c r="B403" s="1"/>
      <c r="C403" s="32" t="str">
        <f ca="1">disab_perc_lbl</f>
        <v>Disability %</v>
      </c>
      <c r="D403" s="1"/>
      <c r="E403" s="53"/>
      <c r="F403" s="1"/>
      <c r="G403" s="49"/>
      <c r="H403" s="1"/>
      <c r="I403" s="49"/>
      <c r="J403" s="1"/>
      <c r="K403" s="49"/>
      <c r="L403" s="1"/>
    </row>
    <row r="404" spans="2:12" ht="15.75" hidden="1" thickBot="1">
      <c r="B404" s="1"/>
      <c r="C404" s="33"/>
      <c r="D404" s="1"/>
      <c r="E404" s="49"/>
      <c r="F404" s="1"/>
      <c r="G404" s="49"/>
      <c r="H404" s="1"/>
      <c r="I404" s="49"/>
      <c r="J404" s="1"/>
      <c r="K404" s="49"/>
      <c r="L404" s="1"/>
    </row>
    <row r="405" spans="2:12" ht="15.75" hidden="1" thickBot="1">
      <c r="B405" s="1"/>
      <c r="C405" s="32" t="str">
        <f ca="1">health_insu_label</f>
        <v>Health Insurance</v>
      </c>
      <c r="D405" s="1"/>
      <c r="E405" s="53"/>
      <c r="F405" s="1"/>
      <c r="G405" s="49"/>
      <c r="H405" s="1"/>
      <c r="I405" s="49"/>
      <c r="J405" s="1"/>
      <c r="K405" s="49"/>
      <c r="L405" s="1"/>
    </row>
    <row r="406" spans="2:12" ht="15.75" hidden="1" thickBot="1">
      <c r="B406" s="1"/>
      <c r="C406" s="33"/>
      <c r="D406" s="1"/>
      <c r="E406" s="49"/>
      <c r="F406" s="1"/>
      <c r="G406" s="49"/>
      <c r="H406" s="1"/>
      <c r="I406" s="49"/>
      <c r="J406" s="1"/>
      <c r="K406" s="49"/>
      <c r="L406" s="1"/>
    </row>
    <row r="407" spans="2:12" ht="15.75" hidden="1" thickBot="1">
      <c r="B407" s="1"/>
      <c r="C407" s="32" t="str">
        <f ca="1">health_insu_name_label</f>
        <v>Name of Health Insurer</v>
      </c>
      <c r="D407" s="1"/>
      <c r="E407" s="53"/>
      <c r="F407" s="1"/>
      <c r="G407" s="49"/>
      <c r="H407" s="1"/>
      <c r="I407" s="49"/>
      <c r="J407" s="1"/>
      <c r="K407" s="49"/>
      <c r="L407" s="1"/>
    </row>
    <row r="408" spans="2:12" ht="15.75" hidden="1" thickBot="1">
      <c r="B408" s="1"/>
      <c r="C408" s="33"/>
      <c r="D408" s="1"/>
      <c r="E408" s="49"/>
      <c r="F408" s="1"/>
      <c r="G408" s="49"/>
      <c r="H408" s="1"/>
      <c r="I408" s="49"/>
      <c r="J408" s="1"/>
      <c r="K408" s="49"/>
      <c r="L408" s="1"/>
    </row>
    <row r="409" spans="2:12" ht="15.75" hidden="1" thickBot="1">
      <c r="B409" s="1"/>
      <c r="C409" s="32" t="str">
        <f ca="1">health_insu_addr_label</f>
        <v>Address of Health Insurer</v>
      </c>
      <c r="D409" s="1"/>
      <c r="E409" s="53"/>
      <c r="F409" s="1"/>
      <c r="G409" s="49"/>
      <c r="H409" s="1"/>
      <c r="I409" s="49"/>
      <c r="J409" s="1"/>
      <c r="K409" s="49"/>
      <c r="L409" s="1"/>
    </row>
    <row r="410" spans="2:12" ht="15.75" hidden="1" thickBot="1">
      <c r="B410" s="1"/>
      <c r="C410" s="33"/>
      <c r="D410" s="1"/>
      <c r="E410" s="49"/>
      <c r="F410" s="1"/>
      <c r="G410" s="49"/>
      <c r="H410" s="1"/>
      <c r="I410" s="49"/>
      <c r="J410" s="1"/>
      <c r="K410" s="49"/>
      <c r="L410" s="1"/>
    </row>
    <row r="411" spans="2:12" ht="15.75" hidden="1" thickBot="1">
      <c r="B411" s="1"/>
      <c r="C411" s="32" t="str">
        <f ca="1">pension_fund_label</f>
        <v>Pension Fund</v>
      </c>
      <c r="D411" s="1"/>
      <c r="E411" s="53"/>
      <c r="F411" s="1"/>
      <c r="G411" s="49"/>
      <c r="H411" s="1"/>
      <c r="I411" s="49"/>
      <c r="J411" s="1"/>
      <c r="K411" s="49"/>
      <c r="L411" s="1"/>
    </row>
    <row r="412" spans="2:12" ht="15.75" hidden="1" thickBot="1">
      <c r="B412" s="1"/>
      <c r="C412" s="33"/>
      <c r="D412" s="1"/>
      <c r="E412" s="49"/>
      <c r="F412" s="1"/>
      <c r="G412" s="49"/>
      <c r="H412" s="1"/>
      <c r="I412" s="49"/>
      <c r="J412" s="1"/>
      <c r="K412" s="49"/>
      <c r="L412" s="1"/>
    </row>
    <row r="413" spans="2:12" ht="15.75" hidden="1" thickBot="1">
      <c r="B413" s="1"/>
      <c r="C413" s="32" t="str">
        <f ca="1">cv_label</f>
        <v>CV attached?</v>
      </c>
      <c r="D413" s="1"/>
      <c r="E413" s="53"/>
      <c r="F413" s="1"/>
      <c r="G413" s="49"/>
      <c r="H413" s="1"/>
      <c r="I413" s="49"/>
      <c r="J413" s="1"/>
      <c r="K413" s="49"/>
      <c r="L413" s="1"/>
    </row>
    <row r="414" spans="2:12" ht="15.75" hidden="1" thickBot="1">
      <c r="B414" s="1"/>
      <c r="C414" s="33"/>
      <c r="D414" s="1"/>
      <c r="E414" s="49"/>
      <c r="F414" s="1"/>
      <c r="G414" s="49"/>
      <c r="H414" s="1"/>
      <c r="I414" s="49"/>
      <c r="J414" s="1"/>
      <c r="K414" s="49"/>
      <c r="L414" s="1"/>
    </row>
    <row r="415" spans="2:12" ht="15.75" hidden="1" thickBot="1">
      <c r="B415" s="1"/>
      <c r="C415" s="32" t="str">
        <f ca="1">edu_cert_label</f>
        <v>Education/certificates attached?</v>
      </c>
      <c r="D415" s="1"/>
      <c r="E415" s="53"/>
      <c r="F415" s="1"/>
      <c r="G415" s="49"/>
      <c r="H415" s="1"/>
      <c r="I415" s="49"/>
      <c r="J415" s="1"/>
      <c r="K415" s="49"/>
      <c r="L415" s="1"/>
    </row>
    <row r="416" spans="2:12" ht="15.75" hidden="1" thickBot="1">
      <c r="B416" s="1"/>
      <c r="C416" s="33"/>
      <c r="D416" s="1"/>
      <c r="E416" s="49"/>
      <c r="F416" s="1"/>
      <c r="G416" s="49"/>
      <c r="H416" s="1"/>
      <c r="I416" s="49"/>
      <c r="J416" s="1"/>
      <c r="K416" s="49"/>
      <c r="L416" s="1"/>
    </row>
    <row r="417" spans="2:12" ht="15.75" hidden="1" thickBot="1">
      <c r="B417" s="1"/>
      <c r="C417" s="68" t="str">
        <f ca="1">edu_lvl_lbl</f>
        <v>Education Level</v>
      </c>
      <c r="D417" s="1"/>
      <c r="E417" s="53"/>
      <c r="F417" s="1"/>
      <c r="G417" s="49"/>
      <c r="H417" s="1"/>
      <c r="I417" s="49"/>
      <c r="J417" s="1"/>
      <c r="K417" s="49"/>
      <c r="L417" s="1"/>
    </row>
    <row r="418" spans="2:12" ht="15.75" hidden="1" thickBot="1">
      <c r="B418" s="1"/>
      <c r="C418" s="33"/>
      <c r="D418" s="1"/>
      <c r="E418" s="49"/>
      <c r="F418" s="1"/>
      <c r="G418" s="49"/>
      <c r="H418" s="1"/>
      <c r="I418" s="49"/>
      <c r="J418" s="1"/>
      <c r="K418" s="49"/>
      <c r="L418" s="1"/>
    </row>
    <row r="419" spans="2:12" ht="15.75" hidden="1" thickBot="1">
      <c r="B419" s="1"/>
      <c r="C419" s="68" t="str">
        <f ca="1">Ret_INSS_lbl</f>
        <v>Retirement for INSS  (DD/MM/YYYY)</v>
      </c>
      <c r="D419" s="1"/>
      <c r="E419" s="53"/>
      <c r="F419" s="1"/>
      <c r="G419" s="49"/>
      <c r="H419" s="1"/>
      <c r="I419" s="49"/>
      <c r="J419" s="1"/>
      <c r="K419" s="49"/>
      <c r="L419" s="1"/>
    </row>
    <row r="420" spans="2:12" ht="15.75" hidden="1" thickBot="1">
      <c r="B420" s="1"/>
      <c r="C420" s="33"/>
      <c r="D420" s="1"/>
      <c r="E420" s="49"/>
      <c r="F420" s="1"/>
      <c r="G420" s="49"/>
      <c r="H420" s="1"/>
      <c r="I420" s="49"/>
      <c r="J420" s="1"/>
      <c r="K420" s="49"/>
      <c r="L420" s="1"/>
    </row>
    <row r="421" spans="2:12" ht="15.75" hidden="1" thickBot="1">
      <c r="B421" s="1"/>
      <c r="C421" s="68" t="str">
        <f ca="1">Unemploy_INS_benefit_lbl</f>
        <v>Receiving Unemployment Insurance Benefit</v>
      </c>
      <c r="D421" s="1"/>
      <c r="E421" s="53"/>
      <c r="F421" s="1"/>
      <c r="G421" s="49"/>
      <c r="H421" s="1"/>
      <c r="I421" s="49"/>
      <c r="J421" s="1"/>
      <c r="K421" s="49"/>
      <c r="L421" s="1"/>
    </row>
    <row r="422" spans="2:12" ht="15.75" hidden="1" thickBot="1">
      <c r="B422" s="1"/>
      <c r="C422" s="33"/>
      <c r="D422" s="1"/>
      <c r="E422" s="49"/>
      <c r="F422" s="1"/>
      <c r="G422" s="49"/>
      <c r="H422" s="1"/>
      <c r="I422" s="49"/>
      <c r="J422" s="1"/>
      <c r="K422" s="49"/>
      <c r="L422" s="1"/>
    </row>
    <row r="423" spans="2:12" ht="15.75" hidden="1" thickBot="1">
      <c r="B423" s="1"/>
      <c r="C423" s="68" t="str">
        <f ca="1">Birth_City_lbl</f>
        <v>City of Birth</v>
      </c>
      <c r="D423" s="1"/>
      <c r="E423" s="53"/>
      <c r="F423" s="1"/>
      <c r="G423" s="49"/>
      <c r="H423" s="1"/>
      <c r="I423" s="49"/>
      <c r="J423" s="1"/>
      <c r="K423" s="49"/>
      <c r="L423" s="1"/>
    </row>
    <row r="424" spans="2:12" ht="15.75" hidden="1" thickBot="1">
      <c r="B424" s="1"/>
      <c r="C424" s="33"/>
      <c r="D424" s="1"/>
      <c r="E424" s="49"/>
      <c r="F424" s="1"/>
      <c r="G424" s="49"/>
      <c r="H424" s="1"/>
      <c r="I424" s="49"/>
      <c r="J424" s="1"/>
      <c r="K424" s="49"/>
      <c r="L424" s="1"/>
    </row>
    <row r="425" spans="2:12" ht="15.75" hidden="1" thickBot="1">
      <c r="B425" s="1"/>
      <c r="C425" s="68" t="str">
        <f ca="1">Numero_Ben_INSS_lbl</f>
        <v>Número Benefício INSS</v>
      </c>
      <c r="D425" s="1"/>
      <c r="E425" s="53"/>
      <c r="F425" s="1"/>
      <c r="G425" s="49"/>
      <c r="H425" s="1"/>
      <c r="I425" s="49"/>
      <c r="J425" s="1"/>
      <c r="K425" s="49"/>
      <c r="L425" s="1"/>
    </row>
    <row r="426" spans="2:12" ht="15.75" hidden="1" thickBot="1">
      <c r="B426" s="1"/>
      <c r="C426" s="33"/>
      <c r="D426" s="1"/>
      <c r="E426" s="49"/>
      <c r="F426" s="1"/>
      <c r="G426" s="49"/>
      <c r="H426" s="1"/>
      <c r="I426" s="49"/>
      <c r="J426" s="1"/>
      <c r="K426" s="49"/>
      <c r="L426" s="1"/>
    </row>
    <row r="427" spans="2:12" ht="15.75" hidden="1" thickBot="1">
      <c r="B427" s="1"/>
      <c r="C427" s="68" t="str">
        <f ca="1">Ret_Type_lbl</f>
        <v>Retirement Type</v>
      </c>
      <c r="D427" s="1"/>
      <c r="E427" s="53"/>
      <c r="F427" s="1"/>
      <c r="G427" s="49"/>
      <c r="H427" s="1"/>
      <c r="I427" s="49"/>
      <c r="J427" s="1"/>
      <c r="K427" s="49"/>
      <c r="L427" s="1"/>
    </row>
    <row r="428" spans="2:12" ht="15.75" hidden="1" thickBot="1">
      <c r="B428" s="1"/>
      <c r="C428" s="33"/>
      <c r="D428" s="1"/>
      <c r="E428" s="49"/>
      <c r="F428" s="1"/>
      <c r="G428" s="49"/>
      <c r="H428" s="1"/>
      <c r="I428" s="49"/>
      <c r="J428" s="1"/>
      <c r="K428" s="49"/>
      <c r="L428" s="1"/>
    </row>
    <row r="429" spans="2:12" ht="15.75" hidden="1" thickBot="1">
      <c r="B429" s="1"/>
      <c r="C429" s="32" t="str">
        <f ca="1">tax_office_label</f>
        <v>Tax Office</v>
      </c>
      <c r="D429" s="1"/>
      <c r="E429" s="53"/>
      <c r="F429" s="1"/>
      <c r="G429" s="49"/>
      <c r="H429" s="1"/>
      <c r="I429" s="49"/>
      <c r="J429" s="1"/>
      <c r="K429" s="49"/>
      <c r="L429" s="1"/>
    </row>
    <row r="430" spans="2:12" ht="15.75" hidden="1" thickBot="1">
      <c r="B430" s="1"/>
      <c r="C430" s="33"/>
      <c r="D430" s="1"/>
      <c r="E430" s="49"/>
      <c r="F430" s="1"/>
      <c r="G430" s="49"/>
      <c r="H430" s="1"/>
      <c r="I430" s="49"/>
      <c r="J430" s="1"/>
      <c r="K430" s="49"/>
      <c r="L430" s="1"/>
    </row>
    <row r="431" spans="2:12" ht="15.75" hidden="1" thickBot="1">
      <c r="B431" s="1"/>
      <c r="C431" s="32" t="str">
        <f ca="1">health_branch_label</f>
        <v>Healthcare Branch</v>
      </c>
      <c r="D431" s="1"/>
      <c r="E431" s="53"/>
      <c r="F431" s="1"/>
      <c r="G431" s="49"/>
      <c r="H431" s="1"/>
      <c r="I431" s="49"/>
      <c r="J431" s="1"/>
      <c r="K431" s="49"/>
      <c r="L431" s="1"/>
    </row>
    <row r="432" spans="2:12" ht="15.75" hidden="1" thickBot="1">
      <c r="B432" s="1"/>
      <c r="C432" s="33"/>
      <c r="D432" s="1"/>
      <c r="E432" s="49"/>
      <c r="F432" s="1"/>
      <c r="G432" s="49"/>
      <c r="H432" s="1"/>
      <c r="I432" s="49"/>
      <c r="J432" s="1"/>
      <c r="K432" s="49"/>
      <c r="L432" s="1"/>
    </row>
    <row r="433" spans="2:12" ht="15.75" hidden="1" thickBot="1">
      <c r="B433" s="1"/>
      <c r="C433" s="32" t="str">
        <f ca="1">p45_label</f>
        <v>P45 Received</v>
      </c>
      <c r="D433" s="1"/>
      <c r="E433" s="53"/>
      <c r="F433" s="1"/>
      <c r="G433" s="49"/>
      <c r="H433" s="1"/>
      <c r="I433" s="49"/>
      <c r="J433" s="1"/>
      <c r="K433" s="49"/>
      <c r="L433" s="1"/>
    </row>
    <row r="434" spans="2:12" ht="15.75" hidden="1" thickBot="1">
      <c r="B434" s="1"/>
      <c r="C434" s="33"/>
      <c r="D434" s="1"/>
      <c r="E434" s="49"/>
      <c r="F434" s="1"/>
      <c r="G434" s="49"/>
      <c r="H434" s="1"/>
      <c r="I434" s="49"/>
      <c r="J434" s="1"/>
      <c r="K434" s="49"/>
      <c r="L434" s="1"/>
    </row>
    <row r="435" spans="2:12" ht="15.75" hidden="1" thickBot="1">
      <c r="B435" s="1"/>
      <c r="C435" s="32" t="str">
        <f ca="1">stud_loan_label</f>
        <v>Student loan to repay?</v>
      </c>
      <c r="D435" s="1"/>
      <c r="E435" s="53"/>
      <c r="F435" s="1"/>
      <c r="G435" s="49"/>
      <c r="H435" s="1"/>
      <c r="I435" s="49"/>
      <c r="J435" s="1"/>
      <c r="K435" s="49"/>
      <c r="L435" s="1"/>
    </row>
    <row r="436" spans="2:12" ht="15.75" hidden="1" thickBot="1">
      <c r="B436" s="1"/>
      <c r="C436" s="33"/>
      <c r="D436" s="1"/>
      <c r="E436" s="49"/>
      <c r="F436" s="1"/>
      <c r="G436" s="49"/>
      <c r="H436" s="1"/>
      <c r="I436" s="49"/>
      <c r="J436" s="1"/>
      <c r="K436" s="49"/>
      <c r="L436" s="1"/>
    </row>
    <row r="437" spans="2:12" ht="15.75" hidden="1" thickBot="1">
      <c r="B437" s="1"/>
      <c r="C437" s="32" t="str">
        <f ca="1">earn_source_label</f>
        <v>First source of earnings in current year?</v>
      </c>
      <c r="D437" s="1"/>
      <c r="E437" s="53"/>
      <c r="F437" s="1"/>
      <c r="G437" s="49"/>
      <c r="H437" s="1"/>
      <c r="I437" s="49"/>
      <c r="J437" s="1"/>
      <c r="K437" s="49"/>
      <c r="L437" s="1"/>
    </row>
    <row r="438" spans="2:12" ht="15.75" hidden="1" thickBot="1">
      <c r="B438" s="1"/>
      <c r="C438" s="33"/>
      <c r="D438" s="1"/>
      <c r="E438" s="49"/>
      <c r="F438" s="1"/>
      <c r="G438" s="49"/>
      <c r="H438" s="1"/>
      <c r="I438" s="49"/>
      <c r="J438" s="1"/>
      <c r="K438" s="49"/>
      <c r="L438" s="1"/>
    </row>
    <row r="439" spans="2:12" ht="15.75" hidden="1" thickBot="1">
      <c r="B439" s="1"/>
      <c r="C439" s="63" t="str">
        <f ca="1">dist_lbl</f>
        <v>Distance home-work (one way)</v>
      </c>
      <c r="D439" s="1"/>
      <c r="E439" s="53"/>
      <c r="F439" s="1"/>
      <c r="G439" s="49"/>
      <c r="H439" s="1"/>
      <c r="I439" s="49"/>
      <c r="J439" s="1"/>
      <c r="K439" s="49"/>
      <c r="L439" s="1"/>
    </row>
    <row r="440" spans="2:12" ht="15.75" hidden="1" thickBot="1">
      <c r="B440" s="1"/>
      <c r="C440" s="33"/>
      <c r="D440" s="1"/>
      <c r="E440" s="49"/>
      <c r="F440" s="1"/>
      <c r="G440" s="49"/>
      <c r="H440" s="1"/>
      <c r="I440" s="49"/>
      <c r="J440" s="1"/>
      <c r="K440" s="49"/>
      <c r="L440" s="1"/>
    </row>
    <row r="441" spans="2:12" ht="15.75" hidden="1" thickBot="1">
      <c r="B441" s="1"/>
      <c r="C441" s="63" t="str">
        <f ca="1">transp_lbl</f>
        <v>Transportation</v>
      </c>
      <c r="D441" s="1"/>
      <c r="E441" s="53"/>
      <c r="F441" s="1"/>
      <c r="G441" s="49"/>
      <c r="H441" s="1"/>
      <c r="I441" s="49"/>
      <c r="J441" s="1"/>
      <c r="K441" s="49"/>
      <c r="L441" s="1"/>
    </row>
    <row r="442" spans="2:12" ht="15.75" hidden="1" thickBot="1">
      <c r="B442" s="1"/>
      <c r="C442" s="33"/>
      <c r="D442" s="1"/>
      <c r="E442" s="49"/>
      <c r="F442" s="1"/>
      <c r="G442" s="49"/>
      <c r="H442" s="1"/>
      <c r="I442" s="49"/>
      <c r="J442" s="1"/>
      <c r="K442" s="49"/>
      <c r="L442" s="1"/>
    </row>
    <row r="443" spans="2:12" ht="15.75" hidden="1" thickBot="1">
      <c r="B443" s="1"/>
      <c r="C443" s="63" t="str">
        <f ca="1">dep_numb_lbl</f>
        <v>Number of the dependents</v>
      </c>
      <c r="D443" s="1"/>
      <c r="E443" s="53"/>
      <c r="F443" s="1"/>
      <c r="G443" s="49"/>
      <c r="H443" s="1"/>
      <c r="I443" s="49"/>
      <c r="J443" s="1"/>
      <c r="K443" s="49"/>
      <c r="L443" s="1"/>
    </row>
    <row r="444" spans="2:12" ht="15.75" hidden="1" thickBot="1">
      <c r="B444" s="1"/>
      <c r="C444" s="33"/>
      <c r="D444" s="1"/>
      <c r="E444" s="49"/>
      <c r="F444" s="1"/>
      <c r="G444" s="49"/>
      <c r="H444" s="1"/>
      <c r="I444" s="49"/>
      <c r="J444" s="1"/>
      <c r="K444" s="49"/>
      <c r="L444" s="1"/>
    </row>
    <row r="445" spans="2:12" ht="15.75" hidden="1" thickBot="1">
      <c r="B445" s="1"/>
      <c r="C445" s="32" t="str">
        <f ca="1">only_job_label</f>
        <v>Is this your only job /are you in receipt of pension?</v>
      </c>
      <c r="D445" s="1"/>
      <c r="E445" s="53"/>
      <c r="F445" s="1"/>
      <c r="G445" s="49"/>
      <c r="H445" s="1"/>
      <c r="I445" s="49"/>
      <c r="J445" s="1"/>
      <c r="K445" s="49"/>
      <c r="L445" s="1"/>
    </row>
    <row r="446" spans="2:12" ht="15.75" hidden="1" thickBot="1">
      <c r="B446" s="1"/>
      <c r="C446" s="33"/>
      <c r="D446" s="1"/>
      <c r="E446" s="49"/>
      <c r="F446" s="1"/>
      <c r="G446" s="49"/>
      <c r="H446" s="1"/>
      <c r="I446" s="49"/>
      <c r="J446" s="1"/>
      <c r="K446" s="49"/>
      <c r="L446" s="1"/>
    </row>
    <row r="447" spans="2:12" ht="15.75" hidden="1" thickBot="1">
      <c r="B447" s="1"/>
      <c r="C447" s="72" t="str">
        <f ca="1">ucn_label</f>
        <v>National ID card number</v>
      </c>
      <c r="D447" s="1"/>
      <c r="E447" s="70"/>
      <c r="F447" s="1"/>
      <c r="G447" s="49"/>
      <c r="H447" s="1"/>
      <c r="I447" s="49"/>
      <c r="J447" s="1"/>
      <c r="K447" s="49"/>
      <c r="L447" s="1"/>
    </row>
    <row r="448" spans="2:12" ht="15.75" hidden="1" thickBot="1">
      <c r="B448" s="1"/>
      <c r="C448" s="33"/>
      <c r="D448" s="1"/>
      <c r="E448" s="49"/>
      <c r="F448" s="1"/>
      <c r="G448" s="49"/>
      <c r="H448" s="1"/>
      <c r="I448" s="49"/>
      <c r="J448" s="1"/>
      <c r="K448" s="49"/>
      <c r="L448" s="1"/>
    </row>
    <row r="449" spans="1:12" ht="15.75" hidden="1" thickBot="1">
      <c r="B449" s="1"/>
      <c r="C449" s="72" t="str">
        <f ca="1">ssn_label</f>
        <v>Social Security Number</v>
      </c>
      <c r="D449" s="1"/>
      <c r="E449" s="70"/>
      <c r="F449" s="1"/>
      <c r="G449" s="49"/>
      <c r="H449" s="1"/>
      <c r="I449" s="49"/>
      <c r="J449" s="1"/>
      <c r="K449" s="49"/>
      <c r="L449" s="1"/>
    </row>
    <row r="450" spans="1:12" ht="15.75" hidden="1" thickBot="1">
      <c r="B450" s="1"/>
      <c r="C450" s="33"/>
      <c r="D450" s="1"/>
      <c r="E450" s="49"/>
      <c r="F450" s="1"/>
      <c r="G450" s="49"/>
      <c r="H450" s="1"/>
      <c r="I450" s="49"/>
      <c r="J450" s="1"/>
      <c r="K450" s="49"/>
      <c r="L450" s="1"/>
    </row>
    <row r="451" spans="1:12" ht="15.75" hidden="1" thickBot="1">
      <c r="B451" s="1"/>
      <c r="C451" s="44" t="str">
        <f ca="1">AUS_Islander_lbl</f>
        <v>Aboriginal or Torres Strait Islander</v>
      </c>
      <c r="D451" s="1"/>
      <c r="E451" s="51"/>
      <c r="F451" s="1"/>
      <c r="G451" s="49"/>
      <c r="H451" s="1"/>
      <c r="I451" s="49"/>
      <c r="J451" s="1"/>
      <c r="K451" s="49"/>
      <c r="L451" s="1"/>
    </row>
    <row r="452" spans="1:12" ht="15.75" hidden="1" thickBot="1">
      <c r="B452" s="1"/>
      <c r="C452" s="33"/>
      <c r="D452" s="1"/>
      <c r="E452" s="49"/>
      <c r="F452" s="1"/>
      <c r="G452" s="49"/>
      <c r="H452" s="1"/>
      <c r="I452" s="49"/>
      <c r="J452" s="1"/>
      <c r="K452" s="49"/>
      <c r="L452" s="1"/>
    </row>
    <row r="453" spans="1:12" ht="15.75" hidden="1" thickBot="1">
      <c r="B453" s="1"/>
      <c r="C453" s="44" t="str">
        <f ca="1">col_academic_degree_lbl</f>
        <v>Academic Degree</v>
      </c>
      <c r="D453" s="1"/>
      <c r="E453" s="51"/>
      <c r="F453" s="1"/>
      <c r="G453" s="49"/>
      <c r="H453" s="1"/>
      <c r="I453" s="49"/>
      <c r="J453" s="1"/>
      <c r="K453" s="49"/>
      <c r="L453" s="1"/>
    </row>
    <row r="454" spans="1:12" ht="15.75" hidden="1" thickBot="1">
      <c r="B454" s="1"/>
      <c r="C454" s="33"/>
      <c r="D454" s="1"/>
      <c r="E454" s="49"/>
      <c r="F454" s="1"/>
      <c r="G454" s="49"/>
      <c r="H454" s="1"/>
      <c r="I454" s="49"/>
      <c r="J454" s="1"/>
      <c r="K454" s="49"/>
      <c r="L454" s="1"/>
    </row>
    <row r="455" spans="1:12" ht="15.75" hidden="1" thickBot="1">
      <c r="B455" s="1"/>
      <c r="C455" s="44" t="str">
        <f ca="1">col_alt_occupation_lbl</f>
        <v>Alternative Occupation</v>
      </c>
      <c r="D455" s="1"/>
      <c r="E455" s="51"/>
      <c r="F455" s="1"/>
      <c r="G455" s="49"/>
      <c r="H455" s="1"/>
      <c r="I455" s="49"/>
      <c r="J455" s="1"/>
      <c r="K455" s="49"/>
      <c r="L455" s="1"/>
    </row>
    <row r="456" spans="1:12" ht="15.75" hidden="1" thickBot="1">
      <c r="B456" s="1"/>
      <c r="C456" s="44"/>
      <c r="D456" s="1"/>
      <c r="E456" s="49"/>
      <c r="F456" s="1"/>
      <c r="G456" s="49"/>
      <c r="H456" s="1"/>
      <c r="I456" s="49"/>
      <c r="J456" s="1"/>
      <c r="K456" s="49"/>
      <c r="L456" s="1"/>
    </row>
    <row r="457" spans="1:12" ht="15.75" hidden="1" thickBot="1">
      <c r="B457" s="1"/>
      <c r="C457" s="44" t="str">
        <f ca="1">gtm_challenged_lbl</f>
        <v>Challenged</v>
      </c>
      <c r="D457" s="1"/>
      <c r="E457" s="70"/>
      <c r="F457" s="1"/>
      <c r="G457" s="49"/>
      <c r="H457" s="1"/>
      <c r="I457" s="49"/>
      <c r="J457" s="1"/>
      <c r="K457" s="49"/>
      <c r="L457" s="1"/>
    </row>
    <row r="458" spans="1:12" ht="15.75" hidden="1" thickBot="1">
      <c r="B458" s="1"/>
      <c r="C458" s="44"/>
      <c r="D458" s="1"/>
      <c r="E458" s="44"/>
      <c r="F458" s="1"/>
      <c r="G458" s="49"/>
      <c r="H458" s="1"/>
      <c r="I458" s="49"/>
      <c r="J458" s="1"/>
      <c r="K458" s="49"/>
      <c r="L458" s="1"/>
    </row>
    <row r="459" spans="1:12" ht="15.75" hidden="1" thickBot="1">
      <c r="B459" s="1"/>
      <c r="C459" s="44" t="str">
        <f ca="1">gtm_level_of_education_lbl</f>
        <v>Level of Education</v>
      </c>
      <c r="D459" s="1"/>
      <c r="E459" s="70"/>
      <c r="F459" s="1"/>
      <c r="G459" s="49"/>
      <c r="H459" s="1"/>
      <c r="I459" s="49"/>
      <c r="J459" s="1"/>
      <c r="K459" s="49"/>
      <c r="L459" s="1"/>
    </row>
    <row r="460" spans="1:12" hidden="1">
      <c r="B460" s="1"/>
      <c r="C460" s="44"/>
      <c r="D460" s="1"/>
      <c r="E460" s="33"/>
      <c r="F460" s="1"/>
      <c r="G460" s="49"/>
      <c r="H460" s="1"/>
      <c r="I460" s="49"/>
      <c r="J460" s="1"/>
      <c r="K460" s="49"/>
      <c r="L460" s="1"/>
    </row>
    <row r="461" spans="1:12" hidden="1">
      <c r="B461" s="1"/>
      <c r="C461" s="33"/>
      <c r="D461" s="1"/>
      <c r="E461" s="49"/>
      <c r="F461" s="1"/>
      <c r="G461" s="49"/>
      <c r="H461" s="1"/>
      <c r="I461" s="49"/>
      <c r="J461" s="1"/>
      <c r="K461" s="49"/>
      <c r="L461" s="1"/>
    </row>
    <row r="462" spans="1:12" hidden="1"/>
    <row r="463" spans="1:12" hidden="1">
      <c r="A463" t="s">
        <v>875</v>
      </c>
      <c r="B463" s="7"/>
      <c r="C463" s="30" t="str">
        <f ca="1">Target_Position</f>
        <v>Target Position</v>
      </c>
      <c r="D463" s="7"/>
      <c r="E463" s="52"/>
      <c r="F463" s="7"/>
      <c r="G463" s="52"/>
      <c r="H463" s="7"/>
      <c r="I463" s="52"/>
      <c r="J463" s="7"/>
      <c r="K463" s="52"/>
      <c r="L463" s="7"/>
    </row>
    <row r="464" spans="1:12" hidden="1">
      <c r="A464" t="s">
        <v>875</v>
      </c>
    </row>
    <row r="465" spans="1:12" ht="15.75" hidden="1" thickBot="1">
      <c r="A465" t="s">
        <v>875</v>
      </c>
      <c r="B465" s="1"/>
      <c r="C465" s="31"/>
      <c r="D465" s="1"/>
      <c r="E465" s="49"/>
      <c r="F465" s="1"/>
      <c r="G465" s="49"/>
      <c r="H465" s="1"/>
      <c r="I465" s="49"/>
      <c r="J465" s="1"/>
      <c r="K465" s="49"/>
      <c r="L465" s="1"/>
    </row>
    <row r="466" spans="1:12" ht="15.75" hidden="1" thickBot="1">
      <c r="A466" t="s">
        <v>875</v>
      </c>
      <c r="B466" s="1"/>
      <c r="C466" s="37" t="str">
        <f ca="1">'Field labels'!Position</f>
        <v>Position Title and/or ID</v>
      </c>
      <c r="D466" s="1"/>
      <c r="E466" s="51"/>
      <c r="F466" s="1"/>
      <c r="G466" s="49"/>
      <c r="H466" s="1"/>
      <c r="I466" s="49"/>
      <c r="J466" s="1"/>
      <c r="K466" s="49"/>
      <c r="L466" s="1"/>
    </row>
    <row r="467" spans="1:12" hidden="1">
      <c r="A467" t="s">
        <v>875</v>
      </c>
      <c r="B467" s="1"/>
      <c r="C467" s="33"/>
      <c r="D467" s="1"/>
      <c r="E467" s="49"/>
      <c r="F467" s="1"/>
      <c r="G467" s="49"/>
      <c r="H467" s="1"/>
      <c r="I467" s="49"/>
      <c r="J467" s="1"/>
      <c r="K467" s="49"/>
      <c r="L467" s="1"/>
    </row>
    <row r="468" spans="1:12" ht="15.75" hidden="1" thickBot="1">
      <c r="A468" t="s">
        <v>875</v>
      </c>
      <c r="B468" s="1"/>
      <c r="C468" s="37" t="str">
        <f ca="1">payroll_job_code_label</f>
        <v>Payroll Job Code</v>
      </c>
      <c r="D468" s="1"/>
      <c r="E468" s="51"/>
      <c r="F468" s="1"/>
      <c r="G468" s="49"/>
      <c r="H468" s="1"/>
      <c r="I468" s="49"/>
      <c r="J468" s="1"/>
      <c r="K468" s="49"/>
      <c r="L468" s="1"/>
    </row>
    <row r="469" spans="1:12" ht="15.75" hidden="1" thickBot="1">
      <c r="A469" t="s">
        <v>875</v>
      </c>
      <c r="B469" s="1"/>
      <c r="C469" s="33"/>
      <c r="D469" s="1"/>
      <c r="E469" s="49"/>
      <c r="F469" s="1"/>
      <c r="G469" s="49"/>
      <c r="H469" s="1"/>
      <c r="I469" s="49"/>
      <c r="J469" s="1"/>
      <c r="K469" s="49"/>
      <c r="L469" s="1"/>
    </row>
    <row r="470" spans="1:12" ht="15.75" hidden="1" thickBot="1">
      <c r="A470" t="s">
        <v>875</v>
      </c>
      <c r="B470" s="1"/>
      <c r="C470" s="37" t="str">
        <f ca="1">payroll_position_code_label</f>
        <v>Payroll Position Code</v>
      </c>
      <c r="D470" s="1"/>
      <c r="E470" s="51"/>
      <c r="F470" s="1"/>
      <c r="G470" s="49"/>
      <c r="H470" s="1"/>
      <c r="I470" s="49"/>
      <c r="J470" s="1"/>
      <c r="K470" s="49"/>
      <c r="L470" s="1"/>
    </row>
    <row r="471" spans="1:12" hidden="1">
      <c r="A471" t="s">
        <v>875</v>
      </c>
      <c r="B471" s="1"/>
      <c r="C471" s="33"/>
      <c r="D471" s="1"/>
      <c r="E471" s="49"/>
      <c r="F471" s="1"/>
      <c r="G471" s="49"/>
      <c r="H471" s="1"/>
      <c r="I471" s="49"/>
      <c r="J471" s="1"/>
      <c r="K471" s="49"/>
      <c r="L471" s="1"/>
    </row>
    <row r="472" spans="1:12" hidden="1">
      <c r="A472" t="s">
        <v>875</v>
      </c>
    </row>
    <row r="473" spans="1:12" hidden="1">
      <c r="A473" t="s">
        <v>875</v>
      </c>
      <c r="B473" s="7"/>
      <c r="C473" s="30" t="str">
        <f ca="1">Employment_details</f>
        <v>Employment details</v>
      </c>
      <c r="D473" s="7"/>
      <c r="E473" s="52"/>
      <c r="F473" s="7"/>
      <c r="G473" s="52"/>
      <c r="H473" s="7"/>
      <c r="I473" s="52"/>
      <c r="J473" s="7"/>
      <c r="K473" s="52"/>
      <c r="L473" s="7"/>
    </row>
    <row r="474" spans="1:12" hidden="1">
      <c r="A474" t="s">
        <v>875</v>
      </c>
    </row>
    <row r="475" spans="1:12" ht="15.75" hidden="1" thickBot="1">
      <c r="A475" t="s">
        <v>875</v>
      </c>
      <c r="B475" s="1"/>
      <c r="C475" s="38"/>
      <c r="D475" s="1"/>
      <c r="E475" s="49"/>
      <c r="F475" s="1"/>
      <c r="G475" s="49"/>
      <c r="H475" s="1"/>
      <c r="I475" s="49"/>
      <c r="J475" s="1"/>
      <c r="K475" s="49"/>
      <c r="L475" s="1"/>
    </row>
    <row r="476" spans="1:12" ht="15.75" hidden="1" thickBot="1">
      <c r="A476" t="s">
        <v>875</v>
      </c>
      <c r="B476" s="1"/>
      <c r="C476" s="39" t="str">
        <f ca="1">Original_Start_Date</f>
        <v>* Original Start Date (DD/MM/YYYY)</v>
      </c>
      <c r="D476" s="1"/>
      <c r="E476" s="51"/>
      <c r="F476" s="1"/>
      <c r="G476" s="49"/>
      <c r="H476" s="1"/>
      <c r="I476" s="49"/>
      <c r="J476" s="1"/>
      <c r="K476" s="49"/>
      <c r="L476" s="1"/>
    </row>
    <row r="477" spans="1:12" ht="15.75" hidden="1" thickBot="1">
      <c r="A477" t="s">
        <v>875</v>
      </c>
      <c r="B477" s="1"/>
      <c r="C477" s="33"/>
      <c r="D477" s="1"/>
      <c r="E477" s="49"/>
      <c r="F477" s="1"/>
      <c r="G477" s="49"/>
      <c r="H477" s="1"/>
      <c r="I477" s="49"/>
      <c r="J477" s="1"/>
      <c r="K477" s="49"/>
      <c r="L477" s="1"/>
    </row>
    <row r="478" spans="1:12" ht="15.75" hidden="1" thickBot="1">
      <c r="A478" t="s">
        <v>875</v>
      </c>
      <c r="B478" s="1"/>
      <c r="C478" s="34" t="str">
        <f ca="1">Service_Date</f>
        <v>Service Date (DD/MM/YYYY)</v>
      </c>
      <c r="D478" s="1"/>
      <c r="E478" s="51"/>
      <c r="F478" s="1"/>
      <c r="G478" s="49"/>
      <c r="H478" s="1"/>
      <c r="I478" s="49"/>
      <c r="J478" s="1"/>
      <c r="K478" s="49"/>
      <c r="L478" s="1"/>
    </row>
    <row r="479" spans="1:12" ht="15.75" hidden="1" thickBot="1">
      <c r="A479" t="s">
        <v>875</v>
      </c>
      <c r="B479" s="1"/>
      <c r="C479" s="33"/>
      <c r="D479" s="1"/>
      <c r="E479" s="49"/>
      <c r="F479" s="1"/>
      <c r="G479" s="49"/>
      <c r="H479" s="1"/>
      <c r="I479" s="49"/>
      <c r="J479" s="1"/>
      <c r="K479" s="49"/>
      <c r="L479" s="1"/>
    </row>
    <row r="480" spans="1:12" ht="15.75" hidden="1" thickBot="1">
      <c r="A480" t="s">
        <v>875</v>
      </c>
      <c r="B480" s="1"/>
      <c r="C480" s="34" t="str">
        <f ca="1">Seniority_Date</f>
        <v>Seniority Date (DD/MM/YYYY)</v>
      </c>
      <c r="D480" s="1"/>
      <c r="E480" s="51"/>
      <c r="F480" s="1"/>
      <c r="G480" s="49"/>
      <c r="H480" s="1"/>
      <c r="I480" s="49"/>
      <c r="J480" s="1"/>
      <c r="K480" s="49"/>
      <c r="L480" s="1"/>
    </row>
    <row r="481" spans="1:12" ht="15.75" hidden="1" thickBot="1">
      <c r="A481" t="s">
        <v>875</v>
      </c>
      <c r="B481" s="1"/>
      <c r="C481" s="33"/>
      <c r="D481" s="1"/>
      <c r="E481" s="49"/>
      <c r="F481" s="1"/>
      <c r="G481" s="49"/>
      <c r="H481" s="1"/>
      <c r="I481" s="49"/>
      <c r="J481" s="1"/>
      <c r="K481" s="49"/>
      <c r="L481" s="1"/>
    </row>
    <row r="482" spans="1:12" ht="15.75" hidden="1" thickBot="1">
      <c r="A482" t="s">
        <v>875</v>
      </c>
      <c r="B482" s="1"/>
      <c r="C482" s="8" t="str">
        <f ca="1">Benefits_Eligibility_Start_Date</f>
        <v>Benefits Eligibility Start Date (DD/MM/YYYY)</v>
      </c>
      <c r="D482" s="1"/>
      <c r="E482" s="51"/>
      <c r="F482" s="1"/>
      <c r="G482" s="49"/>
      <c r="H482" s="1"/>
      <c r="I482" s="49"/>
      <c r="J482" s="1"/>
      <c r="K482" s="49"/>
      <c r="L482" s="1"/>
    </row>
    <row r="483" spans="1:12" ht="15.75" hidden="1" thickBot="1">
      <c r="A483" t="s">
        <v>875</v>
      </c>
      <c r="B483" s="1"/>
      <c r="C483" s="33"/>
      <c r="D483" s="1"/>
      <c r="E483" s="49"/>
      <c r="F483" s="1"/>
      <c r="G483" s="49"/>
      <c r="H483" s="1"/>
      <c r="I483" s="49"/>
      <c r="J483" s="1"/>
      <c r="K483" s="49"/>
      <c r="L483" s="1"/>
    </row>
    <row r="484" spans="1:12" ht="15.75" hidden="1" thickBot="1">
      <c r="A484" t="s">
        <v>875</v>
      </c>
      <c r="B484" s="1"/>
      <c r="C484" s="8" t="str">
        <f ca="1">StockOption_lbl</f>
        <v>Eligible for Stock Options</v>
      </c>
      <c r="D484" s="1"/>
      <c r="E484" s="51"/>
      <c r="F484" s="1"/>
      <c r="G484" s="49"/>
      <c r="H484" s="1"/>
      <c r="I484" s="49"/>
      <c r="J484" s="1"/>
      <c r="K484" s="49"/>
      <c r="L484" s="1"/>
    </row>
    <row r="485" spans="1:12" hidden="1">
      <c r="A485" t="s">
        <v>875</v>
      </c>
      <c r="B485" s="1"/>
      <c r="C485" s="33"/>
      <c r="D485" s="1"/>
      <c r="E485" s="49"/>
      <c r="F485" s="1"/>
      <c r="G485" s="49"/>
      <c r="H485" s="1"/>
      <c r="I485" s="49"/>
      <c r="J485" s="1"/>
      <c r="K485" s="49"/>
      <c r="L485" s="1"/>
    </row>
    <row r="486" spans="1:12" hidden="1">
      <c r="A486" t="s">
        <v>875</v>
      </c>
    </row>
    <row r="487" spans="1:12" hidden="1">
      <c r="A487" t="s">
        <v>875</v>
      </c>
      <c r="B487" s="7"/>
      <c r="C487" s="30" t="str">
        <f ca="1">Job_Information</f>
        <v>Job Information</v>
      </c>
      <c r="D487" s="7"/>
      <c r="E487" s="52"/>
      <c r="F487" s="7"/>
      <c r="G487" s="52"/>
      <c r="H487" s="7"/>
      <c r="I487" s="52"/>
      <c r="J487" s="7"/>
      <c r="K487" s="52"/>
      <c r="L487" s="7"/>
    </row>
    <row r="488" spans="1:12" hidden="1">
      <c r="A488" t="s">
        <v>875</v>
      </c>
    </row>
    <row r="489" spans="1:12" ht="15.75" hidden="1" thickBot="1">
      <c r="A489" t="s">
        <v>875</v>
      </c>
      <c r="B489" s="1"/>
      <c r="C489" s="31"/>
      <c r="D489" s="1"/>
      <c r="E489" s="49"/>
      <c r="F489" s="1"/>
      <c r="G489" s="49"/>
      <c r="H489" s="1"/>
      <c r="I489" s="49"/>
      <c r="J489" s="1"/>
      <c r="K489" s="49"/>
      <c r="L489" s="1"/>
    </row>
    <row r="490" spans="1:12" ht="15.75" hidden="1" thickBot="1">
      <c r="A490" t="s">
        <v>875</v>
      </c>
      <c r="B490" s="1"/>
      <c r="C490" s="39" t="str">
        <f ca="1">Manager</f>
        <v>* Manager</v>
      </c>
      <c r="D490" s="1"/>
      <c r="E490" s="51"/>
      <c r="F490" s="1"/>
      <c r="G490" s="56"/>
      <c r="H490" s="1"/>
      <c r="I490" s="49"/>
      <c r="J490" s="1"/>
      <c r="K490" s="49"/>
      <c r="L490" s="1"/>
    </row>
    <row r="491" spans="1:12" ht="15.75" hidden="1" thickBot="1">
      <c r="A491" t="s">
        <v>875</v>
      </c>
      <c r="B491" s="1"/>
      <c r="C491" s="33"/>
      <c r="D491" s="1"/>
      <c r="E491" s="49"/>
      <c r="F491" s="1"/>
      <c r="G491" s="57"/>
      <c r="H491" s="9"/>
      <c r="I491" s="49"/>
      <c r="J491" s="1"/>
      <c r="K491" s="49"/>
      <c r="L491" s="1"/>
    </row>
    <row r="492" spans="1:12" ht="15.75" hidden="1" thickBot="1">
      <c r="A492" t="s">
        <v>875</v>
      </c>
      <c r="B492" s="1"/>
      <c r="C492" s="39" t="str">
        <f ca="1">'Field labels'!Employee_Type</f>
        <v>* Employee Type</v>
      </c>
      <c r="D492" s="1"/>
      <c r="E492" s="51"/>
      <c r="F492" s="1"/>
      <c r="G492" s="56"/>
      <c r="H492" s="1"/>
      <c r="I492" s="49"/>
      <c r="J492" s="1"/>
      <c r="K492" s="49"/>
      <c r="L492" s="1"/>
    </row>
    <row r="493" spans="1:12" ht="15.75" hidden="1" thickBot="1">
      <c r="A493" t="s">
        <v>875</v>
      </c>
      <c r="B493" s="1"/>
      <c r="C493" s="33"/>
      <c r="D493" s="1"/>
      <c r="E493" s="49"/>
      <c r="F493" s="1"/>
      <c r="G493" s="57"/>
      <c r="H493" s="1"/>
      <c r="I493" s="49"/>
      <c r="J493" s="1"/>
      <c r="K493" s="49"/>
      <c r="L493" s="1"/>
    </row>
    <row r="494" spans="1:12" ht="15.75" hidden="1" thickBot="1">
      <c r="A494" t="s">
        <v>875</v>
      </c>
      <c r="B494" s="1"/>
      <c r="C494" s="39" t="str">
        <f ca="1">'Field labels'!Employee_Class</f>
        <v>* Employee Class</v>
      </c>
      <c r="D494" s="1"/>
      <c r="E494" s="51"/>
      <c r="F494" s="1"/>
      <c r="G494" s="56"/>
      <c r="H494" s="1"/>
      <c r="I494" s="49"/>
      <c r="J494" s="1"/>
      <c r="K494" s="49"/>
      <c r="L494" s="1"/>
    </row>
    <row r="495" spans="1:12" ht="15.75" hidden="1" thickBot="1">
      <c r="A495" t="s">
        <v>875</v>
      </c>
      <c r="B495" s="1"/>
      <c r="C495" s="33"/>
      <c r="D495" s="1"/>
      <c r="E495" s="49"/>
      <c r="F495" s="1"/>
      <c r="G495" s="57"/>
      <c r="H495" s="1"/>
      <c r="I495" s="49"/>
      <c r="J495" s="1"/>
      <c r="K495" s="49"/>
      <c r="L495" s="1"/>
    </row>
    <row r="496" spans="1:12" ht="15.75" hidden="1" thickBot="1">
      <c r="A496" t="s">
        <v>875</v>
      </c>
      <c r="B496" s="1"/>
      <c r="C496" s="39" t="str">
        <f ca="1">Employee_Sub_Type_Label</f>
        <v>* Employee Sub-Type</v>
      </c>
      <c r="D496" s="1"/>
      <c r="E496" s="51"/>
      <c r="F496" s="1"/>
      <c r="G496" s="56"/>
      <c r="H496" s="1"/>
      <c r="I496" s="49"/>
      <c r="J496" s="1"/>
      <c r="K496" s="49"/>
      <c r="L496" s="1"/>
    </row>
    <row r="497" spans="1:12" ht="15.75" hidden="1" thickBot="1">
      <c r="A497" t="s">
        <v>875</v>
      </c>
      <c r="B497" s="1"/>
      <c r="C497" s="33"/>
      <c r="D497" s="1"/>
      <c r="E497" s="49"/>
      <c r="F497" s="1"/>
      <c r="G497" s="57"/>
      <c r="H497" s="1"/>
      <c r="I497" s="49"/>
      <c r="J497" s="1"/>
      <c r="K497" s="49"/>
      <c r="L497" s="1"/>
    </row>
    <row r="498" spans="1:12" ht="15.75" hidden="1" thickBot="1">
      <c r="A498" t="s">
        <v>875</v>
      </c>
      <c r="B498" s="1"/>
      <c r="C498" s="39" t="str">
        <f ca="1">DB_Ref_lbl</f>
        <v>DB Reference Date (DD/MM/YYYY)</v>
      </c>
      <c r="D498" s="1"/>
      <c r="E498" s="51"/>
      <c r="F498" s="1"/>
      <c r="G498" s="56"/>
      <c r="H498" s="1"/>
      <c r="I498" s="49"/>
      <c r="J498" s="1"/>
      <c r="K498" s="49"/>
      <c r="L498" s="1"/>
    </row>
    <row r="499" spans="1:12" ht="15.75" hidden="1" thickBot="1">
      <c r="A499" t="s">
        <v>875</v>
      </c>
      <c r="B499" s="1"/>
      <c r="C499" s="33"/>
      <c r="D499" s="1"/>
      <c r="E499" s="49"/>
      <c r="F499" s="1"/>
      <c r="G499" s="57"/>
      <c r="H499" s="1"/>
      <c r="I499" s="49"/>
      <c r="J499" s="1"/>
      <c r="K499" s="49"/>
      <c r="L499" s="1"/>
    </row>
    <row r="500" spans="1:12" ht="15.75" hidden="1" thickBot="1">
      <c r="A500" t="s">
        <v>875</v>
      </c>
      <c r="B500" s="1"/>
      <c r="C500" s="39" t="str">
        <f ca="1">confirmed_dt_lbl</f>
        <v>Confirmed Date (DD/MM/YYYY)</v>
      </c>
      <c r="D500" s="1"/>
      <c r="E500" s="51"/>
      <c r="F500" s="1"/>
      <c r="G500" s="56"/>
      <c r="H500" s="1"/>
      <c r="I500" s="49"/>
      <c r="J500" s="1"/>
      <c r="K500" s="49"/>
      <c r="L500" s="1"/>
    </row>
    <row r="501" spans="1:12" ht="15.75" hidden="1" thickBot="1">
      <c r="A501" t="s">
        <v>875</v>
      </c>
      <c r="B501" s="1"/>
      <c r="C501" s="33"/>
      <c r="D501" s="1"/>
      <c r="E501" s="49"/>
      <c r="F501" s="1"/>
      <c r="G501" s="57"/>
      <c r="H501" s="1"/>
      <c r="I501" s="49"/>
      <c r="J501" s="1"/>
      <c r="K501" s="49"/>
      <c r="L501" s="1"/>
    </row>
    <row r="502" spans="1:12" ht="15.75" hidden="1" thickBot="1">
      <c r="A502" t="s">
        <v>875</v>
      </c>
      <c r="B502" s="1"/>
      <c r="C502" s="39" t="str">
        <f ca="1">pf_mem_dt</f>
        <v>Provident Fund Membership Date</v>
      </c>
      <c r="D502" s="1"/>
      <c r="E502" s="51"/>
      <c r="F502" s="1"/>
      <c r="G502" s="57"/>
      <c r="H502" s="1"/>
      <c r="I502" s="49"/>
      <c r="J502" s="1"/>
      <c r="K502" s="49"/>
      <c r="L502" s="1"/>
    </row>
    <row r="503" spans="1:12" ht="15.75" hidden="1" thickBot="1">
      <c r="A503" t="s">
        <v>875</v>
      </c>
      <c r="B503" s="1"/>
      <c r="C503" s="33"/>
      <c r="D503" s="1"/>
      <c r="E503" s="49"/>
      <c r="F503" s="1"/>
      <c r="G503" s="57"/>
      <c r="H503" s="1"/>
      <c r="I503" s="49"/>
      <c r="J503" s="1"/>
      <c r="K503" s="49"/>
      <c r="L503" s="1"/>
    </row>
    <row r="504" spans="1:12" ht="15.75" hidden="1" thickBot="1">
      <c r="A504" t="s">
        <v>875</v>
      </c>
      <c r="B504" s="1"/>
      <c r="C504" s="39" t="str">
        <f ca="1">Standard_Weekly_Hours</f>
        <v xml:space="preserve">* Standard Weekly Hours </v>
      </c>
      <c r="D504" s="1"/>
      <c r="E504" s="51"/>
      <c r="F504" s="1"/>
      <c r="G504" s="56"/>
      <c r="H504" s="1"/>
      <c r="I504" s="49"/>
      <c r="J504" s="1"/>
      <c r="K504" s="49"/>
      <c r="L504" s="1"/>
    </row>
    <row r="505" spans="1:12" ht="15.75" hidden="1" thickBot="1">
      <c r="A505" t="s">
        <v>875</v>
      </c>
      <c r="B505" s="1"/>
      <c r="C505" s="33"/>
      <c r="D505" s="1"/>
      <c r="E505" s="49"/>
      <c r="F505" s="1"/>
      <c r="G505" s="57"/>
      <c r="H505" s="1"/>
      <c r="I505" s="49"/>
      <c r="J505" s="1"/>
      <c r="K505" s="49"/>
      <c r="L505" s="1"/>
    </row>
    <row r="506" spans="1:12" ht="15.75" hidden="1" thickBot="1">
      <c r="A506" t="s">
        <v>875</v>
      </c>
      <c r="B506" s="1"/>
      <c r="C506" s="39" t="str">
        <f ca="1">'Field labels'!Work_Schedule_Rule</f>
        <v>* Work Schedule Rule</v>
      </c>
      <c r="D506" s="1"/>
      <c r="E506" s="51"/>
      <c r="F506" s="1"/>
      <c r="G506" s="56"/>
      <c r="H506" s="1"/>
      <c r="I506" s="49"/>
      <c r="J506" s="1"/>
      <c r="K506" s="49"/>
      <c r="L506" s="1"/>
    </row>
    <row r="507" spans="1:12" ht="15.75" hidden="1" thickBot="1">
      <c r="A507" t="s">
        <v>875</v>
      </c>
      <c r="B507" s="1"/>
      <c r="C507" s="31"/>
      <c r="D507" s="1"/>
      <c r="E507" s="49"/>
      <c r="F507" s="1"/>
      <c r="G507" s="49"/>
      <c r="H507" s="1"/>
      <c r="I507" s="49"/>
      <c r="J507" s="1"/>
      <c r="K507" s="49"/>
      <c r="L507" s="1"/>
    </row>
    <row r="508" spans="1:12" ht="15.75" hidden="1" thickBot="1">
      <c r="A508" t="s">
        <v>875</v>
      </c>
      <c r="B508" s="1"/>
      <c r="C508" s="40" t="str">
        <f ca="1">job_int_grade_lbl</f>
        <v>Job Internal Grade</v>
      </c>
      <c r="D508" s="1"/>
      <c r="E508" s="51"/>
      <c r="F508" s="1"/>
      <c r="G508" s="58"/>
      <c r="H508" s="1"/>
      <c r="I508" s="49"/>
      <c r="J508" s="1"/>
      <c r="K508" s="49"/>
      <c r="L508" s="1"/>
    </row>
    <row r="509" spans="1:12" ht="15.75" hidden="1" thickBot="1">
      <c r="A509" t="s">
        <v>875</v>
      </c>
      <c r="B509" s="1"/>
      <c r="C509" s="31"/>
      <c r="D509" s="1"/>
      <c r="E509" s="49"/>
      <c r="F509" s="1"/>
      <c r="G509" s="49"/>
      <c r="H509" s="1"/>
      <c r="I509" s="49"/>
      <c r="J509" s="1"/>
      <c r="K509" s="49"/>
      <c r="L509" s="1"/>
    </row>
    <row r="510" spans="1:12" ht="15.75" hidden="1" thickBot="1">
      <c r="A510" t="s">
        <v>875</v>
      </c>
      <c r="B510" s="1"/>
      <c r="C510" s="40" t="str">
        <f ca="1">'Field labels'!Work_Contract</f>
        <v>Work Contract</v>
      </c>
      <c r="D510" s="1"/>
      <c r="E510" s="51"/>
      <c r="F510" s="1"/>
      <c r="G510" s="58"/>
      <c r="H510" s="1"/>
      <c r="I510" s="49"/>
      <c r="J510" s="1"/>
      <c r="K510" s="49"/>
      <c r="L510" s="1"/>
    </row>
    <row r="511" spans="1:12" ht="15.75" hidden="1" thickBot="1">
      <c r="A511" t="s">
        <v>875</v>
      </c>
      <c r="B511" s="1"/>
      <c r="C511" s="31"/>
      <c r="D511" s="1"/>
      <c r="E511" s="49"/>
      <c r="F511" s="1"/>
      <c r="G511" s="49"/>
      <c r="H511" s="1"/>
      <c r="I511" s="49"/>
      <c r="J511" s="1"/>
      <c r="K511" s="49"/>
      <c r="L511" s="1"/>
    </row>
    <row r="512" spans="1:12" ht="15.75" hidden="1" thickBot="1">
      <c r="A512" t="s">
        <v>875</v>
      </c>
      <c r="B512" s="1"/>
      <c r="C512" s="41" t="str">
        <f ca="1">contract_type_label</f>
        <v>Contract Type</v>
      </c>
      <c r="D512" s="1"/>
      <c r="E512" s="51"/>
      <c r="F512" s="1"/>
      <c r="G512" s="58"/>
      <c r="H512" s="1"/>
      <c r="I512" s="49"/>
      <c r="J512" s="1"/>
      <c r="K512" s="49"/>
      <c r="L512" s="1"/>
    </row>
    <row r="513" spans="1:12" ht="15.75" hidden="1" thickBot="1">
      <c r="A513" t="s">
        <v>875</v>
      </c>
      <c r="B513" s="1"/>
      <c r="C513" s="31"/>
      <c r="D513" s="1"/>
      <c r="E513" s="49"/>
      <c r="F513" s="1"/>
      <c r="G513" s="49"/>
      <c r="H513" s="1"/>
      <c r="I513" s="49"/>
      <c r="J513" s="1"/>
      <c r="K513" s="49"/>
      <c r="L513" s="1"/>
    </row>
    <row r="514" spans="1:12" ht="15.75" hidden="1" thickBot="1">
      <c r="A514" t="s">
        <v>875</v>
      </c>
      <c r="B514" s="1"/>
      <c r="C514" s="41" t="str">
        <f ca="1">Harmful_Agent_Exposure_Code_lbl</f>
        <v>Harmful Agent Exposure Code</v>
      </c>
      <c r="D514" s="1"/>
      <c r="E514" s="51"/>
      <c r="F514" s="1"/>
      <c r="G514" s="58"/>
      <c r="H514" s="1"/>
      <c r="I514" s="49"/>
      <c r="J514" s="1"/>
      <c r="K514" s="49"/>
      <c r="L514" s="1"/>
    </row>
    <row r="515" spans="1:12" ht="15.75" hidden="1" thickBot="1">
      <c r="A515" t="s">
        <v>875</v>
      </c>
      <c r="B515" s="1"/>
      <c r="C515" s="31"/>
      <c r="D515" s="1"/>
      <c r="E515" s="49"/>
      <c r="F515" s="1"/>
      <c r="G515" s="49"/>
      <c r="H515" s="1"/>
      <c r="I515" s="49"/>
      <c r="J515" s="1"/>
      <c r="K515" s="49"/>
      <c r="L515" s="1"/>
    </row>
    <row r="516" spans="1:12" ht="15.75" hidden="1" thickBot="1">
      <c r="A516" t="s">
        <v>875</v>
      </c>
      <c r="B516" s="1"/>
      <c r="C516" s="41" t="str">
        <f ca="1">First_Employ_lbl</f>
        <v>First Employment</v>
      </c>
      <c r="D516" s="1"/>
      <c r="E516" s="51"/>
      <c r="F516" s="1"/>
      <c r="G516" s="58"/>
      <c r="H516" s="1"/>
      <c r="I516" s="49"/>
      <c r="J516" s="1"/>
      <c r="K516" s="49"/>
      <c r="L516" s="1"/>
    </row>
    <row r="517" spans="1:12" ht="15.75" hidden="1" thickBot="1">
      <c r="A517" t="s">
        <v>875</v>
      </c>
      <c r="B517" s="1"/>
      <c r="C517" s="31"/>
      <c r="D517" s="1"/>
      <c r="E517" s="49"/>
      <c r="F517" s="1"/>
      <c r="G517" s="49"/>
      <c r="H517" s="1"/>
      <c r="I517" s="49"/>
      <c r="J517" s="1"/>
      <c r="K517" s="49"/>
      <c r="L517" s="1"/>
    </row>
    <row r="518" spans="1:12" ht="15.75" hidden="1" thickBot="1">
      <c r="A518" t="s">
        <v>875</v>
      </c>
      <c r="B518" s="1"/>
      <c r="C518" s="41" t="str">
        <f ca="1">WorkHrPolicy_lbl</f>
        <v>Working Hour Policy</v>
      </c>
      <c r="D518" s="1"/>
      <c r="E518" s="51"/>
      <c r="F518" s="1"/>
      <c r="G518" s="58"/>
      <c r="H518" s="1"/>
      <c r="I518" s="49"/>
      <c r="J518" s="1"/>
      <c r="K518" s="49"/>
      <c r="L518" s="1"/>
    </row>
    <row r="519" spans="1:12" ht="15.75" hidden="1" thickBot="1">
      <c r="A519" t="s">
        <v>875</v>
      </c>
      <c r="B519" s="1"/>
      <c r="C519" s="31"/>
      <c r="D519" s="1"/>
      <c r="E519" s="49"/>
      <c r="F519" s="1"/>
      <c r="G519" s="49"/>
      <c r="H519" s="1"/>
      <c r="I519" s="49"/>
      <c r="J519" s="1"/>
      <c r="K519" s="49"/>
      <c r="L519" s="1"/>
    </row>
    <row r="520" spans="1:12" ht="15.75" hidden="1" thickBot="1">
      <c r="A520" t="s">
        <v>875</v>
      </c>
      <c r="B520" s="1"/>
      <c r="C520" s="41" t="str">
        <f ca="1">WorkerClass_lbl</f>
        <v>Worker Class</v>
      </c>
      <c r="D520" s="1"/>
      <c r="E520" s="51"/>
      <c r="F520" s="1"/>
      <c r="G520" s="58"/>
      <c r="H520" s="1"/>
      <c r="I520" s="49"/>
      <c r="J520" s="1"/>
      <c r="K520" s="49"/>
      <c r="L520" s="1"/>
    </row>
    <row r="521" spans="1:12" ht="15.75" hidden="1" thickBot="1">
      <c r="A521" t="s">
        <v>875</v>
      </c>
      <c r="B521" s="1"/>
      <c r="C521" s="31"/>
      <c r="D521" s="1"/>
      <c r="E521" s="49"/>
      <c r="F521" s="1"/>
      <c r="G521" s="49"/>
      <c r="H521" s="1"/>
      <c r="I521" s="49"/>
      <c r="J521" s="1"/>
      <c r="K521" s="49"/>
      <c r="L521" s="1"/>
    </row>
    <row r="522" spans="1:12" ht="15.75" hidden="1" thickBot="1">
      <c r="A522" t="s">
        <v>875</v>
      </c>
      <c r="B522" s="3"/>
      <c r="C522" s="34" t="str">
        <f ca="1">Probationary_Period_End_Date</f>
        <v>Probationary Period End Date (DD/MM/YYYY)</v>
      </c>
      <c r="D522" s="1"/>
      <c r="E522" s="53"/>
      <c r="F522" s="1"/>
      <c r="G522" s="59"/>
      <c r="H522" s="1"/>
      <c r="I522" s="49"/>
      <c r="J522" s="1"/>
      <c r="K522" s="49"/>
      <c r="L522" s="1"/>
    </row>
    <row r="523" spans="1:12" ht="15.75" hidden="1" thickBot="1">
      <c r="A523" t="s">
        <v>875</v>
      </c>
      <c r="B523" s="1"/>
      <c r="C523" s="42"/>
      <c r="D523" s="1"/>
      <c r="E523" s="49"/>
      <c r="F523" s="1"/>
      <c r="G523" s="57"/>
      <c r="H523" s="1"/>
      <c r="I523" s="49"/>
      <c r="J523" s="1"/>
      <c r="K523" s="49"/>
      <c r="L523" s="1"/>
    </row>
    <row r="524" spans="1:12" ht="15.75" hidden="1" thickBot="1">
      <c r="A524" t="s">
        <v>875</v>
      </c>
      <c r="B524" s="3"/>
      <c r="C524" s="34" t="str">
        <f ca="1">Probation_status_lbl</f>
        <v>* Probation Status</v>
      </c>
      <c r="D524" s="1"/>
      <c r="E524" s="53"/>
      <c r="F524" s="1"/>
      <c r="G524" s="59"/>
      <c r="H524" s="1"/>
      <c r="I524" s="49"/>
      <c r="J524" s="1"/>
      <c r="K524" s="49"/>
      <c r="L524" s="1"/>
    </row>
    <row r="525" spans="1:12" ht="15.75" hidden="1" thickBot="1">
      <c r="A525" t="s">
        <v>875</v>
      </c>
      <c r="B525" s="1"/>
      <c r="C525" s="42"/>
      <c r="D525" s="1"/>
      <c r="E525" s="49"/>
      <c r="F525" s="1"/>
      <c r="G525" s="57"/>
      <c r="H525" s="1"/>
      <c r="I525" s="49"/>
      <c r="J525" s="1"/>
      <c r="K525" s="49"/>
      <c r="L525" s="1"/>
    </row>
    <row r="526" spans="1:12" ht="15.75" hidden="1" thickBot="1">
      <c r="A526" t="s">
        <v>875</v>
      </c>
      <c r="B526" s="3"/>
      <c r="C526" s="34" t="str">
        <f ca="1">Pen_Type_Lbl</f>
        <v>Pension Type</v>
      </c>
      <c r="D526" s="1"/>
      <c r="E526" s="53"/>
      <c r="F526" s="1"/>
      <c r="G526" s="59"/>
      <c r="H526" s="1"/>
      <c r="I526" s="49"/>
      <c r="J526" s="1"/>
      <c r="K526" s="49"/>
      <c r="L526" s="1"/>
    </row>
    <row r="527" spans="1:12" ht="15.75" hidden="1" thickBot="1">
      <c r="A527" t="s">
        <v>875</v>
      </c>
      <c r="B527" s="1"/>
      <c r="C527" s="42"/>
      <c r="D527" s="1"/>
      <c r="E527" s="49"/>
      <c r="F527" s="1"/>
      <c r="G527" s="57"/>
      <c r="H527" s="1"/>
      <c r="I527" s="49"/>
      <c r="J527" s="1"/>
      <c r="K527" s="49"/>
      <c r="L527" s="1"/>
    </row>
    <row r="528" spans="1:12" ht="15.75" hidden="1" thickBot="1">
      <c r="A528" t="s">
        <v>875</v>
      </c>
      <c r="B528" s="3"/>
      <c r="C528" s="34" t="str">
        <f ca="1">Contract_start_date</f>
        <v>Contract Start Date (DD/MM/YYYY)</v>
      </c>
      <c r="D528" s="1"/>
      <c r="E528" s="53"/>
      <c r="F528" s="1"/>
      <c r="G528" s="59"/>
      <c r="H528" s="1"/>
      <c r="I528" s="49"/>
      <c r="J528" s="1"/>
      <c r="K528" s="49"/>
      <c r="L528" s="1"/>
    </row>
    <row r="529" spans="1:12" ht="15.75" hidden="1" thickBot="1">
      <c r="A529" t="s">
        <v>875</v>
      </c>
      <c r="B529" s="1"/>
      <c r="C529" s="106"/>
      <c r="D529" s="1"/>
      <c r="E529" s="49"/>
      <c r="F529" s="1"/>
      <c r="G529" s="57"/>
      <c r="H529" s="1"/>
      <c r="I529" s="49"/>
      <c r="J529" s="1"/>
      <c r="K529" s="49"/>
      <c r="L529" s="1"/>
    </row>
    <row r="530" spans="1:12" ht="15.75" hidden="1" thickBot="1">
      <c r="A530" t="s">
        <v>875</v>
      </c>
      <c r="B530" s="3"/>
      <c r="C530" s="34" t="str">
        <f ca="1">Contract_end_date</f>
        <v>Contract End Date (DD/MM/YYYY)</v>
      </c>
      <c r="D530" s="1"/>
      <c r="E530" s="53"/>
      <c r="F530" s="1"/>
      <c r="G530" s="59"/>
      <c r="H530" s="1"/>
      <c r="I530" s="49"/>
      <c r="J530" s="1"/>
      <c r="K530" s="49"/>
      <c r="L530" s="1"/>
    </row>
    <row r="531" spans="1:12" hidden="1">
      <c r="A531" t="s">
        <v>875</v>
      </c>
      <c r="B531" s="1"/>
      <c r="C531" s="42"/>
      <c r="D531" s="1"/>
      <c r="E531" s="49"/>
      <c r="F531" s="1"/>
      <c r="G531" s="57"/>
      <c r="H531" s="1"/>
      <c r="I531" s="49"/>
      <c r="J531" s="1"/>
      <c r="K531" s="49"/>
      <c r="L531" s="1"/>
    </row>
    <row r="532" spans="1:12" ht="15.75" hidden="1" thickBot="1">
      <c r="A532" t="s">
        <v>875</v>
      </c>
      <c r="B532" s="3"/>
      <c r="C532" s="39" t="str">
        <f ca="1">Plan_Comp_Type_lbl</f>
        <v>Planned Compensation Type</v>
      </c>
      <c r="D532" s="1"/>
      <c r="E532" s="53"/>
      <c r="F532" s="1"/>
      <c r="G532" s="56"/>
      <c r="H532" s="1"/>
      <c r="I532" s="49"/>
      <c r="J532" s="1"/>
      <c r="K532" s="49"/>
      <c r="L532" s="1"/>
    </row>
    <row r="533" spans="1:12" hidden="1">
      <c r="A533" t="s">
        <v>875</v>
      </c>
      <c r="B533" s="1"/>
      <c r="C533" s="31"/>
      <c r="D533" s="1"/>
      <c r="E533" s="49"/>
      <c r="F533" s="1"/>
      <c r="G533" s="49"/>
      <c r="H533" s="1"/>
      <c r="I533" s="49"/>
      <c r="J533" s="1"/>
      <c r="K533" s="49"/>
      <c r="L533" s="1"/>
    </row>
    <row r="534" spans="1:12" ht="15.75" hidden="1" thickBot="1">
      <c r="A534" t="s">
        <v>875</v>
      </c>
      <c r="B534" s="3"/>
      <c r="C534" s="39" t="str">
        <f ca="1">'Field labels'!Pay_Scale_Type</f>
        <v>* Pay Scale Type</v>
      </c>
      <c r="D534" s="1"/>
      <c r="E534" s="53"/>
      <c r="F534" s="1"/>
      <c r="G534" s="56"/>
      <c r="H534" s="1"/>
      <c r="I534" s="49"/>
      <c r="J534" s="1"/>
      <c r="K534" s="49"/>
      <c r="L534" s="1"/>
    </row>
    <row r="535" spans="1:12" ht="15.75" hidden="1" thickBot="1">
      <c r="A535" t="s">
        <v>875</v>
      </c>
      <c r="B535" s="1"/>
      <c r="C535" s="31"/>
      <c r="D535" s="1"/>
      <c r="E535" s="49"/>
      <c r="F535" s="1"/>
      <c r="G535" s="49"/>
      <c r="H535" s="1"/>
      <c r="I535" s="49"/>
      <c r="J535" s="1"/>
      <c r="K535" s="49"/>
      <c r="L535" s="1"/>
    </row>
    <row r="536" spans="1:12" ht="15.75" hidden="1" thickBot="1">
      <c r="A536" t="s">
        <v>875</v>
      </c>
      <c r="B536" s="3"/>
      <c r="C536" s="39" t="str">
        <f ca="1">'Field labels'!Pay_Scale_Area</f>
        <v>* Pay Scale Area</v>
      </c>
      <c r="D536" s="1"/>
      <c r="E536" s="53"/>
      <c r="F536" s="1"/>
      <c r="G536" s="56"/>
      <c r="H536" s="1"/>
      <c r="I536" s="49"/>
      <c r="J536" s="1"/>
      <c r="K536" s="49"/>
      <c r="L536" s="1"/>
    </row>
    <row r="537" spans="1:12" ht="15.75" hidden="1" thickBot="1">
      <c r="A537" t="s">
        <v>875</v>
      </c>
      <c r="B537" s="1"/>
      <c r="C537" s="33"/>
      <c r="D537" s="1"/>
      <c r="E537" s="49"/>
      <c r="F537" s="1"/>
      <c r="G537" s="57"/>
      <c r="H537" s="1"/>
      <c r="I537" s="49"/>
      <c r="J537" s="1"/>
      <c r="K537" s="49"/>
      <c r="L537" s="1"/>
    </row>
    <row r="538" spans="1:12" ht="15.75" hidden="1" thickBot="1">
      <c r="A538" t="s">
        <v>875</v>
      </c>
      <c r="B538" s="1"/>
      <c r="C538" s="33" t="str">
        <f ca="1">'Field labels'!Pay_Scale_Level</f>
        <v xml:space="preserve">Pay Scale Level </v>
      </c>
      <c r="D538" s="1"/>
      <c r="E538" s="51"/>
      <c r="F538" s="1"/>
      <c r="G538" s="57"/>
      <c r="H538" s="1"/>
      <c r="I538" s="49"/>
      <c r="J538" s="1"/>
      <c r="K538" s="49"/>
      <c r="L538" s="1"/>
    </row>
    <row r="539" spans="1:12" ht="15.75" hidden="1" thickBot="1">
      <c r="A539" t="s">
        <v>875</v>
      </c>
      <c r="B539" s="1"/>
      <c r="C539" s="31"/>
      <c r="D539" s="1"/>
      <c r="E539" s="49"/>
      <c r="F539" s="1"/>
      <c r="G539" s="49"/>
      <c r="H539" s="1"/>
      <c r="I539" s="49"/>
      <c r="J539" s="1"/>
      <c r="K539" s="49"/>
      <c r="L539" s="1"/>
    </row>
    <row r="540" spans="1:12" ht="15.75" hidden="1" thickBot="1">
      <c r="A540" t="s">
        <v>875</v>
      </c>
      <c r="B540" s="3"/>
      <c r="C540" s="34" t="str">
        <f ca="1">'Field labels'!Pay_Scale_Group</f>
        <v>* Pay Scale Group</v>
      </c>
      <c r="D540" s="1"/>
      <c r="E540" s="53"/>
      <c r="F540" s="1"/>
      <c r="G540" s="59"/>
      <c r="H540" s="1"/>
      <c r="I540" s="49"/>
      <c r="J540" s="1"/>
      <c r="K540" s="49"/>
      <c r="L540" s="1"/>
    </row>
    <row r="541" spans="1:12" ht="15.75" hidden="1" thickBot="1">
      <c r="A541" t="s">
        <v>875</v>
      </c>
      <c r="B541" s="1"/>
      <c r="C541" s="31"/>
      <c r="D541" s="1"/>
      <c r="E541" s="49"/>
      <c r="F541" s="1"/>
      <c r="G541" s="49"/>
      <c r="H541" s="1"/>
      <c r="I541" s="49"/>
      <c r="J541" s="1"/>
      <c r="K541" s="49"/>
      <c r="L541" s="1"/>
    </row>
    <row r="542" spans="1:12" ht="15.75" hidden="1" thickBot="1">
      <c r="A542" t="s">
        <v>875</v>
      </c>
      <c r="B542" s="3"/>
      <c r="C542" s="34" t="str">
        <f ca="1">wdp_week_lbl</f>
        <v xml:space="preserve">* Working Days Per Week </v>
      </c>
      <c r="D542" s="1"/>
      <c r="E542" s="53"/>
      <c r="F542" s="1"/>
      <c r="G542" s="59"/>
      <c r="H542" s="1"/>
      <c r="I542" s="49"/>
      <c r="J542" s="1"/>
      <c r="K542" s="49"/>
      <c r="L542" s="1"/>
    </row>
    <row r="543" spans="1:12" hidden="1">
      <c r="A543" t="s">
        <v>875</v>
      </c>
      <c r="B543" s="1"/>
      <c r="C543" s="31"/>
      <c r="D543" s="1"/>
      <c r="E543" s="49"/>
      <c r="F543" s="1"/>
      <c r="G543" s="49"/>
      <c r="H543" s="1"/>
      <c r="I543" s="49"/>
      <c r="J543" s="1"/>
      <c r="K543" s="49"/>
      <c r="L543" s="1"/>
    </row>
    <row r="544" spans="1:12" ht="15.75" hidden="1" thickBot="1">
      <c r="A544" t="s">
        <v>875</v>
      </c>
      <c r="B544" s="3"/>
      <c r="C544" s="34" t="str">
        <f ca="1">lab_agree_label</f>
        <v>Labor Agreement</v>
      </c>
      <c r="D544" s="1"/>
      <c r="E544" s="53"/>
      <c r="F544" s="1"/>
      <c r="G544" s="59"/>
      <c r="H544" s="1"/>
      <c r="I544" s="49"/>
      <c r="J544" s="1"/>
      <c r="K544" s="49"/>
      <c r="L544" s="1"/>
    </row>
    <row r="545" spans="1:12" ht="15.75" hidden="1" thickBot="1">
      <c r="A545" t="s">
        <v>875</v>
      </c>
      <c r="B545" s="1"/>
      <c r="C545" s="31"/>
      <c r="D545" s="1"/>
      <c r="E545" s="49"/>
      <c r="F545" s="1"/>
      <c r="G545" s="49"/>
      <c r="H545" s="1"/>
      <c r="I545" s="49"/>
      <c r="J545" s="1"/>
      <c r="K545" s="49"/>
      <c r="L545" s="1"/>
    </row>
    <row r="546" spans="1:12" ht="15.75" hidden="1" thickBot="1">
      <c r="A546" t="s">
        <v>875</v>
      </c>
      <c r="B546" s="3"/>
      <c r="C546" s="34" t="str">
        <f ca="1">org_unit_label</f>
        <v>Organizational Unit</v>
      </c>
      <c r="D546" s="1"/>
      <c r="E546" s="53"/>
      <c r="F546" s="1"/>
      <c r="G546" s="59"/>
      <c r="H546" s="1"/>
      <c r="I546" s="49"/>
      <c r="J546" s="1"/>
      <c r="K546" s="49"/>
      <c r="L546" s="1"/>
    </row>
    <row r="547" spans="1:12" ht="15.75" hidden="1" thickBot="1">
      <c r="A547" t="s">
        <v>875</v>
      </c>
      <c r="B547" s="1"/>
      <c r="C547" s="31"/>
      <c r="D547" s="1"/>
      <c r="E547" s="49"/>
      <c r="F547" s="1"/>
      <c r="G547" s="49"/>
      <c r="H547" s="1"/>
      <c r="I547" s="49"/>
      <c r="J547" s="1"/>
      <c r="K547" s="49"/>
      <c r="L547" s="1"/>
    </row>
    <row r="548" spans="1:12" ht="15.75" hidden="1" thickBot="1">
      <c r="A548" t="s">
        <v>875</v>
      </c>
      <c r="B548" s="3"/>
      <c r="C548" s="34" t="str">
        <f ca="1">Benefits_Class_label</f>
        <v>Benefits Class</v>
      </c>
      <c r="D548" s="1"/>
      <c r="E548" s="53"/>
      <c r="F548" s="1"/>
      <c r="G548" s="59"/>
      <c r="H548" s="1"/>
      <c r="I548" s="49"/>
      <c r="J548" s="1"/>
      <c r="K548" s="49"/>
      <c r="L548" s="1"/>
    </row>
    <row r="549" spans="1:12" ht="15.75" hidden="1" thickBot="1">
      <c r="A549" t="s">
        <v>875</v>
      </c>
      <c r="B549" s="1"/>
      <c r="C549" s="31"/>
      <c r="D549" s="1"/>
      <c r="E549" s="49"/>
      <c r="F549" s="1"/>
      <c r="G549" s="49"/>
      <c r="H549" s="1"/>
      <c r="I549" s="49"/>
      <c r="J549" s="1"/>
      <c r="K549" s="49"/>
      <c r="L549" s="1"/>
    </row>
    <row r="550" spans="1:12" ht="15.75" hidden="1" thickBot="1">
      <c r="A550" t="s">
        <v>875</v>
      </c>
      <c r="B550" s="3"/>
      <c r="C550" s="34" t="str">
        <f ca="1">Union_Code_label</f>
        <v>Union Code</v>
      </c>
      <c r="D550" s="1"/>
      <c r="E550" s="53"/>
      <c r="F550" s="1"/>
      <c r="G550" s="59"/>
      <c r="H550" s="1"/>
      <c r="I550" s="49"/>
      <c r="J550" s="1"/>
      <c r="K550" s="49"/>
      <c r="L550" s="1"/>
    </row>
    <row r="551" spans="1:12" ht="15.75" hidden="1" thickBot="1">
      <c r="A551" t="s">
        <v>875</v>
      </c>
      <c r="B551" s="1"/>
      <c r="C551" s="31"/>
      <c r="D551" s="1"/>
      <c r="E551" s="49"/>
      <c r="F551" s="1"/>
      <c r="G551" s="49"/>
      <c r="H551" s="1"/>
      <c r="I551" s="49"/>
      <c r="J551" s="1"/>
      <c r="K551" s="49"/>
      <c r="L551" s="1"/>
    </row>
    <row r="552" spans="1:12" ht="15.75" hidden="1" thickBot="1">
      <c r="A552" t="s">
        <v>875</v>
      </c>
      <c r="B552" s="3"/>
      <c r="C552" s="34" t="str">
        <f ca="1">Unbanded_Pay_Grade_label</f>
        <v>Unbanded Pay Grade</v>
      </c>
      <c r="D552" s="1"/>
      <c r="E552" s="53"/>
      <c r="F552" s="1"/>
      <c r="G552" s="59"/>
      <c r="H552" s="1"/>
      <c r="I552" s="49"/>
      <c r="J552" s="1"/>
      <c r="K552" s="49"/>
      <c r="L552" s="1"/>
    </row>
    <row r="553" spans="1:12" ht="15.75" hidden="1" thickBot="1">
      <c r="A553" t="s">
        <v>875</v>
      </c>
      <c r="B553" s="1"/>
      <c r="C553" s="31"/>
      <c r="D553" s="1"/>
      <c r="E553" s="49"/>
      <c r="F553" s="1"/>
      <c r="G553" s="49"/>
      <c r="H553" s="1"/>
      <c r="I553" s="49"/>
      <c r="J553" s="1"/>
      <c r="K553" s="49"/>
      <c r="L553" s="1"/>
    </row>
    <row r="554" spans="1:12" ht="15.75" hidden="1" thickBot="1">
      <c r="A554" t="s">
        <v>875</v>
      </c>
      <c r="B554" s="3"/>
      <c r="C554" s="34" t="str">
        <f ca="1">Overtime_Eligibility_label</f>
        <v>* Overtime Eligibility</v>
      </c>
      <c r="D554" s="1"/>
      <c r="E554" s="53"/>
      <c r="F554" s="1"/>
      <c r="G554" s="59"/>
      <c r="H554" s="1"/>
      <c r="I554" s="49"/>
      <c r="J554" s="1"/>
      <c r="K554" s="49"/>
      <c r="L554" s="1"/>
    </row>
    <row r="555" spans="1:12" ht="15.75" hidden="1" thickBot="1">
      <c r="A555" t="s">
        <v>875</v>
      </c>
      <c r="B555" s="1"/>
      <c r="C555" s="31"/>
      <c r="D555" s="1"/>
      <c r="E555" s="49"/>
      <c r="F555" s="1"/>
      <c r="G555" s="49"/>
      <c r="H555" s="1"/>
      <c r="I555" s="49"/>
      <c r="J555" s="1"/>
      <c r="K555" s="49"/>
      <c r="L555" s="1"/>
    </row>
    <row r="556" spans="1:12" ht="15.75" hidden="1" thickBot="1">
      <c r="A556" t="s">
        <v>875</v>
      </c>
      <c r="B556" s="3"/>
      <c r="C556" s="34" t="str">
        <f ca="1">comp_clause_label</f>
        <v>Competition Clause</v>
      </c>
      <c r="D556" s="1"/>
      <c r="E556" s="53"/>
      <c r="F556" s="1"/>
      <c r="G556" s="59"/>
      <c r="H556" s="1"/>
      <c r="I556" s="49"/>
      <c r="J556" s="1"/>
      <c r="K556" s="49"/>
      <c r="L556" s="1"/>
    </row>
    <row r="557" spans="1:12" hidden="1">
      <c r="A557" t="s">
        <v>875</v>
      </c>
      <c r="B557" s="1"/>
      <c r="C557" s="31"/>
      <c r="D557" s="1"/>
      <c r="E557" s="49"/>
      <c r="F557" s="1"/>
      <c r="G557" s="49"/>
      <c r="H557" s="1"/>
      <c r="I557" s="49"/>
      <c r="J557" s="1"/>
      <c r="K557" s="49"/>
      <c r="L557" s="1"/>
    </row>
    <row r="558" spans="1:12" ht="15.75" hidden="1" thickBot="1">
      <c r="A558" t="s">
        <v>875</v>
      </c>
      <c r="B558" s="3"/>
      <c r="C558" s="34" t="str">
        <f ca="1">Emp_Dec_Sign_dt_toggle_lbl</f>
        <v>Employee Declaration Sign Date  (DD/MM/YYYY)</v>
      </c>
      <c r="D558" s="1"/>
      <c r="E558" s="53"/>
      <c r="F558" s="1"/>
      <c r="G558" s="59"/>
      <c r="H558" s="1"/>
      <c r="I558" s="49"/>
      <c r="J558" s="1"/>
      <c r="K558" s="49"/>
      <c r="L558" s="1"/>
    </row>
    <row r="559" spans="1:12" ht="15.75" hidden="1" thickBot="1">
      <c r="A559" t="s">
        <v>875</v>
      </c>
      <c r="B559" s="1"/>
      <c r="C559" s="31"/>
      <c r="D559" s="1"/>
      <c r="E559" s="49"/>
      <c r="F559" s="1"/>
      <c r="G559" s="49"/>
      <c r="H559" s="1"/>
      <c r="I559" s="49"/>
      <c r="J559" s="1"/>
      <c r="K559" s="49"/>
      <c r="L559" s="1"/>
    </row>
    <row r="560" spans="1:12" ht="15.75" hidden="1" thickBot="1">
      <c r="A560" t="s">
        <v>875</v>
      </c>
      <c r="B560" s="3"/>
      <c r="C560" s="34" t="str">
        <f ca="1">Employer_Dec_Sign_dt_toggle_lbl</f>
        <v>Employer Declaration Sign Date  (DD/MM/YYYY)</v>
      </c>
      <c r="D560" s="1"/>
      <c r="E560" s="53"/>
      <c r="F560" s="1"/>
      <c r="G560" s="59"/>
      <c r="H560" s="1"/>
      <c r="I560" s="49"/>
      <c r="J560" s="1"/>
      <c r="K560" s="49"/>
      <c r="L560" s="1"/>
    </row>
    <row r="561" spans="1:12" ht="15.75" hidden="1" thickBot="1">
      <c r="A561" t="s">
        <v>875</v>
      </c>
      <c r="B561" s="1"/>
      <c r="C561" s="31"/>
      <c r="D561" s="1"/>
      <c r="E561" s="49"/>
      <c r="F561" s="1"/>
      <c r="G561" s="49"/>
      <c r="H561" s="1"/>
      <c r="I561" s="49"/>
      <c r="J561" s="1"/>
      <c r="K561" s="49"/>
      <c r="L561" s="1"/>
    </row>
    <row r="562" spans="1:12" ht="15.75" hidden="1" thickBot="1">
      <c r="A562" t="s">
        <v>875</v>
      </c>
      <c r="B562" s="3"/>
      <c r="C562" s="34" t="str">
        <f ca="1">Annual_Leave_Anniversary_dt_toggle_lbl</f>
        <v>Annual Leave Anniversary Date  (DD/MM/YYYY)</v>
      </c>
      <c r="D562" s="1"/>
      <c r="E562" s="53"/>
      <c r="F562" s="1"/>
      <c r="G562" s="59"/>
      <c r="H562" s="1"/>
      <c r="I562" s="49"/>
      <c r="J562" s="1"/>
      <c r="K562" s="49"/>
      <c r="L562" s="1"/>
    </row>
    <row r="563" spans="1:12" ht="15.75" hidden="1" thickBot="1">
      <c r="A563" t="s">
        <v>875</v>
      </c>
      <c r="B563" s="1"/>
      <c r="C563" s="31"/>
      <c r="D563" s="1"/>
      <c r="E563" s="49"/>
      <c r="F563" s="1"/>
      <c r="G563" s="49"/>
      <c r="H563" s="1"/>
      <c r="I563" s="49"/>
      <c r="J563" s="1"/>
      <c r="K563" s="49"/>
      <c r="L563" s="1"/>
    </row>
    <row r="564" spans="1:12" ht="15.75" hidden="1" thickBot="1">
      <c r="A564" t="s">
        <v>875</v>
      </c>
      <c r="B564" s="3"/>
      <c r="C564" s="34" t="str">
        <f ca="1">Long_Ser_Leave_dt_toggle_lbl</f>
        <v>Long Service Leave Date  (DD/MM/YYYY)</v>
      </c>
      <c r="D564" s="1"/>
      <c r="E564" s="53"/>
      <c r="F564" s="1"/>
      <c r="G564" s="59"/>
      <c r="H564" s="1"/>
      <c r="I564" s="49"/>
      <c r="J564" s="1"/>
      <c r="K564" s="49"/>
      <c r="L564" s="1"/>
    </row>
    <row r="565" spans="1:12" hidden="1">
      <c r="A565" t="s">
        <v>875</v>
      </c>
      <c r="B565" s="1"/>
      <c r="C565" s="31"/>
      <c r="D565" s="1"/>
      <c r="E565" s="49"/>
      <c r="F565" s="1"/>
      <c r="G565" s="49"/>
      <c r="H565" s="1"/>
      <c r="I565" s="49"/>
      <c r="J565" s="1"/>
      <c r="K565" s="49"/>
      <c r="L565" s="1"/>
    </row>
    <row r="566" spans="1:12" ht="15.75" hidden="1" thickBot="1">
      <c r="A566" t="s">
        <v>875</v>
      </c>
      <c r="B566" s="3"/>
      <c r="C566" s="34" t="str">
        <f ca="1">ER_IR_label</f>
        <v>ER/IR Manager</v>
      </c>
      <c r="D566" s="1"/>
      <c r="E566" s="53"/>
      <c r="F566" s="1"/>
      <c r="G566" s="59"/>
      <c r="H566" s="1"/>
      <c r="I566" s="49"/>
      <c r="J566" s="1"/>
      <c r="K566" s="49"/>
      <c r="L566" s="1"/>
    </row>
    <row r="567" spans="1:12" ht="15.75" hidden="1" thickBot="1">
      <c r="A567" t="s">
        <v>875</v>
      </c>
      <c r="B567" s="3"/>
      <c r="C567" s="34"/>
      <c r="D567" s="1"/>
      <c r="E567" s="34"/>
      <c r="F567" s="1"/>
      <c r="G567" s="59"/>
      <c r="H567" s="1"/>
      <c r="I567" s="49"/>
      <c r="J567" s="1"/>
      <c r="K567" s="49"/>
      <c r="L567" s="1"/>
    </row>
    <row r="568" spans="1:12" ht="15.75" hidden="1" thickBot="1">
      <c r="A568" t="s">
        <v>875</v>
      </c>
      <c r="B568" s="3"/>
      <c r="C568" s="34" t="str">
        <f ca="1">gmt_position_for_igss_lbl</f>
        <v>Position for IGSS</v>
      </c>
      <c r="D568" s="1"/>
      <c r="E568" s="53"/>
      <c r="F568" s="1"/>
      <c r="G568" s="59"/>
      <c r="H568" s="1"/>
      <c r="I568" s="49"/>
      <c r="J568" s="1"/>
      <c r="K568" s="49"/>
      <c r="L568" s="1"/>
    </row>
    <row r="569" spans="1:12" hidden="1">
      <c r="A569" t="s">
        <v>875</v>
      </c>
      <c r="B569" s="3"/>
      <c r="C569" s="34"/>
      <c r="D569" s="1"/>
      <c r="E569" s="1"/>
      <c r="F569" s="1"/>
      <c r="G569" s="59"/>
      <c r="H569" s="1"/>
      <c r="I569" s="49"/>
      <c r="J569" s="1"/>
      <c r="K569" s="49"/>
      <c r="L569" s="1"/>
    </row>
    <row r="570" spans="1:12" hidden="1">
      <c r="A570" t="s">
        <v>875</v>
      </c>
      <c r="B570" s="1"/>
      <c r="C570" s="31"/>
      <c r="D570" s="1"/>
      <c r="E570" s="49"/>
      <c r="F570" s="1"/>
      <c r="G570" s="49"/>
      <c r="H570" s="1"/>
      <c r="I570" s="49"/>
      <c r="J570" s="1"/>
      <c r="K570" s="49"/>
      <c r="L570" s="1"/>
    </row>
    <row r="571" spans="1:12" hidden="1">
      <c r="A571" t="s">
        <v>875</v>
      </c>
    </row>
    <row r="572" spans="1:12" hidden="1">
      <c r="A572" t="s">
        <v>875</v>
      </c>
      <c r="B572" s="7"/>
      <c r="C572" s="30" t="str">
        <f ca="1">Alternative_Cost_Distribution</f>
        <v>Alternative Cost Distribution</v>
      </c>
      <c r="D572" s="7"/>
      <c r="E572" s="52"/>
      <c r="F572" s="7"/>
      <c r="G572" s="52"/>
      <c r="H572" s="7"/>
      <c r="I572" s="52"/>
      <c r="J572" s="7"/>
      <c r="K572" s="52"/>
      <c r="L572" s="7"/>
    </row>
    <row r="573" spans="1:12" hidden="1">
      <c r="A573" t="s">
        <v>875</v>
      </c>
    </row>
    <row r="574" spans="1:12" ht="15.75" hidden="1" thickBot="1">
      <c r="A574" t="s">
        <v>875</v>
      </c>
      <c r="B574" s="1"/>
      <c r="C574" s="33"/>
      <c r="D574" s="1"/>
      <c r="E574" s="49"/>
      <c r="F574" s="1"/>
      <c r="G574" s="57"/>
      <c r="H574" s="1"/>
      <c r="I574" s="49"/>
      <c r="J574" s="1"/>
      <c r="K574" s="49"/>
      <c r="L574" s="1"/>
    </row>
    <row r="575" spans="1:12" ht="15.75" hidden="1" thickBot="1">
      <c r="A575" t="s">
        <v>875</v>
      </c>
      <c r="B575" s="1"/>
      <c r="C575" s="39" t="str">
        <f ca="1">Second_Cost_Centre</f>
        <v>Second Cost Centre</v>
      </c>
      <c r="D575" s="2"/>
      <c r="E575" s="51"/>
      <c r="F575" s="1"/>
      <c r="G575" s="56"/>
      <c r="H575" s="1"/>
      <c r="I575" s="49"/>
      <c r="J575" s="1"/>
      <c r="K575" s="49"/>
      <c r="L575" s="1"/>
    </row>
    <row r="576" spans="1:12" ht="15.75" hidden="1" thickBot="1">
      <c r="A576" t="s">
        <v>875</v>
      </c>
      <c r="B576" s="1"/>
      <c r="C576" s="33"/>
      <c r="D576" s="1"/>
      <c r="E576" s="49"/>
      <c r="F576" s="1"/>
      <c r="G576" s="57"/>
      <c r="H576" s="1"/>
      <c r="I576" s="49"/>
      <c r="J576" s="1"/>
      <c r="K576" s="49"/>
      <c r="L576" s="1"/>
    </row>
    <row r="577" spans="1:16" ht="15.75" hidden="1" thickBot="1">
      <c r="A577" t="s">
        <v>875</v>
      </c>
      <c r="B577" s="1"/>
      <c r="C577" s="39" t="str">
        <f ca="1">Percentage2</f>
        <v>Percentage (2nd cc)</v>
      </c>
      <c r="D577" s="1"/>
      <c r="E577" s="90"/>
      <c r="F577" s="1"/>
      <c r="G577" s="56"/>
      <c r="H577" s="1"/>
      <c r="I577" s="49"/>
      <c r="J577" s="1"/>
      <c r="K577" s="49"/>
      <c r="L577" s="1"/>
    </row>
    <row r="578" spans="1:16" ht="15.75" hidden="1" thickBot="1">
      <c r="A578" t="s">
        <v>875</v>
      </c>
      <c r="B578" s="1"/>
      <c r="C578" s="33"/>
      <c r="D578" s="1"/>
      <c r="E578" s="49"/>
      <c r="F578" s="1"/>
      <c r="G578" s="57"/>
      <c r="H578" s="1"/>
      <c r="I578" s="49"/>
      <c r="J578" s="1"/>
      <c r="K578" s="49"/>
      <c r="L578" s="1"/>
    </row>
    <row r="579" spans="1:16" ht="15.75" hidden="1" thickBot="1">
      <c r="A579" t="s">
        <v>875</v>
      </c>
      <c r="B579" s="1"/>
      <c r="C579" s="39" t="str">
        <f ca="1">Businesses_Functions2</f>
        <v>Businesses/Functions (2nd cc)</v>
      </c>
      <c r="D579" s="1"/>
      <c r="E579" s="51"/>
      <c r="F579" s="1"/>
      <c r="G579" s="56"/>
      <c r="H579" s="1"/>
      <c r="I579" s="49"/>
      <c r="J579" s="1"/>
      <c r="K579" s="49"/>
      <c r="L579" s="1"/>
    </row>
    <row r="580" spans="1:16" ht="15.75" hidden="1" thickBot="1">
      <c r="A580" t="s">
        <v>875</v>
      </c>
      <c r="B580" s="1"/>
      <c r="C580" s="31"/>
      <c r="D580" s="1"/>
      <c r="E580" s="49"/>
      <c r="F580" s="1"/>
      <c r="G580" s="49"/>
      <c r="H580" s="1"/>
      <c r="I580" s="49"/>
      <c r="J580" s="1"/>
      <c r="K580" s="49"/>
      <c r="L580" s="1"/>
    </row>
    <row r="581" spans="1:16" ht="15.75" hidden="1" thickBot="1">
      <c r="A581" t="s">
        <v>875</v>
      </c>
      <c r="B581" s="1"/>
      <c r="C581" s="39" t="str">
        <f ca="1">Third_Cost_Centre</f>
        <v>Third Cost Centre</v>
      </c>
      <c r="D581" s="1"/>
      <c r="E581" s="51"/>
      <c r="F581" s="1"/>
      <c r="G581" s="56"/>
      <c r="H581" s="1"/>
      <c r="I581" s="49"/>
      <c r="J581" s="1"/>
      <c r="K581" s="49"/>
      <c r="L581" s="1"/>
    </row>
    <row r="582" spans="1:16" ht="15.75" hidden="1" thickBot="1">
      <c r="A582" t="s">
        <v>875</v>
      </c>
      <c r="B582" s="1"/>
      <c r="C582" s="33"/>
      <c r="D582" s="1"/>
      <c r="E582" s="49"/>
      <c r="F582" s="1"/>
      <c r="G582" s="57"/>
      <c r="H582" s="1"/>
      <c r="I582" s="49"/>
      <c r="J582" s="1"/>
      <c r="K582" s="49"/>
      <c r="L582" s="1"/>
    </row>
    <row r="583" spans="1:16" ht="15.75" hidden="1" thickBot="1">
      <c r="A583" t="s">
        <v>875</v>
      </c>
      <c r="B583" s="1"/>
      <c r="C583" s="39" t="str">
        <f ca="1">Percentage3</f>
        <v>Percentage (3rd cc)</v>
      </c>
      <c r="D583" s="1"/>
      <c r="E583" s="90"/>
      <c r="F583" s="1"/>
      <c r="G583" s="56"/>
      <c r="H583" s="1"/>
      <c r="I583" s="49"/>
      <c r="J583" s="1"/>
      <c r="K583" s="49"/>
      <c r="L583" s="1"/>
    </row>
    <row r="584" spans="1:16" ht="15.75" hidden="1" thickBot="1">
      <c r="A584" t="s">
        <v>875</v>
      </c>
      <c r="B584" s="1"/>
      <c r="C584" s="33"/>
      <c r="D584" s="1"/>
      <c r="E584" s="49"/>
      <c r="F584" s="1"/>
      <c r="G584" s="57"/>
      <c r="H584" s="1"/>
      <c r="I584" s="49"/>
      <c r="J584" s="1"/>
      <c r="K584" s="49"/>
      <c r="L584" s="1"/>
    </row>
    <row r="585" spans="1:16" ht="15.75" hidden="1" thickBot="1">
      <c r="A585" t="s">
        <v>875</v>
      </c>
      <c r="B585" s="1"/>
      <c r="C585" s="39" t="str">
        <f ca="1">Businesses_Functions3</f>
        <v>Businesses/Functions (3rd cc)</v>
      </c>
      <c r="D585" s="1"/>
      <c r="E585" s="51"/>
      <c r="F585" s="1"/>
      <c r="G585" s="56"/>
      <c r="H585" s="1"/>
      <c r="I585" s="49"/>
      <c r="J585" s="1"/>
      <c r="K585" s="49"/>
      <c r="L585" s="1"/>
    </row>
    <row r="586" spans="1:16" hidden="1">
      <c r="A586" t="s">
        <v>875</v>
      </c>
      <c r="B586" s="1"/>
      <c r="C586" s="31"/>
      <c r="D586" s="1"/>
      <c r="E586" s="49"/>
      <c r="F586" s="1"/>
      <c r="G586" s="49"/>
      <c r="H586" s="1"/>
      <c r="I586" s="49"/>
      <c r="J586" s="1"/>
      <c r="K586" s="49"/>
      <c r="L586" s="1"/>
    </row>
    <row r="587" spans="1:16" hidden="1">
      <c r="A587" t="s">
        <v>875</v>
      </c>
    </row>
    <row r="588" spans="1:16" hidden="1">
      <c r="A588" t="s">
        <v>875</v>
      </c>
      <c r="B588" s="7"/>
      <c r="C588" s="30" t="str">
        <f ca="1">Compensation_Information</f>
        <v>Compensation Information</v>
      </c>
      <c r="D588" s="7"/>
      <c r="E588" s="52"/>
      <c r="F588" s="7"/>
      <c r="G588" s="52"/>
      <c r="H588" s="7"/>
      <c r="I588" s="52"/>
      <c r="J588" s="7"/>
      <c r="K588" s="52"/>
      <c r="L588" s="7"/>
      <c r="M588" s="7"/>
      <c r="N588" s="7"/>
      <c r="O588" s="7"/>
      <c r="P588" s="7"/>
    </row>
    <row r="589" spans="1:16" hidden="1">
      <c r="A589" t="s">
        <v>875</v>
      </c>
    </row>
    <row r="590" spans="1:16" ht="15.75" hidden="1" thickBot="1">
      <c r="A590" t="s">
        <v>875</v>
      </c>
      <c r="B590" s="1"/>
      <c r="C590" s="33"/>
      <c r="D590" s="1"/>
      <c r="E590" s="49"/>
      <c r="F590" s="1"/>
      <c r="G590" s="57"/>
      <c r="H590" s="1"/>
      <c r="I590" s="49"/>
      <c r="J590" s="1"/>
      <c r="K590" s="49"/>
      <c r="L590" s="1"/>
      <c r="M590" s="1"/>
      <c r="N590" s="1"/>
      <c r="O590" s="1"/>
      <c r="P590" s="1"/>
    </row>
    <row r="591" spans="1:16" ht="15.75" hidden="1" thickBot="1">
      <c r="A591" t="s">
        <v>875</v>
      </c>
      <c r="B591" s="1"/>
      <c r="C591" s="39" t="str">
        <f ca="1">'Field labels'!Pay_Group</f>
        <v>* Pay Group</v>
      </c>
      <c r="D591" s="2"/>
      <c r="E591" s="51" t="s">
        <v>1922</v>
      </c>
      <c r="F591" s="1"/>
      <c r="G591" s="49"/>
      <c r="H591" s="1"/>
      <c r="I591" s="49"/>
      <c r="J591" s="1"/>
      <c r="K591" s="49"/>
      <c r="L591" s="1"/>
      <c r="M591" s="1"/>
      <c r="N591" s="1"/>
      <c r="O591" s="1"/>
      <c r="P591" s="1"/>
    </row>
    <row r="592" spans="1:16" ht="15.75" hidden="1" thickBot="1">
      <c r="A592" t="s">
        <v>875</v>
      </c>
      <c r="B592" s="1"/>
      <c r="C592" s="33"/>
      <c r="D592" s="1"/>
      <c r="E592" s="49"/>
      <c r="F592" s="1"/>
      <c r="G592" s="49"/>
      <c r="H592" s="1"/>
      <c r="I592" s="49"/>
      <c r="J592" s="1"/>
      <c r="K592" s="49"/>
      <c r="L592" s="1"/>
      <c r="M592" s="1"/>
      <c r="N592" s="1"/>
      <c r="O592" s="1"/>
      <c r="P592" s="1"/>
    </row>
    <row r="593" spans="1:16" ht="15.75" hidden="1" thickBot="1">
      <c r="A593" t="s">
        <v>875</v>
      </c>
      <c r="B593" s="1"/>
      <c r="C593" s="39" t="str">
        <f ca="1">'Field labels'!Pay_Change_Reason</f>
        <v>* Pay Change Reason</v>
      </c>
      <c r="D593" s="1"/>
      <c r="E593" s="51" t="s">
        <v>290</v>
      </c>
      <c r="F593" s="1"/>
      <c r="G593" s="49" t="s">
        <v>2815</v>
      </c>
      <c r="H593" s="1"/>
      <c r="I593" s="49" t="s">
        <v>2816</v>
      </c>
      <c r="J593" s="1"/>
      <c r="K593" s="49" t="s">
        <v>2817</v>
      </c>
      <c r="L593" s="1"/>
      <c r="M593" s="1" t="s">
        <v>2818</v>
      </c>
      <c r="N593" s="1"/>
      <c r="O593" s="1" t="s">
        <v>2819</v>
      </c>
      <c r="P593" s="1"/>
    </row>
    <row r="594" spans="1:16" ht="15.75" hidden="1" thickBot="1">
      <c r="A594" t="s">
        <v>875</v>
      </c>
      <c r="B594" s="1"/>
      <c r="C594" s="33"/>
      <c r="D594" s="1"/>
      <c r="E594" s="49"/>
      <c r="F594" s="1"/>
      <c r="G594" s="49"/>
      <c r="H594" s="1"/>
      <c r="I594" s="49"/>
      <c r="J594" s="1"/>
      <c r="K594" s="49"/>
      <c r="L594" s="1"/>
      <c r="M594" s="1"/>
      <c r="N594" s="1"/>
      <c r="O594" s="1"/>
      <c r="P594" s="1"/>
    </row>
    <row r="595" spans="1:16" ht="15.75" hidden="1" thickBot="1">
      <c r="A595" t="s">
        <v>875</v>
      </c>
      <c r="B595" s="1"/>
      <c r="C595" s="39" t="str">
        <f ca="1">'Field labels'!Pay_Component</f>
        <v>* Pay Component</v>
      </c>
      <c r="D595" s="1"/>
      <c r="E595" s="54" t="s">
        <v>702</v>
      </c>
      <c r="F595" s="1"/>
      <c r="G595" s="51"/>
      <c r="H595" s="1"/>
      <c r="I595" s="51"/>
      <c r="J595" s="1"/>
      <c r="K595" s="51"/>
      <c r="L595" s="1"/>
      <c r="M595" s="5"/>
      <c r="N595" s="1"/>
      <c r="O595" s="5"/>
      <c r="P595" s="1"/>
    </row>
    <row r="596" spans="1:16" ht="15.75" hidden="1" thickBot="1">
      <c r="A596" t="s">
        <v>875</v>
      </c>
      <c r="B596" s="1"/>
      <c r="C596" s="31"/>
      <c r="D596" s="1"/>
      <c r="E596" s="49"/>
      <c r="F596" s="1"/>
      <c r="G596" s="49"/>
      <c r="H596" s="1"/>
      <c r="I596" s="49"/>
      <c r="J596" s="1"/>
      <c r="K596" s="49"/>
      <c r="L596" s="1"/>
      <c r="M596" s="1"/>
      <c r="N596" s="1"/>
      <c r="O596" s="1"/>
      <c r="P596" s="1"/>
    </row>
    <row r="597" spans="1:16" ht="15.75" hidden="1" thickBot="1">
      <c r="A597" t="s">
        <v>875</v>
      </c>
      <c r="B597" s="1"/>
      <c r="C597" s="39" t="str">
        <f ca="1">Amount</f>
        <v>* Amount</v>
      </c>
      <c r="D597" s="1"/>
      <c r="E597" s="51"/>
      <c r="F597" s="1"/>
      <c r="G597" s="51"/>
      <c r="H597" s="1"/>
      <c r="I597" s="51"/>
      <c r="J597" s="1"/>
      <c r="K597" s="51"/>
      <c r="L597" s="1"/>
      <c r="M597" s="5"/>
      <c r="N597" s="1"/>
      <c r="O597" s="5"/>
      <c r="P597" s="1"/>
    </row>
    <row r="598" spans="1:16" ht="15.75" hidden="1" thickBot="1">
      <c r="A598" t="s">
        <v>875</v>
      </c>
      <c r="B598" s="1"/>
      <c r="C598" s="33"/>
      <c r="D598" s="1"/>
      <c r="E598" s="49"/>
      <c r="F598" s="1"/>
      <c r="G598" s="49"/>
      <c r="H598" s="1"/>
      <c r="I598" s="49"/>
      <c r="J598" s="1"/>
      <c r="K598" s="49"/>
      <c r="L598" s="1"/>
      <c r="M598" s="1"/>
      <c r="N598" s="1"/>
      <c r="O598" s="1"/>
      <c r="P598" s="1"/>
    </row>
    <row r="599" spans="1:16" ht="15.75" hidden="1" thickBot="1">
      <c r="A599" t="s">
        <v>875</v>
      </c>
      <c r="B599" s="1"/>
      <c r="C599" s="39" t="str">
        <f ca="1">'Field labels'!Currency</f>
        <v>* Currency</v>
      </c>
      <c r="D599" s="1"/>
      <c r="E599" s="51"/>
      <c r="F599" s="1"/>
      <c r="G599" s="51"/>
      <c r="H599" s="1"/>
      <c r="I599" s="51"/>
      <c r="J599" s="1"/>
      <c r="K599" s="51"/>
      <c r="L599" s="1"/>
      <c r="M599" s="5"/>
      <c r="N599" s="1"/>
      <c r="O599" s="5"/>
      <c r="P599" s="1"/>
    </row>
    <row r="600" spans="1:16" ht="15.75" hidden="1" thickBot="1">
      <c r="A600" t="s">
        <v>875</v>
      </c>
      <c r="B600" s="1"/>
      <c r="C600" s="33"/>
      <c r="D600" s="1"/>
      <c r="E600" s="49"/>
      <c r="F600" s="1"/>
      <c r="G600" s="49"/>
      <c r="H600" s="1"/>
      <c r="I600" s="49"/>
      <c r="J600" s="1"/>
      <c r="K600" s="49"/>
      <c r="L600" s="1"/>
      <c r="M600" s="1"/>
      <c r="N600" s="1"/>
      <c r="O600" s="1"/>
      <c r="P600" s="1"/>
    </row>
    <row r="601" spans="1:16" ht="15.75" hidden="1" thickBot="1">
      <c r="A601" t="s">
        <v>875</v>
      </c>
      <c r="B601" s="1"/>
      <c r="C601" s="39" t="str">
        <f ca="1">'Field labels'!Frequency</f>
        <v>* Frequency</v>
      </c>
      <c r="D601" s="1"/>
      <c r="E601" s="51"/>
      <c r="F601" s="1"/>
      <c r="G601" s="51"/>
      <c r="H601" s="1"/>
      <c r="I601" s="51"/>
      <c r="J601" s="1"/>
      <c r="K601" s="51"/>
      <c r="L601" s="1"/>
      <c r="M601" s="5"/>
      <c r="N601" s="1"/>
      <c r="O601" s="5"/>
      <c r="P601" s="1"/>
    </row>
    <row r="602" spans="1:16" hidden="1">
      <c r="A602" t="s">
        <v>875</v>
      </c>
      <c r="B602" s="1"/>
      <c r="C602" s="31"/>
      <c r="D602" s="1"/>
      <c r="E602" s="49"/>
      <c r="F602" s="1"/>
      <c r="G602" s="49"/>
      <c r="H602" s="1"/>
      <c r="I602" s="49"/>
      <c r="J602" s="1"/>
      <c r="K602" s="49"/>
      <c r="L602" s="1"/>
      <c r="M602" s="1"/>
      <c r="N602" s="1"/>
      <c r="O602" s="1"/>
      <c r="P602" s="1"/>
    </row>
    <row r="603" spans="1:16" hidden="1">
      <c r="A603" t="s">
        <v>875</v>
      </c>
    </row>
    <row r="604" spans="1:16" hidden="1">
      <c r="A604" t="s">
        <v>875</v>
      </c>
    </row>
    <row r="605" spans="1:16" hidden="1">
      <c r="A605" t="s">
        <v>875</v>
      </c>
      <c r="C605" s="43" t="s">
        <v>314</v>
      </c>
      <c r="E605" s="55">
        <v>43187</v>
      </c>
    </row>
  </sheetData>
  <sheetProtection algorithmName="SHA-512" hashValue="1gbFZC3oelRBJZpjTYTKdoFQg8PATLeQ8qgIyVxcolnAWrHUSESeAJ5GLFkXOaSLC6qXc04wLjggr19blAe6WQ==" saltValue="xmMFKaaDcbh6WtpXgIIANQ==" spinCount="100000" sheet="1" objects="1" scenarios="1"/>
  <dataValidations count="40">
    <dataValidation operator="lessThan" allowBlank="1" showInputMessage="1" showErrorMessage="1" sqref="E43 E49 E47 E269 E273 E429 E295 E293 E405 E245 E399 E241 E243 E395 E411 E409 E407 E439 E299 E261 E321 G295 G293 G299 I295 I293 I299 K295 K293 K299 G321 I321 K321 E403 E443 G245 G241 G243 M295 M293 M299 M321 O295 O293 O299 O321 Q295 Q293 Q299 Q321 S295 S293 S299 S321 E311 G311 I311 K311 M311 O311 Q311 S311 E323 S323 Q323 O323 M323 K323 I323 G323 E447 E449 E263 I261 I263 E277 E275 I269 I273 I277 I275 E247 G247 E249 G249 E253 G253 E283 I283 E285 I285 E333 I333 E335 I335"/>
    <dataValidation type="list" allowBlank="1" showInputMessage="1" showErrorMessage="1" sqref="E57">
      <formula1>NatIDTypeList</formula1>
    </dataValidation>
    <dataValidation type="list" allowBlank="1" showInputMessage="1" showErrorMessage="1" sqref="E95">
      <formula1>"White, Black or African American, Hispanic or Latino, Asian, American Indian/Alaskan Native, Not Applicable, Native Hawaiian or Other Pacific Island, Two or More Races"</formula1>
    </dataValidation>
    <dataValidation type="list" allowBlank="1" showInputMessage="1" showErrorMessage="1" sqref="E133">
      <formula1>"Protected Veteran, Not a Protected Veteran, Non-Veteran, Prefers not to answer"</formula1>
    </dataValidation>
    <dataValidation type="list" allowBlank="1" showInputMessage="1" showErrorMessage="1" sqref="E135">
      <formula1>"Yes - with a disability (or previously had a disability), No disability, Not willing to answer"</formula1>
    </dataValidation>
    <dataValidation type="list" allowBlank="1" showInputMessage="1" showErrorMessage="1" sqref="E554">
      <formula1>"Eligible, Not Eligible, Eligible With Exception, See Contract"</formula1>
    </dataValidation>
    <dataValidation type="list" allowBlank="1" showInputMessage="1" showErrorMessage="1" sqref="E552">
      <formula1>"0, 1, 2, 3, 4, 5, 6, 7, 8, 9, 10, 11, 12, 13, 14, 15, 16, 17, 18, 19, 20, 21, 22, 23, 24, 25, A, B, C, D, E"</formula1>
    </dataValidation>
    <dataValidation type="list" allowBlank="1" showInputMessage="1" showErrorMessage="1" sqref="E548">
      <formula1>"Hourly Management, Seasonal - Regular, Seasonal - Temporary"</formula1>
    </dataValidation>
    <dataValidation type="list" allowBlank="1" showInputMessage="1" showErrorMessage="1" sqref="E556 E484 E451 E421 E423 E425 E427 E514">
      <formula1>"Yes,No"</formula1>
    </dataValidation>
    <dataValidation type="list" allowBlank="1" showInputMessage="1" showErrorMessage="1" sqref="G57">
      <formula1>NatIDTypeList2</formula1>
    </dataValidation>
    <dataValidation type="list" operator="lessThan" allowBlank="1" showInputMessage="1" showErrorMessage="1" sqref="E397">
      <formula1>"I, II, III, IV, V, VI"</formula1>
    </dataValidation>
    <dataValidation type="list" operator="lessThan" allowBlank="1" showInputMessage="1" showErrorMessage="1" sqref="E431">
      <formula1>"Dolnośląskie, Kujawsko-Pomorskie, Lubuskie, Łódzkie, Lubelskie, Małopolskie, Mazowieckie, Opolskie, Podlaskie, Podkarpackie, Pomorskie, Świętokrzyskie, Śląskie, Warmińsko-Mazurskie, Wielkopolskie, Zachodniopomorskie"</formula1>
    </dataValidation>
    <dataValidation type="list" allowBlank="1" showInputMessage="1" showErrorMessage="1" sqref="E564 E558 E560 E562 E566">
      <formula1>"Aravinthan Umakanthan, Susanne Freier, Thilo Schmidt"</formula1>
    </dataValidation>
    <dataValidation type="list" allowBlank="1" showInputMessage="1" showErrorMessage="1" sqref="E309">
      <formula1>depIDtypelist</formula1>
    </dataValidation>
    <dataValidation type="list" allowBlank="1" showInputMessage="1" showErrorMessage="1" sqref="G309">
      <formula1>depIDtypelist2</formula1>
    </dataValidation>
    <dataValidation type="list" allowBlank="1" showInputMessage="1" showErrorMessage="1" sqref="I309">
      <formula1>depIDtypelist3</formula1>
    </dataValidation>
    <dataValidation type="list" allowBlank="1" showInputMessage="1" showErrorMessage="1" sqref="K309">
      <formula1>depIDtypelist4</formula1>
    </dataValidation>
    <dataValidation type="list" allowBlank="1" showInputMessage="1" showErrorMessage="1" sqref="M309">
      <formula1>depIDtypelist5</formula1>
    </dataValidation>
    <dataValidation type="list" allowBlank="1" showInputMessage="1" showErrorMessage="1" sqref="O309">
      <formula1>depIDtypelist6</formula1>
    </dataValidation>
    <dataValidation type="list" allowBlank="1" showInputMessage="1" showErrorMessage="1" sqref="Q309">
      <formula1>depIDtypelist7</formula1>
    </dataValidation>
    <dataValidation type="list" allowBlank="1" showInputMessage="1" showErrorMessage="1" sqref="S309">
      <formula1>depIDtypelist8</formula1>
    </dataValidation>
    <dataValidation type="list" operator="lessThan" allowBlank="1" showInputMessage="1" showErrorMessage="1" sqref="E329 G329 I329 K329 M329 O329 Q329 S329">
      <formula1>"Brak orzeczenia o niepełnosprawności, Niepełnosprawność lekkiego stopnia, Niepełnosprawność umiarkowanego stopnia, Niepełnosprawność poważnego stopnia, Stopień niepełnosprawności poniżej 16 lat"</formula1>
    </dataValidation>
    <dataValidation type="list" allowBlank="1" showInputMessage="1" showErrorMessage="1" sqref="G599 I599 K599 M599 O599 E599">
      <formula1>Cur_Type</formula1>
    </dataValidation>
    <dataValidation type="list" operator="lessThan" allowBlank="1" showInputMessage="1" showErrorMessage="1" sqref="E279 I279 E251 G251">
      <formula1>"Yes,No"</formula1>
    </dataValidation>
    <dataValidation type="list" allowBlank="1" showInputMessage="1" showErrorMessage="1" sqref="E524">
      <formula1>"Confirmed,Extended,On Probation,Terminated"</formula1>
    </dataValidation>
    <dataValidation type="list" allowBlank="1" showInputMessage="1" showErrorMessage="1" sqref="E518">
      <formula1>"Flexible working hour policy, Integrated working hour policy, Standard working hour policy"</formula1>
    </dataValidation>
    <dataValidation type="list" allowBlank="1" showInputMessage="1" showErrorMessage="1" sqref="E89">
      <formula1>"Bachelor, College, Doctor, High School, Master, Primary School, Secondary School, Secondary Technical School, Vocational School"</formula1>
    </dataValidation>
    <dataValidation type="list" allowBlank="1" showInputMessage="1" showErrorMessage="1" sqref="E209 G209 I209 E211 G211 I211">
      <formula1>"Hong Kong Island, Kowloon, New Territories"</formula1>
    </dataValidation>
    <dataValidation type="list" allowBlank="1" showInputMessage="1" showErrorMessage="1" sqref="E526">
      <formula1>"DB-CAPI-PRATE 2, DB-CAPI-PRATE 3, DB-CAPI-PRATE 4, DB-CAPI-PRATE 5, DB-CKL-Pay Rate, DC PLAN"</formula1>
    </dataValidation>
    <dataValidation type="list" allowBlank="1" showInputMessage="1" showErrorMessage="1" sqref="E83">
      <formula1>"Limited Work Capability, Sitting Jobs Only, Unlimited Work Capability"</formula1>
    </dataValidation>
    <dataValidation type="list" allowBlank="1" showInputMessage="1" showErrorMessage="1" sqref="E383">
      <formula1>bank_currency_type</formula1>
    </dataValidation>
    <dataValidation type="list" allowBlank="1" showInputMessage="1" showErrorMessage="1" sqref="E453">
      <formula1>"Bachillerato, Doctorado, Ingeniería, Licenciatura / Profesional, Maestría, Tecnólogo, Técnico"</formula1>
    </dataValidation>
    <dataValidation type="list" allowBlank="1" showInputMessage="1" showErrorMessage="1" sqref="E455">
      <formula1>"Certificación, Diplomado, Educación Técnica, Otro"</formula1>
    </dataValidation>
    <dataValidation type="list" allowBlank="1" showInputMessage="1" showErrorMessage="1" sqref="E379">
      <formula1>"BAC (NI1)"</formula1>
    </dataValidation>
    <dataValidation type="list" allowBlank="1" showInputMessage="1" showErrorMessage="1" sqref="E359">
      <formula1>"Checking Account, Savings Account, Virtual Account"</formula1>
    </dataValidation>
    <dataValidation type="list" allowBlank="1" showInputMessage="1" showErrorMessage="1" sqref="E381">
      <formula1>"BAC (HR1), Banco do Occidente (HR3)"</formula1>
    </dataValidation>
    <dataValidation type="list" allowBlank="1" showInputMessage="1" showErrorMessage="1" sqref="E457">
      <formula1>"No,Yes"</formula1>
    </dataValidation>
    <dataValidation type="list" allowBlank="1" showInputMessage="1" showErrorMessage="1" sqref="I57">
      <formula1>NatIDTypeList3</formula1>
    </dataValidation>
    <dataValidation type="list" allowBlank="1" showInputMessage="1" showErrorMessage="1" sqref="I55">
      <formula1>$B$3122:$B$3367</formula1>
    </dataValidation>
    <dataValidation type="list" allowBlank="1" showInputMessage="1" showErrorMessage="1" sqref="E125">
      <formula1>$B$5471:$B$5543</formula1>
    </dataValidation>
  </dataValidations>
  <pageMargins left="0.7" right="0.7" top="0.75" bottom="0.75" header="0.3" footer="0.3"/>
  <pageSetup paperSize="9" scale="76" fitToHeight="0" orientation="portrait" r:id="rId1"/>
  <drawing r:id="rId2"/>
  <legacyDrawing r:id="rId3"/>
  <controls>
    <mc:AlternateContent xmlns:mc="http://schemas.openxmlformats.org/markup-compatibility/2006">
      <mc:Choice Requires="x14">
        <control shapeId="4098" r:id="rId4" name="CommandButton1">
          <controlPr print="0" autoLine="0" r:id="rId5">
            <anchor moveWithCells="1">
              <from>
                <xdr:col>1</xdr:col>
                <xdr:colOff>9525</xdr:colOff>
                <xdr:row>11</xdr:row>
                <xdr:rowOff>0</xdr:rowOff>
              </from>
              <to>
                <xdr:col>1</xdr:col>
                <xdr:colOff>504825</xdr:colOff>
                <xdr:row>12</xdr:row>
                <xdr:rowOff>19050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43">
        <x14:dataValidation type="list" allowBlank="1" showInputMessage="1" showErrorMessage="1">
          <x14:formula1>
            <xm:f>PickLists!#REF!</xm:f>
          </x14:formula1>
          <xm:sqref>I259</xm:sqref>
        </x14:dataValidation>
        <x14:dataValidation type="list" allowBlank="1" showInputMessage="1" showErrorMessage="1">
          <x14:formula1>
            <xm:f>PickLists!$B$56:$B$60</xm:f>
          </x14:formula1>
          <xm:sqref>I271</xm:sqref>
        </x14:dataValidation>
        <x14:dataValidation type="list" allowBlank="1" showInputMessage="1" showErrorMessage="1">
          <x14:formula1>
            <xm:f>PickLists!$B$36:$B$56</xm:f>
          </x14:formula1>
          <xm:sqref>G201 E201 I201</xm:sqref>
        </x14:dataValidation>
        <x14:dataValidation type="list" allowBlank="1" showInputMessage="1" showErrorMessage="1">
          <x14:formula1>
            <xm:f>PickLists!$B$89:$B$90</xm:f>
          </x14:formula1>
          <xm:sqref>E61 G61 E137 E139 E141 E143 E317 G317 I317 K317 M317 O317 Q317 S317 E319 G319 I319 K319 M319 O319 Q319 S319 E325 G325 I325 K325 M325 O325 Q325 I61 E327 G327 I327 K327 M327 O327 Q327 S327 E391 E393 E401 E413 E415 E433 E435 E437 S325 E445</xm:sqref>
        </x14:dataValidation>
        <x14:dataValidation type="list" allowBlank="1" showInputMessage="1" showErrorMessage="1">
          <x14:formula1>
            <xm:f>PickLists!$B$71:$B$88</xm:f>
          </x14:formula1>
          <xm:sqref>Q291 E291 G291 I291 K291 M291 O291 S291</xm:sqref>
        </x14:dataValidation>
        <x14:dataValidation type="list" allowBlank="1" showInputMessage="1" showErrorMessage="1">
          <x14:formula1>
            <xm:f>PickLists!$B$240:$B$339</xm:f>
          </x14:formula1>
          <xm:sqref>E579 E585</xm:sqref>
        </x14:dataValidation>
        <x14:dataValidation type="list" allowBlank="1" showInputMessage="1" showErrorMessage="1">
          <x14:formula1>
            <xm:f>PickLists!$B$2633:$B$2649</xm:f>
          </x14:formula1>
          <xm:sqref>K601 M601 E601 G601 I601 O601</xm:sqref>
        </x14:dataValidation>
        <x14:dataValidation type="list" allowBlank="1" showInputMessage="1" showErrorMessage="1">
          <x14:formula1>
            <xm:f>PickLists!$B$64:$B$70</xm:f>
          </x14:formula1>
          <xm:sqref>E165 G165 I165</xm:sqref>
        </x14:dataValidation>
        <x14:dataValidation type="list" allowBlank="1" showInputMessage="1" showErrorMessage="1">
          <x14:formula1>
            <xm:f>PickLists!$B$340:$B$475</xm:f>
          </x14:formula1>
          <xm:sqref>E7</xm:sqref>
        </x14:dataValidation>
        <x14:dataValidation type="list" allowBlank="1" showInputMessage="1" showErrorMessage="1">
          <x14:formula1>
            <xm:f>PickLists!$B$2623:$B$2632</xm:f>
          </x14:formula1>
          <xm:sqref>E9</xm:sqref>
        </x14:dataValidation>
        <x14:dataValidation type="list" allowBlank="1" showInputMessage="1" showErrorMessage="1">
          <x14:formula1>
            <xm:f>PickLists!$B$91:$B$95</xm:f>
          </x14:formula1>
          <xm:sqref>E271</xm:sqref>
        </x14:dataValidation>
        <x14:dataValidation type="list" allowBlank="1" showInputMessage="1" showErrorMessage="1">
          <x14:formula1>
            <xm:f>PickLists!$B$57:$B$63</xm:f>
          </x14:formula1>
          <xm:sqref>E459</xm:sqref>
        </x14:dataValidation>
        <x14:dataValidation type="list" allowBlank="1" showInputMessage="1" showErrorMessage="1">
          <x14:formula1>
            <xm:f>PickLists!$B$5444:$B$5516</xm:f>
          </x14:formula1>
          <xm:sqref>E129</xm:sqref>
        </x14:dataValidation>
        <x14:dataValidation type="list" allowBlank="1" showInputMessage="1" showErrorMessage="1">
          <x14:formula1>
            <xm:f>PickLists!$B$3441:$B$3445</xm:f>
          </x14:formula1>
          <xm:sqref>E15</xm:sqref>
        </x14:dataValidation>
        <x14:dataValidation type="list" allowBlank="1" showInputMessage="1" showErrorMessage="1">
          <x14:formula1>
            <xm:f>PickLists!$B$3195:$B$3440</xm:f>
          </x14:formula1>
          <xm:sqref>I303 K303 M303 O303 Q303 S303 E307 G307 I307 K307 M307 O307 Q307 S307 E45 E55 G55 E77 E91 E155 G155 I155 E235 G235 E301 G301 I301 K301 M301 O301 Q301 S301 E303 G303 E345</xm:sqref>
        </x14:dataValidation>
        <x14:dataValidation type="list" allowBlank="1" showInputMessage="1" showErrorMessage="1">
          <x14:formula1>
            <xm:f>PickLists!$B$4937:$B$4941</xm:f>
          </x14:formula1>
          <xm:sqref>G297 I297 K297 M297 O297 Q297 E71 E297 S297</xm:sqref>
        </x14:dataValidation>
        <x14:dataValidation type="list" allowBlank="1" showInputMessage="1" showErrorMessage="1">
          <x14:formula1>
            <xm:f>PickLists!$B$4942:$B$4953</xm:f>
          </x14:formula1>
          <xm:sqref>G305 I305 K305 M305 O305 Q305 E73 E305 S305</xm:sqref>
        </x14:dataValidation>
        <x14:dataValidation type="list" allowBlank="1" showInputMessage="1" showErrorMessage="1">
          <x14:formula1>
            <xm:f>PickLists!$B$4652:$B$4655</xm:f>
          </x14:formula1>
          <xm:sqref>E153 G153 I153</xm:sqref>
        </x14:dataValidation>
        <x14:dataValidation type="list" allowBlank="1" showInputMessage="1" showErrorMessage="1">
          <x14:formula1>
            <xm:f>PickLists!$B$5067:$B$5454</xm:f>
          </x14:formula1>
          <xm:sqref>E223 G223 I223</xm:sqref>
        </x14:dataValidation>
        <x14:dataValidation type="list" allowBlank="1" showInputMessage="1" showErrorMessage="1">
          <x14:formula1>
            <xm:f>PickLists!$B$5059:$B$5066</xm:f>
          </x14:formula1>
          <xm:sqref>E259</xm:sqref>
        </x14:dataValidation>
        <x14:dataValidation type="list" allowBlank="1" showInputMessage="1" showErrorMessage="1">
          <x14:formula1>
            <xm:f>PickLists!$B$4063:$B$4068</xm:f>
          </x14:formula1>
          <xm:sqref>E313 G313 I313 K313 M313 O313 Q313 S313</xm:sqref>
        </x14:dataValidation>
        <x14:dataValidation type="list" allowBlank="1" showInputMessage="1" showErrorMessage="1">
          <x14:formula1>
            <xm:f>PickLists!$B$4058:$B$4062</xm:f>
          </x14:formula1>
          <xm:sqref>E315 G315 I315 K315 M315 O315 Q315 S315</xm:sqref>
        </x14:dataValidation>
        <x14:dataValidation type="list" allowBlank="1" showInputMessage="1" showErrorMessage="1">
          <x14:formula1>
            <xm:f>PickLists!$B$5057</xm:f>
          </x14:formula1>
          <xm:sqref>E341</xm:sqref>
        </x14:dataValidation>
        <x14:dataValidation type="list" allowBlank="1" showInputMessage="1" showErrorMessage="1">
          <x14:formula1>
            <xm:f>PickLists!$B$5058</xm:f>
          </x14:formula1>
          <xm:sqref>E343</xm:sqref>
        </x14:dataValidation>
        <x14:dataValidation type="list" allowBlank="1" showInputMessage="1" showErrorMessage="1">
          <x14:formula1>
            <xm:f>PickLists!$B$4650:$B$4651</xm:f>
          </x14:formula1>
          <xm:sqref>E357</xm:sqref>
        </x14:dataValidation>
        <x14:dataValidation type="list" allowBlank="1" showInputMessage="1" showErrorMessage="1">
          <x14:formula1>
            <xm:f>PickLists!$B$5053:$B$5056</xm:f>
          </x14:formula1>
          <xm:sqref>E385</xm:sqref>
        </x14:dataValidation>
        <x14:dataValidation type="list" allowBlank="1" showInputMessage="1" showErrorMessage="1">
          <x14:formula1>
            <xm:f>PickLists!$B$4069:$B$4084</xm:f>
          </x14:formula1>
          <xm:sqref>E417</xm:sqref>
        </x14:dataValidation>
        <x14:dataValidation type="list" allowBlank="1" showInputMessage="1" showErrorMessage="1">
          <x14:formula1>
            <xm:f>PickLists!$B$4085:$B$4090</xm:f>
          </x14:formula1>
          <xm:sqref>E441</xm:sqref>
        </x14:dataValidation>
        <x14:dataValidation type="list" allowBlank="1" showInputMessage="1" showErrorMessage="1">
          <x14:formula1>
            <xm:f>PickLists!$B$2795:$B$3016</xm:f>
          </x14:formula1>
          <xm:sqref>E468</xm:sqref>
        </x14:dataValidation>
        <x14:dataValidation type="list" allowBlank="1" showInputMessage="1" showErrorMessage="1">
          <x14:formula1>
            <xm:f>PickLists!$B$3017:$B$3190</xm:f>
          </x14:formula1>
          <xm:sqref>E470</xm:sqref>
        </x14:dataValidation>
        <x14:dataValidation type="list" allowBlank="1" showInputMessage="1" showErrorMessage="1">
          <x14:formula1>
            <xm:f>PickLists!$B$3468:$B$3472</xm:f>
          </x14:formula1>
          <xm:sqref>E492</xm:sqref>
        </x14:dataValidation>
        <x14:dataValidation type="list" allowBlank="1" showInputMessage="1" showErrorMessage="1">
          <x14:formula1>
            <xm:f>PickLists!$B$3455:$B$3467</xm:f>
          </x14:formula1>
          <xm:sqref>E494</xm:sqref>
        </x14:dataValidation>
        <x14:dataValidation type="list" allowBlank="1" showInputMessage="1" showErrorMessage="1">
          <x14:formula1>
            <xm:f>PickLists!$B$4024:$B$4034</xm:f>
          </x14:formula1>
          <xm:sqref>E544</xm:sqref>
        </x14:dataValidation>
        <x14:dataValidation type="list" allowBlank="1" showInputMessage="1" showErrorMessage="1">
          <x14:formula1>
            <xm:f>PickLists!$B$4481:$B$4522</xm:f>
          </x14:formula1>
          <xm:sqref>E546</xm:sqref>
        </x14:dataValidation>
        <x14:dataValidation type="list" allowBlank="1" showInputMessage="1" showErrorMessage="1">
          <x14:formula1>
            <xm:f>PickLists!$B$3550:$B$3615</xm:f>
          </x14:formula1>
          <xm:sqref>E550</xm:sqref>
        </x14:dataValidation>
        <x14:dataValidation type="list" allowBlank="1" showInputMessage="1" showErrorMessage="1">
          <x14:formula1>
            <xm:f>PickLists!$B$4091:$B$4480</xm:f>
          </x14:formula1>
          <xm:sqref>E568</xm:sqref>
        </x14:dataValidation>
        <x14:dataValidation type="list" allowBlank="1" showInputMessage="1" showErrorMessage="1">
          <x14:formula1>
            <xm:f>PickLists!$B$5623:$B$5936</xm:f>
          </x14:formula1>
          <xm:sqref>E237 G237</xm:sqref>
        </x14:dataValidation>
        <x14:dataValidation type="list" allowBlank="1" showInputMessage="1" showErrorMessage="1">
          <x14:formula1>
            <xm:f>PickLists!$B$5455:$B$5470</xm:f>
          </x14:formula1>
          <xm:sqref>E193 G193 I193</xm:sqref>
        </x14:dataValidation>
        <x14:dataValidation type="list" allowBlank="1" showInputMessage="1" showErrorMessage="1">
          <x14:formula1>
            <xm:f>PickLists!$B$12:$B$18</xm:f>
          </x14:formula1>
          <xm:sqref>E512</xm:sqref>
        </x14:dataValidation>
        <x14:dataValidation type="list" allowBlank="1" showInputMessage="1" showErrorMessage="1">
          <x14:formula1>
            <xm:f>PickLists!$B$1648:$B$1739</xm:f>
          </x14:formula1>
          <xm:sqref>E575 E581</xm:sqref>
        </x14:dataValidation>
        <x14:dataValidation type="list" allowBlank="1" showInputMessage="1" showErrorMessage="1">
          <x14:formula1>
            <xm:f>PickLists!$B$2772</xm:f>
          </x14:formula1>
          <xm:sqref>E591</xm:sqref>
        </x14:dataValidation>
        <x14:dataValidation type="list" allowBlank="1" showInputMessage="1" showErrorMessage="1">
          <x14:formula1>
            <xm:f>PickLists!$B$5478:$B$5485</xm:f>
          </x14:formula1>
          <xm:sqref>E97</xm:sqref>
        </x14:dataValidation>
        <x14:dataValidation type="list" allowBlank="1" showInputMessage="1" showErrorMessage="1">
          <x14:formula1>
            <xm:f>PickLists!$B$2710:$B$2727</xm:f>
          </x14:formula1>
          <xm:sqref>K595 M595 G595 I595 O595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1E9F89"/>
  </sheetPr>
  <dimension ref="B1:I867"/>
  <sheetViews>
    <sheetView showGridLines="0" zoomScale="85" zoomScaleNormal="85" workbookViewId="0">
      <selection activeCell="C224" sqref="C224"/>
    </sheetView>
  </sheetViews>
  <sheetFormatPr defaultRowHeight="15"/>
  <cols>
    <col min="3" max="3" width="69.5703125" style="105" bestFit="1" customWidth="1"/>
    <col min="4" max="4" width="2.7109375" customWidth="1"/>
    <col min="5" max="5" width="49.85546875" customWidth="1"/>
    <col min="6" max="6" width="32.85546875" customWidth="1"/>
    <col min="8" max="8" width="26.7109375" customWidth="1"/>
  </cols>
  <sheetData>
    <row r="1" spans="2:9">
      <c r="C1"/>
    </row>
    <row r="2" spans="2:9">
      <c r="B2" s="7"/>
      <c r="C2" s="7" t="str">
        <f ca="1">add_info_label</f>
        <v>Additional Information</v>
      </c>
      <c r="D2" s="7"/>
      <c r="E2" s="7"/>
      <c r="F2" s="7"/>
      <c r="G2" s="7"/>
      <c r="H2" s="7"/>
      <c r="I2" s="7"/>
    </row>
    <row r="3" spans="2:9" ht="15.75" thickBot="1">
      <c r="C3"/>
    </row>
    <row r="4" spans="2:9" ht="15.75" hidden="1" thickBot="1">
      <c r="B4" s="1"/>
      <c r="C4" s="8" t="str">
        <f ca="1">cont_type_lbl</f>
        <v>* Contract Type</v>
      </c>
      <c r="D4" s="2"/>
      <c r="E4" s="5"/>
      <c r="F4" s="1" t="s">
        <v>785</v>
      </c>
      <c r="G4" s="1"/>
      <c r="H4" s="1"/>
      <c r="I4" s="1"/>
    </row>
    <row r="5" spans="2:9" ht="15.75" hidden="1" thickBot="1">
      <c r="B5" s="1"/>
      <c r="C5" s="8"/>
      <c r="D5" s="1"/>
      <c r="E5" s="5"/>
      <c r="F5" s="1" t="s">
        <v>786</v>
      </c>
      <c r="G5" s="1"/>
      <c r="H5" s="1"/>
      <c r="I5" s="1"/>
    </row>
    <row r="6" spans="2:9" ht="15.75" hidden="1" thickBot="1">
      <c r="B6" s="1"/>
      <c r="C6" s="3"/>
      <c r="D6" s="1"/>
      <c r="E6" s="1"/>
      <c r="F6" s="1"/>
      <c r="G6" s="1"/>
      <c r="H6" s="1"/>
      <c r="I6" s="1"/>
    </row>
    <row r="7" spans="2:9" ht="15.75" hidden="1" thickBot="1">
      <c r="B7" s="1"/>
      <c r="C7" s="8" t="str">
        <f ca="1">ftc_lbl</f>
        <v>If FTC, contract length</v>
      </c>
      <c r="D7" s="1"/>
      <c r="E7" s="5"/>
      <c r="F7" s="1" t="s">
        <v>788</v>
      </c>
      <c r="G7" s="1"/>
      <c r="H7" s="1"/>
      <c r="I7" s="1"/>
    </row>
    <row r="8" spans="2:9" ht="15.75" hidden="1" thickBot="1">
      <c r="B8" s="1"/>
      <c r="C8" s="1"/>
      <c r="D8" s="1"/>
      <c r="E8" s="1"/>
      <c r="F8" s="1"/>
      <c r="G8" s="1"/>
      <c r="H8" s="1"/>
      <c r="I8" s="1"/>
    </row>
    <row r="9" spans="2:9" ht="15.75" hidden="1" thickBot="1">
      <c r="B9" s="1"/>
      <c r="C9" s="10" t="str">
        <f ca="1">site_lbl</f>
        <v>* Site location</v>
      </c>
      <c r="D9" s="1"/>
      <c r="E9" s="5"/>
      <c r="F9" s="1" t="s">
        <v>789</v>
      </c>
      <c r="G9" s="1"/>
      <c r="H9" s="1"/>
      <c r="I9" s="1"/>
    </row>
    <row r="10" spans="2:9" ht="15.75" hidden="1" thickBot="1">
      <c r="B10" s="1"/>
      <c r="C10" s="3"/>
      <c r="D10" s="1"/>
      <c r="E10" s="1"/>
      <c r="F10" s="1"/>
      <c r="G10" s="1"/>
      <c r="H10" s="1"/>
      <c r="I10" s="1"/>
    </row>
    <row r="11" spans="2:9" ht="15.75" hidden="1" thickBot="1">
      <c r="B11" s="1"/>
      <c r="C11" s="3" t="str">
        <f ca="1">exist_lbl</f>
        <v>* Existing employee</v>
      </c>
      <c r="D11" s="1"/>
      <c r="E11" s="5"/>
      <c r="F11" s="1" t="s">
        <v>806</v>
      </c>
      <c r="G11" s="1"/>
      <c r="H11" s="1"/>
      <c r="I11" s="1"/>
    </row>
    <row r="12" spans="2:9" ht="15.75" hidden="1" thickBot="1">
      <c r="B12" s="1"/>
      <c r="C12" s="3"/>
      <c r="D12" s="1"/>
      <c r="E12" s="1"/>
      <c r="F12" s="1"/>
      <c r="G12" s="1"/>
      <c r="H12" s="1"/>
      <c r="I12" s="1"/>
    </row>
    <row r="13" spans="2:9" ht="15.75" hidden="1" thickBot="1">
      <c r="B13" s="1"/>
      <c r="C13" s="3" t="str">
        <f ca="1">start_time_lbl</f>
        <v>* Start date and time</v>
      </c>
      <c r="D13" s="1"/>
      <c r="E13" s="5"/>
      <c r="F13" s="1" t="s">
        <v>790</v>
      </c>
      <c r="G13" s="1"/>
      <c r="H13" s="1"/>
      <c r="I13" s="1"/>
    </row>
    <row r="14" spans="2:9" ht="15.75" hidden="1" thickBot="1">
      <c r="B14" s="1"/>
      <c r="C14" s="1"/>
      <c r="D14" s="1"/>
      <c r="E14" s="1"/>
      <c r="F14" s="1"/>
      <c r="G14" s="1"/>
      <c r="H14" s="1"/>
      <c r="I14" s="1"/>
    </row>
    <row r="15" spans="2:9" ht="15.75" hidden="1" thickBot="1">
      <c r="B15" s="1"/>
      <c r="C15" s="3" t="str">
        <f ca="1">report_to_lbl</f>
        <v>* Name of person / area to report to on first day</v>
      </c>
      <c r="D15" s="1"/>
      <c r="E15" s="5"/>
      <c r="F15" s="1" t="s">
        <v>791</v>
      </c>
      <c r="G15" s="1"/>
      <c r="H15" s="1"/>
      <c r="I15" s="1"/>
    </row>
    <row r="16" spans="2:9" ht="15.75" hidden="1" thickBot="1">
      <c r="B16" s="1"/>
      <c r="C16" s="3"/>
      <c r="D16" s="1"/>
      <c r="E16" s="1"/>
      <c r="F16" s="1"/>
      <c r="G16" s="1"/>
      <c r="H16" s="1"/>
      <c r="I16" s="1"/>
    </row>
    <row r="17" spans="2:9" ht="15.75" hidden="1" thickBot="1">
      <c r="B17" s="1"/>
      <c r="C17" s="3" t="str">
        <f ca="1">HR_appr_lbl</f>
        <v>* HR Approver</v>
      </c>
      <c r="D17" s="1"/>
      <c r="E17" s="5"/>
      <c r="F17" s="1" t="s">
        <v>792</v>
      </c>
      <c r="G17" s="1"/>
      <c r="H17" s="1"/>
      <c r="I17" s="1"/>
    </row>
    <row r="18" spans="2:9" ht="15.75" hidden="1" thickBot="1">
      <c r="B18" s="1"/>
      <c r="C18" s="3"/>
      <c r="D18" s="1"/>
      <c r="E18" s="1"/>
      <c r="F18" s="1"/>
      <c r="G18" s="1"/>
      <c r="H18" s="1"/>
      <c r="I18" s="1"/>
    </row>
    <row r="19" spans="2:9" ht="15.75" hidden="1" thickBot="1">
      <c r="B19" s="1"/>
      <c r="C19" s="8" t="str">
        <f ca="1">break_arr_lbl</f>
        <v>Break arrangement if applicable</v>
      </c>
      <c r="D19" s="1"/>
      <c r="E19" s="5"/>
      <c r="F19" s="1" t="s">
        <v>788</v>
      </c>
      <c r="G19" s="1"/>
      <c r="H19" s="1"/>
      <c r="I19" s="1"/>
    </row>
    <row r="20" spans="2:9" ht="15.75" hidden="1" thickBot="1">
      <c r="B20" s="1"/>
      <c r="C20" s="3"/>
      <c r="D20" s="1"/>
      <c r="E20" s="1"/>
      <c r="F20" s="1"/>
      <c r="G20" s="1"/>
      <c r="H20" s="1"/>
      <c r="I20" s="1"/>
    </row>
    <row r="21" spans="2:9" ht="15.75" hidden="1" thickBot="1">
      <c r="B21" s="1"/>
      <c r="C21" s="8" t="str">
        <f ca="1">st_fin_lbl</f>
        <v>Start – Finish times / days</v>
      </c>
      <c r="D21" s="1"/>
      <c r="E21" s="5"/>
      <c r="F21" s="1" t="s">
        <v>788</v>
      </c>
      <c r="G21" s="1"/>
      <c r="H21" s="1"/>
      <c r="I21" s="1"/>
    </row>
    <row r="22" spans="2:9" ht="15.75" hidden="1" thickBot="1">
      <c r="B22" s="1"/>
      <c r="C22" s="1"/>
      <c r="D22" s="1"/>
      <c r="E22" s="1"/>
      <c r="F22" s="1"/>
      <c r="G22" s="1"/>
      <c r="H22" s="1"/>
      <c r="I22" s="1"/>
    </row>
    <row r="23" spans="2:9" ht="15.75" hidden="1" thickBot="1">
      <c r="B23" s="1"/>
      <c r="C23" s="8" t="str">
        <f ca="1">comp_car_lbl</f>
        <v>Company Car entitlement</v>
      </c>
      <c r="D23" s="1"/>
      <c r="E23" s="5"/>
      <c r="F23" s="1"/>
      <c r="G23" s="1"/>
      <c r="H23" s="1"/>
      <c r="I23" s="1"/>
    </row>
    <row r="24" spans="2:9" ht="15.75" hidden="1" thickBot="1">
      <c r="B24" s="1"/>
      <c r="C24" s="1"/>
      <c r="D24" s="1"/>
      <c r="E24" s="1"/>
      <c r="F24" s="1"/>
      <c r="G24" s="1"/>
      <c r="H24" s="1"/>
      <c r="I24" s="1"/>
    </row>
    <row r="25" spans="2:9" ht="15.75" hidden="1" thickBot="1">
      <c r="B25" s="1"/>
      <c r="C25" s="8" t="str">
        <f ca="1">car_grade_lbl</f>
        <v>Car Grade</v>
      </c>
      <c r="D25" s="1"/>
      <c r="E25" s="5"/>
      <c r="F25" s="1" t="s">
        <v>795</v>
      </c>
      <c r="G25" s="1"/>
      <c r="H25" s="1"/>
      <c r="I25" s="1"/>
    </row>
    <row r="26" spans="2:9" ht="15.75" hidden="1" thickBot="1">
      <c r="B26" s="1"/>
      <c r="C26" s="1"/>
      <c r="D26" s="1"/>
      <c r="E26" s="1"/>
      <c r="F26" s="1"/>
      <c r="G26" s="1"/>
      <c r="H26" s="1"/>
      <c r="I26" s="1"/>
    </row>
    <row r="27" spans="2:9" ht="15.75" hidden="1" thickBot="1">
      <c r="B27" s="1"/>
      <c r="C27" s="8" t="str">
        <f ca="1">other_req_lbl</f>
        <v>Other requirements,eg, learning agreement, retention schedule</v>
      </c>
      <c r="D27" s="1"/>
      <c r="E27" s="5"/>
      <c r="F27" s="1" t="s">
        <v>788</v>
      </c>
      <c r="G27" s="1"/>
      <c r="H27" s="1"/>
      <c r="I27" s="1"/>
    </row>
    <row r="28" spans="2:9" ht="15.75" hidden="1" thickBot="1">
      <c r="B28" s="1"/>
      <c r="C28" s="1"/>
      <c r="D28" s="1"/>
      <c r="E28" s="1"/>
      <c r="F28" s="1"/>
      <c r="G28" s="1"/>
      <c r="H28" s="1"/>
      <c r="I28" s="1"/>
    </row>
    <row r="29" spans="2:9" ht="15.75" hidden="1" thickBot="1">
      <c r="B29" s="1"/>
      <c r="C29" s="8" t="str">
        <f ca="1">HR_induct_date_lbl</f>
        <v>HR Induction Date</v>
      </c>
      <c r="D29" s="1"/>
      <c r="E29" s="5"/>
      <c r="F29" s="1" t="s">
        <v>805</v>
      </c>
      <c r="G29" s="1"/>
      <c r="H29" s="1"/>
      <c r="I29" s="1"/>
    </row>
    <row r="30" spans="2:9" ht="15.75" hidden="1" thickBot="1">
      <c r="B30" s="1"/>
      <c r="C30" s="1"/>
      <c r="D30" s="1"/>
      <c r="E30" s="1"/>
      <c r="F30" s="1"/>
      <c r="G30" s="1"/>
      <c r="H30" s="1"/>
      <c r="I30" s="1"/>
    </row>
    <row r="31" spans="2:9" ht="15.75" hidden="1" thickBot="1">
      <c r="B31" s="1"/>
      <c r="C31" s="8" t="str">
        <f ca="1">HR_induct_time_lbl</f>
        <v>HR Induction Time</v>
      </c>
      <c r="D31" s="1"/>
      <c r="E31" s="5"/>
      <c r="F31" s="1" t="s">
        <v>790</v>
      </c>
      <c r="G31" s="1"/>
      <c r="H31" s="1"/>
      <c r="I31" s="1"/>
    </row>
    <row r="32" spans="2:9" ht="15.75" hidden="1" thickBot="1">
      <c r="B32" s="1"/>
      <c r="C32" s="1"/>
      <c r="D32" s="1"/>
      <c r="E32" s="1"/>
      <c r="F32" s="1"/>
      <c r="G32" s="1"/>
      <c r="H32" s="1"/>
      <c r="I32" s="1"/>
    </row>
    <row r="33" spans="2:9" ht="15.75" hidden="1" thickBot="1">
      <c r="B33" s="1"/>
      <c r="C33" s="3" t="str">
        <f ca="1">hr_induct_held_lbl</f>
        <v>* HR Induction to be held by</v>
      </c>
      <c r="D33" s="1"/>
      <c r="E33" s="5"/>
      <c r="F33" s="1" t="s">
        <v>789</v>
      </c>
      <c r="G33" s="1"/>
      <c r="H33" s="1"/>
      <c r="I33" s="1"/>
    </row>
    <row r="34" spans="2:9" ht="15.75" hidden="1" thickBot="1">
      <c r="B34" s="1"/>
      <c r="C34" s="1"/>
      <c r="D34" s="1"/>
      <c r="E34" s="1"/>
      <c r="F34" s="1"/>
      <c r="G34" s="1"/>
      <c r="H34" s="1"/>
      <c r="I34" s="1"/>
    </row>
    <row r="35" spans="2:9" ht="15.75" hidden="1" thickBot="1">
      <c r="B35" s="1"/>
      <c r="C35" s="8" t="str">
        <f ca="1">hire_right_lbl</f>
        <v>Hire Right Check</v>
      </c>
      <c r="D35" s="1"/>
      <c r="E35" s="5"/>
      <c r="F35" s="1" t="s">
        <v>785</v>
      </c>
      <c r="G35" s="1"/>
      <c r="H35" s="1"/>
      <c r="I35" s="1"/>
    </row>
    <row r="36" spans="2:9" ht="15.75" hidden="1" thickBot="1">
      <c r="B36" s="1"/>
      <c r="C36" s="1"/>
      <c r="D36" s="1"/>
      <c r="E36" s="1"/>
      <c r="F36" s="1"/>
      <c r="G36" s="1"/>
      <c r="H36" s="1"/>
      <c r="I36" s="1"/>
    </row>
    <row r="37" spans="2:9" ht="15.75" hidden="1" thickBot="1">
      <c r="B37" s="1"/>
      <c r="C37" s="8" t="str">
        <f ca="1">appl_union_agree_lbl</f>
        <v>Applicable Union agreement</v>
      </c>
      <c r="D37" s="1"/>
      <c r="E37" s="5"/>
      <c r="F37" s="1" t="s">
        <v>806</v>
      </c>
      <c r="G37" s="1"/>
      <c r="H37" s="1"/>
      <c r="I37" s="1"/>
    </row>
    <row r="38" spans="2:9" ht="15.75" hidden="1" thickBot="1">
      <c r="B38" s="1"/>
      <c r="C38" s="1"/>
      <c r="D38" s="1"/>
      <c r="E38" s="1"/>
      <c r="F38" s="1"/>
      <c r="G38" s="1"/>
      <c r="H38" s="1"/>
      <c r="I38" s="1"/>
    </row>
    <row r="39" spans="2:9" ht="15.75" hidden="1" thickBot="1">
      <c r="B39" s="1"/>
      <c r="C39" s="8" t="str">
        <f ca="1">union_name_lbl</f>
        <v>Union name (if applicable)</v>
      </c>
      <c r="D39" s="1"/>
      <c r="E39" s="5"/>
      <c r="F39" s="1"/>
      <c r="G39" s="1"/>
      <c r="H39" s="1"/>
      <c r="I39" s="1"/>
    </row>
    <row r="40" spans="2:9" ht="15.75" hidden="1" thickBot="1">
      <c r="B40" s="1"/>
      <c r="C40" s="1"/>
      <c r="D40" s="1"/>
      <c r="E40" s="1"/>
      <c r="F40" s="1"/>
      <c r="G40" s="1"/>
      <c r="H40" s="1"/>
      <c r="I40" s="1"/>
    </row>
    <row r="41" spans="2:9" ht="15.75" hidden="1" thickBot="1">
      <c r="B41" s="1"/>
      <c r="C41" s="61" t="str">
        <f ca="1">union_numb_lbl</f>
        <v>Union's employee number</v>
      </c>
      <c r="D41" s="1"/>
      <c r="E41" s="5"/>
      <c r="F41" s="1"/>
      <c r="G41" s="1"/>
      <c r="H41" s="1"/>
      <c r="I41" s="1"/>
    </row>
    <row r="42" spans="2:9" ht="15.75" hidden="1" thickBot="1">
      <c r="B42" s="1"/>
      <c r="C42" s="1"/>
      <c r="D42" s="1"/>
      <c r="E42" s="1"/>
      <c r="F42" s="1"/>
      <c r="G42" s="1"/>
      <c r="H42" s="1"/>
      <c r="I42" s="1"/>
    </row>
    <row r="43" spans="2:9" ht="15.75" hidden="1" thickBot="1">
      <c r="B43" s="1"/>
      <c r="C43" s="61" t="str">
        <f ca="1">sal_ded_lbl</f>
        <v>% of salary deducted (union)</v>
      </c>
      <c r="D43" s="1"/>
      <c r="E43" s="5"/>
      <c r="F43" s="1"/>
      <c r="G43" s="1"/>
      <c r="H43" s="1"/>
      <c r="I43" s="1"/>
    </row>
    <row r="44" spans="2:9" ht="15.75" hidden="1" thickBot="1">
      <c r="B44" s="1"/>
      <c r="C44" s="1"/>
      <c r="D44" s="1"/>
      <c r="E44" s="1"/>
      <c r="F44" s="1"/>
      <c r="G44" s="1"/>
      <c r="H44" s="1"/>
      <c r="I44" s="1"/>
    </row>
    <row r="45" spans="2:9" ht="15.75" hidden="1" thickBot="1">
      <c r="B45" s="1"/>
      <c r="C45" s="8" t="str">
        <f ca="1">agree_date_lbl</f>
        <v>Date of agreement (if applicable)</v>
      </c>
      <c r="D45" s="1"/>
      <c r="E45" s="5"/>
      <c r="F45" s="1"/>
      <c r="G45" s="1"/>
      <c r="H45" s="1"/>
      <c r="I45" s="1"/>
    </row>
    <row r="46" spans="2:9" ht="15.75" hidden="1" thickBot="1">
      <c r="B46" s="1"/>
      <c r="C46" s="1"/>
      <c r="D46" s="1"/>
      <c r="E46" s="1"/>
      <c r="F46" s="1"/>
      <c r="G46" s="1"/>
      <c r="H46" s="1"/>
      <c r="I46" s="1"/>
    </row>
    <row r="47" spans="2:9" ht="15.75" hidden="1" thickBot="1">
      <c r="B47" s="1"/>
      <c r="C47" s="8" t="str">
        <f ca="1">agree_avail_lbl</f>
        <v>Agreement available from</v>
      </c>
      <c r="D47" s="1"/>
      <c r="E47" s="5"/>
      <c r="F47" s="1" t="s">
        <v>807</v>
      </c>
      <c r="G47" s="1"/>
      <c r="H47" s="1"/>
      <c r="I47" s="1"/>
    </row>
    <row r="48" spans="2:9" ht="15.75" hidden="1" thickBot="1">
      <c r="B48" s="1"/>
      <c r="C48" s="1"/>
      <c r="D48" s="1"/>
      <c r="E48" s="1"/>
      <c r="F48" s="1"/>
      <c r="G48" s="1"/>
      <c r="H48" s="1"/>
      <c r="I48" s="1"/>
    </row>
    <row r="49" spans="2:9" ht="15.75" hidden="1" thickBot="1">
      <c r="B49" s="1"/>
      <c r="C49" s="8" t="str">
        <f ca="1">amex_lbl</f>
        <v>Amex required</v>
      </c>
      <c r="D49" s="1"/>
      <c r="E49" s="5"/>
      <c r="F49" s="1" t="s">
        <v>806</v>
      </c>
      <c r="G49" s="1"/>
      <c r="H49" s="1"/>
      <c r="I49" s="1"/>
    </row>
    <row r="50" spans="2:9" ht="15.75" hidden="1" thickBot="1">
      <c r="B50" s="1"/>
      <c r="C50" s="1"/>
      <c r="D50" s="1"/>
      <c r="E50" s="1"/>
      <c r="F50" s="1"/>
      <c r="G50" s="1"/>
      <c r="H50" s="1"/>
      <c r="I50" s="1"/>
    </row>
    <row r="51" spans="2:9" ht="15.75" hidden="1" thickBot="1">
      <c r="B51" s="1"/>
      <c r="C51" s="8" t="str">
        <f ca="1">pc_lbl</f>
        <v>PC required</v>
      </c>
      <c r="D51" s="1"/>
      <c r="E51" s="5"/>
      <c r="F51" s="1" t="s">
        <v>806</v>
      </c>
      <c r="G51" s="1"/>
      <c r="H51" s="1"/>
      <c r="I51" s="1"/>
    </row>
    <row r="52" spans="2:9" ht="15.75" hidden="1" thickBot="1">
      <c r="B52" s="1"/>
      <c r="C52" s="1"/>
      <c r="D52" s="1"/>
      <c r="E52" s="1"/>
      <c r="F52" s="1"/>
      <c r="G52" s="1"/>
      <c r="H52" s="1"/>
      <c r="I52" s="1"/>
    </row>
    <row r="53" spans="2:9" ht="15.75" hidden="1" thickBot="1">
      <c r="B53" s="1"/>
      <c r="C53" s="8" t="str">
        <f ca="1">phone_lbl</f>
        <v>Phone required</v>
      </c>
      <c r="D53" s="1"/>
      <c r="E53" s="5"/>
      <c r="F53" s="1" t="s">
        <v>806</v>
      </c>
      <c r="G53" s="1"/>
      <c r="H53" s="1"/>
      <c r="I53" s="1"/>
    </row>
    <row r="54" spans="2:9" ht="15.75" hidden="1" thickBot="1">
      <c r="B54" s="1"/>
      <c r="C54" s="1"/>
      <c r="D54" s="1"/>
      <c r="E54" s="1"/>
      <c r="F54" s="1"/>
      <c r="G54" s="1"/>
      <c r="H54" s="1"/>
      <c r="I54" s="1"/>
    </row>
    <row r="55" spans="2:9" ht="15.75" hidden="1" thickBot="1">
      <c r="B55" s="1"/>
      <c r="C55" s="11" t="str">
        <f ca="1">f2f_oh_lbl</f>
        <v>Face to face OH Screening Required</v>
      </c>
      <c r="D55" s="1"/>
      <c r="E55" s="5"/>
      <c r="F55" s="1" t="s">
        <v>806</v>
      </c>
      <c r="G55" s="1"/>
      <c r="H55" s="1"/>
      <c r="I55" s="1"/>
    </row>
    <row r="56" spans="2:9" ht="15.75" hidden="1" thickBot="1">
      <c r="B56" s="1"/>
      <c r="C56" s="1"/>
      <c r="D56" s="1"/>
      <c r="E56" s="1"/>
      <c r="F56" s="1"/>
      <c r="G56" s="1"/>
      <c r="H56" s="1"/>
      <c r="I56" s="1"/>
    </row>
    <row r="57" spans="2:9" ht="15.75" hidden="1" thickBot="1">
      <c r="B57" s="1"/>
      <c r="C57" s="8" t="str">
        <f ca="1">prob_trial_lbl</f>
        <v>Probation/Trial Period</v>
      </c>
      <c r="D57" s="1"/>
      <c r="E57" s="5"/>
      <c r="F57" s="1"/>
      <c r="G57" s="1"/>
      <c r="H57" s="1"/>
      <c r="I57" s="1"/>
    </row>
    <row r="58" spans="2:9" ht="15.75" hidden="1" thickBot="1">
      <c r="B58" s="1"/>
      <c r="C58" s="1"/>
      <c r="D58" s="1"/>
      <c r="E58" s="1"/>
      <c r="F58" s="1"/>
      <c r="G58" s="1"/>
      <c r="H58" s="1"/>
      <c r="I58" s="1"/>
    </row>
    <row r="59" spans="2:9" ht="15.75" hidden="1" thickBot="1">
      <c r="B59" s="1"/>
      <c r="C59" s="8" t="str">
        <f ca="1">prob_durat_lbl</f>
        <v>Probationary Period (Duration)</v>
      </c>
      <c r="D59" s="1"/>
      <c r="E59" s="5"/>
      <c r="F59" s="1"/>
      <c r="G59" s="1"/>
      <c r="H59" s="1"/>
      <c r="I59" s="1"/>
    </row>
    <row r="60" spans="2:9" ht="15.75" hidden="1" thickBot="1">
      <c r="B60" s="1"/>
      <c r="C60" s="1"/>
      <c r="D60" s="1"/>
      <c r="E60" s="1"/>
      <c r="F60" s="1"/>
      <c r="G60" s="1"/>
      <c r="H60" s="1"/>
      <c r="I60" s="1"/>
    </row>
    <row r="61" spans="2:9" ht="15.75" hidden="1" thickBot="1">
      <c r="B61" s="1"/>
      <c r="C61" s="8" t="str">
        <f ca="1">shift_lbl</f>
        <v>Shift</v>
      </c>
      <c r="D61" s="1"/>
      <c r="E61" s="5"/>
      <c r="F61" s="1"/>
      <c r="G61" s="1"/>
      <c r="H61" s="1"/>
      <c r="I61" s="1"/>
    </row>
    <row r="62" spans="2:9" ht="15.75" hidden="1" thickBot="1">
      <c r="B62" s="1"/>
      <c r="C62" s="1"/>
      <c r="D62" s="1"/>
      <c r="E62" s="1"/>
      <c r="F62" s="1"/>
      <c r="G62" s="1"/>
      <c r="H62" s="1"/>
      <c r="I62" s="1"/>
    </row>
    <row r="63" spans="2:9" ht="15.75" hidden="1" thickBot="1">
      <c r="B63" s="1"/>
      <c r="C63" s="8" t="str">
        <f ca="1">cla_scale_lbl</f>
        <v>Unbanded Salary Scale (CLA- blue collar only)</v>
      </c>
      <c r="D63" s="1"/>
      <c r="E63" s="5"/>
      <c r="F63" s="1"/>
      <c r="G63" s="1"/>
      <c r="H63" s="1"/>
      <c r="I63" s="1"/>
    </row>
    <row r="64" spans="2:9" ht="15.75" hidden="1" thickBot="1">
      <c r="B64" s="1"/>
      <c r="C64" s="1"/>
      <c r="D64" s="1"/>
      <c r="E64" s="1"/>
      <c r="F64" s="1"/>
      <c r="G64" s="1"/>
      <c r="H64" s="1"/>
      <c r="I64" s="1"/>
    </row>
    <row r="65" spans="2:9" ht="15.75" hidden="1" thickBot="1">
      <c r="B65" s="1"/>
      <c r="C65" s="8" t="str">
        <f ca="1">trav_allow_lbl</f>
        <v>(for interns only) Travel Allowance needed</v>
      </c>
      <c r="D65" s="1"/>
      <c r="E65" s="5"/>
      <c r="F65" s="1"/>
      <c r="G65" s="1"/>
      <c r="H65" s="1"/>
      <c r="I65" s="1"/>
    </row>
    <row r="66" spans="2:9" ht="15.75" hidden="1" thickBot="1">
      <c r="B66" s="1"/>
      <c r="C66" s="1"/>
      <c r="D66" s="1"/>
      <c r="E66" s="1"/>
      <c r="F66" s="1"/>
      <c r="G66" s="1"/>
      <c r="H66" s="1"/>
      <c r="I66" s="1"/>
    </row>
    <row r="67" spans="2:9" ht="15.75" hidden="1" thickBot="1">
      <c r="B67" s="1"/>
      <c r="C67" s="8" t="str">
        <f ca="1">vac_entitl_lbl</f>
        <v>Vacation entitlement</v>
      </c>
      <c r="D67" s="1"/>
      <c r="E67" s="5"/>
      <c r="F67" s="1"/>
      <c r="G67" s="1"/>
      <c r="H67" s="1"/>
      <c r="I67" s="1"/>
    </row>
    <row r="68" spans="2:9" ht="15.75" hidden="1" thickBot="1">
      <c r="B68" s="1"/>
      <c r="C68" s="1"/>
      <c r="D68" s="1"/>
      <c r="E68" s="1"/>
      <c r="F68" s="1"/>
      <c r="G68" s="1"/>
      <c r="H68" s="1"/>
      <c r="I68" s="1"/>
    </row>
    <row r="69" spans="2:9" ht="15.75" hidden="1" thickBot="1">
      <c r="B69" s="1"/>
      <c r="C69" s="8" t="str">
        <f ca="1">immig_supp_lbl</f>
        <v>Immigration support required (Contract Addendum)</v>
      </c>
      <c r="D69" s="1"/>
      <c r="E69" s="5"/>
      <c r="F69" s="1"/>
      <c r="G69" s="1"/>
      <c r="H69" s="1"/>
      <c r="I69" s="1"/>
    </row>
    <row r="70" spans="2:9" ht="15.75" hidden="1" thickBot="1">
      <c r="B70" s="1"/>
      <c r="C70" s="1"/>
      <c r="D70" s="1"/>
      <c r="E70" s="1"/>
      <c r="F70" s="1"/>
      <c r="G70" s="1"/>
      <c r="H70" s="1"/>
      <c r="I70" s="1"/>
    </row>
    <row r="71" spans="2:9" ht="15.75" hidden="1" thickBot="1">
      <c r="B71" s="1"/>
      <c r="C71" s="8" t="str">
        <f ca="1">lunch_vouc_lbl</f>
        <v>Lunch vouchers</v>
      </c>
      <c r="D71" s="1"/>
      <c r="E71" s="5"/>
      <c r="F71" s="1"/>
      <c r="G71" s="1"/>
      <c r="H71" s="1"/>
      <c r="I71" s="1"/>
    </row>
    <row r="72" spans="2:9" ht="15.75" hidden="1" thickBot="1">
      <c r="B72" s="1"/>
      <c r="C72" s="1"/>
      <c r="D72" s="1"/>
      <c r="E72" s="1"/>
      <c r="F72" s="1"/>
      <c r="G72" s="1"/>
      <c r="H72" s="1"/>
      <c r="I72" s="1"/>
    </row>
    <row r="73" spans="2:9" ht="15.75" hidden="1" thickBot="1">
      <c r="B73" s="1"/>
      <c r="C73" s="8" t="str">
        <f ca="1">labor_cont_lbl</f>
        <v>Labor Contract (CLA, intern, trainee, banding....)</v>
      </c>
      <c r="D73" s="1"/>
      <c r="E73" s="5"/>
      <c r="F73" s="1"/>
      <c r="G73" s="1"/>
      <c r="H73" s="1"/>
      <c r="I73" s="1"/>
    </row>
    <row r="74" spans="2:9" ht="15.75" hidden="1" thickBot="1">
      <c r="B74" s="1"/>
      <c r="C74" s="1"/>
      <c r="D74" s="1"/>
      <c r="E74" s="1"/>
      <c r="F74" s="1"/>
      <c r="G74" s="1"/>
      <c r="H74" s="1"/>
      <c r="I74" s="1"/>
    </row>
    <row r="75" spans="2:9" ht="15.75" hidden="1" thickBot="1">
      <c r="B75" s="1"/>
      <c r="C75" s="8" t="str">
        <f ca="1">prod_line_lbl</f>
        <v>Product Line</v>
      </c>
      <c r="D75" s="1"/>
      <c r="E75" s="5"/>
      <c r="F75" s="1"/>
      <c r="G75" s="1"/>
      <c r="H75" s="1"/>
      <c r="I75" s="1"/>
    </row>
    <row r="76" spans="2:9" ht="15.75" hidden="1" thickBot="1">
      <c r="B76" s="1"/>
      <c r="C76" s="1"/>
      <c r="D76" s="1"/>
      <c r="E76" s="1"/>
      <c r="F76" s="1"/>
      <c r="G76" s="1"/>
      <c r="H76" s="1"/>
      <c r="I76" s="1"/>
    </row>
    <row r="77" spans="2:9" ht="15.75" hidden="1" thickBot="1">
      <c r="B77" s="1"/>
      <c r="C77" s="8" t="str">
        <f ca="1">section_lbl</f>
        <v>Section</v>
      </c>
      <c r="D77" s="1"/>
      <c r="E77" s="5"/>
      <c r="F77" s="1"/>
      <c r="G77" s="1"/>
      <c r="H77" s="1"/>
      <c r="I77" s="1"/>
    </row>
    <row r="78" spans="2:9" ht="15.75" hidden="1" thickBot="1">
      <c r="B78" s="1"/>
      <c r="C78" s="1"/>
      <c r="D78" s="1"/>
      <c r="E78" s="1"/>
      <c r="F78" s="1"/>
      <c r="G78" s="1"/>
      <c r="H78" s="1"/>
      <c r="I78" s="1"/>
    </row>
    <row r="79" spans="2:9" ht="15.75" hidden="1" thickBot="1">
      <c r="B79" s="1"/>
      <c r="C79" s="8" t="str">
        <f ca="1">facility_lbl</f>
        <v>Facility</v>
      </c>
      <c r="D79" s="1"/>
      <c r="E79" s="5"/>
      <c r="F79" s="1"/>
      <c r="G79" s="1"/>
      <c r="H79" s="1"/>
      <c r="I79" s="1"/>
    </row>
    <row r="80" spans="2:9" ht="15.75" hidden="1" thickBot="1">
      <c r="B80" s="1"/>
      <c r="C80" s="1"/>
      <c r="D80" s="1"/>
      <c r="E80" s="1"/>
      <c r="F80" s="1"/>
      <c r="G80" s="1"/>
      <c r="H80" s="1"/>
      <c r="I80" s="1"/>
    </row>
    <row r="81" spans="2:9" ht="15.75" hidden="1" thickBot="1">
      <c r="B81" s="1"/>
      <c r="C81" s="8" t="str">
        <f ca="1">kronos_lbl</f>
        <v>Kronos Data - various details required</v>
      </c>
      <c r="D81" s="1"/>
      <c r="E81" s="5"/>
      <c r="F81" s="1"/>
      <c r="G81" s="1"/>
      <c r="H81" s="1"/>
      <c r="I81" s="1"/>
    </row>
    <row r="82" spans="2:9" ht="15.75" hidden="1" thickBot="1">
      <c r="B82" s="1"/>
      <c r="C82" s="1"/>
      <c r="D82" s="1"/>
      <c r="E82" s="1"/>
      <c r="F82" s="1"/>
      <c r="G82" s="1"/>
      <c r="H82" s="1"/>
      <c r="I82" s="1"/>
    </row>
    <row r="83" spans="2:9" ht="15.75" hidden="1" thickBot="1">
      <c r="B83" s="1"/>
      <c r="C83" s="8" t="str">
        <f ca="1">rca_lbl</f>
        <v>RCA needed (if yes, please mention which countries)</v>
      </c>
      <c r="D83" s="1"/>
      <c r="E83" s="5"/>
      <c r="F83" s="1"/>
      <c r="G83" s="1"/>
      <c r="H83" s="1"/>
      <c r="I83" s="1"/>
    </row>
    <row r="84" spans="2:9" ht="15.75" hidden="1" thickBot="1">
      <c r="B84" s="1"/>
      <c r="C84" s="1"/>
      <c r="D84" s="1"/>
      <c r="E84" s="1"/>
      <c r="F84" s="1"/>
      <c r="G84" s="1"/>
      <c r="H84" s="1"/>
      <c r="I84" s="1"/>
    </row>
    <row r="85" spans="2:9" ht="15.75" hidden="1" thickBot="1">
      <c r="B85" s="1"/>
      <c r="C85" s="8" t="str">
        <f ca="1">conf_agree_lbl</f>
        <v>Confidentiality Agreement</v>
      </c>
      <c r="D85" s="1"/>
      <c r="E85" s="5"/>
      <c r="F85" s="1"/>
      <c r="G85" s="1"/>
      <c r="H85" s="1"/>
      <c r="I85" s="1"/>
    </row>
    <row r="86" spans="2:9" ht="15.75" hidden="1" thickBot="1">
      <c r="B86" s="1"/>
      <c r="C86" s="1"/>
      <c r="D86" s="1"/>
      <c r="E86" s="1"/>
      <c r="F86" s="1"/>
      <c r="G86" s="1"/>
      <c r="H86" s="1"/>
      <c r="I86" s="1"/>
    </row>
    <row r="87" spans="2:9" ht="15.75" hidden="1" thickBot="1">
      <c r="B87" s="1"/>
      <c r="C87" s="8" t="str">
        <f ca="1">lump_sum_lbl</f>
        <v>Monthly lump-sum (CHF 650/450)</v>
      </c>
      <c r="D87" s="1"/>
      <c r="E87" s="5"/>
      <c r="F87" s="1"/>
      <c r="G87" s="1"/>
      <c r="H87" s="1"/>
      <c r="I87" s="1"/>
    </row>
    <row r="88" spans="2:9" ht="15.75" hidden="1" thickBot="1">
      <c r="B88" s="1"/>
      <c r="C88" s="1"/>
      <c r="D88" s="1"/>
      <c r="E88" s="1"/>
      <c r="F88" s="1"/>
      <c r="G88" s="1"/>
      <c r="H88" s="1"/>
      <c r="I88" s="1"/>
    </row>
    <row r="89" spans="2:9" ht="15.75" hidden="1" thickBot="1">
      <c r="B89" s="1"/>
      <c r="C89" s="8" t="str">
        <f ca="1">go_big_lbl</f>
        <v>GO Big Compensation</v>
      </c>
      <c r="D89" s="1"/>
      <c r="E89" s="5"/>
      <c r="F89" s="1"/>
      <c r="G89" s="1"/>
      <c r="H89" s="1"/>
      <c r="I89" s="1"/>
    </row>
    <row r="90" spans="2:9" ht="15.75" hidden="1" thickBot="1">
      <c r="B90" s="1"/>
      <c r="C90" s="1"/>
      <c r="D90" s="1"/>
      <c r="E90" s="1"/>
      <c r="F90" s="1"/>
      <c r="G90" s="1"/>
      <c r="H90" s="1"/>
      <c r="I90" s="1"/>
    </row>
    <row r="91" spans="2:9" ht="15.75" hidden="1" thickBot="1">
      <c r="B91" s="1"/>
      <c r="C91" s="8" t="str">
        <f ca="1">cnla_lbl</f>
        <v>Job Level in CNLA</v>
      </c>
      <c r="D91" s="1"/>
      <c r="E91" s="5"/>
      <c r="F91" s="1"/>
      <c r="G91" s="1"/>
      <c r="H91" s="1"/>
      <c r="I91" s="1"/>
    </row>
    <row r="92" spans="2:9" ht="15.75" hidden="1" thickBot="1">
      <c r="B92" s="1"/>
      <c r="C92" s="1"/>
      <c r="D92" s="1"/>
      <c r="E92" s="1"/>
      <c r="F92" s="1"/>
      <c r="G92" s="1"/>
      <c r="H92" s="1"/>
      <c r="I92" s="1"/>
    </row>
    <row r="93" spans="2:9" ht="15.75" hidden="1" thickBot="1">
      <c r="B93" s="1"/>
      <c r="C93" s="8" t="str">
        <f ca="1">loc_trav_lbl</f>
        <v>Local + travel percentage</v>
      </c>
      <c r="D93" s="1"/>
      <c r="E93" s="5"/>
      <c r="F93" s="1"/>
      <c r="G93" s="1"/>
      <c r="H93" s="1"/>
      <c r="I93" s="1"/>
    </row>
    <row r="94" spans="2:9" ht="15.75" hidden="1" thickBot="1">
      <c r="B94" s="1"/>
      <c r="C94" s="1"/>
      <c r="D94" s="1"/>
      <c r="E94" s="1"/>
      <c r="F94" s="1"/>
      <c r="G94" s="1"/>
      <c r="H94" s="1"/>
      <c r="I94" s="1"/>
    </row>
    <row r="95" spans="2:9" ht="15.75" hidden="1" thickBot="1">
      <c r="B95" s="1"/>
      <c r="C95" s="8" t="str">
        <f ca="1">sign_on_bonus_lbl</f>
        <v>Sign on bonus</v>
      </c>
      <c r="D95" s="1"/>
      <c r="E95" s="5"/>
      <c r="F95" s="1"/>
      <c r="G95" s="1"/>
      <c r="H95" s="1"/>
      <c r="I95" s="1"/>
    </row>
    <row r="96" spans="2:9" ht="15.75" hidden="1" thickBot="1">
      <c r="B96" s="1"/>
      <c r="C96" s="1"/>
      <c r="D96" s="1"/>
      <c r="E96" s="1"/>
      <c r="F96" s="1"/>
      <c r="G96" s="1"/>
      <c r="H96" s="1"/>
      <c r="I96" s="1"/>
    </row>
    <row r="97" spans="2:9" ht="15.75" hidden="1" thickBot="1">
      <c r="B97" s="1"/>
      <c r="C97" s="8" t="str">
        <f ca="1">tariff_lbl</f>
        <v>Tariff Group</v>
      </c>
      <c r="D97" s="1"/>
      <c r="E97" s="5"/>
      <c r="F97" s="1"/>
      <c r="G97" s="1"/>
      <c r="H97" s="1"/>
      <c r="I97" s="1"/>
    </row>
    <row r="98" spans="2:9" ht="15.75" hidden="1" thickBot="1">
      <c r="B98" s="1"/>
      <c r="C98" s="1"/>
      <c r="D98" s="1"/>
      <c r="E98" s="1"/>
      <c r="F98" s="1"/>
      <c r="G98" s="1"/>
      <c r="H98" s="1"/>
      <c r="I98" s="1"/>
    </row>
    <row r="99" spans="2:9" ht="15.75" hidden="1" thickBot="1">
      <c r="B99" s="1"/>
      <c r="C99" s="8" t="str">
        <f ca="1">travel_lbl</f>
        <v>Travel Activities</v>
      </c>
      <c r="D99" s="1"/>
      <c r="E99" s="5"/>
      <c r="F99" s="1"/>
      <c r="G99" s="1"/>
      <c r="H99" s="1"/>
      <c r="I99" s="1"/>
    </row>
    <row r="100" spans="2:9" ht="15.75" hidden="1" thickBot="1">
      <c r="B100" s="1"/>
      <c r="C100" s="1"/>
      <c r="D100" s="1"/>
      <c r="E100" s="1"/>
      <c r="F100" s="1"/>
      <c r="G100" s="1"/>
      <c r="H100" s="1"/>
      <c r="I100" s="1"/>
    </row>
    <row r="101" spans="2:9" ht="15.75" hidden="1" thickBot="1">
      <c r="B101" s="1"/>
      <c r="C101" s="8" t="str">
        <f ca="1">homeoff_lbl</f>
        <v xml:space="preserve">Home Office Entitlement </v>
      </c>
      <c r="D101" s="1"/>
      <c r="E101" s="5"/>
      <c r="F101" s="1"/>
      <c r="G101" s="1"/>
      <c r="H101" s="1"/>
      <c r="I101" s="1"/>
    </row>
    <row r="102" spans="2:9" ht="15.75" hidden="1" thickBot="1">
      <c r="B102" s="1"/>
      <c r="C102" s="1"/>
      <c r="D102" s="1"/>
      <c r="E102" s="1"/>
      <c r="F102" s="1"/>
      <c r="G102" s="1"/>
      <c r="H102" s="1"/>
      <c r="I102" s="1"/>
    </row>
    <row r="103" spans="2:9" ht="15.75" hidden="1" thickBot="1">
      <c r="B103" s="1"/>
      <c r="C103" s="8" t="str">
        <f ca="1">tatigkeit_lbl</f>
        <v xml:space="preserve">1. Tätigkeitsstätte </v>
      </c>
      <c r="D103" s="1"/>
      <c r="E103" s="5"/>
      <c r="F103" s="1"/>
      <c r="G103" s="1"/>
      <c r="H103" s="1"/>
      <c r="I103" s="1"/>
    </row>
    <row r="104" spans="2:9" ht="15.75" hidden="1" thickBot="1">
      <c r="B104" s="1"/>
      <c r="C104" s="1"/>
      <c r="D104" s="1"/>
      <c r="E104" s="1"/>
      <c r="F104" s="1"/>
      <c r="G104" s="1"/>
      <c r="H104" s="1"/>
      <c r="I104" s="1"/>
    </row>
    <row r="105" spans="2:9" ht="15.75" hidden="1" thickBot="1">
      <c r="B105" s="1"/>
      <c r="C105" s="8" t="str">
        <f ca="1">workhrs_lbl</f>
        <v>Working hours weekly (only mandatory for part-time)</v>
      </c>
      <c r="D105" s="1"/>
      <c r="E105" s="5"/>
      <c r="F105" s="1"/>
      <c r="G105" s="1"/>
      <c r="H105" s="1"/>
      <c r="I105" s="1"/>
    </row>
    <row r="106" spans="2:9" ht="15.75" hidden="1" thickBot="1">
      <c r="B106" s="1"/>
      <c r="C106" s="1"/>
      <c r="D106" s="1"/>
      <c r="E106" s="1"/>
      <c r="F106" s="1"/>
      <c r="G106" s="1"/>
      <c r="H106" s="1"/>
      <c r="I106" s="1"/>
    </row>
    <row r="107" spans="2:9" ht="15.75" hidden="1" thickBot="1">
      <c r="B107" s="1"/>
      <c r="C107" s="8" t="str">
        <f ca="1">workdays_lbl</f>
        <v>Working days weekly (only mandatory for part-time)</v>
      </c>
      <c r="D107" s="1"/>
      <c r="E107" s="5"/>
      <c r="F107" s="1"/>
      <c r="G107" s="1"/>
      <c r="H107" s="1"/>
      <c r="I107" s="1"/>
    </row>
    <row r="108" spans="2:9" ht="15.75" hidden="1" thickBot="1">
      <c r="B108" s="1"/>
      <c r="C108" s="1"/>
      <c r="D108" s="1"/>
      <c r="E108" s="1"/>
      <c r="F108" s="1"/>
      <c r="G108" s="1"/>
      <c r="H108" s="1"/>
      <c r="I108" s="1"/>
    </row>
    <row r="109" spans="2:9" ht="15.75" hidden="1" thickBot="1">
      <c r="B109" s="1"/>
      <c r="C109" s="8" t="str">
        <f ca="1">prob_prd_lbl</f>
        <v>Probationary Period</v>
      </c>
      <c r="D109" s="1"/>
      <c r="E109" s="5"/>
      <c r="F109" s="1"/>
      <c r="G109" s="1"/>
      <c r="H109" s="1"/>
      <c r="I109" s="1"/>
    </row>
    <row r="110" spans="2:9" ht="15.75" hidden="1" thickBot="1">
      <c r="B110" s="1"/>
      <c r="C110" s="1"/>
      <c r="D110" s="1"/>
      <c r="E110" s="1"/>
      <c r="F110" s="1"/>
      <c r="G110" s="1"/>
      <c r="H110" s="1"/>
      <c r="I110" s="1"/>
    </row>
    <row r="111" spans="2:9" ht="15.75" hidden="1" thickBot="1">
      <c r="B111" s="1"/>
      <c r="C111" s="8" t="str">
        <f ca="1">task_type_lbl</f>
        <v>Task Type</v>
      </c>
      <c r="D111" s="1"/>
      <c r="E111" s="5"/>
      <c r="F111" s="1"/>
      <c r="G111" s="1"/>
      <c r="H111" s="1"/>
      <c r="I111" s="1"/>
    </row>
    <row r="112" spans="2:9" ht="15.75" hidden="1" thickBot="1">
      <c r="B112" s="1"/>
      <c r="C112" s="1"/>
      <c r="D112" s="1"/>
      <c r="E112" s="1"/>
      <c r="F112" s="1"/>
      <c r="G112" s="1"/>
      <c r="H112" s="1"/>
      <c r="I112" s="1"/>
    </row>
    <row r="113" spans="2:9" ht="15.75" hidden="1" thickBot="1">
      <c r="B113" s="1"/>
      <c r="C113" s="8" t="str">
        <f ca="1">proc_indic_lbl</f>
        <v>Processing Indicator</v>
      </c>
      <c r="D113" s="1"/>
      <c r="E113" s="5"/>
      <c r="F113" s="1"/>
      <c r="G113" s="1"/>
      <c r="H113" s="1"/>
      <c r="I113" s="1"/>
    </row>
    <row r="114" spans="2:9" ht="15.75" hidden="1" thickBot="1">
      <c r="B114" s="1"/>
      <c r="C114" s="1"/>
      <c r="D114" s="1"/>
      <c r="E114" s="1"/>
      <c r="F114" s="1"/>
      <c r="G114" s="1"/>
      <c r="H114" s="1"/>
      <c r="I114" s="1"/>
    </row>
    <row r="115" spans="2:9" ht="15.75" hidden="1" thickBot="1">
      <c r="B115" s="1"/>
      <c r="C115" s="8" t="str">
        <f ca="1">dt_task_lbl</f>
        <v>Date of Task (DD/MM/YYYY)</v>
      </c>
      <c r="D115" s="1"/>
      <c r="E115" s="5"/>
      <c r="F115" s="1"/>
      <c r="G115" s="1"/>
      <c r="H115" s="1"/>
      <c r="I115" s="1"/>
    </row>
    <row r="116" spans="2:9" ht="15.75" hidden="1" thickBot="1">
      <c r="B116" s="1"/>
      <c r="C116" s="1"/>
      <c r="D116" s="1"/>
      <c r="E116" s="1"/>
      <c r="F116" s="1"/>
      <c r="G116" s="1"/>
      <c r="H116" s="1"/>
      <c r="I116" s="1"/>
    </row>
    <row r="117" spans="2:9" ht="15.75" hidden="1" thickBot="1">
      <c r="B117" s="1"/>
      <c r="C117" s="8" t="str">
        <f ca="1">rm_dt_lbl</f>
        <v>Reminder Date (DD/MM/YYYY)</v>
      </c>
      <c r="D117" s="1"/>
      <c r="E117" s="5"/>
      <c r="F117" s="1"/>
      <c r="G117" s="1"/>
      <c r="H117" s="1"/>
      <c r="I117" s="1"/>
    </row>
    <row r="118" spans="2:9" ht="15.75" hidden="1" thickBot="1">
      <c r="B118" s="1"/>
      <c r="C118" s="1"/>
      <c r="D118" s="1"/>
      <c r="E118" s="1"/>
      <c r="F118" s="1"/>
      <c r="G118" s="1"/>
      <c r="H118" s="1"/>
      <c r="I118" s="1"/>
    </row>
    <row r="119" spans="2:9" ht="15.75" hidden="1" thickBot="1">
      <c r="B119" s="1"/>
      <c r="C119" s="8" t="str">
        <f ca="1">comments_lbl</f>
        <v>Comments</v>
      </c>
      <c r="D119" s="1"/>
      <c r="E119" s="5"/>
      <c r="F119" s="1"/>
      <c r="G119" s="1"/>
      <c r="H119" s="1"/>
      <c r="I119" s="1"/>
    </row>
    <row r="120" spans="2:9" ht="15.75" hidden="1" thickBot="1">
      <c r="B120" s="1"/>
      <c r="C120" s="1"/>
      <c r="D120" s="1"/>
      <c r="E120" s="1"/>
      <c r="F120" s="1"/>
      <c r="G120" s="1"/>
      <c r="H120" s="1"/>
      <c r="I120" s="1"/>
    </row>
    <row r="121" spans="2:9" ht="15.75" hidden="1" thickBot="1">
      <c r="B121" s="1"/>
      <c r="C121" s="8" t="str">
        <f ca="1">stat_yrs_exp_lbl</f>
        <v>Statistics Area1 - Yrs of Exp. Outside Cargill</v>
      </c>
      <c r="D121" s="1"/>
      <c r="E121" s="5"/>
      <c r="F121" s="1"/>
      <c r="G121" s="1"/>
      <c r="H121" s="1"/>
      <c r="I121" s="1"/>
    </row>
    <row r="122" spans="2:9" ht="15.75" hidden="1" thickBot="1">
      <c r="B122" s="1"/>
      <c r="C122" s="1"/>
      <c r="D122" s="1"/>
      <c r="E122" s="1"/>
      <c r="F122" s="1"/>
      <c r="G122" s="1"/>
      <c r="H122" s="1"/>
      <c r="I122" s="1"/>
    </row>
    <row r="123" spans="2:9" ht="15.75" hidden="1" thickBot="1">
      <c r="B123" s="1"/>
      <c r="C123" s="8" t="str">
        <f ca="1">pf_num_lbl</f>
        <v>Provident Fund Number</v>
      </c>
      <c r="D123" s="1"/>
      <c r="E123" s="5"/>
      <c r="F123" s="1"/>
      <c r="G123" s="1"/>
      <c r="H123" s="1"/>
      <c r="I123" s="1"/>
    </row>
    <row r="124" spans="2:9" ht="15.75" hidden="1" thickBot="1">
      <c r="B124" s="1"/>
      <c r="C124" s="1"/>
      <c r="D124" s="1"/>
      <c r="E124" s="1"/>
      <c r="F124" s="1"/>
      <c r="G124" s="1"/>
      <c r="H124" s="1"/>
      <c r="I124" s="1"/>
    </row>
    <row r="125" spans="2:9" ht="15.75" hidden="1" thickBot="1">
      <c r="B125" s="1"/>
      <c r="C125" s="8" t="str">
        <f ca="1">ee_tax_id_lbl</f>
        <v>EE Tax ID</v>
      </c>
      <c r="D125" s="1"/>
      <c r="E125" s="5"/>
      <c r="F125" s="1"/>
      <c r="G125" s="1"/>
      <c r="H125" s="1"/>
      <c r="I125" s="1"/>
    </row>
    <row r="126" spans="2:9" ht="15.75" hidden="1" thickBot="1">
      <c r="B126" s="1"/>
      <c r="C126" s="1"/>
      <c r="D126" s="1"/>
      <c r="E126" s="1"/>
      <c r="F126" s="1"/>
      <c r="G126" s="1"/>
      <c r="H126" s="1"/>
      <c r="I126" s="1"/>
    </row>
    <row r="127" spans="2:9" ht="15.75" hidden="1" thickBot="1">
      <c r="B127" s="1"/>
      <c r="C127" s="8" t="str">
        <f ca="1">pen_num_lbl</f>
        <v>Pension Number</v>
      </c>
      <c r="D127" s="1"/>
      <c r="E127" s="5"/>
      <c r="F127" s="1"/>
      <c r="G127" s="1"/>
      <c r="H127" s="1"/>
      <c r="I127" s="1"/>
    </row>
    <row r="128" spans="2:9" ht="15.75" hidden="1" thickBot="1">
      <c r="B128" s="1"/>
      <c r="C128" s="1"/>
      <c r="D128" s="1"/>
      <c r="E128" s="1"/>
      <c r="F128" s="1"/>
      <c r="G128" s="1"/>
      <c r="H128" s="1"/>
      <c r="I128" s="1"/>
    </row>
    <row r="129" spans="2:9" ht="15.75" hidden="1" thickBot="1">
      <c r="B129" s="1"/>
      <c r="C129" s="8" t="str">
        <f ca="1">esi_num_lbl</f>
        <v>ESI Number</v>
      </c>
      <c r="D129" s="1"/>
      <c r="E129" s="5"/>
      <c r="F129" s="1"/>
      <c r="G129" s="1"/>
      <c r="H129" s="1"/>
      <c r="I129" s="1"/>
    </row>
    <row r="130" spans="2:9" hidden="1">
      <c r="B130" s="1"/>
      <c r="C130" s="1"/>
      <c r="D130" s="1"/>
      <c r="E130" s="1"/>
      <c r="F130" s="1"/>
      <c r="G130" s="1"/>
      <c r="H130" s="1"/>
      <c r="I130" s="1"/>
    </row>
    <row r="131" spans="2:9" ht="15.75" hidden="1" thickBot="1">
      <c r="B131" s="1"/>
      <c r="C131" s="8" t="str">
        <f ca="1">np_empl_lbl</f>
        <v>Notice Period for Employer</v>
      </c>
      <c r="D131" s="1"/>
      <c r="E131" s="5"/>
      <c r="F131" s="1"/>
      <c r="G131" s="1"/>
      <c r="H131" s="1"/>
      <c r="I131" s="1"/>
    </row>
    <row r="132" spans="2:9" ht="15.75" hidden="1" thickBot="1">
      <c r="B132" s="1"/>
      <c r="C132" s="1"/>
      <c r="D132" s="1"/>
      <c r="E132" s="1"/>
      <c r="F132" s="1"/>
      <c r="G132" s="1"/>
      <c r="H132" s="1"/>
      <c r="I132" s="1"/>
    </row>
    <row r="133" spans="2:9" ht="15.75" hidden="1" thickBot="1">
      <c r="B133" s="1"/>
      <c r="C133" s="8" t="str">
        <f ca="1">np_empr_lbl</f>
        <v>Notice Period for Employee</v>
      </c>
      <c r="D133" s="1"/>
      <c r="E133" s="5"/>
      <c r="F133" s="1"/>
      <c r="G133" s="1"/>
      <c r="H133" s="1"/>
      <c r="I133" s="1"/>
    </row>
    <row r="134" spans="2:9" ht="15.75" hidden="1" thickBot="1">
      <c r="B134" s="1"/>
      <c r="C134" s="1"/>
      <c r="D134" s="1"/>
      <c r="E134" s="1"/>
      <c r="F134" s="1"/>
      <c r="G134" s="1"/>
      <c r="H134" s="1"/>
      <c r="I134" s="1"/>
    </row>
    <row r="135" spans="2:9" ht="15.75" hidden="1" thickBot="1">
      <c r="B135" s="1"/>
      <c r="C135" s="8" t="str">
        <f ca="1">hfa_lbl</f>
        <v>Housing Fund Account</v>
      </c>
      <c r="D135" s="1"/>
      <c r="E135" s="5"/>
      <c r="F135" s="1"/>
      <c r="G135" s="1"/>
      <c r="H135" s="1"/>
      <c r="I135" s="1"/>
    </row>
    <row r="136" spans="2:9" hidden="1">
      <c r="B136" s="1"/>
      <c r="C136" s="1"/>
      <c r="D136" s="1"/>
      <c r="E136" s="1"/>
      <c r="F136" s="1"/>
      <c r="G136" s="1"/>
      <c r="H136" s="1"/>
      <c r="I136" s="1"/>
    </row>
    <row r="137" spans="2:9" hidden="1">
      <c r="B137" s="1"/>
      <c r="C137" s="111" t="str">
        <f ca="1">emp_stm_lbl</f>
        <v>I affirm that the above information is correct. I understand that any falsified statements on this application can be sufficient cause for dismissal if I am employed.</v>
      </c>
      <c r="D137" s="111"/>
      <c r="E137" s="111"/>
      <c r="F137" s="111"/>
      <c r="G137" s="1"/>
      <c r="H137" s="1"/>
      <c r="I137" s="1"/>
    </row>
    <row r="138" spans="2:9" ht="15.75" hidden="1" thickBot="1">
      <c r="B138" s="1"/>
      <c r="C138" s="1"/>
      <c r="D138" s="1"/>
      <c r="E138" s="1"/>
      <c r="F138" s="1"/>
      <c r="G138" s="1"/>
      <c r="H138" s="1"/>
      <c r="I138" s="1"/>
    </row>
    <row r="139" spans="2:9" ht="15.75" hidden="1" thickBot="1">
      <c r="B139" s="1"/>
      <c r="C139" s="8" t="str">
        <f ca="1">sing_lbl</f>
        <v>Signature</v>
      </c>
      <c r="D139" s="1"/>
      <c r="E139" s="5"/>
      <c r="F139" s="1"/>
      <c r="G139" s="1"/>
      <c r="H139" s="1"/>
      <c r="I139" s="1"/>
    </row>
    <row r="140" spans="2:9" ht="15.75" hidden="1" thickBot="1">
      <c r="B140" s="1"/>
      <c r="C140" s="1"/>
      <c r="D140" s="1"/>
      <c r="E140" s="1"/>
      <c r="F140" s="1"/>
      <c r="G140" s="1"/>
      <c r="H140" s="1"/>
      <c r="I140" s="1"/>
    </row>
    <row r="141" spans="2:9" ht="15.75" hidden="1" thickBot="1">
      <c r="B141" s="1"/>
      <c r="C141" s="8" t="str">
        <f ca="1">date_lbl</f>
        <v>Date</v>
      </c>
      <c r="D141" s="1"/>
      <c r="E141" s="5"/>
      <c r="F141" s="1"/>
      <c r="G141" s="1"/>
      <c r="H141" s="1"/>
      <c r="I141" s="1"/>
    </row>
    <row r="142" spans="2:9" hidden="1">
      <c r="B142" s="1"/>
      <c r="C142" s="1"/>
      <c r="D142" s="1"/>
      <c r="E142" s="1"/>
      <c r="F142" s="1"/>
      <c r="G142" s="1"/>
      <c r="H142" s="1"/>
      <c r="I142" s="1"/>
    </row>
    <row r="143" spans="2:9" ht="15.75" hidden="1" thickBot="1">
      <c r="B143" s="1"/>
      <c r="C143" s="8" t="str">
        <f ca="1">fxd_bonus_lbl</f>
        <v>Fixed Bonus</v>
      </c>
      <c r="D143" s="1"/>
      <c r="E143" s="5"/>
      <c r="F143" s="1"/>
      <c r="G143" s="1"/>
      <c r="H143" s="1"/>
      <c r="I143" s="1"/>
    </row>
    <row r="144" spans="2:9" ht="15.75" hidden="1" thickBot="1">
      <c r="B144" s="1"/>
      <c r="C144" s="1"/>
      <c r="D144" s="1"/>
      <c r="E144" s="1"/>
      <c r="F144" s="1"/>
      <c r="G144" s="1"/>
      <c r="H144" s="1"/>
      <c r="I144" s="1"/>
    </row>
    <row r="145" spans="2:9" ht="15.75" thickBot="1">
      <c r="B145" s="1"/>
      <c r="C145" s="8" t="str">
        <f ca="1">legal_name_lbl</f>
        <v>Legal Name</v>
      </c>
      <c r="D145" s="1"/>
      <c r="E145" s="5"/>
      <c r="F145" s="1"/>
      <c r="G145" s="1"/>
      <c r="H145" s="1"/>
      <c r="I145" s="1"/>
    </row>
    <row r="146" spans="2:9" ht="15.75" thickBot="1">
      <c r="B146" s="1"/>
      <c r="C146" s="1"/>
      <c r="D146" s="1"/>
      <c r="E146" s="1"/>
      <c r="F146" s="1"/>
      <c r="G146" s="1"/>
      <c r="H146" s="1"/>
      <c r="I146" s="1"/>
    </row>
    <row r="147" spans="2:9" ht="15.75" hidden="1" thickBot="1">
      <c r="B147" s="1"/>
      <c r="C147" s="8" t="str">
        <f ca="1">spouse_emp_stat_lbl</f>
        <v>Spouse Employment Status</v>
      </c>
      <c r="D147" s="1"/>
      <c r="E147" s="5"/>
      <c r="F147" s="1"/>
      <c r="G147" s="1"/>
      <c r="H147" s="1"/>
      <c r="I147" s="1"/>
    </row>
    <row r="148" spans="2:9" ht="15.75" hidden="1" thickBot="1">
      <c r="B148" s="1"/>
      <c r="C148" s="1"/>
      <c r="D148" s="1"/>
      <c r="E148" s="1"/>
      <c r="F148" s="1"/>
      <c r="G148" s="1"/>
      <c r="H148" s="1"/>
      <c r="I148" s="1"/>
    </row>
    <row r="149" spans="2:9" ht="15.75" hidden="1" thickBot="1">
      <c r="B149" s="1"/>
      <c r="C149" s="8" t="str">
        <f ca="1">military_stat_lbl</f>
        <v>Military Status</v>
      </c>
      <c r="D149" s="1"/>
      <c r="E149" s="5"/>
      <c r="F149" s="1"/>
      <c r="G149" s="1"/>
      <c r="H149" s="1"/>
      <c r="I149" s="1"/>
    </row>
    <row r="150" spans="2:9" ht="15.75" hidden="1" thickBot="1">
      <c r="B150" s="1"/>
      <c r="C150" s="1"/>
      <c r="D150" s="1"/>
      <c r="E150" s="1"/>
      <c r="F150" s="1"/>
      <c r="G150" s="1"/>
      <c r="H150" s="1"/>
      <c r="I150" s="1"/>
    </row>
    <row r="151" spans="2:9" ht="15.75" thickBot="1">
      <c r="B151" s="1"/>
      <c r="C151" s="8" t="str">
        <f ca="1">issue_dt_lbl</f>
        <v>Issue Date</v>
      </c>
      <c r="D151" s="1"/>
      <c r="E151" s="5"/>
      <c r="F151" s="1"/>
      <c r="G151" s="1"/>
      <c r="H151" s="1"/>
      <c r="I151" s="1"/>
    </row>
    <row r="152" spans="2:9" ht="15.75" thickBot="1">
      <c r="B152" s="1"/>
      <c r="C152" s="1"/>
      <c r="D152" s="1"/>
      <c r="E152" s="1"/>
      <c r="F152" s="1"/>
      <c r="G152" s="1"/>
      <c r="H152" s="1"/>
      <c r="I152" s="1"/>
    </row>
    <row r="153" spans="2:9" ht="15.75" hidden="1" thickBot="1">
      <c r="B153" s="1"/>
      <c r="C153" s="8" t="str">
        <f ca="1">exp_dt_lbl</f>
        <v>Expiry Date</v>
      </c>
      <c r="D153" s="1"/>
      <c r="E153" s="5"/>
      <c r="F153" s="1"/>
      <c r="G153" s="1"/>
      <c r="H153" s="1"/>
      <c r="I153" s="1"/>
    </row>
    <row r="154" spans="2:9" ht="15.75" hidden="1" thickBot="1">
      <c r="B154" s="1"/>
      <c r="C154" s="1"/>
      <c r="D154" s="1"/>
      <c r="E154" s="1"/>
      <c r="F154" s="1"/>
      <c r="G154" s="1"/>
      <c r="H154" s="1"/>
      <c r="I154" s="1"/>
    </row>
    <row r="155" spans="2:9" ht="15.75" hidden="1" thickBot="1">
      <c r="B155" s="1"/>
      <c r="C155" s="8" t="str">
        <f ca="1">start_dt_lbl</f>
        <v>Start Date</v>
      </c>
      <c r="D155" s="1"/>
      <c r="E155" s="5"/>
      <c r="F155" s="1"/>
      <c r="G155" s="1"/>
      <c r="H155" s="1"/>
      <c r="I155" s="1"/>
    </row>
    <row r="156" spans="2:9" ht="15.75" hidden="1" thickBot="1">
      <c r="B156" s="1"/>
      <c r="C156" s="1"/>
      <c r="D156" s="1"/>
      <c r="E156" s="1"/>
      <c r="F156" s="1"/>
      <c r="G156" s="1"/>
      <c r="H156" s="1"/>
      <c r="I156" s="1"/>
    </row>
    <row r="157" spans="2:9" ht="15.75" hidden="1" thickBot="1">
      <c r="B157" s="1"/>
      <c r="C157" s="8" t="str">
        <f ca="1">Tax_type_ind_lbl</f>
        <v>Taxation Type Indicator</v>
      </c>
      <c r="D157" s="1"/>
      <c r="E157" s="5"/>
      <c r="F157" s="1"/>
      <c r="G157" s="1"/>
      <c r="H157" s="1"/>
      <c r="I157" s="1"/>
    </row>
    <row r="158" spans="2:9" ht="15.75" hidden="1" thickBot="1">
      <c r="B158" s="1"/>
      <c r="C158" s="1"/>
      <c r="D158" s="1"/>
      <c r="E158" s="1"/>
      <c r="F158" s="1"/>
      <c r="G158" s="1"/>
      <c r="H158" s="1"/>
      <c r="I158" s="1"/>
    </row>
    <row r="159" spans="2:9" ht="15.75" hidden="1" thickBot="1">
      <c r="B159" s="1"/>
      <c r="C159" s="8" t="str">
        <f ca="1">Disaster_Victim_lbl</f>
        <v>Disaster Victim</v>
      </c>
      <c r="D159" s="1"/>
      <c r="E159" s="5"/>
      <c r="F159" s="1"/>
      <c r="G159" s="1"/>
      <c r="H159" s="1"/>
      <c r="I159" s="1"/>
    </row>
    <row r="160" spans="2:9" ht="15.75" hidden="1" thickBot="1">
      <c r="B160" s="1"/>
      <c r="C160" s="1"/>
      <c r="D160" s="1"/>
      <c r="E160" s="1"/>
      <c r="F160" s="1"/>
      <c r="G160" s="1"/>
      <c r="H160" s="1"/>
      <c r="I160" s="1"/>
    </row>
    <row r="161" spans="2:9" ht="15.75" hidden="1" thickBot="1">
      <c r="B161" s="1"/>
      <c r="C161" s="8" t="str">
        <f ca="1">institut_name_lbl</f>
        <v>Institution Name</v>
      </c>
      <c r="D161" s="1"/>
      <c r="E161" s="5"/>
      <c r="F161" s="1"/>
      <c r="G161" s="1"/>
      <c r="H161" s="1"/>
      <c r="I161" s="1"/>
    </row>
    <row r="162" spans="2:9" ht="15.75" hidden="1" thickBot="1">
      <c r="B162" s="1"/>
      <c r="C162" s="1"/>
      <c r="D162" s="1"/>
      <c r="E162" s="1"/>
      <c r="F162" s="1"/>
      <c r="G162" s="1"/>
      <c r="H162" s="1"/>
      <c r="I162" s="1"/>
    </row>
    <row r="163" spans="2:9" ht="15.75" hidden="1" thickBot="1">
      <c r="B163" s="1"/>
      <c r="C163" s="8" t="str">
        <f ca="1">type_institut_lbl</f>
        <v>Type of Institution</v>
      </c>
      <c r="D163" s="1"/>
      <c r="E163" s="5"/>
      <c r="F163" s="1"/>
      <c r="G163" s="1"/>
      <c r="H163" s="1"/>
      <c r="I163" s="1"/>
    </row>
    <row r="164" spans="2:9" ht="15.75" hidden="1" thickBot="1">
      <c r="B164" s="1"/>
      <c r="C164" s="1"/>
      <c r="D164" s="1"/>
      <c r="E164" s="1"/>
      <c r="F164" s="1"/>
      <c r="G164" s="1"/>
      <c r="H164" s="1"/>
      <c r="I164" s="1"/>
    </row>
    <row r="165" spans="2:9" ht="15.75" hidden="1" thickBot="1">
      <c r="B165" s="1"/>
      <c r="C165" s="8" t="str">
        <f ca="1">country_lbl</f>
        <v>Country</v>
      </c>
      <c r="D165" s="1"/>
      <c r="E165" s="5"/>
      <c r="F165" s="1"/>
      <c r="G165" s="1"/>
      <c r="H165" s="1"/>
      <c r="I165" s="1"/>
    </row>
    <row r="166" spans="2:9" ht="15.75" hidden="1" thickBot="1">
      <c r="B166" s="1"/>
      <c r="C166" s="1"/>
      <c r="D166" s="1"/>
      <c r="E166" s="1"/>
      <c r="F166" s="1"/>
      <c r="G166" s="1"/>
      <c r="H166" s="1"/>
      <c r="I166" s="1"/>
    </row>
    <row r="167" spans="2:9" ht="15.75" hidden="1" thickBot="1">
      <c r="B167" s="1"/>
      <c r="C167" s="8" t="str">
        <f ca="1">type_degree_lbl</f>
        <v>Type of Degree</v>
      </c>
      <c r="D167" s="1"/>
      <c r="E167" s="5"/>
      <c r="F167" s="1"/>
      <c r="G167" s="1"/>
      <c r="H167" s="1"/>
      <c r="I167" s="1"/>
    </row>
    <row r="168" spans="2:9" ht="15.75" hidden="1" thickBot="1">
      <c r="B168" s="1"/>
      <c r="C168" s="1"/>
      <c r="D168" s="1"/>
      <c r="E168" s="1"/>
      <c r="F168" s="1"/>
      <c r="G168" s="1"/>
      <c r="H168" s="1"/>
      <c r="I168" s="1"/>
    </row>
    <row r="169" spans="2:9" ht="15.75" hidden="1" thickBot="1">
      <c r="B169" s="1"/>
      <c r="C169" s="8" t="str">
        <f ca="1">end_dt_lbl</f>
        <v>End Date</v>
      </c>
      <c r="D169" s="1"/>
      <c r="E169" s="5"/>
      <c r="F169" s="1"/>
      <c r="G169" s="1"/>
      <c r="H169" s="1"/>
      <c r="I169" s="1"/>
    </row>
    <row r="170" spans="2:9" ht="15.75" hidden="1" thickBot="1">
      <c r="B170" s="1"/>
      <c r="C170" s="1"/>
      <c r="D170" s="1"/>
      <c r="E170" s="1"/>
      <c r="F170" s="1"/>
      <c r="G170" s="1"/>
      <c r="H170" s="1"/>
      <c r="I170" s="1"/>
    </row>
    <row r="171" spans="2:9" ht="15.75" hidden="1" thickBot="1">
      <c r="B171" s="1"/>
      <c r="C171" s="8" t="str">
        <f ca="1">qual_attd1_lbl</f>
        <v>Qualificat. Attained1</v>
      </c>
      <c r="D171" s="1"/>
      <c r="E171" s="5"/>
      <c r="F171" s="1"/>
      <c r="G171" s="1"/>
      <c r="H171" s="1"/>
      <c r="I171" s="1"/>
    </row>
    <row r="172" spans="2:9" ht="15.75" hidden="1" thickBot="1">
      <c r="B172" s="1"/>
      <c r="C172" s="1"/>
      <c r="D172" s="1"/>
      <c r="E172" s="1"/>
      <c r="F172" s="1"/>
      <c r="G172" s="1"/>
      <c r="H172" s="1"/>
      <c r="I172" s="1"/>
    </row>
    <row r="173" spans="2:9" ht="15.75" hidden="1" thickBot="1">
      <c r="B173" s="1"/>
      <c r="C173" s="8" t="str">
        <f ca="1">qual_attd2_lbl</f>
        <v>Qualificat. Attained2</v>
      </c>
      <c r="D173" s="1"/>
      <c r="E173" s="5"/>
      <c r="F173" s="1"/>
      <c r="G173" s="1"/>
      <c r="H173" s="1"/>
      <c r="I173" s="1"/>
    </row>
    <row r="174" spans="2:9" ht="15.75" hidden="1" thickBot="1">
      <c r="B174" s="1"/>
      <c r="C174" s="1"/>
      <c r="D174" s="1"/>
      <c r="E174" s="1"/>
      <c r="F174" s="1"/>
      <c r="G174" s="1"/>
      <c r="H174" s="1"/>
      <c r="I174" s="1"/>
    </row>
    <row r="175" spans="2:9" ht="15.75" hidden="1" thickBot="1">
      <c r="B175" s="1"/>
      <c r="C175" s="8" t="str">
        <f ca="1">probation_period_lbl</f>
        <v>Probationary Period (119 days of probation)</v>
      </c>
      <c r="D175" s="1"/>
      <c r="E175" s="5"/>
      <c r="F175" s="1"/>
      <c r="G175" s="1"/>
      <c r="H175" s="1"/>
      <c r="I175" s="1"/>
    </row>
    <row r="176" spans="2:9" ht="15.75" hidden="1" thickBot="1">
      <c r="B176" s="1"/>
      <c r="C176" s="1"/>
      <c r="D176" s="1"/>
      <c r="E176" s="1"/>
      <c r="F176" s="1"/>
      <c r="G176" s="1"/>
      <c r="H176" s="1"/>
      <c r="I176" s="1"/>
    </row>
    <row r="177" spans="2:9" ht="15.75" hidden="1" thickBot="1">
      <c r="B177" s="1"/>
      <c r="C177" s="8" t="str">
        <f ca="1">ee_contr_no_lbl</f>
        <v>EE Contr No</v>
      </c>
      <c r="D177" s="1"/>
      <c r="E177" s="5"/>
      <c r="F177" s="1"/>
      <c r="G177" s="1"/>
      <c r="H177" s="1"/>
      <c r="I177" s="1"/>
    </row>
    <row r="178" spans="2:9" ht="15.75" hidden="1" thickBot="1">
      <c r="B178" s="1"/>
      <c r="C178" s="1"/>
      <c r="D178" s="1"/>
      <c r="E178" s="1"/>
      <c r="F178" s="1"/>
      <c r="G178" s="1"/>
      <c r="H178" s="1"/>
      <c r="I178" s="1"/>
    </row>
    <row r="179" spans="2:9" ht="15.75" hidden="1" thickBot="1">
      <c r="B179" s="1"/>
      <c r="C179" s="8" t="str">
        <f ca="1">pf_empl_contr_lbl</f>
        <v>PF Employee Contr</v>
      </c>
      <c r="D179" s="1"/>
      <c r="E179" s="5"/>
      <c r="F179" s="1"/>
      <c r="G179" s="1"/>
      <c r="H179" s="1"/>
      <c r="I179" s="1"/>
    </row>
    <row r="180" spans="2:9" ht="15.75" hidden="1" thickBot="1">
      <c r="B180" s="1"/>
      <c r="C180" s="1"/>
      <c r="D180" s="1"/>
      <c r="E180" s="1"/>
      <c r="F180" s="1"/>
      <c r="G180" s="1"/>
      <c r="H180" s="1"/>
      <c r="I180" s="1"/>
    </row>
    <row r="181" spans="2:9" ht="15.75" hidden="1" thickBot="1">
      <c r="B181" s="1"/>
      <c r="C181" s="8" t="str">
        <f ca="1">contrib_categ_lbl</f>
        <v>Contribution Category</v>
      </c>
      <c r="D181" s="1"/>
      <c r="E181" s="5"/>
      <c r="F181" s="1"/>
      <c r="G181" s="1"/>
      <c r="H181" s="1"/>
      <c r="I181" s="1"/>
    </row>
    <row r="182" spans="2:9" ht="15.75" hidden="1" thickBot="1">
      <c r="B182" s="1"/>
      <c r="C182" s="1"/>
      <c r="D182" s="1"/>
      <c r="E182" s="1"/>
      <c r="F182" s="1"/>
      <c r="G182" s="1"/>
      <c r="H182" s="1"/>
      <c r="I182" s="1"/>
    </row>
    <row r="183" spans="2:9" ht="15.75" hidden="1" thickBot="1">
      <c r="B183" s="1"/>
      <c r="C183" s="8" t="str">
        <f ca="1">SSN_lbl</f>
        <v>Social Security No</v>
      </c>
      <c r="D183" s="1"/>
      <c r="E183" s="5"/>
      <c r="F183" s="1"/>
      <c r="G183" s="1"/>
      <c r="H183" s="1"/>
      <c r="I183" s="1"/>
    </row>
    <row r="184" spans="2:9" ht="15.75" hidden="1" thickBot="1">
      <c r="B184" s="1"/>
      <c r="C184" s="1"/>
      <c r="D184" s="1"/>
      <c r="E184" s="1"/>
      <c r="F184" s="1"/>
      <c r="G184" s="1"/>
      <c r="H184" s="1"/>
      <c r="I184" s="1"/>
    </row>
    <row r="185" spans="2:9" ht="15.75" hidden="1" thickBot="1">
      <c r="B185" s="1"/>
      <c r="C185" s="8" t="str">
        <f ca="1">empl_ess_lbl</f>
        <v>Employee uses ESS Do Not Print Payslip</v>
      </c>
      <c r="D185" s="1"/>
      <c r="E185" s="5"/>
      <c r="F185" s="1"/>
      <c r="G185" s="1"/>
      <c r="H185" s="1"/>
      <c r="I185" s="1"/>
    </row>
    <row r="186" spans="2:9" ht="15.75" hidden="1" thickBot="1">
      <c r="B186" s="1"/>
      <c r="C186" s="1"/>
      <c r="D186" s="1"/>
      <c r="E186" s="1"/>
      <c r="F186" s="1"/>
      <c r="G186" s="1"/>
      <c r="H186" s="1"/>
      <c r="I186" s="1"/>
    </row>
    <row r="187" spans="2:9" ht="15.75" hidden="1" thickBot="1">
      <c r="B187" s="1"/>
      <c r="C187" s="8" t="str">
        <f ca="1">tax_id_num_lbl</f>
        <v>Tax ID Number</v>
      </c>
      <c r="D187" s="1"/>
      <c r="E187" s="5"/>
      <c r="F187" s="1"/>
      <c r="G187" s="1"/>
      <c r="H187" s="1"/>
      <c r="I187" s="1"/>
    </row>
    <row r="188" spans="2:9" ht="15.75" hidden="1" thickBot="1">
      <c r="B188" s="1"/>
      <c r="C188" s="1"/>
      <c r="D188" s="1"/>
      <c r="E188" s="1"/>
      <c r="F188" s="1"/>
      <c r="G188" s="1"/>
      <c r="H188" s="1"/>
      <c r="I188" s="1"/>
    </row>
    <row r="189" spans="2:9" ht="15.75" hidden="1" thickBot="1">
      <c r="B189" s="1"/>
      <c r="C189" s="8" t="str">
        <f ca="1">tax_status_lbl</f>
        <v>Tax Status</v>
      </c>
      <c r="D189" s="1"/>
      <c r="E189" s="5"/>
      <c r="F189" s="1"/>
      <c r="G189" s="1"/>
      <c r="H189" s="1"/>
      <c r="I189" s="1"/>
    </row>
    <row r="190" spans="2:9" ht="15.75" hidden="1" thickBot="1">
      <c r="B190" s="1"/>
      <c r="C190" s="1"/>
      <c r="D190" s="1"/>
      <c r="E190" s="1"/>
      <c r="F190" s="1"/>
      <c r="G190" s="1"/>
      <c r="H190" s="1"/>
      <c r="I190" s="1"/>
    </row>
    <row r="191" spans="2:9" ht="15.75" hidden="1" thickBot="1">
      <c r="B191" s="1"/>
      <c r="C191" s="8" t="str">
        <f ca="1">hdmf_num_num_lbl</f>
        <v>HDMF Number</v>
      </c>
      <c r="D191" s="1"/>
      <c r="E191" s="5"/>
      <c r="F191" s="1"/>
      <c r="G191" s="1"/>
      <c r="H191" s="1"/>
      <c r="I191" s="1"/>
    </row>
    <row r="192" spans="2:9" ht="15.75" hidden="1" thickBot="1">
      <c r="B192" s="1"/>
      <c r="C192" s="1"/>
      <c r="D192" s="1"/>
      <c r="E192" s="1"/>
      <c r="F192" s="1"/>
      <c r="G192" s="1"/>
      <c r="H192" s="1"/>
      <c r="I192" s="1"/>
    </row>
    <row r="193" spans="2:9" ht="15.75" hidden="1" thickBot="1">
      <c r="B193" s="1"/>
      <c r="C193" s="8" t="str">
        <f ca="1">phi_hlth_num_lbl</f>
        <v>PhilHealth Number</v>
      </c>
      <c r="D193" s="1"/>
      <c r="E193" s="5"/>
      <c r="F193" s="1"/>
      <c r="G193" s="1"/>
      <c r="H193" s="1"/>
      <c r="I193" s="1"/>
    </row>
    <row r="194" spans="2:9" ht="15.75" hidden="1" thickBot="1">
      <c r="B194" s="1"/>
      <c r="C194" s="1"/>
      <c r="D194" s="1"/>
      <c r="E194" s="1"/>
      <c r="F194" s="1"/>
      <c r="G194" s="1"/>
      <c r="H194" s="1"/>
      <c r="I194" s="1"/>
    </row>
    <row r="195" spans="2:9" ht="15.75" hidden="1" thickBot="1">
      <c r="B195" s="1"/>
      <c r="C195" s="8" t="str">
        <f ca="1">Saving_Pln_Type_lbl</f>
        <v>Saving Plan Type</v>
      </c>
      <c r="D195" s="1"/>
      <c r="E195" s="5"/>
      <c r="F195" s="1"/>
      <c r="G195" s="1"/>
      <c r="H195" s="1"/>
      <c r="I195" s="1"/>
    </row>
    <row r="196" spans="2:9" ht="15.75" hidden="1" thickBot="1">
      <c r="B196" s="1"/>
      <c r="C196" s="1"/>
      <c r="D196" s="1"/>
      <c r="E196" s="1"/>
      <c r="F196" s="1"/>
      <c r="G196" s="1"/>
      <c r="H196" s="1"/>
      <c r="I196" s="1"/>
    </row>
    <row r="197" spans="2:9" ht="15.75" hidden="1" thickBot="1">
      <c r="B197" s="1"/>
      <c r="C197" s="8" t="str">
        <f ca="1">name_emplr_lbl</f>
        <v>Name of Employer</v>
      </c>
      <c r="D197" s="1"/>
      <c r="E197" s="5"/>
      <c r="F197" s="1"/>
      <c r="G197" s="1"/>
      <c r="H197" s="1"/>
      <c r="I197" s="1"/>
    </row>
    <row r="198" spans="2:9" ht="15.75" hidden="1" thickBot="1">
      <c r="B198" s="1"/>
      <c r="C198" s="1"/>
      <c r="D198" s="1"/>
      <c r="E198" s="1"/>
      <c r="F198" s="1"/>
      <c r="G198" s="1"/>
      <c r="H198" s="1"/>
      <c r="I198" s="1"/>
    </row>
    <row r="199" spans="2:9" ht="15.75" hidden="1" thickBot="1">
      <c r="B199" s="1"/>
      <c r="C199" s="8" t="str">
        <f ca="1">name_supvr_lbl</f>
        <v>Name ofSupervisor</v>
      </c>
      <c r="D199" s="1"/>
      <c r="E199" s="5"/>
      <c r="F199" s="1"/>
      <c r="G199" s="1"/>
      <c r="H199" s="1"/>
      <c r="I199" s="1"/>
    </row>
    <row r="200" spans="2:9" ht="15.75" hidden="1" thickBot="1">
      <c r="B200" s="1"/>
      <c r="C200" s="1"/>
      <c r="D200" s="1"/>
      <c r="E200" s="1"/>
      <c r="F200" s="1"/>
      <c r="G200" s="1"/>
      <c r="H200" s="1"/>
      <c r="I200" s="1"/>
    </row>
    <row r="201" spans="2:9" ht="15.75" hidden="1" thickBot="1">
      <c r="B201" s="1"/>
      <c r="C201" s="8" t="str">
        <f ca="1">job_title_lbl</f>
        <v>Job Title</v>
      </c>
      <c r="D201" s="1"/>
      <c r="E201" s="5"/>
      <c r="F201" s="1"/>
      <c r="G201" s="1"/>
      <c r="H201" s="1"/>
      <c r="I201" s="1"/>
    </row>
    <row r="202" spans="2:9" ht="15.75" hidden="1" thickBot="1">
      <c r="B202" s="1"/>
      <c r="C202" s="1"/>
      <c r="D202" s="1"/>
      <c r="E202" s="1"/>
      <c r="F202" s="1"/>
      <c r="G202" s="1"/>
      <c r="H202" s="1"/>
      <c r="I202" s="1"/>
    </row>
    <row r="203" spans="2:9" ht="15.75" hidden="1" thickBot="1">
      <c r="B203" s="1"/>
      <c r="C203" s="8" t="str">
        <f ca="1">mthly_base_sal_lbl</f>
        <v>Mthly Base Salary</v>
      </c>
      <c r="D203" s="1"/>
      <c r="E203" s="5"/>
      <c r="F203" s="1"/>
      <c r="G203" s="1"/>
      <c r="H203" s="1"/>
      <c r="I203" s="1"/>
    </row>
    <row r="204" spans="2:9" ht="15.75" hidden="1" thickBot="1">
      <c r="B204" s="1"/>
      <c r="C204" s="1"/>
      <c r="D204" s="1"/>
      <c r="E204" s="1"/>
      <c r="F204" s="1"/>
      <c r="G204" s="1"/>
      <c r="H204" s="1"/>
      <c r="I204" s="1"/>
    </row>
    <row r="205" spans="2:9" ht="15.75" hidden="1" thickBot="1">
      <c r="B205" s="1"/>
      <c r="C205" s="8" t="str">
        <f ca="1">fxd_allow_lbl</f>
        <v>Fixed Allowances</v>
      </c>
      <c r="D205" s="1"/>
      <c r="E205" s="5"/>
      <c r="F205" s="1"/>
      <c r="G205" s="1"/>
      <c r="H205" s="1"/>
      <c r="I205" s="1"/>
    </row>
    <row r="206" spans="2:9" ht="15.75" hidden="1" thickBot="1">
      <c r="B206" s="1"/>
      <c r="C206" s="1"/>
      <c r="D206" s="1"/>
      <c r="E206" s="1"/>
      <c r="F206" s="1"/>
      <c r="G206" s="1"/>
      <c r="H206" s="1"/>
      <c r="I206" s="1"/>
    </row>
    <row r="207" spans="2:9" ht="15.75" hidden="1" thickBot="1">
      <c r="B207" s="1"/>
      <c r="C207" s="8" t="str">
        <f ca="1" xml:space="preserve">
ave_variable_bonus_lbl</f>
        <v>Ave Variable Bonus (Mths)</v>
      </c>
      <c r="D207" s="1"/>
      <c r="E207" s="5"/>
      <c r="F207" s="1"/>
      <c r="G207" s="1"/>
      <c r="H207" s="1"/>
      <c r="I207" s="1"/>
    </row>
    <row r="208" spans="2:9" ht="15.75" hidden="1" thickBot="1">
      <c r="B208" s="1"/>
      <c r="C208" s="1"/>
      <c r="D208" s="1"/>
      <c r="E208" s="1"/>
      <c r="F208" s="1"/>
      <c r="G208" s="1"/>
      <c r="H208" s="1"/>
      <c r="I208" s="1"/>
    </row>
    <row r="209" spans="2:9" ht="15.75" hidden="1" thickBot="1">
      <c r="B209" s="1"/>
      <c r="C209" s="8" t="str">
        <f ca="1">emplt_type_lbl</f>
        <v>Employment Type</v>
      </c>
      <c r="D209" s="1"/>
      <c r="E209" s="5"/>
      <c r="F209" s="1"/>
      <c r="G209" s="1"/>
      <c r="H209" s="1"/>
      <c r="I209" s="1"/>
    </row>
    <row r="210" spans="2:9" ht="15.75" hidden="1" thickBot="1">
      <c r="B210" s="1"/>
      <c r="C210" s="1"/>
      <c r="D210" s="1"/>
      <c r="E210" s="1"/>
      <c r="F210" s="1"/>
      <c r="G210" s="1"/>
      <c r="H210" s="1"/>
      <c r="I210" s="1"/>
    </row>
    <row r="211" spans="2:9" ht="15.75" hidden="1" thickBot="1">
      <c r="B211" s="1"/>
      <c r="C211" s="8" t="str">
        <f ca="1">ab_num_lbl</f>
        <v>AB Number</v>
      </c>
      <c r="D211" s="1"/>
      <c r="E211" s="5"/>
      <c r="F211" s="1"/>
      <c r="G211" s="1"/>
      <c r="H211" s="1"/>
      <c r="I211" s="1"/>
    </row>
    <row r="212" spans="2:9" ht="15.75" hidden="1" thickBot="1">
      <c r="B212" s="1"/>
      <c r="C212" s="1"/>
      <c r="D212" s="1"/>
      <c r="E212" s="1"/>
      <c r="F212" s="1"/>
      <c r="G212" s="1"/>
      <c r="H212" s="1"/>
      <c r="I212" s="1"/>
    </row>
    <row r="213" spans="2:9" ht="15.75" hidden="1" thickBot="1">
      <c r="B213" s="1"/>
      <c r="C213" s="8" t="str">
        <f ca="1">care_of_name_lbl</f>
        <v>Care of Name</v>
      </c>
      <c r="D213" s="1"/>
      <c r="E213" s="5"/>
      <c r="F213" s="1"/>
      <c r="G213" s="1"/>
      <c r="H213" s="1"/>
      <c r="I213" s="1"/>
    </row>
    <row r="214" spans="2:9" ht="15.75" hidden="1" thickBot="1">
      <c r="B214" s="1"/>
      <c r="C214" s="1"/>
      <c r="D214" s="1"/>
      <c r="E214" s="1"/>
      <c r="F214" s="1"/>
      <c r="G214" s="1"/>
      <c r="H214" s="1"/>
      <c r="I214" s="1"/>
    </row>
    <row r="215" spans="2:9" ht="15.75" hidden="1" thickBot="1">
      <c r="B215" s="1"/>
      <c r="C215" s="8" t="str">
        <f ca="1">jamsostek_id_num_lbl</f>
        <v>Jamsostek ID No</v>
      </c>
      <c r="D215" s="1"/>
      <c r="E215" s="5"/>
      <c r="F215" s="1"/>
      <c r="G215" s="1"/>
      <c r="H215" s="1"/>
      <c r="I215" s="1"/>
    </row>
    <row r="216" spans="2:9" ht="15.75" hidden="1" thickBot="1">
      <c r="B216" s="1"/>
      <c r="C216" s="1"/>
      <c r="D216" s="1"/>
      <c r="E216" s="1"/>
      <c r="F216" s="1"/>
      <c r="G216" s="1"/>
      <c r="H216" s="1"/>
      <c r="I216" s="1"/>
    </row>
    <row r="217" spans="2:9" ht="15.75" thickBot="1">
      <c r="B217" s="1"/>
      <c r="C217" s="8" t="str">
        <f ca="1">num_children_lbl</f>
        <v>Number of Children</v>
      </c>
      <c r="D217" s="1"/>
      <c r="E217" s="5"/>
      <c r="F217" s="1"/>
      <c r="G217" s="1"/>
      <c r="H217" s="1"/>
      <c r="I217" s="1"/>
    </row>
    <row r="218" spans="2:9" ht="15.75" thickBot="1">
      <c r="B218" s="1"/>
      <c r="C218" s="1"/>
      <c r="D218" s="1"/>
      <c r="E218" s="1"/>
      <c r="F218" s="1"/>
      <c r="G218" s="1"/>
      <c r="H218" s="1"/>
      <c r="I218" s="1"/>
    </row>
    <row r="219" spans="2:9" ht="15.75" thickBot="1">
      <c r="B219" s="1"/>
      <c r="C219" s="8" t="str">
        <f ca="1">place_of_issue_lbl</f>
        <v>Place of Issue</v>
      </c>
      <c r="D219" s="1"/>
      <c r="E219" s="5"/>
      <c r="F219" s="1"/>
      <c r="G219" s="1"/>
      <c r="H219" s="1"/>
      <c r="I219" s="1"/>
    </row>
    <row r="220" spans="2:9" ht="15.75" thickBot="1">
      <c r="B220" s="1"/>
      <c r="C220" s="1"/>
      <c r="D220" s="1"/>
      <c r="E220" s="1"/>
      <c r="F220" s="1"/>
      <c r="G220" s="1"/>
      <c r="H220" s="1"/>
      <c r="I220" s="1"/>
    </row>
    <row r="221" spans="2:9" ht="15.75" thickBot="1">
      <c r="B221" s="1"/>
      <c r="C221" s="8" t="str">
        <f ca="1">hospital_lbl</f>
        <v>Hospital</v>
      </c>
      <c r="D221" s="1"/>
      <c r="E221" s="5"/>
      <c r="F221" s="1"/>
      <c r="G221" s="1"/>
      <c r="H221" s="1"/>
      <c r="I221" s="1"/>
    </row>
    <row r="222" spans="2:9" ht="15.75" thickBot="1">
      <c r="B222" s="1"/>
      <c r="C222" s="1"/>
      <c r="D222" s="1"/>
      <c r="E222" s="1"/>
      <c r="F222" s="1"/>
      <c r="G222" s="1"/>
      <c r="H222" s="1"/>
      <c r="I222" s="1"/>
    </row>
    <row r="223" spans="2:9" ht="15.75" thickBot="1">
      <c r="B223" s="1"/>
      <c r="C223" s="8" t="str">
        <f ca="1">tax_dept_relief_lbl</f>
        <v>Tax Dependent Relief</v>
      </c>
      <c r="D223" s="1"/>
      <c r="E223" s="5"/>
      <c r="F223" s="1"/>
      <c r="G223" s="1"/>
      <c r="H223" s="1"/>
      <c r="I223" s="1"/>
    </row>
    <row r="224" spans="2:9" ht="15.75" thickBot="1">
      <c r="B224" s="1"/>
      <c r="C224" s="1"/>
      <c r="D224" s="1"/>
      <c r="E224" s="1"/>
      <c r="F224" s="1"/>
      <c r="G224" s="1"/>
      <c r="H224" s="1"/>
      <c r="I224" s="1"/>
    </row>
    <row r="225" spans="2:9" ht="15.75" thickBot="1">
      <c r="B225" s="1"/>
      <c r="C225" s="8" t="str">
        <f ca="1">nature_persn_lbl</f>
        <v>Nature of Person</v>
      </c>
      <c r="D225" s="1"/>
      <c r="E225" s="5"/>
      <c r="F225" s="1"/>
      <c r="G225" s="1"/>
      <c r="H225" s="1"/>
      <c r="I225" s="1"/>
    </row>
    <row r="226" spans="2:9" ht="15.75" thickBot="1">
      <c r="B226" s="1"/>
      <c r="C226" s="1"/>
      <c r="D226" s="1"/>
      <c r="E226" s="1"/>
      <c r="F226" s="1"/>
      <c r="G226" s="1"/>
      <c r="H226" s="1"/>
      <c r="I226" s="1"/>
    </row>
    <row r="227" spans="2:9" ht="15.75" thickBot="1">
      <c r="B227" s="1"/>
      <c r="C227" s="8" t="str">
        <f ca="1">nationality_aux_lbl</f>
        <v>Nationality</v>
      </c>
      <c r="D227" s="1"/>
      <c r="E227" s="5"/>
      <c r="F227" s="1"/>
      <c r="G227" s="1"/>
      <c r="H227" s="1"/>
      <c r="I227" s="1"/>
    </row>
    <row r="228" spans="2:9" ht="15.75" thickBot="1">
      <c r="B228" s="1"/>
      <c r="C228" s="1"/>
      <c r="D228" s="1"/>
      <c r="E228" s="1"/>
      <c r="F228" s="1"/>
      <c r="G228" s="1"/>
      <c r="H228" s="1"/>
      <c r="I228" s="1"/>
    </row>
    <row r="229" spans="2:9" ht="15.75" thickBot="1">
      <c r="B229" s="1"/>
      <c r="C229" s="8" t="str">
        <f ca="1">emplt_categ_lbl</f>
        <v>Employment Category</v>
      </c>
      <c r="D229" s="1"/>
      <c r="E229" s="5"/>
      <c r="F229" s="1"/>
      <c r="G229" s="1"/>
      <c r="H229" s="1"/>
      <c r="I229" s="1"/>
    </row>
    <row r="230" spans="2:9" ht="15.75" thickBot="1">
      <c r="B230" s="1"/>
      <c r="C230" s="1"/>
      <c r="D230" s="1"/>
      <c r="E230" s="1"/>
      <c r="F230" s="1"/>
      <c r="G230" s="1"/>
      <c r="H230" s="1"/>
      <c r="I230" s="1"/>
    </row>
    <row r="231" spans="2:9" ht="15.75" thickBot="1">
      <c r="B231" s="1"/>
      <c r="C231" s="8" t="str">
        <f ca="1">tax_off_lbl</f>
        <v>Tax Office</v>
      </c>
      <c r="D231" s="1"/>
      <c r="E231" s="5"/>
      <c r="F231" s="1"/>
      <c r="G231" s="1"/>
      <c r="H231" s="1"/>
      <c r="I231" s="1"/>
    </row>
    <row r="232" spans="2:9" ht="15.75" thickBot="1">
      <c r="B232" s="1"/>
      <c r="C232" s="1"/>
      <c r="D232" s="1"/>
      <c r="E232" s="1"/>
      <c r="F232" s="1"/>
      <c r="G232" s="1"/>
      <c r="H232" s="1"/>
      <c r="I232" s="1"/>
    </row>
    <row r="233" spans="2:9" ht="15.75" thickBot="1">
      <c r="B233" s="1"/>
      <c r="C233" s="8" t="str">
        <f ca="1">direct_fill_emp_lbl</f>
        <v>Direct Filling By Employee</v>
      </c>
      <c r="D233" s="1"/>
      <c r="E233" s="5"/>
      <c r="F233" s="1"/>
      <c r="G233" s="1"/>
      <c r="H233" s="1"/>
      <c r="I233" s="1"/>
    </row>
    <row r="234" spans="2:9" ht="15.75" thickBot="1">
      <c r="B234" s="1"/>
      <c r="C234" s="1"/>
      <c r="D234" s="1"/>
      <c r="E234" s="1"/>
      <c r="F234" s="1"/>
      <c r="G234" s="1"/>
      <c r="H234" s="1"/>
      <c r="I234" s="1"/>
    </row>
    <row r="235" spans="2:9" ht="15.75" thickBot="1">
      <c r="B235" s="1"/>
      <c r="C235" s="8" t="str">
        <f ca="1">calc_contr_lbl</f>
        <v>Calculate Contribution</v>
      </c>
      <c r="D235" s="1"/>
      <c r="E235" s="5"/>
      <c r="F235" s="1"/>
      <c r="G235" s="1"/>
      <c r="H235" s="1"/>
      <c r="I235" s="1"/>
    </row>
    <row r="236" spans="2:9" ht="15.75" thickBot="1">
      <c r="B236" s="1"/>
      <c r="C236" s="1"/>
      <c r="D236" s="1"/>
      <c r="E236" s="1"/>
      <c r="F236" s="1"/>
      <c r="G236" s="1"/>
      <c r="H236" s="1"/>
      <c r="I236" s="1"/>
    </row>
    <row r="237" spans="2:9" ht="15.75" thickBot="1">
      <c r="B237" s="1"/>
      <c r="C237" s="8" t="str">
        <f ca="1">emplr_ee_contr_lbl</f>
        <v>Employer pays ee contribution</v>
      </c>
      <c r="D237" s="1"/>
      <c r="E237" s="5"/>
      <c r="F237" s="1"/>
      <c r="G237" s="1"/>
      <c r="H237" s="1"/>
      <c r="I237" s="1"/>
    </row>
    <row r="238" spans="2:9" ht="15.75" thickBot="1">
      <c r="B238" s="1"/>
      <c r="C238" s="1"/>
      <c r="D238" s="1"/>
      <c r="E238" s="1"/>
      <c r="F238" s="1"/>
      <c r="G238" s="1"/>
      <c r="H238" s="1"/>
      <c r="I238" s="1"/>
    </row>
    <row r="239" spans="2:9" ht="15.75" thickBot="1">
      <c r="B239" s="1"/>
      <c r="C239" s="8" t="str">
        <f ca="1">compul_si_fund</f>
        <v>Complusory SI Fund</v>
      </c>
      <c r="D239" s="1"/>
      <c r="E239" s="5"/>
      <c r="F239" s="1"/>
      <c r="G239" s="1"/>
      <c r="H239" s="1"/>
      <c r="I239" s="1"/>
    </row>
    <row r="240" spans="2:9" ht="15.75" thickBot="1">
      <c r="B240" s="1"/>
      <c r="C240" s="1"/>
      <c r="D240" s="1"/>
      <c r="E240" s="1"/>
      <c r="F240" s="1"/>
      <c r="G240" s="1"/>
      <c r="H240" s="1"/>
      <c r="I240" s="1"/>
    </row>
    <row r="241" spans="2:9" ht="15.75" thickBot="1">
      <c r="B241" s="1"/>
      <c r="C241" s="8" t="str">
        <f ca="1">compul_si_schem_lbl</f>
        <v>Compulsory SI Scheme</v>
      </c>
      <c r="D241" s="1"/>
      <c r="E241" s="5"/>
      <c r="F241" s="1"/>
      <c r="G241" s="1"/>
      <c r="H241" s="1"/>
      <c r="I241" s="1"/>
    </row>
    <row r="242" spans="2:9" ht="15.75" thickBot="1">
      <c r="B242" s="1"/>
      <c r="C242" s="1"/>
      <c r="D242" s="1"/>
      <c r="E242" s="1"/>
      <c r="F242" s="1"/>
      <c r="G242" s="1"/>
      <c r="H242" s="1"/>
      <c r="I242" s="1"/>
    </row>
    <row r="243" spans="2:9" ht="15.75" thickBot="1">
      <c r="B243" s="1"/>
      <c r="C243" s="8" t="str">
        <f ca="1">calc_contrib_lbl</f>
        <v>Calculate Contribution</v>
      </c>
      <c r="D243" s="1"/>
      <c r="E243" s="5"/>
      <c r="F243" s="1"/>
      <c r="G243" s="1"/>
      <c r="H243" s="1"/>
      <c r="I243" s="1"/>
    </row>
    <row r="244" spans="2:9" ht="15.75" thickBot="1">
      <c r="B244" s="1"/>
      <c r="C244" s="1"/>
      <c r="D244" s="1"/>
      <c r="E244" s="1"/>
      <c r="F244" s="1"/>
      <c r="G244" s="1"/>
      <c r="H244" s="1"/>
      <c r="I244" s="1"/>
    </row>
    <row r="245" spans="2:9" ht="15.75" thickBot="1">
      <c r="B245" s="1"/>
      <c r="C245" s="8" t="str">
        <f ca="1">emplr_ee_contrb_1_lbl</f>
        <v>Employer pays ee contribution</v>
      </c>
      <c r="D245" s="1"/>
      <c r="E245" s="5"/>
      <c r="F245" s="1"/>
      <c r="G245" s="1"/>
      <c r="H245" s="1"/>
      <c r="I245" s="1"/>
    </row>
    <row r="246" spans="2:9" ht="15.75" thickBot="1">
      <c r="B246" s="1"/>
      <c r="C246" s="1"/>
      <c r="D246" s="1"/>
      <c r="E246" s="1"/>
      <c r="F246" s="1"/>
      <c r="G246" s="1"/>
      <c r="H246" s="1"/>
      <c r="I246" s="1"/>
    </row>
    <row r="247" spans="2:9" ht="15.75" thickBot="1">
      <c r="B247" s="1"/>
      <c r="C247" s="8" t="str">
        <f ca="1" xml:space="preserve">
unempl_si_fund_lbl</f>
        <v>Unemployment SI Fund</v>
      </c>
      <c r="D247" s="1"/>
      <c r="E247" s="5"/>
      <c r="F247" s="1"/>
      <c r="G247" s="1"/>
      <c r="H247" s="1"/>
      <c r="I247" s="1"/>
    </row>
    <row r="248" spans="2:9" ht="15.75" thickBot="1">
      <c r="B248" s="1"/>
      <c r="C248" s="1"/>
      <c r="D248" s="1"/>
      <c r="E248" s="1"/>
      <c r="F248" s="1"/>
      <c r="G248" s="1"/>
      <c r="H248" s="1"/>
      <c r="I248" s="1"/>
    </row>
    <row r="249" spans="2:9" ht="15.75" thickBot="1">
      <c r="B249" s="1"/>
      <c r="C249" s="8" t="str">
        <f ca="1">unempl_si_schm_lbl</f>
        <v>Unemployment SI Scheme</v>
      </c>
      <c r="D249" s="1"/>
      <c r="E249" s="5"/>
      <c r="F249" s="1"/>
      <c r="G249" s="1"/>
      <c r="H249" s="1"/>
      <c r="I249" s="1"/>
    </row>
    <row r="250" spans="2:9" ht="15.75" thickBot="1">
      <c r="B250" s="1"/>
      <c r="C250" s="1"/>
      <c r="D250" s="1"/>
      <c r="E250" s="1"/>
      <c r="F250" s="1"/>
      <c r="G250" s="1"/>
      <c r="H250" s="1"/>
      <c r="I250" s="1"/>
    </row>
    <row r="251" spans="2:9" ht="15.75" thickBot="1">
      <c r="B251" s="1"/>
      <c r="C251" s="8" t="str">
        <f ca="1">calc_contrb1_lbl</f>
        <v>Calculate Contribution</v>
      </c>
      <c r="D251" s="1"/>
      <c r="E251" s="5"/>
      <c r="F251" s="1"/>
      <c r="G251" s="1"/>
      <c r="H251" s="1"/>
      <c r="I251" s="1"/>
    </row>
    <row r="252" spans="2:9" ht="15.75" thickBot="1">
      <c r="B252" s="1"/>
      <c r="C252" s="1"/>
      <c r="D252" s="1"/>
      <c r="E252" s="1"/>
      <c r="F252" s="1"/>
      <c r="G252" s="1"/>
      <c r="H252" s="1"/>
      <c r="I252" s="1"/>
    </row>
    <row r="253" spans="2:9" ht="15.75" thickBot="1">
      <c r="B253" s="1"/>
      <c r="C253" s="8" t="str">
        <f ca="1">emplr_ee_contrb_2_lbl</f>
        <v>Employer pays ee contribution</v>
      </c>
      <c r="D253" s="1"/>
      <c r="E253" s="5"/>
      <c r="F253" s="1"/>
      <c r="G253" s="1"/>
      <c r="H253" s="1"/>
      <c r="I253" s="1"/>
    </row>
    <row r="254" spans="2:9" ht="15.75" thickBot="1">
      <c r="B254" s="1"/>
      <c r="C254" s="1"/>
      <c r="D254" s="1"/>
      <c r="E254" s="1"/>
      <c r="F254" s="1"/>
      <c r="G254" s="1"/>
      <c r="H254" s="1"/>
      <c r="I254" s="1"/>
    </row>
    <row r="255" spans="2:9" ht="15.75" thickBot="1">
      <c r="B255" s="1"/>
      <c r="C255" s="8" t="str">
        <f ca="1">hlth_si_fund_lbl</f>
        <v>Health SI Fund</v>
      </c>
      <c r="D255" s="1"/>
      <c r="E255" s="5"/>
      <c r="F255" s="1"/>
      <c r="G255" s="1"/>
      <c r="H255" s="1"/>
      <c r="I255" s="1"/>
    </row>
    <row r="256" spans="2:9" ht="15.75" thickBot="1">
      <c r="B256" s="1"/>
      <c r="C256" s="1"/>
      <c r="D256" s="1"/>
      <c r="E256" s="1"/>
      <c r="F256" s="1"/>
      <c r="G256" s="1"/>
      <c r="H256" s="1"/>
      <c r="I256" s="1"/>
    </row>
    <row r="257" spans="2:9" ht="15.75" thickBot="1">
      <c r="B257" s="1"/>
      <c r="C257" s="8" t="str">
        <f ca="1">hlth_si_schm_lbl</f>
        <v>Health SI Scheme</v>
      </c>
      <c r="D257" s="1"/>
      <c r="E257" s="5"/>
      <c r="F257" s="1"/>
      <c r="G257" s="1"/>
      <c r="H257" s="1"/>
      <c r="I257" s="1"/>
    </row>
    <row r="258" spans="2:9" ht="15.75" thickBot="1">
      <c r="B258" s="1"/>
      <c r="C258" s="1"/>
      <c r="D258" s="1"/>
      <c r="E258" s="1"/>
      <c r="F258" s="1"/>
      <c r="G258" s="1"/>
      <c r="H258" s="1"/>
      <c r="I258" s="1"/>
    </row>
    <row r="259" spans="2:9" ht="15.75" thickBot="1">
      <c r="B259" s="1"/>
      <c r="C259" s="8" t="str">
        <f ca="1">hlth_ins_catg_lbl</f>
        <v>Health Insurance Category</v>
      </c>
      <c r="D259" s="1"/>
      <c r="E259" s="5"/>
      <c r="F259" s="1"/>
      <c r="G259" s="1"/>
      <c r="H259" s="1"/>
      <c r="I259" s="1"/>
    </row>
    <row r="260" spans="2:9">
      <c r="B260" s="1"/>
      <c r="C260" s="1"/>
      <c r="D260" s="1"/>
      <c r="E260" s="1"/>
      <c r="F260" s="1"/>
      <c r="G260" s="1"/>
      <c r="H260" s="1"/>
      <c r="I260" s="1"/>
    </row>
    <row r="261" spans="2:9" ht="15.75" hidden="1" thickBot="1">
      <c r="B261" s="1"/>
      <c r="C261" s="8" t="str">
        <f ca="1">it_num_lbl</f>
        <v>Income Tax Number</v>
      </c>
      <c r="D261" s="1"/>
      <c r="E261" s="5"/>
      <c r="F261" s="1"/>
      <c r="G261" s="1"/>
      <c r="H261" s="1"/>
      <c r="I261" s="1"/>
    </row>
    <row r="262" spans="2:9" hidden="1">
      <c r="B262" s="1"/>
      <c r="C262" s="1"/>
      <c r="D262" s="1"/>
      <c r="E262" s="1"/>
      <c r="F262" s="1"/>
      <c r="G262" s="1"/>
      <c r="H262" s="1"/>
      <c r="I262" s="1"/>
    </row>
    <row r="263" spans="2:9" ht="15.75" hidden="1" thickBot="1">
      <c r="B263" s="1"/>
      <c r="C263" s="8" t="str">
        <f ca="1">name_of_institution_lbl</f>
        <v>Name of Institution</v>
      </c>
      <c r="D263" s="1"/>
      <c r="E263" s="5"/>
      <c r="F263" s="1"/>
      <c r="G263" s="1"/>
      <c r="H263" s="1"/>
      <c r="I263" s="1"/>
    </row>
    <row r="264" spans="2:9" ht="15.75" hidden="1" thickBot="1">
      <c r="B264" s="1"/>
      <c r="C264" s="1"/>
      <c r="D264" s="1"/>
      <c r="E264" s="1"/>
      <c r="F264" s="1"/>
      <c r="G264" s="1"/>
      <c r="H264" s="1"/>
      <c r="I264" s="1"/>
    </row>
    <row r="265" spans="2:9" ht="15.75" hidden="1" thickBot="1">
      <c r="B265" s="1"/>
      <c r="C265" s="8" t="str">
        <f ca="1">branch_of_study1_lbl</f>
        <v>Branch of Study 1</v>
      </c>
      <c r="D265" s="1"/>
      <c r="E265" s="5"/>
      <c r="F265" s="1"/>
      <c r="G265" s="1"/>
      <c r="H265" s="1"/>
      <c r="I265" s="1"/>
    </row>
    <row r="266" spans="2:9" ht="15.75" hidden="1" thickBot="1">
      <c r="B266" s="1"/>
      <c r="C266" s="1"/>
      <c r="D266" s="1"/>
      <c r="E266" s="1"/>
      <c r="F266" s="1"/>
      <c r="G266" s="1"/>
      <c r="H266" s="1"/>
      <c r="I266" s="1"/>
    </row>
    <row r="267" spans="2:9" ht="15.75" hidden="1" thickBot="1">
      <c r="B267" s="1"/>
      <c r="C267" s="8" t="str">
        <f ca="1">contr_epf_lbl</f>
        <v>Contributing to EPF?</v>
      </c>
      <c r="D267" s="1"/>
      <c r="E267" s="5"/>
      <c r="F267" s="1"/>
      <c r="G267" s="1"/>
      <c r="H267" s="1"/>
      <c r="I267" s="1"/>
    </row>
    <row r="268" spans="2:9" ht="15.75" hidden="1" thickBot="1">
      <c r="B268" s="1"/>
      <c r="C268" s="1"/>
      <c r="D268" s="1"/>
      <c r="E268" s="1"/>
      <c r="F268" s="1"/>
      <c r="G268" s="1"/>
      <c r="H268" s="1"/>
      <c r="I268" s="1"/>
    </row>
    <row r="269" spans="2:9" ht="15.75" hidden="1" thickBot="1">
      <c r="B269" s="1"/>
      <c r="C269" s="8" t="str">
        <f ca="1">appl_socso_lbl</f>
        <v>Applicable for SOCSO?</v>
      </c>
      <c r="D269" s="1"/>
      <c r="E269" s="5"/>
      <c r="F269" s="1"/>
      <c r="G269" s="1"/>
      <c r="H269" s="1"/>
      <c r="I269" s="1"/>
    </row>
    <row r="270" spans="2:9" ht="15.75" hidden="1" thickBot="1">
      <c r="B270" s="1"/>
      <c r="C270" s="1"/>
      <c r="D270" s="1"/>
      <c r="E270" s="1"/>
      <c r="F270" s="1"/>
      <c r="G270" s="1"/>
      <c r="H270" s="1"/>
      <c r="I270" s="1"/>
    </row>
    <row r="271" spans="2:9" ht="15.75" hidden="1" thickBot="1">
      <c r="B271" s="1"/>
      <c r="C271" s="8" t="str">
        <f ca="1">it_office_lbl</f>
        <v>Income Tax Office</v>
      </c>
      <c r="D271" s="1"/>
      <c r="E271" s="5"/>
      <c r="F271" s="1"/>
      <c r="G271" s="1"/>
      <c r="H271" s="1"/>
      <c r="I271" s="1"/>
    </row>
    <row r="272" spans="2:9" ht="15.75" hidden="1" thickBot="1">
      <c r="B272" s="1"/>
      <c r="C272" s="1"/>
      <c r="D272" s="1"/>
      <c r="E272" s="1"/>
      <c r="F272" s="1"/>
      <c r="G272" s="1"/>
      <c r="H272" s="1"/>
      <c r="I272" s="1"/>
    </row>
    <row r="273" spans="2:9" ht="15.75" hidden="1" thickBot="1">
      <c r="B273" s="1"/>
      <c r="C273" s="8" t="str">
        <f ca="1">appl_spouse_rel</f>
        <v>Applicable for Spouse Relief?</v>
      </c>
      <c r="D273" s="1"/>
      <c r="E273" s="5"/>
      <c r="F273" s="1"/>
      <c r="G273" s="1"/>
      <c r="H273" s="1"/>
      <c r="I273" s="1"/>
    </row>
    <row r="274" spans="2:9" ht="15.75" hidden="1" thickBot="1">
      <c r="B274" s="1"/>
      <c r="C274" s="1"/>
      <c r="D274" s="1"/>
      <c r="E274" s="1"/>
      <c r="F274" s="1"/>
      <c r="G274" s="1"/>
      <c r="H274" s="1"/>
      <c r="I274" s="1"/>
    </row>
    <row r="275" spans="2:9" ht="15.75" hidden="1" thickBot="1">
      <c r="B275" s="1"/>
      <c r="C275" s="8" t="str">
        <f ca="1">num_depnt_lbl</f>
        <v>Number of Dependents</v>
      </c>
      <c r="D275" s="1"/>
      <c r="E275" s="5"/>
      <c r="F275" s="1"/>
      <c r="G275" s="1"/>
      <c r="H275" s="1"/>
      <c r="I275" s="1"/>
    </row>
    <row r="276" spans="2:9" ht="15.75" hidden="1" thickBot="1">
      <c r="B276" s="1"/>
      <c r="C276" s="1"/>
      <c r="D276" s="1"/>
      <c r="E276" s="1"/>
      <c r="F276" s="1"/>
      <c r="G276" s="1"/>
      <c r="H276" s="1"/>
      <c r="I276" s="1"/>
    </row>
    <row r="277" spans="2:9" ht="15.75" hidden="1" thickBot="1">
      <c r="B277" s="1"/>
      <c r="C277" s="95" t="str">
        <f ca="1">sk_med_ins_lbl</f>
        <v>Insurance Type (Medical Insurance)</v>
      </c>
      <c r="D277" s="1"/>
      <c r="E277" s="5"/>
      <c r="F277" s="1"/>
      <c r="G277" s="1"/>
      <c r="H277" s="1"/>
      <c r="I277" s="1"/>
    </row>
    <row r="278" spans="2:9" ht="15.75" hidden="1" thickBot="1">
      <c r="B278" s="1"/>
      <c r="C278" s="1"/>
      <c r="D278" s="1"/>
      <c r="E278" s="1"/>
      <c r="F278" s="1"/>
      <c r="G278" s="1"/>
      <c r="H278" s="1"/>
      <c r="I278" s="1"/>
    </row>
    <row r="279" spans="2:9" ht="15.75" hidden="1" thickBot="1">
      <c r="B279" s="1"/>
      <c r="C279" s="8" t="str">
        <f ca="1">sk_med_ins_dt_lbl</f>
        <v>Start Date</v>
      </c>
      <c r="D279" s="1"/>
      <c r="E279" s="5"/>
      <c r="F279" s="1"/>
      <c r="G279" s="1"/>
      <c r="H279" s="1"/>
      <c r="I279" s="1"/>
    </row>
    <row r="280" spans="2:9" ht="15.75" hidden="1" thickBot="1">
      <c r="B280" s="1"/>
      <c r="C280" s="1"/>
      <c r="D280" s="1"/>
      <c r="E280" s="1"/>
      <c r="F280" s="1"/>
      <c r="G280" s="1"/>
      <c r="H280" s="1"/>
      <c r="I280" s="1"/>
    </row>
    <row r="281" spans="2:9" ht="15.75" hidden="1" thickBot="1">
      <c r="B281" s="1"/>
      <c r="C281" s="8" t="str">
        <f ca="1">SI_Ent_Reason_lbl</f>
        <v>SI Entitlement Reason</v>
      </c>
      <c r="D281" s="1"/>
      <c r="E281" s="5"/>
      <c r="F281" s="1"/>
      <c r="G281" s="1"/>
      <c r="H281" s="1"/>
      <c r="I281" s="1"/>
    </row>
    <row r="282" spans="2:9" ht="15.75" hidden="1" thickBot="1">
      <c r="B282" s="1"/>
      <c r="C282" s="1"/>
      <c r="D282" s="1"/>
      <c r="E282" s="1"/>
      <c r="F282" s="1"/>
      <c r="G282" s="1"/>
      <c r="H282" s="1"/>
      <c r="I282" s="1"/>
    </row>
    <row r="283" spans="2:9" ht="15.75" hidden="1" thickBot="1">
      <c r="B283" s="1"/>
      <c r="C283" s="8" t="str">
        <f ca="1">MI_Card_No_lbl</f>
        <v>MI Card Number</v>
      </c>
      <c r="D283" s="1"/>
      <c r="E283" s="5"/>
      <c r="F283" s="1"/>
      <c r="G283" s="1"/>
      <c r="H283" s="1"/>
      <c r="I283" s="1"/>
    </row>
    <row r="284" spans="2:9" ht="15.75" hidden="1" thickBot="1">
      <c r="B284" s="1"/>
      <c r="C284" s="1"/>
      <c r="D284" s="1"/>
      <c r="E284" s="1"/>
      <c r="F284" s="1"/>
      <c r="G284" s="1"/>
      <c r="H284" s="1"/>
      <c r="I284" s="1"/>
    </row>
    <row r="285" spans="2:9" ht="15.75" hidden="1" thickBot="1">
      <c r="B285" s="1"/>
      <c r="C285" s="8" t="str">
        <f ca="1">Prem_Acq_Month_lbl</f>
        <v>No Premium in the Acquired Month</v>
      </c>
      <c r="D285" s="1"/>
      <c r="E285" s="5"/>
      <c r="F285" s="1"/>
      <c r="G285" s="1"/>
      <c r="H285" s="1"/>
      <c r="I285" s="1"/>
    </row>
    <row r="286" spans="2:9" ht="15.75" hidden="1" thickBot="1">
      <c r="B286" s="1"/>
      <c r="C286" s="1"/>
      <c r="D286" s="1"/>
      <c r="E286" s="1"/>
      <c r="F286" s="1"/>
      <c r="G286" s="1"/>
      <c r="H286" s="1"/>
      <c r="I286" s="1"/>
    </row>
    <row r="287" spans="2:9" ht="15.75" hidden="1" thickBot="1">
      <c r="B287" s="1"/>
      <c r="C287" s="8" t="str">
        <f ca="1">OS_Worker_lbl</f>
        <v>Overseas Worker</v>
      </c>
      <c r="D287" s="1"/>
      <c r="E287" s="5"/>
      <c r="F287" s="1"/>
      <c r="G287" s="1"/>
      <c r="H287" s="1"/>
      <c r="I287" s="1"/>
    </row>
    <row r="288" spans="2:9" ht="15.75" hidden="1" thickBot="1">
      <c r="B288" s="1"/>
      <c r="C288" s="1"/>
      <c r="D288" s="1"/>
      <c r="E288" s="1"/>
      <c r="F288" s="1"/>
      <c r="G288" s="1"/>
      <c r="H288" s="1"/>
      <c r="I288" s="1"/>
    </row>
    <row r="289" spans="2:9" ht="15.75" hidden="1" thickBot="1">
      <c r="B289" s="1"/>
      <c r="C289" s="8" t="str">
        <f ca="1">EI_Ent_lbl</f>
        <v>EI Entitlement (EE ove65)</v>
      </c>
      <c r="D289" s="1"/>
      <c r="E289" s="5"/>
      <c r="F289" s="1"/>
      <c r="G289" s="1"/>
      <c r="H289" s="1"/>
      <c r="I289" s="1"/>
    </row>
    <row r="290" spans="2:9" ht="15.75" hidden="1" thickBot="1">
      <c r="B290" s="1"/>
      <c r="C290" s="1"/>
      <c r="D290" s="1"/>
      <c r="E290" s="1"/>
      <c r="F290" s="1"/>
      <c r="G290" s="1"/>
      <c r="H290" s="1"/>
      <c r="I290" s="1"/>
    </row>
    <row r="291" spans="2:9" ht="15.75" hidden="1" thickBot="1">
      <c r="B291" s="1"/>
      <c r="C291" s="8" t="str">
        <f ca="1">sk_nat_pen_lbl</f>
        <v>Insurance Type (National Pension)</v>
      </c>
      <c r="D291" s="1"/>
      <c r="E291" s="5"/>
      <c r="F291" s="1"/>
      <c r="G291" s="1"/>
      <c r="H291" s="1"/>
      <c r="I291" s="1"/>
    </row>
    <row r="292" spans="2:9" ht="15.75" hidden="1" thickBot="1">
      <c r="B292" s="1"/>
      <c r="C292" s="1"/>
      <c r="D292" s="1"/>
      <c r="E292" s="1"/>
      <c r="F292" s="1"/>
      <c r="G292" s="1"/>
      <c r="H292" s="1"/>
      <c r="I292" s="1"/>
    </row>
    <row r="293" spans="2:9" ht="15.75" hidden="1" thickBot="1">
      <c r="B293" s="1"/>
      <c r="C293" s="8" t="str">
        <f ca="1">sk_nat_pen_dt_lbl</f>
        <v>Start Date</v>
      </c>
      <c r="D293" s="1"/>
      <c r="E293" s="5"/>
      <c r="F293" s="1"/>
      <c r="G293" s="1"/>
      <c r="H293" s="1"/>
      <c r="I293" s="1"/>
    </row>
    <row r="294" spans="2:9" ht="15.75" hidden="1" thickBot="1">
      <c r="B294" s="1"/>
      <c r="C294" s="1"/>
      <c r="D294" s="1"/>
      <c r="E294" s="1"/>
      <c r="F294" s="1"/>
      <c r="G294" s="1"/>
      <c r="H294" s="1"/>
      <c r="I294" s="1"/>
    </row>
    <row r="295" spans="2:9" ht="15.75" hidden="1" thickBot="1">
      <c r="B295" s="1"/>
      <c r="C295" s="8" t="str">
        <f ca="1">sk_nat_pen_SI_lbl</f>
        <v>SI Entitlement Reason</v>
      </c>
      <c r="D295" s="1"/>
      <c r="E295" s="5"/>
      <c r="F295" s="1"/>
      <c r="G295" s="1"/>
      <c r="H295" s="1"/>
      <c r="I295" s="1"/>
    </row>
    <row r="296" spans="2:9" ht="15.75" hidden="1" thickBot="1">
      <c r="B296" s="1"/>
      <c r="C296" s="1"/>
      <c r="D296" s="1"/>
      <c r="E296" s="1"/>
      <c r="F296" s="1"/>
      <c r="G296" s="1"/>
      <c r="H296" s="1"/>
      <c r="I296" s="1"/>
    </row>
    <row r="297" spans="2:9" ht="15.75" hidden="1" thickBot="1">
      <c r="B297" s="1"/>
      <c r="C297" s="8" t="str">
        <f ca="1">sk_nat_pen_prem_acq_lbl</f>
        <v>No Premium in the Acquired Month</v>
      </c>
      <c r="D297" s="1"/>
      <c r="E297" s="5"/>
      <c r="F297" s="1"/>
      <c r="G297" s="1"/>
      <c r="H297" s="1"/>
      <c r="I297" s="1"/>
    </row>
    <row r="298" spans="2:9" ht="15.75" hidden="1" thickBot="1">
      <c r="B298" s="1"/>
      <c r="C298" s="1"/>
      <c r="D298" s="1"/>
      <c r="E298" s="1"/>
      <c r="F298" s="1"/>
      <c r="G298" s="1"/>
      <c r="H298" s="1"/>
      <c r="I298" s="1"/>
    </row>
    <row r="299" spans="2:9" ht="15.75" hidden="1" thickBot="1">
      <c r="B299" s="1"/>
      <c r="C299" s="8" t="str">
        <f ca="1">sk_nat_pen_OS_lbl</f>
        <v>Overseas Worker</v>
      </c>
      <c r="D299" s="1"/>
      <c r="E299" s="5"/>
      <c r="F299" s="1"/>
      <c r="G299" s="1"/>
      <c r="H299" s="1"/>
      <c r="I299" s="1"/>
    </row>
    <row r="300" spans="2:9" ht="15.75" hidden="1" thickBot="1">
      <c r="B300" s="1"/>
      <c r="C300" s="1"/>
      <c r="D300" s="1"/>
      <c r="E300" s="1"/>
      <c r="F300" s="1"/>
      <c r="G300" s="1"/>
      <c r="H300" s="1"/>
      <c r="I300" s="1"/>
    </row>
    <row r="301" spans="2:9" ht="15.75" hidden="1" thickBot="1">
      <c r="B301" s="1"/>
      <c r="C301" s="8" t="str">
        <f ca="1">sk_nat_pen_EI_lbl</f>
        <v>EI Entitlement (EE ove65)</v>
      </c>
      <c r="D301" s="1"/>
      <c r="E301" s="5"/>
      <c r="F301" s="1"/>
      <c r="G301" s="1"/>
      <c r="H301" s="1"/>
      <c r="I301" s="1"/>
    </row>
    <row r="302" spans="2:9" ht="15.75" hidden="1" thickBot="1">
      <c r="B302" s="1"/>
      <c r="C302" s="1"/>
      <c r="D302" s="1"/>
      <c r="E302" s="1"/>
      <c r="F302" s="1"/>
      <c r="G302" s="1"/>
      <c r="H302" s="1"/>
      <c r="I302" s="1"/>
    </row>
    <row r="303" spans="2:9" ht="15.75" hidden="1" thickBot="1">
      <c r="B303" s="1"/>
      <c r="C303" s="8" t="str">
        <f ca="1">sk_emp_pen_lbl</f>
        <v>Insurance Type (Employment Pension)</v>
      </c>
      <c r="D303" s="1"/>
      <c r="E303" s="5"/>
      <c r="F303" s="1"/>
      <c r="G303" s="1"/>
      <c r="H303" s="1"/>
      <c r="I303" s="1"/>
    </row>
    <row r="304" spans="2:9" ht="15.75" hidden="1" thickBot="1">
      <c r="B304" s="1"/>
      <c r="C304" s="1"/>
      <c r="D304" s="1"/>
      <c r="E304" s="1"/>
      <c r="F304" s="1"/>
      <c r="G304" s="1"/>
      <c r="H304" s="1"/>
      <c r="I304" s="1"/>
    </row>
    <row r="305" spans="2:9" ht="15.75" hidden="1" thickBot="1">
      <c r="B305" s="1"/>
      <c r="C305" s="8" t="str">
        <f ca="1">sk_emp_pen_dt_lbl</f>
        <v>Start Date</v>
      </c>
      <c r="D305" s="1"/>
      <c r="E305" s="5"/>
      <c r="F305" s="1"/>
      <c r="G305" s="1"/>
      <c r="H305" s="1"/>
      <c r="I305" s="1"/>
    </row>
    <row r="306" spans="2:9" ht="15.75" hidden="1" thickBot="1">
      <c r="B306" s="1"/>
      <c r="C306" s="1"/>
      <c r="D306" s="1"/>
      <c r="E306" s="1"/>
      <c r="F306" s="1"/>
      <c r="G306" s="1"/>
      <c r="H306" s="1"/>
      <c r="I306" s="1"/>
    </row>
    <row r="307" spans="2:9" ht="15.75" hidden="1" thickBot="1">
      <c r="B307" s="1"/>
      <c r="C307" s="8" t="str">
        <f ca="1">sk_emp_pen_SI_lbl</f>
        <v>SI Entitlement Reason</v>
      </c>
      <c r="D307" s="1"/>
      <c r="E307" s="5"/>
      <c r="F307" s="1"/>
      <c r="G307" s="1"/>
      <c r="H307" s="1"/>
      <c r="I307" s="1"/>
    </row>
    <row r="308" spans="2:9" ht="15.75" hidden="1" thickBot="1">
      <c r="B308" s="1"/>
      <c r="C308" s="1"/>
      <c r="D308" s="1"/>
      <c r="E308" s="1"/>
      <c r="F308" s="1"/>
      <c r="G308" s="1"/>
      <c r="H308" s="1"/>
      <c r="I308" s="1"/>
    </row>
    <row r="309" spans="2:9" ht="15.75" hidden="1" thickBot="1">
      <c r="B309" s="1"/>
      <c r="C309" s="8" t="str">
        <f ca="1">sk_emp_pen_OS_lbl</f>
        <v>Overseas Worker</v>
      </c>
      <c r="D309" s="1"/>
      <c r="E309" s="5"/>
      <c r="F309" s="1"/>
      <c r="G309" s="1"/>
      <c r="H309" s="1"/>
      <c r="I309" s="1"/>
    </row>
    <row r="310" spans="2:9" ht="15.75" hidden="1" thickBot="1">
      <c r="B310" s="1"/>
      <c r="C310" s="1"/>
      <c r="D310" s="1"/>
      <c r="E310" s="1"/>
      <c r="F310" s="1"/>
      <c r="G310" s="1"/>
      <c r="H310" s="1"/>
      <c r="I310" s="1"/>
    </row>
    <row r="311" spans="2:9" ht="15.75" hidden="1" thickBot="1">
      <c r="B311" s="1"/>
      <c r="C311" s="8" t="str">
        <f ca="1">sk_emp_pen_EI_lbl</f>
        <v>EI Entitlement (EE ove65)</v>
      </c>
      <c r="D311" s="1"/>
      <c r="E311" s="5"/>
      <c r="F311" s="1"/>
      <c r="G311" s="1"/>
      <c r="H311" s="1"/>
      <c r="I311" s="1"/>
    </row>
    <row r="312" spans="2:9" ht="15.75" hidden="1" thickBot="1">
      <c r="B312" s="1"/>
      <c r="C312" s="1"/>
      <c r="D312" s="1"/>
      <c r="E312" s="1"/>
      <c r="F312" s="1"/>
      <c r="G312" s="1"/>
      <c r="H312" s="1"/>
      <c r="I312" s="1"/>
    </row>
    <row r="313" spans="2:9" ht="15.75" hidden="1" thickBot="1">
      <c r="B313" s="1"/>
      <c r="C313" s="8" t="str">
        <f ca="1">sk_wk_comp_ins_lbl</f>
        <v>Insurance Type (Workers' Compensation Insurance)</v>
      </c>
      <c r="D313" s="1"/>
      <c r="E313" s="5"/>
      <c r="F313" s="1"/>
      <c r="G313" s="1"/>
      <c r="H313" s="1"/>
      <c r="I313" s="1"/>
    </row>
    <row r="314" spans="2:9" ht="15.75" hidden="1" thickBot="1">
      <c r="B314" s="1"/>
      <c r="C314" s="1"/>
      <c r="D314" s="1"/>
      <c r="E314" s="1"/>
      <c r="F314" s="1"/>
      <c r="G314" s="1"/>
      <c r="H314" s="1"/>
      <c r="I314" s="1"/>
    </row>
    <row r="315" spans="2:9" ht="15.75" hidden="1" thickBot="1">
      <c r="B315" s="1"/>
      <c r="C315" s="8" t="str">
        <f ca="1">sk_wk_comp_dt_lbl</f>
        <v>Start Date</v>
      </c>
      <c r="D315" s="1"/>
      <c r="E315" s="5"/>
      <c r="F315" s="1"/>
      <c r="G315" s="1"/>
      <c r="H315" s="1"/>
      <c r="I315" s="1"/>
    </row>
    <row r="316" spans="2:9" ht="15.75" hidden="1" thickBot="1">
      <c r="B316" s="1"/>
      <c r="C316" s="1"/>
      <c r="D316" s="1"/>
      <c r="E316" s="1"/>
      <c r="F316" s="1"/>
      <c r="G316" s="1"/>
      <c r="H316" s="1"/>
      <c r="I316" s="1"/>
    </row>
    <row r="317" spans="2:9" ht="15.75" hidden="1" thickBot="1">
      <c r="B317" s="1"/>
      <c r="C317" s="8" t="str">
        <f ca="1">sk_wk_comp_SI_lbl</f>
        <v>SI Entitlement Reason</v>
      </c>
      <c r="D317" s="1"/>
      <c r="E317" s="5"/>
      <c r="F317" s="1"/>
      <c r="G317" s="1"/>
      <c r="H317" s="1"/>
      <c r="I317" s="1"/>
    </row>
    <row r="318" spans="2:9" ht="15.75" hidden="1" thickBot="1">
      <c r="B318" s="1"/>
      <c r="C318" s="1"/>
      <c r="D318" s="1"/>
      <c r="E318" s="1"/>
      <c r="F318" s="1"/>
      <c r="G318" s="1"/>
      <c r="H318" s="1"/>
      <c r="I318" s="1"/>
    </row>
    <row r="319" spans="2:9" ht="15.75" hidden="1" thickBot="1">
      <c r="B319" s="1"/>
      <c r="C319" s="8" t="str">
        <f ca="1">sk_wk_comp_OS_lbl</f>
        <v>Overseas Worker</v>
      </c>
      <c r="D319" s="1"/>
      <c r="E319" s="5"/>
      <c r="F319" s="1"/>
      <c r="G319" s="1"/>
      <c r="H319" s="1"/>
      <c r="I319" s="1"/>
    </row>
    <row r="320" spans="2:9" ht="15.75" hidden="1" thickBot="1">
      <c r="B320" s="1"/>
      <c r="C320" s="1"/>
      <c r="D320" s="1"/>
      <c r="E320" s="1"/>
      <c r="F320" s="1"/>
      <c r="G320" s="1"/>
      <c r="H320" s="1"/>
      <c r="I320" s="1"/>
    </row>
    <row r="321" spans="2:9" ht="15.75" hidden="1" thickBot="1">
      <c r="B321" s="1"/>
      <c r="C321" s="8" t="str">
        <f ca="1">sk_Med_Ins_Prem_Type_lbl</f>
        <v>Insurance Premium Type (Medical Insurance)</v>
      </c>
      <c r="D321" s="1"/>
      <c r="E321" s="5"/>
      <c r="F321" s="1"/>
      <c r="G321" s="1"/>
      <c r="H321" s="1"/>
      <c r="I321" s="1"/>
    </row>
    <row r="322" spans="2:9" ht="15.75" hidden="1" thickBot="1">
      <c r="B322" s="1"/>
      <c r="C322" s="1"/>
      <c r="D322" s="1"/>
      <c r="E322" s="1"/>
      <c r="F322" s="1"/>
      <c r="G322" s="1"/>
      <c r="H322" s="1"/>
      <c r="I322" s="1"/>
    </row>
    <row r="323" spans="2:9" ht="15.75" hidden="1" thickBot="1">
      <c r="B323" s="1"/>
      <c r="C323" s="8" t="str">
        <f ca="1">sk_Med_Ins_Prem_dt_lbl</f>
        <v>Start Date</v>
      </c>
      <c r="D323" s="1"/>
      <c r="E323" s="5"/>
      <c r="F323" s="1"/>
      <c r="G323" s="1"/>
      <c r="H323" s="1"/>
      <c r="I323" s="1"/>
    </row>
    <row r="324" spans="2:9" ht="15.75" hidden="1" thickBot="1">
      <c r="B324" s="1"/>
      <c r="C324" s="1"/>
      <c r="D324" s="1"/>
      <c r="E324" s="1"/>
      <c r="F324" s="1"/>
      <c r="G324" s="1"/>
      <c r="H324" s="1"/>
      <c r="I324" s="1"/>
    </row>
    <row r="325" spans="2:9" ht="15.75" hidden="1" thickBot="1">
      <c r="B325" s="1"/>
      <c r="C325" s="8" t="str">
        <f ca="1">Mthly_Comp_Amt_lbl</f>
        <v>Monthly Compensation Amount</v>
      </c>
      <c r="D325" s="1"/>
      <c r="E325" s="5"/>
      <c r="F325" s="1"/>
      <c r="G325" s="1"/>
      <c r="H325" s="1"/>
      <c r="I325" s="1"/>
    </row>
    <row r="326" spans="2:9" ht="15.75" hidden="1" thickBot="1">
      <c r="B326" s="1"/>
      <c r="C326" s="1"/>
      <c r="D326" s="1"/>
      <c r="E326" s="1"/>
      <c r="F326" s="1"/>
      <c r="G326" s="1"/>
      <c r="H326" s="1"/>
      <c r="I326" s="1"/>
    </row>
    <row r="327" spans="2:9" ht="15.75" hidden="1" thickBot="1">
      <c r="B327" s="1"/>
      <c r="C327" s="8" t="str">
        <f ca="1">sk_exempt1_lbl</f>
        <v>Exempted</v>
      </c>
      <c r="D327" s="1"/>
      <c r="E327" s="5"/>
      <c r="F327" s="1"/>
      <c r="G327" s="1"/>
      <c r="H327" s="1"/>
      <c r="I327" s="1"/>
    </row>
    <row r="328" spans="2:9" ht="15.75" hidden="1" thickBot="1">
      <c r="B328" s="1"/>
      <c r="C328" s="1"/>
      <c r="D328" s="1"/>
      <c r="E328" s="1"/>
      <c r="F328" s="1"/>
      <c r="G328" s="1"/>
      <c r="H328" s="1"/>
      <c r="I328" s="1"/>
    </row>
    <row r="329" spans="2:9" ht="15.75" hidden="1" thickBot="1">
      <c r="B329" s="1"/>
      <c r="C329" s="8" t="str">
        <f ca="1">Avg_Prem_prev_Yr1_lbl</f>
        <v>Average Premium for Previous Year</v>
      </c>
      <c r="D329" s="1"/>
      <c r="E329" s="5"/>
      <c r="F329" s="1"/>
      <c r="G329" s="1"/>
      <c r="H329" s="1"/>
      <c r="I329" s="1"/>
    </row>
    <row r="330" spans="2:9" ht="15.75" hidden="1" thickBot="1">
      <c r="B330" s="1"/>
      <c r="C330" s="1"/>
      <c r="D330" s="1"/>
      <c r="E330" s="1"/>
      <c r="F330" s="1"/>
      <c r="G330" s="1"/>
      <c r="H330" s="1"/>
      <c r="I330" s="1"/>
    </row>
    <row r="331" spans="2:9" ht="15.75" hidden="1" thickBot="1">
      <c r="B331" s="1"/>
      <c r="C331" s="8" t="str">
        <f ca="1">sk_change_reason1_lbl</f>
        <v>Reason for Change</v>
      </c>
      <c r="D331" s="1"/>
      <c r="E331" s="5"/>
      <c r="F331" s="1"/>
      <c r="G331" s="1"/>
      <c r="H331" s="1"/>
      <c r="I331" s="1"/>
    </row>
    <row r="332" spans="2:9" ht="15.75" hidden="1" thickBot="1">
      <c r="B332" s="1"/>
      <c r="C332" s="1"/>
      <c r="D332" s="1"/>
      <c r="E332" s="1"/>
      <c r="F332" s="1"/>
      <c r="G332" s="1"/>
      <c r="H332" s="1"/>
      <c r="I332" s="1"/>
    </row>
    <row r="333" spans="2:9" ht="15.75" hidden="1" thickBot="1">
      <c r="B333" s="1"/>
      <c r="C333" s="8" t="str">
        <f ca="1">sk_Nat_Pen_Prem_Type_lbl</f>
        <v>Insurance Premium Type (National Pension)</v>
      </c>
      <c r="D333" s="1"/>
      <c r="E333" s="5"/>
      <c r="F333" s="1"/>
      <c r="G333" s="1"/>
      <c r="H333" s="1"/>
      <c r="I333" s="1"/>
    </row>
    <row r="334" spans="2:9" ht="15.75" hidden="1" thickBot="1">
      <c r="B334" s="1"/>
      <c r="C334" s="1"/>
      <c r="D334" s="1"/>
      <c r="E334" s="1"/>
      <c r="F334" s="1"/>
      <c r="G334" s="1"/>
      <c r="H334" s="1"/>
      <c r="I334" s="1"/>
    </row>
    <row r="335" spans="2:9" ht="15.75" hidden="1" thickBot="1">
      <c r="B335" s="1"/>
      <c r="C335" s="8" t="str">
        <f ca="1">sk_Nat_Pen_Prem_Type_dt_lbl</f>
        <v>Start Date</v>
      </c>
      <c r="D335" s="1"/>
      <c r="E335" s="5"/>
      <c r="F335" s="1"/>
      <c r="G335" s="1"/>
      <c r="H335" s="1"/>
      <c r="I335" s="1"/>
    </row>
    <row r="336" spans="2:9" ht="15.75" hidden="1" thickBot="1">
      <c r="B336" s="1"/>
      <c r="C336" s="1"/>
      <c r="D336" s="1"/>
      <c r="E336" s="1"/>
      <c r="F336" s="1"/>
      <c r="G336" s="1"/>
      <c r="H336" s="1"/>
      <c r="I336" s="1"/>
    </row>
    <row r="337" spans="2:9" ht="15.75" hidden="1" thickBot="1">
      <c r="B337" s="1"/>
      <c r="C337" s="8" t="str">
        <f ca="1">Mthly_Comp_Amt1_lbl</f>
        <v>Monthly Compensation Amount</v>
      </c>
      <c r="D337" s="1"/>
      <c r="E337" s="5"/>
      <c r="F337" s="1"/>
      <c r="G337" s="1"/>
      <c r="H337" s="1"/>
      <c r="I337" s="1"/>
    </row>
    <row r="338" spans="2:9" ht="15.75" hidden="1" thickBot="1">
      <c r="B338" s="1"/>
      <c r="C338" s="1"/>
      <c r="D338" s="1"/>
      <c r="E338" s="1"/>
      <c r="F338" s="1"/>
      <c r="G338" s="1"/>
      <c r="H338" s="1"/>
      <c r="I338" s="1"/>
    </row>
    <row r="339" spans="2:9" ht="15.75" hidden="1" thickBot="1">
      <c r="B339" s="1"/>
      <c r="C339" s="8" t="str">
        <f ca="1">sk_exempt2_lbl</f>
        <v>Exempted</v>
      </c>
      <c r="D339" s="1"/>
      <c r="E339" s="5"/>
      <c r="F339" s="1"/>
      <c r="G339" s="1"/>
      <c r="H339" s="1"/>
      <c r="I339" s="1"/>
    </row>
    <row r="340" spans="2:9" ht="15.75" hidden="1" thickBot="1">
      <c r="B340" s="1"/>
      <c r="C340" s="1"/>
      <c r="D340" s="1"/>
      <c r="E340" s="1"/>
      <c r="F340" s="1"/>
      <c r="G340" s="1"/>
      <c r="H340" s="1"/>
      <c r="I340" s="1"/>
    </row>
    <row r="341" spans="2:9" ht="15.75" hidden="1" thickBot="1">
      <c r="B341" s="1"/>
      <c r="C341" s="8" t="str">
        <f ca="1">Avg_Prem_prev_Yr2_lbl</f>
        <v>Average Premium for Previous Year</v>
      </c>
      <c r="D341" s="1"/>
      <c r="E341" s="5"/>
      <c r="F341" s="1"/>
      <c r="G341" s="1"/>
      <c r="H341" s="1"/>
      <c r="I341" s="1"/>
    </row>
    <row r="342" spans="2:9" ht="15.75" hidden="1" thickBot="1">
      <c r="B342" s="1"/>
      <c r="C342" s="1"/>
      <c r="D342" s="1"/>
      <c r="E342" s="1"/>
      <c r="F342" s="1"/>
      <c r="G342" s="1"/>
      <c r="H342" s="1"/>
      <c r="I342" s="1"/>
    </row>
    <row r="343" spans="2:9" ht="15.75" hidden="1" thickBot="1">
      <c r="B343" s="1"/>
      <c r="C343" s="8" t="str">
        <f ca="1">sk_change_reason2_lbl</f>
        <v>Reason for Change</v>
      </c>
      <c r="D343" s="1"/>
      <c r="E343" s="5"/>
      <c r="F343" s="1"/>
      <c r="G343" s="1"/>
      <c r="H343" s="1"/>
      <c r="I343" s="1"/>
    </row>
    <row r="344" spans="2:9" ht="15.75" hidden="1" thickBot="1">
      <c r="B344" s="1"/>
      <c r="C344" s="1"/>
      <c r="D344" s="1"/>
      <c r="E344" s="1"/>
      <c r="F344" s="1"/>
      <c r="G344" s="1"/>
      <c r="H344" s="1"/>
      <c r="I344" s="1"/>
    </row>
    <row r="345" spans="2:9" ht="15.75" hidden="1" thickBot="1">
      <c r="B345" s="1"/>
      <c r="C345" s="8" t="str">
        <f ca="1">sk_Emp_work_comp_Prem_Type_lbl</f>
        <v>Insurance Premium Type (Employment &amp; Workers' Compension Insurance)</v>
      </c>
      <c r="D345" s="1"/>
      <c r="E345" s="5"/>
      <c r="F345" s="1"/>
      <c r="G345" s="1"/>
      <c r="H345" s="1"/>
      <c r="I345" s="1"/>
    </row>
    <row r="346" spans="2:9" ht="15.75" hidden="1" thickBot="1">
      <c r="B346" s="1"/>
      <c r="C346" s="1"/>
      <c r="D346" s="1"/>
      <c r="E346" s="1"/>
      <c r="F346" s="1"/>
      <c r="G346" s="1"/>
      <c r="H346" s="1"/>
      <c r="I346" s="1"/>
    </row>
    <row r="347" spans="2:9" ht="15.75" hidden="1" thickBot="1">
      <c r="B347" s="1"/>
      <c r="C347" s="8" t="str">
        <f ca="1">sk_Emp_work_comp_Prem_dt_lbl</f>
        <v>Start Date</v>
      </c>
      <c r="D347" s="1"/>
      <c r="E347" s="5"/>
      <c r="F347" s="1"/>
      <c r="G347" s="1"/>
      <c r="H347" s="1"/>
      <c r="I347" s="1"/>
    </row>
    <row r="348" spans="2:9" ht="15.75" hidden="1" thickBot="1">
      <c r="B348" s="1"/>
      <c r="C348" s="1"/>
      <c r="D348" s="1"/>
      <c r="E348" s="1"/>
      <c r="F348" s="1"/>
      <c r="G348" s="1"/>
      <c r="H348" s="1"/>
      <c r="I348" s="1"/>
    </row>
    <row r="349" spans="2:9" ht="15.75" hidden="1" thickBot="1">
      <c r="B349" s="1"/>
      <c r="C349" s="8" t="str">
        <f ca="1">Mthly_Comp_Amt2_lbl</f>
        <v>Monthly Compensation Amount</v>
      </c>
      <c r="D349" s="1"/>
      <c r="E349" s="5"/>
      <c r="F349" s="1"/>
      <c r="G349" s="1"/>
      <c r="H349" s="1"/>
      <c r="I349" s="1"/>
    </row>
    <row r="350" spans="2:9" ht="15.75" hidden="1" thickBot="1">
      <c r="B350" s="1"/>
      <c r="C350" s="1"/>
      <c r="D350" s="1"/>
      <c r="E350" s="1"/>
      <c r="F350" s="1"/>
      <c r="G350" s="1"/>
      <c r="H350" s="1"/>
      <c r="I350" s="1"/>
    </row>
    <row r="351" spans="2:9" ht="15.75" hidden="1" thickBot="1">
      <c r="B351" s="1"/>
      <c r="C351" s="8" t="str">
        <f ca="1">sk_exempt3_lbl</f>
        <v>Exempted</v>
      </c>
      <c r="D351" s="1"/>
      <c r="E351" s="5"/>
      <c r="F351" s="1"/>
      <c r="G351" s="1"/>
      <c r="H351" s="1"/>
      <c r="I351" s="1"/>
    </row>
    <row r="352" spans="2:9" ht="15.75" hidden="1" thickBot="1">
      <c r="B352" s="1"/>
      <c r="C352" s="1"/>
      <c r="D352" s="1"/>
      <c r="E352" s="1"/>
      <c r="F352" s="1"/>
      <c r="G352" s="1"/>
      <c r="H352" s="1"/>
      <c r="I352" s="1"/>
    </row>
    <row r="353" spans="2:9" ht="15.75" hidden="1" thickBot="1">
      <c r="B353" s="1"/>
      <c r="C353" s="8" t="str">
        <f ca="1">Avg_Prem_prev_Yr3_lbl</f>
        <v>Average Premium for Previous Year</v>
      </c>
      <c r="D353" s="1"/>
      <c r="E353" s="5"/>
      <c r="F353" s="1"/>
      <c r="G353" s="1"/>
      <c r="H353" s="1"/>
      <c r="I353" s="1"/>
    </row>
    <row r="354" spans="2:9" ht="15.75" hidden="1" thickBot="1">
      <c r="B354" s="1"/>
      <c r="C354" s="1"/>
      <c r="D354" s="1"/>
      <c r="E354" s="1"/>
      <c r="F354" s="1"/>
      <c r="G354" s="1"/>
      <c r="H354" s="1"/>
      <c r="I354" s="1"/>
    </row>
    <row r="355" spans="2:9" ht="15.75" hidden="1" thickBot="1">
      <c r="B355" s="1"/>
      <c r="C355" s="8" t="str">
        <f ca="1">sk_change_reason3_lbl</f>
        <v>Reason for Change</v>
      </c>
      <c r="D355" s="1"/>
      <c r="E355" s="5"/>
      <c r="F355" s="1"/>
      <c r="G355" s="1"/>
      <c r="H355" s="1"/>
      <c r="I355" s="1"/>
    </row>
    <row r="356" spans="2:9" ht="15.75" hidden="1" thickBot="1">
      <c r="B356" s="1"/>
      <c r="C356" s="1"/>
      <c r="D356" s="1"/>
      <c r="E356" s="1"/>
      <c r="F356" s="1"/>
      <c r="G356" s="1"/>
      <c r="H356" s="1"/>
      <c r="I356" s="1"/>
    </row>
    <row r="357" spans="2:9" ht="15.75" hidden="1" thickBot="1">
      <c r="B357" s="1"/>
      <c r="C357" s="8" t="str">
        <f ca="1">sk_start_dt1_lbl</f>
        <v>Start Date</v>
      </c>
      <c r="D357" s="1"/>
      <c r="E357" s="5"/>
      <c r="F357" s="1"/>
      <c r="G357" s="1"/>
      <c r="H357" s="1"/>
      <c r="I357" s="1"/>
    </row>
    <row r="358" spans="2:9" ht="15.75" hidden="1" thickBot="1">
      <c r="B358" s="1"/>
      <c r="C358" s="1"/>
      <c r="D358" s="1"/>
      <c r="E358" s="1"/>
      <c r="F358" s="1"/>
      <c r="G358" s="1"/>
      <c r="H358" s="1"/>
      <c r="I358" s="1"/>
    </row>
    <row r="359" spans="2:9" ht="15.75" hidden="1" thickBot="1">
      <c r="B359" s="1"/>
      <c r="C359" s="8" t="str">
        <f ca="1">Handicap_Emp_lbl</f>
        <v>Handicapped Employee</v>
      </c>
      <c r="D359" s="1"/>
      <c r="E359" s="5"/>
      <c r="F359" s="1"/>
      <c r="G359" s="1"/>
      <c r="H359" s="1"/>
      <c r="I359" s="1"/>
    </row>
    <row r="360" spans="2:9" ht="15.75" hidden="1" thickBot="1">
      <c r="B360" s="1"/>
      <c r="C360" s="1"/>
      <c r="D360" s="1"/>
      <c r="E360" s="1"/>
      <c r="F360" s="1"/>
      <c r="G360" s="1"/>
      <c r="H360" s="1"/>
      <c r="I360" s="1"/>
    </row>
    <row r="361" spans="2:9" ht="15.75" hidden="1" thickBot="1">
      <c r="B361" s="1"/>
      <c r="C361" s="8" t="str">
        <f ca="1">Handicap_code_lbl</f>
        <v>Handicapped Code</v>
      </c>
      <c r="D361" s="1"/>
      <c r="E361" s="5"/>
      <c r="F361" s="1"/>
      <c r="G361" s="1"/>
      <c r="H361" s="1"/>
      <c r="I361" s="1"/>
    </row>
    <row r="362" spans="2:9" ht="15.75" hidden="1" thickBot="1">
      <c r="B362" s="1"/>
      <c r="C362" s="1"/>
      <c r="D362" s="1"/>
      <c r="E362" s="1"/>
      <c r="F362" s="1"/>
      <c r="G362" s="1"/>
      <c r="H362" s="1"/>
      <c r="I362" s="1"/>
    </row>
    <row r="363" spans="2:9" ht="15.75" hidden="1" thickBot="1">
      <c r="B363" s="1"/>
      <c r="C363" s="8" t="str">
        <f ca="1">Income_Tax_Percentage_lbl</f>
        <v>Income Tax Percentage</v>
      </c>
      <c r="D363" s="1"/>
      <c r="E363" s="5"/>
      <c r="F363" s="1"/>
      <c r="G363" s="1"/>
      <c r="H363" s="1"/>
      <c r="I363" s="1"/>
    </row>
    <row r="364" spans="2:9" ht="15.75" hidden="1" thickBot="1">
      <c r="B364" s="1"/>
      <c r="C364" s="1"/>
      <c r="D364" s="1"/>
      <c r="E364" s="1"/>
      <c r="F364" s="1"/>
      <c r="G364" s="1"/>
      <c r="H364" s="1"/>
      <c r="I364" s="1"/>
    </row>
    <row r="365" spans="2:9" ht="15.75" hidden="1" thickBot="1">
      <c r="B365" s="1"/>
      <c r="C365" s="8" t="str">
        <f ca="1">sk_start_dt2_lbl</f>
        <v>Start Date</v>
      </c>
      <c r="D365" s="1"/>
      <c r="E365" s="5"/>
      <c r="F365" s="1"/>
      <c r="G365" s="1"/>
      <c r="H365" s="1"/>
      <c r="I365" s="1"/>
    </row>
    <row r="366" spans="2:9" ht="15.75" hidden="1" thickBot="1">
      <c r="B366" s="1"/>
      <c r="C366" s="1"/>
      <c r="D366" s="1"/>
      <c r="E366" s="1"/>
      <c r="F366" s="1"/>
      <c r="G366" s="1"/>
      <c r="H366" s="1"/>
      <c r="I366" s="1"/>
    </row>
    <row r="367" spans="2:9" ht="15.75" hidden="1" thickBot="1">
      <c r="B367" s="1"/>
      <c r="C367" s="8" t="str">
        <f ca="1">Pension_Plan_lbl</f>
        <v>Pension Plan</v>
      </c>
      <c r="D367" s="1"/>
      <c r="E367" s="5"/>
      <c r="F367" s="1"/>
      <c r="G367" s="1"/>
      <c r="H367" s="1"/>
      <c r="I367" s="1"/>
    </row>
    <row r="368" spans="2:9" ht="15.75" hidden="1" thickBot="1">
      <c r="B368" s="1"/>
      <c r="C368" s="1"/>
      <c r="D368" s="1"/>
      <c r="E368" s="1"/>
      <c r="F368" s="1"/>
      <c r="G368" s="1"/>
      <c r="H368" s="1"/>
      <c r="I368" s="1"/>
    </row>
    <row r="369" spans="2:9" ht="15.75" hidden="1" thickBot="1">
      <c r="B369" s="1"/>
      <c r="C369" s="8" t="str">
        <f ca="1">Participant_Status_lbl</f>
        <v>Participant Status</v>
      </c>
      <c r="D369" s="1"/>
      <c r="E369" s="5"/>
      <c r="F369" s="1"/>
      <c r="G369" s="1"/>
      <c r="H369" s="1"/>
      <c r="I369" s="1"/>
    </row>
    <row r="370" spans="2:9" ht="15.75" hidden="1" thickBot="1">
      <c r="B370" s="1"/>
      <c r="C370" s="1"/>
      <c r="D370" s="1"/>
      <c r="E370" s="1"/>
      <c r="F370" s="1"/>
      <c r="G370" s="1"/>
      <c r="H370" s="1"/>
      <c r="I370" s="1"/>
    </row>
    <row r="371" spans="2:9" ht="15.75" hidden="1" thickBot="1">
      <c r="B371" s="1"/>
      <c r="C371" s="8" t="str">
        <f ca="1">External_Insititution_lbl</f>
        <v>External Insititution</v>
      </c>
      <c r="D371" s="1"/>
      <c r="E371" s="5"/>
      <c r="F371" s="1"/>
      <c r="G371" s="1"/>
      <c r="H371" s="1"/>
      <c r="I371" s="1"/>
    </row>
    <row r="372" spans="2:9" ht="15.75" hidden="1" thickBot="1">
      <c r="B372" s="1"/>
      <c r="C372" s="1"/>
      <c r="D372" s="1"/>
      <c r="E372" s="1"/>
      <c r="F372" s="1"/>
      <c r="G372" s="1"/>
      <c r="H372" s="1"/>
      <c r="I372" s="1"/>
    </row>
    <row r="373" spans="2:9" ht="15.75" hidden="1" thickBot="1">
      <c r="B373" s="1"/>
      <c r="C373" s="8" t="str">
        <f ca="1">Calc_Start_Date_lbl</f>
        <v>Calc. Start Date</v>
      </c>
      <c r="D373" s="1"/>
      <c r="E373" s="5"/>
      <c r="F373" s="1"/>
      <c r="G373" s="1"/>
      <c r="H373" s="1"/>
      <c r="I373" s="1"/>
    </row>
    <row r="374" spans="2:9" ht="15.75" hidden="1" thickBot="1">
      <c r="B374" s="1"/>
      <c r="C374" s="1"/>
      <c r="D374" s="1"/>
      <c r="E374" s="1"/>
      <c r="F374" s="1"/>
      <c r="G374" s="1"/>
      <c r="H374" s="1"/>
      <c r="I374" s="1"/>
    </row>
    <row r="375" spans="2:9" ht="15.75" hidden="1" thickBot="1">
      <c r="B375" s="1"/>
      <c r="C375" s="8" t="str">
        <f ca="1">Indicator_dependent_family_mem_lbl</f>
        <v>Indicator for dependent family member</v>
      </c>
      <c r="D375" s="1"/>
      <c r="E375" s="5"/>
      <c r="F375" s="1"/>
      <c r="G375" s="1"/>
      <c r="H375" s="1"/>
      <c r="I375" s="1"/>
    </row>
    <row r="376" spans="2:9" hidden="1">
      <c r="B376" s="1"/>
      <c r="C376" s="1"/>
      <c r="D376" s="1"/>
      <c r="E376" s="1"/>
      <c r="F376" s="1"/>
      <c r="G376" s="1"/>
      <c r="H376" s="1"/>
      <c r="I376" s="1"/>
    </row>
    <row r="377" spans="2:9" ht="15.75" hidden="1" thickBot="1">
      <c r="B377" s="1"/>
      <c r="C377" s="8" t="str">
        <f ca="1">End_Date1_lbl</f>
        <v>End Date</v>
      </c>
      <c r="D377" s="1"/>
      <c r="E377" s="5"/>
      <c r="F377" s="1"/>
      <c r="G377" s="1"/>
      <c r="H377" s="1"/>
      <c r="I377" s="1"/>
    </row>
    <row r="378" spans="2:9" ht="15.75" hidden="1" thickBot="1">
      <c r="B378" s="1"/>
      <c r="C378" s="1"/>
      <c r="D378" s="1"/>
      <c r="E378" s="1"/>
      <c r="F378" s="1"/>
      <c r="G378" s="1"/>
      <c r="H378" s="1"/>
      <c r="I378" s="1"/>
    </row>
    <row r="379" spans="2:9" ht="15.75" hidden="1" thickBot="1">
      <c r="B379" s="1"/>
      <c r="C379" s="8" t="str">
        <f ca="1">Duties_lbl</f>
        <v>Duties</v>
      </c>
      <c r="D379" s="1"/>
      <c r="E379" s="5"/>
      <c r="F379" s="1"/>
      <c r="G379" s="1"/>
      <c r="H379" s="1"/>
      <c r="I379" s="1"/>
    </row>
    <row r="380" spans="2:9" ht="15.75" hidden="1" thickBot="1">
      <c r="B380" s="1"/>
      <c r="C380" s="1"/>
      <c r="D380" s="1"/>
      <c r="E380" s="1"/>
      <c r="F380" s="1"/>
      <c r="G380" s="1"/>
      <c r="H380" s="1"/>
      <c r="I380" s="1"/>
    </row>
    <row r="381" spans="2:9" ht="15.75" hidden="1" thickBot="1">
      <c r="B381" s="1"/>
      <c r="C381" s="8" t="str">
        <f ca="1">Dec1_lbl</f>
        <v>Have you ever worked at Cargill (ie legal entity / subsidiary) before?</v>
      </c>
      <c r="D381" s="1"/>
      <c r="E381" s="5"/>
      <c r="F381" s="1"/>
      <c r="G381" s="1"/>
      <c r="H381" s="1"/>
      <c r="I381" s="1"/>
    </row>
    <row r="382" spans="2:9" ht="15.75" hidden="1" thickBot="1">
      <c r="B382" s="1"/>
      <c r="C382" s="1"/>
      <c r="D382" s="1"/>
      <c r="E382" s="1"/>
      <c r="F382" s="1"/>
      <c r="G382" s="1"/>
      <c r="H382" s="1"/>
      <c r="I382" s="1"/>
    </row>
    <row r="383" spans="2:9" ht="15.75" hidden="1" thickBot="1">
      <c r="B383" s="1"/>
      <c r="C383" s="8" t="str">
        <f ca="1">Dec2_lbl</f>
        <v>If "Yes" please give details</v>
      </c>
      <c r="D383" s="1"/>
      <c r="E383" s="5"/>
      <c r="F383" s="1"/>
      <c r="G383" s="1"/>
      <c r="H383" s="1"/>
      <c r="I383" s="1"/>
    </row>
    <row r="384" spans="2:9" ht="15.75" hidden="1" thickBot="1">
      <c r="B384" s="1"/>
      <c r="C384" s="1"/>
      <c r="D384" s="1"/>
      <c r="E384" s="1"/>
      <c r="F384" s="1"/>
      <c r="G384" s="1"/>
      <c r="H384" s="1"/>
      <c r="I384" s="1"/>
    </row>
    <row r="385" spans="2:9" ht="15.75" hidden="1" thickBot="1">
      <c r="B385" s="1"/>
      <c r="C385" s="8" t="str">
        <f ca="1">Dec3_lbl</f>
        <v>Do you know anybody currently working in Cargill?</v>
      </c>
      <c r="D385" s="1"/>
      <c r="E385" s="5"/>
      <c r="F385" s="1"/>
      <c r="G385" s="1"/>
      <c r="H385" s="1"/>
      <c r="I385" s="1"/>
    </row>
    <row r="386" spans="2:9" ht="15.75" hidden="1" thickBot="1">
      <c r="B386" s="1"/>
      <c r="C386" s="1"/>
      <c r="D386" s="1"/>
      <c r="E386" s="1"/>
      <c r="F386" s="1"/>
      <c r="G386" s="1"/>
      <c r="H386" s="1"/>
      <c r="I386" s="1"/>
    </row>
    <row r="387" spans="2:9" ht="15.75" hidden="1" thickBot="1">
      <c r="B387" s="1"/>
      <c r="C387" s="8" t="str">
        <f ca="1">Dec4_lbl</f>
        <v>If "Yes" please give details (name / relationship)</v>
      </c>
      <c r="D387" s="1"/>
      <c r="E387" s="5"/>
      <c r="F387" s="1"/>
      <c r="G387" s="1"/>
      <c r="H387" s="1"/>
      <c r="I387" s="1"/>
    </row>
    <row r="388" spans="2:9" ht="15.75" hidden="1" thickBot="1">
      <c r="B388" s="1"/>
      <c r="C388" s="1"/>
      <c r="D388" s="1"/>
      <c r="E388" s="1"/>
      <c r="F388" s="1"/>
      <c r="G388" s="1"/>
      <c r="H388" s="1"/>
      <c r="I388" s="1"/>
    </row>
    <row r="389" spans="2:9" ht="15.75" hidden="1" thickBot="1">
      <c r="B389" s="1"/>
      <c r="C389" s="8" t="str">
        <f ca="1">Dec5_lbl</f>
        <v>Have you ever been convicted of any crims in any country?</v>
      </c>
      <c r="D389" s="1"/>
      <c r="E389" s="5"/>
      <c r="F389" s="1"/>
      <c r="G389" s="1"/>
      <c r="H389" s="1"/>
      <c r="I389" s="1"/>
    </row>
    <row r="390" spans="2:9" ht="15.75" hidden="1" thickBot="1">
      <c r="B390" s="1"/>
      <c r="C390" s="1"/>
      <c r="D390" s="1"/>
      <c r="E390" s="1"/>
      <c r="F390" s="1"/>
      <c r="G390" s="1"/>
      <c r="H390" s="1"/>
      <c r="I390" s="1"/>
    </row>
    <row r="391" spans="2:9" ht="15.75" hidden="1" thickBot="1">
      <c r="B391" s="1"/>
      <c r="C391" s="8" t="str">
        <f ca="1">Dec6_lbl</f>
        <v>If "Yes" please give details</v>
      </c>
      <c r="D391" s="1"/>
      <c r="E391" s="5"/>
      <c r="F391" s="1"/>
      <c r="G391" s="1"/>
      <c r="H391" s="1"/>
      <c r="I391" s="1"/>
    </row>
    <row r="392" spans="2:9" ht="15.75" hidden="1" thickBot="1">
      <c r="B392" s="1"/>
      <c r="C392" s="1"/>
      <c r="D392" s="1"/>
      <c r="E392" s="1"/>
      <c r="F392" s="1"/>
      <c r="G392" s="1"/>
      <c r="H392" s="1"/>
      <c r="I392" s="1"/>
    </row>
    <row r="393" spans="2:9" ht="15.75" hidden="1" thickBot="1">
      <c r="B393" s="1"/>
      <c r="C393" s="8" t="str">
        <f ca="1">Dec7_lbl</f>
        <v>Do you currently have any medical conditions that require pro-longed treatment?</v>
      </c>
      <c r="D393" s="1"/>
      <c r="E393" s="5"/>
      <c r="F393" s="1"/>
      <c r="G393" s="1"/>
      <c r="H393" s="1"/>
      <c r="I393" s="1"/>
    </row>
    <row r="394" spans="2:9" ht="15.75" hidden="1" thickBot="1">
      <c r="B394" s="1"/>
      <c r="C394" s="1"/>
      <c r="D394" s="1"/>
      <c r="E394" s="1"/>
      <c r="F394" s="1"/>
      <c r="G394" s="1"/>
      <c r="H394" s="1"/>
      <c r="I394" s="1"/>
    </row>
    <row r="395" spans="2:9" ht="15.75" hidden="1" thickBot="1">
      <c r="B395" s="1"/>
      <c r="C395" s="8" t="str">
        <f ca="1">Dec8_lbl</f>
        <v>If "Yes" please give details</v>
      </c>
      <c r="D395" s="1"/>
      <c r="E395" s="5"/>
      <c r="F395" s="1"/>
      <c r="G395" s="1"/>
      <c r="H395" s="1"/>
      <c r="I395" s="1"/>
    </row>
    <row r="396" spans="2:9" ht="15.75" hidden="1" thickBot="1">
      <c r="B396" s="1"/>
      <c r="C396" s="1"/>
      <c r="D396" s="1"/>
      <c r="E396" s="1"/>
      <c r="F396" s="1"/>
      <c r="G396" s="1"/>
      <c r="H396" s="1"/>
      <c r="I396" s="1"/>
    </row>
    <row r="397" spans="2:9" ht="15.75" hidden="1" thickBot="1">
      <c r="B397" s="1"/>
      <c r="C397" s="8" t="str">
        <f ca="1">collection_method_lbl</f>
        <v>Method of Collection</v>
      </c>
      <c r="D397" s="1"/>
      <c r="E397" s="5"/>
      <c r="F397" s="1"/>
      <c r="G397" s="1"/>
      <c r="H397" s="1"/>
      <c r="I397" s="1"/>
    </row>
    <row r="398" spans="2:9" ht="15.75" hidden="1" thickBot="1">
      <c r="B398" s="1"/>
      <c r="C398" s="1"/>
      <c r="D398" s="1"/>
      <c r="E398" s="1"/>
      <c r="F398" s="1"/>
      <c r="G398" s="1"/>
      <c r="H398" s="1"/>
      <c r="I398" s="1"/>
    </row>
    <row r="399" spans="2:9" ht="15.75" hidden="1" thickBot="1">
      <c r="B399" s="1"/>
      <c r="C399" s="8" t="str">
        <f ca="1">Disabled_deduction_lbl</f>
        <v>Deduction for Disabled</v>
      </c>
      <c r="D399" s="1"/>
      <c r="E399" s="5"/>
      <c r="F399" s="1"/>
      <c r="G399" s="1"/>
      <c r="H399" s="1"/>
      <c r="I399" s="1"/>
    </row>
    <row r="400" spans="2:9" ht="15.75" hidden="1" thickBot="1">
      <c r="B400" s="1"/>
      <c r="C400" s="1"/>
      <c r="D400" s="1"/>
      <c r="E400" s="1"/>
      <c r="F400" s="1"/>
      <c r="G400" s="1"/>
      <c r="H400" s="1"/>
      <c r="I400" s="1"/>
    </row>
    <row r="401" spans="2:9" ht="15.75" hidden="1" thickBot="1">
      <c r="B401" s="1"/>
      <c r="C401" s="8" t="str">
        <f ca="1">Old_Person_deduction_lbl</f>
        <v>Deduction for Old Person</v>
      </c>
      <c r="D401" s="1"/>
      <c r="E401" s="5"/>
      <c r="F401" s="1"/>
      <c r="G401" s="1"/>
      <c r="H401" s="1"/>
      <c r="I401" s="1"/>
    </row>
    <row r="402" spans="2:9" ht="15.75" hidden="1" thickBot="1">
      <c r="B402" s="1"/>
      <c r="C402" s="1"/>
      <c r="D402" s="1"/>
      <c r="E402" s="1"/>
      <c r="F402" s="1"/>
      <c r="G402" s="1"/>
      <c r="H402" s="1"/>
      <c r="I402" s="1"/>
    </row>
    <row r="403" spans="2:9" ht="15.75" hidden="1" thickBot="1">
      <c r="B403" s="1"/>
      <c r="C403" s="8" t="str">
        <f ca="1">Widow_Deduction_lbl</f>
        <v>Deduction for Widow</v>
      </c>
      <c r="D403" s="1"/>
      <c r="E403" s="5"/>
      <c r="F403" s="1"/>
      <c r="G403" s="1"/>
      <c r="H403" s="1"/>
      <c r="I403" s="1"/>
    </row>
    <row r="404" spans="2:9" ht="15.75" hidden="1" thickBot="1">
      <c r="B404" s="1"/>
      <c r="C404" s="1"/>
      <c r="D404" s="1"/>
      <c r="E404" s="1"/>
      <c r="F404" s="1"/>
      <c r="G404" s="1"/>
      <c r="H404" s="1"/>
      <c r="I404" s="1"/>
    </row>
    <row r="405" spans="2:9" ht="15.75" hidden="1" thickBot="1">
      <c r="B405" s="1"/>
      <c r="C405" s="8" t="str">
        <f ca="1">Stundent_Worker_Deduction_lbl</f>
        <v>Deduction for Student Worker</v>
      </c>
      <c r="D405" s="1"/>
      <c r="E405" s="5"/>
      <c r="F405" s="1"/>
      <c r="G405" s="1"/>
      <c r="H405" s="1"/>
      <c r="I405" s="1"/>
    </row>
    <row r="406" spans="2:9" ht="15.75" hidden="1" thickBot="1">
      <c r="B406" s="1"/>
      <c r="C406" s="1"/>
      <c r="D406" s="1"/>
      <c r="E406" s="1"/>
      <c r="F406" s="1"/>
      <c r="G406" s="1"/>
      <c r="H406" s="1"/>
      <c r="I406" s="1"/>
    </row>
    <row r="407" spans="2:9" ht="15.75" hidden="1" thickBot="1">
      <c r="B407" s="1"/>
      <c r="C407" s="8" t="str">
        <f ca="1">Deceased_lbl</f>
        <v>Deceased</v>
      </c>
      <c r="D407" s="1"/>
      <c r="E407" s="5"/>
      <c r="F407" s="1"/>
      <c r="G407" s="1"/>
      <c r="H407" s="1"/>
      <c r="I407" s="1"/>
    </row>
    <row r="408" spans="2:9" ht="15.75" hidden="1" thickBot="1">
      <c r="B408" s="1"/>
      <c r="C408" s="1"/>
      <c r="D408" s="1"/>
      <c r="E408" s="1"/>
      <c r="F408" s="1"/>
      <c r="G408" s="1"/>
      <c r="H408" s="1"/>
      <c r="I408" s="1"/>
    </row>
    <row r="409" spans="2:9" ht="15.75" hidden="1" thickBot="1">
      <c r="B409" s="1"/>
      <c r="C409" s="8" t="str">
        <f ca="1">Handicap_lbl</f>
        <v>Handicap</v>
      </c>
      <c r="D409" s="1"/>
      <c r="E409" s="5"/>
      <c r="F409" s="1"/>
      <c r="G409" s="1"/>
      <c r="H409" s="1"/>
      <c r="I409" s="1"/>
    </row>
    <row r="410" spans="2:9" ht="15.75" hidden="1" thickBot="1">
      <c r="B410" s="1"/>
      <c r="C410" s="1"/>
      <c r="D410" s="1"/>
      <c r="E410" s="1"/>
      <c r="F410" s="1"/>
      <c r="G410" s="1"/>
      <c r="H410" s="1"/>
      <c r="I410" s="1"/>
    </row>
    <row r="411" spans="2:9" ht="15.75" hidden="1" thickBot="1">
      <c r="B411" s="1"/>
      <c r="C411" s="8" t="str">
        <f ca="1">Change_Master_Reason_lbl</f>
        <v>Reason for Changing Master Data</v>
      </c>
      <c r="D411" s="1"/>
      <c r="E411" s="5"/>
      <c r="F411" s="1"/>
      <c r="G411" s="1"/>
      <c r="H411" s="1"/>
      <c r="I411" s="1"/>
    </row>
    <row r="412" spans="2:9" ht="15.75" hidden="1" thickBot="1">
      <c r="B412" s="1"/>
      <c r="C412" s="1"/>
      <c r="D412" s="1"/>
      <c r="E412" s="1"/>
      <c r="F412" s="1"/>
      <c r="G412" s="1"/>
      <c r="H412" s="1"/>
      <c r="I412" s="1"/>
    </row>
    <row r="413" spans="2:9" ht="15.75" hidden="1" thickBot="1">
      <c r="B413" s="1"/>
      <c r="C413" s="8" t="str">
        <f ca="1">Subtype_lbl</f>
        <v>Subtype</v>
      </c>
      <c r="D413" s="1"/>
      <c r="E413" s="5"/>
      <c r="F413" s="1"/>
      <c r="G413" s="1"/>
      <c r="H413" s="1"/>
      <c r="I413" s="1"/>
    </row>
    <row r="414" spans="2:9" ht="15.75" hidden="1" thickBot="1">
      <c r="B414" s="1"/>
      <c r="C414" s="1"/>
      <c r="D414" s="1"/>
      <c r="E414" s="1"/>
      <c r="F414" s="1"/>
      <c r="G414" s="1"/>
      <c r="H414" s="1"/>
      <c r="I414" s="1"/>
    </row>
    <row r="415" spans="2:9" ht="15.75" hidden="1" thickBot="1">
      <c r="B415" s="1"/>
      <c r="C415" s="8" t="str">
        <f ca="1">Start_Dt5_lbl</f>
        <v>Start Date</v>
      </c>
      <c r="D415" s="1"/>
      <c r="E415" s="5"/>
      <c r="F415" s="1"/>
      <c r="G415" s="1"/>
      <c r="H415" s="1"/>
      <c r="I415" s="1"/>
    </row>
    <row r="416" spans="2:9" ht="15.75" hidden="1" thickBot="1">
      <c r="B416" s="1"/>
      <c r="C416" s="1"/>
      <c r="D416" s="1"/>
      <c r="E416" s="1"/>
      <c r="F416" s="1"/>
      <c r="G416" s="1"/>
      <c r="H416" s="1"/>
      <c r="I416" s="1"/>
    </row>
    <row r="417" spans="2:9" ht="15.75" hidden="1" thickBot="1">
      <c r="B417" s="1"/>
      <c r="C417" s="8" t="str">
        <f ca="1">Ins_No_lbl</f>
        <v>Insurance Number</v>
      </c>
      <c r="D417" s="1"/>
      <c r="E417" s="5"/>
      <c r="F417" s="1"/>
      <c r="G417" s="1"/>
      <c r="H417" s="1"/>
      <c r="I417" s="1"/>
    </row>
    <row r="418" spans="2:9" ht="15.75" hidden="1" thickBot="1">
      <c r="B418" s="1"/>
      <c r="C418" s="1"/>
      <c r="D418" s="1"/>
      <c r="E418" s="1"/>
      <c r="F418" s="1"/>
      <c r="G418" s="1"/>
      <c r="H418" s="1"/>
      <c r="I418" s="1"/>
    </row>
    <row r="419" spans="2:9" ht="15.75" hidden="1" thickBot="1">
      <c r="B419" s="1"/>
      <c r="C419" s="8" t="str">
        <f ca="1">Social_Ins_Deduction_lbl</f>
        <v>Social Insurance Deduction</v>
      </c>
      <c r="D419" s="1"/>
      <c r="E419" s="5"/>
      <c r="F419" s="1"/>
      <c r="G419" s="1"/>
      <c r="H419" s="1"/>
      <c r="I419" s="1"/>
    </row>
    <row r="420" spans="2:9" ht="15.75" hidden="1" thickBot="1">
      <c r="B420" s="1"/>
      <c r="C420" s="1"/>
      <c r="D420" s="1"/>
      <c r="E420" s="1"/>
      <c r="F420" s="1"/>
      <c r="G420" s="1"/>
      <c r="H420" s="1"/>
      <c r="I420" s="1"/>
    </row>
    <row r="421" spans="2:9" ht="15.75" hidden="1" thickBot="1">
      <c r="B421" s="1"/>
      <c r="C421" s="8" t="str">
        <f ca="1">Acquired_lbl</f>
        <v>Acquired/Lost</v>
      </c>
      <c r="D421" s="1"/>
      <c r="E421" s="5"/>
      <c r="F421" s="1"/>
      <c r="G421" s="1"/>
      <c r="H421" s="1"/>
      <c r="I421" s="1"/>
    </row>
    <row r="422" spans="2:9" ht="15.75" hidden="1" thickBot="1">
      <c r="B422" s="1"/>
      <c r="C422" s="1"/>
      <c r="D422" s="1"/>
      <c r="E422" s="1"/>
      <c r="F422" s="1"/>
      <c r="G422" s="1"/>
      <c r="H422" s="1"/>
      <c r="I422" s="1"/>
    </row>
    <row r="423" spans="2:9" ht="15.75" hidden="1" thickBot="1">
      <c r="B423" s="1"/>
      <c r="C423" s="8" t="str">
        <f ca="1">SI_Entitlement_Indicator_lbl</f>
        <v>Indicator for SI Entitlement</v>
      </c>
      <c r="D423" s="1"/>
      <c r="E423" s="5"/>
      <c r="F423" s="1"/>
      <c r="G423" s="1"/>
      <c r="H423" s="1"/>
      <c r="I423" s="1"/>
    </row>
    <row r="424" spans="2:9" ht="15.75" hidden="1" thickBot="1">
      <c r="B424" s="1"/>
      <c r="C424" s="1"/>
      <c r="D424" s="1"/>
      <c r="E424" s="1"/>
      <c r="F424" s="1"/>
      <c r="G424" s="1"/>
      <c r="H424" s="1"/>
      <c r="I424" s="1"/>
    </row>
    <row r="425" spans="2:9" ht="15.75" hidden="1" thickBot="1">
      <c r="B425" s="1"/>
      <c r="C425" s="8" t="str">
        <f ca="1">Health_Ins_Indicator_lbl</f>
        <v>Health Insurance Indicator</v>
      </c>
      <c r="D425" s="1"/>
      <c r="E425" s="5"/>
      <c r="F425" s="1"/>
      <c r="G425" s="1"/>
      <c r="H425" s="1"/>
      <c r="I425" s="1"/>
    </row>
    <row r="426" spans="2:9" hidden="1">
      <c r="B426" s="1"/>
      <c r="C426" s="1"/>
      <c r="D426" s="1"/>
      <c r="E426" s="1"/>
      <c r="F426" s="1"/>
      <c r="G426" s="1"/>
      <c r="H426" s="1"/>
      <c r="I426" s="1"/>
    </row>
    <row r="427" spans="2:9" ht="15.75" hidden="1" thickBot="1">
      <c r="B427" s="1"/>
      <c r="C427" s="8" t="str">
        <f ca="1">Auth_Sign_lbl</f>
        <v>Authorised Signatures</v>
      </c>
      <c r="D427" s="1"/>
      <c r="E427" s="5"/>
      <c r="F427" s="1"/>
      <c r="G427" s="1"/>
      <c r="H427" s="1"/>
      <c r="I427" s="1"/>
    </row>
    <row r="428" spans="2:9" hidden="1">
      <c r="B428" s="1"/>
      <c r="C428" s="8"/>
      <c r="D428" s="1"/>
      <c r="E428" s="1"/>
      <c r="F428" s="1"/>
      <c r="G428" s="1"/>
      <c r="H428" s="1"/>
      <c r="I428" s="1"/>
    </row>
    <row r="429" spans="2:9" hidden="1">
      <c r="B429" s="7"/>
      <c r="C429" s="30" t="str">
        <f ca="1">ven_aux_personl_dtls_lbl</f>
        <v>Personal Details</v>
      </c>
      <c r="D429" s="7"/>
      <c r="E429" s="7"/>
      <c r="F429" s="7"/>
      <c r="G429" s="7"/>
      <c r="H429" s="7"/>
      <c r="I429" s="7"/>
    </row>
    <row r="430" spans="2:9" ht="15.75" hidden="1" thickBot="1">
      <c r="B430" s="1"/>
      <c r="C430" s="8"/>
      <c r="D430" s="1"/>
      <c r="E430" s="1"/>
      <c r="F430" s="1"/>
      <c r="G430" s="1"/>
      <c r="H430" s="1"/>
      <c r="I430" s="1"/>
    </row>
    <row r="431" spans="2:9" ht="15.75" hidden="1" thickBot="1">
      <c r="B431" s="1"/>
      <c r="C431" s="8" t="str">
        <f ca="1">ven_parish_lbl</f>
        <v>Parish</v>
      </c>
      <c r="D431" s="1"/>
      <c r="E431" s="5"/>
      <c r="F431" s="1"/>
      <c r="G431" s="1"/>
      <c r="H431" s="1"/>
      <c r="I431" s="1"/>
    </row>
    <row r="432" spans="2:9" ht="15.75" hidden="1" thickBot="1">
      <c r="B432" s="1"/>
      <c r="C432" s="8"/>
      <c r="D432" s="1"/>
      <c r="E432" s="1"/>
      <c r="F432" s="1"/>
      <c r="G432" s="1"/>
      <c r="H432" s="1"/>
      <c r="I432" s="1"/>
    </row>
    <row r="433" spans="2:9" ht="15.75" hidden="1" thickBot="1">
      <c r="B433" s="1"/>
      <c r="C433" s="8" t="str">
        <f ca="1">ven_blood_group_lbl</f>
        <v>Blood Group</v>
      </c>
      <c r="D433" s="1"/>
      <c r="E433" s="5"/>
      <c r="F433" s="1"/>
      <c r="G433" s="1"/>
      <c r="H433" s="1"/>
      <c r="I433" s="1"/>
    </row>
    <row r="434" spans="2:9" ht="15.75" hidden="1" thickBot="1">
      <c r="B434" s="1"/>
      <c r="C434" s="8"/>
      <c r="D434" s="1"/>
      <c r="E434" s="1"/>
      <c r="F434" s="1"/>
      <c r="G434" s="1"/>
      <c r="H434" s="1"/>
      <c r="I434" s="1"/>
    </row>
    <row r="435" spans="2:9" ht="15.75" hidden="1" thickBot="1">
      <c r="B435" s="1"/>
      <c r="C435" s="8" t="str">
        <f ca="1">ven_shirt_size_lbl</f>
        <v>Shirt - Size</v>
      </c>
      <c r="D435" s="1"/>
      <c r="E435" s="5"/>
      <c r="F435" s="1"/>
      <c r="G435" s="1"/>
      <c r="H435" s="1"/>
      <c r="I435" s="1"/>
    </row>
    <row r="436" spans="2:9" ht="15.75" hidden="1" thickBot="1">
      <c r="B436" s="1"/>
      <c r="C436" s="8"/>
      <c r="D436" s="1"/>
      <c r="E436" s="1"/>
      <c r="F436" s="1"/>
      <c r="G436" s="1"/>
      <c r="H436" s="1"/>
      <c r="I436" s="1"/>
    </row>
    <row r="437" spans="2:9" ht="15.75" hidden="1" thickBot="1">
      <c r="B437" s="1"/>
      <c r="C437" s="8" t="str">
        <f ca="1">ven_pant_size_lbl</f>
        <v>Pants - Size</v>
      </c>
      <c r="D437" s="1"/>
      <c r="E437" s="5"/>
      <c r="F437" s="1"/>
      <c r="G437" s="1"/>
      <c r="H437" s="1"/>
      <c r="I437" s="1"/>
    </row>
    <row r="438" spans="2:9" ht="15.75" hidden="1" thickBot="1">
      <c r="B438" s="1"/>
      <c r="C438" s="8"/>
      <c r="D438" s="1"/>
      <c r="E438" s="1"/>
      <c r="F438" s="1"/>
      <c r="G438" s="1"/>
      <c r="H438" s="1"/>
      <c r="I438" s="1"/>
    </row>
    <row r="439" spans="2:9" ht="15.75" hidden="1" thickBot="1">
      <c r="B439" s="1"/>
      <c r="C439" s="8" t="str">
        <f ca="1">ven_height_lbl</f>
        <v>Height</v>
      </c>
      <c r="D439" s="1"/>
      <c r="E439" s="5"/>
      <c r="F439" s="1"/>
      <c r="G439" s="1"/>
      <c r="H439" s="1"/>
      <c r="I439" s="1"/>
    </row>
    <row r="440" spans="2:9" ht="15.75" hidden="1" thickBot="1">
      <c r="B440" s="1"/>
      <c r="C440" s="8"/>
      <c r="D440" s="1"/>
      <c r="E440" s="1"/>
      <c r="F440" s="1"/>
      <c r="G440" s="1"/>
      <c r="H440" s="1"/>
      <c r="I440" s="1"/>
    </row>
    <row r="441" spans="2:9" ht="15.75" hidden="1" thickBot="1">
      <c r="B441" s="1"/>
      <c r="C441" s="8" t="str">
        <f ca="1">ven_weight_lbl</f>
        <v>Weight Kgs.</v>
      </c>
      <c r="D441" s="1"/>
      <c r="E441" s="5"/>
      <c r="F441" s="1"/>
      <c r="G441" s="1"/>
      <c r="H441" s="1"/>
      <c r="I441" s="1"/>
    </row>
    <row r="442" spans="2:9" ht="15.75" hidden="1" thickBot="1">
      <c r="B442" s="1"/>
      <c r="C442" s="8"/>
      <c r="D442" s="1"/>
      <c r="E442" s="1"/>
      <c r="F442" s="1"/>
      <c r="G442" s="1"/>
      <c r="H442" s="1"/>
      <c r="I442" s="1"/>
    </row>
    <row r="443" spans="2:9" ht="15.75" hidden="1" thickBot="1">
      <c r="B443" s="1"/>
      <c r="C443" s="8" t="str">
        <f ca="1" xml:space="preserve">
ven_left_handed_lbl</f>
        <v>Left Handed</v>
      </c>
      <c r="D443" s="1"/>
      <c r="E443" s="5"/>
      <c r="F443" s="1"/>
      <c r="G443" s="1"/>
      <c r="H443" s="1"/>
      <c r="I443" s="1"/>
    </row>
    <row r="444" spans="2:9" ht="15.75" hidden="1" thickBot="1">
      <c r="B444" s="1"/>
      <c r="C444" s="1"/>
      <c r="D444" s="1"/>
      <c r="E444" s="1"/>
      <c r="F444" s="1"/>
      <c r="G444" s="1"/>
      <c r="H444" s="1"/>
      <c r="I444" s="1"/>
    </row>
    <row r="445" spans="2:9" ht="15.75" hidden="1" thickBot="1">
      <c r="B445" s="1"/>
      <c r="C445" s="8" t="str">
        <f ca="1" xml:space="preserve">
ven_drivers_license_lbl</f>
        <v>Driver´s License (Level)</v>
      </c>
      <c r="D445" s="1"/>
      <c r="E445" s="5"/>
      <c r="F445" s="1"/>
      <c r="G445" s="1"/>
      <c r="H445" s="1"/>
      <c r="I445" s="1"/>
    </row>
    <row r="446" spans="2:9" ht="15.75" hidden="1" thickBot="1">
      <c r="B446" s="1"/>
      <c r="C446" s="8"/>
      <c r="D446" s="1"/>
      <c r="E446" s="1"/>
      <c r="F446" s="1"/>
      <c r="G446" s="1"/>
      <c r="H446" s="1"/>
      <c r="I446" s="1"/>
    </row>
    <row r="447" spans="2:9" ht="15.75" hidden="1" thickBot="1">
      <c r="B447" s="1"/>
      <c r="C447" s="8" t="str">
        <f ca="1">ven_own_vehicle_lbl</f>
        <v>Own Vehicle</v>
      </c>
      <c r="D447" s="1"/>
      <c r="E447" s="5"/>
      <c r="F447" s="1"/>
      <c r="G447" s="1"/>
      <c r="H447" s="1"/>
      <c r="I447" s="1"/>
    </row>
    <row r="448" spans="2:9" ht="15.75" hidden="1" thickBot="1">
      <c r="B448" s="1"/>
      <c r="C448" s="8"/>
      <c r="D448" s="1"/>
      <c r="E448" s="1"/>
      <c r="F448" s="1"/>
      <c r="G448" s="1"/>
      <c r="H448" s="1"/>
      <c r="I448" s="1"/>
    </row>
    <row r="449" spans="2:9" ht="15.75" hidden="1" thickBot="1">
      <c r="B449" s="1"/>
      <c r="C449" s="8" t="str">
        <f ca="1">ven_brand_lbl</f>
        <v>Brand</v>
      </c>
      <c r="D449" s="1"/>
      <c r="E449" s="5"/>
      <c r="F449" s="1"/>
      <c r="G449" s="1"/>
      <c r="H449" s="1"/>
      <c r="I449" s="1"/>
    </row>
    <row r="450" spans="2:9" ht="15.75" hidden="1" thickBot="1">
      <c r="B450" s="1"/>
      <c r="C450" s="8"/>
      <c r="D450" s="1"/>
      <c r="E450" s="1"/>
      <c r="F450" s="1"/>
      <c r="G450" s="1"/>
      <c r="H450" s="1"/>
      <c r="I450" s="1"/>
    </row>
    <row r="451" spans="2:9" ht="15.75" hidden="1" thickBot="1">
      <c r="B451" s="1"/>
      <c r="C451" s="8" t="str">
        <f ca="1">ven_model_lbl</f>
        <v>Model</v>
      </c>
      <c r="D451" s="1"/>
      <c r="E451" s="5"/>
      <c r="F451" s="1"/>
      <c r="G451" s="1"/>
      <c r="H451" s="1"/>
      <c r="I451" s="1"/>
    </row>
    <row r="452" spans="2:9" ht="15.75" hidden="1" thickBot="1">
      <c r="B452" s="1"/>
      <c r="C452" s="8"/>
      <c r="D452" s="1"/>
      <c r="E452" s="1"/>
      <c r="F452" s="1"/>
      <c r="G452" s="1"/>
      <c r="H452" s="1"/>
      <c r="I452" s="1"/>
    </row>
    <row r="453" spans="2:9" ht="15.75" hidden="1" thickBot="1">
      <c r="B453" s="1"/>
      <c r="C453" s="8" t="str">
        <f ca="1">ven_year_lbl</f>
        <v>Year</v>
      </c>
      <c r="D453" s="1"/>
      <c r="E453" s="5"/>
      <c r="F453" s="1"/>
      <c r="G453" s="1"/>
      <c r="H453" s="1"/>
      <c r="I453" s="1"/>
    </row>
    <row r="454" spans="2:9" ht="15.75" hidden="1" thickBot="1">
      <c r="B454" s="1"/>
      <c r="C454" s="8"/>
      <c r="D454" s="1"/>
      <c r="E454" s="1"/>
      <c r="F454" s="1"/>
      <c r="G454" s="1"/>
      <c r="H454" s="1"/>
      <c r="I454" s="1"/>
    </row>
    <row r="455" spans="2:9" ht="15.75" hidden="1" thickBot="1">
      <c r="B455" s="1"/>
      <c r="C455" s="8" t="str">
        <f ca="1">ven_complete_offer_lbl</f>
        <v>Who Would Suggest You To Complete This Offer</v>
      </c>
      <c r="D455" s="1"/>
      <c r="E455" s="5"/>
      <c r="F455" s="1"/>
      <c r="G455" s="1"/>
      <c r="H455" s="1"/>
      <c r="I455" s="1"/>
    </row>
    <row r="456" spans="2:9" ht="15.75" hidden="1" thickBot="1">
      <c r="B456" s="1"/>
      <c r="C456" s="8"/>
      <c r="D456" s="1"/>
      <c r="E456" s="1"/>
      <c r="F456" s="1"/>
      <c r="G456" s="1"/>
      <c r="H456" s="1"/>
      <c r="I456" s="1"/>
    </row>
    <row r="457" spans="2:9" ht="15.75" hidden="1" thickBot="1">
      <c r="B457" s="1"/>
      <c r="C457" s="8" t="str">
        <f ca="1">ven_aspired_salary_lbl</f>
        <v>Aspired Salary</v>
      </c>
      <c r="D457" s="1"/>
      <c r="E457" s="5"/>
      <c r="F457" s="1"/>
      <c r="G457" s="1"/>
      <c r="H457" s="1"/>
      <c r="I457" s="1"/>
    </row>
    <row r="458" spans="2:9" ht="15.75" hidden="1" thickBot="1">
      <c r="B458" s="1"/>
      <c r="C458" s="1"/>
      <c r="D458" s="1"/>
      <c r="E458" s="1"/>
      <c r="F458" s="1"/>
      <c r="G458" s="1"/>
      <c r="H458" s="1"/>
      <c r="I458" s="1"/>
    </row>
    <row r="459" spans="2:9" ht="15.75" hidden="1" thickBot="1">
      <c r="B459" s="1"/>
      <c r="C459" s="8" t="str">
        <f ca="1">ven_dt_start_working_lbl</f>
        <v>Date Available to Start Working</v>
      </c>
      <c r="D459" s="1"/>
      <c r="E459" s="5"/>
      <c r="F459" s="1"/>
      <c r="G459" s="1"/>
      <c r="H459" s="1"/>
      <c r="I459" s="1"/>
    </row>
    <row r="460" spans="2:9" ht="15.75" hidden="1" thickBot="1">
      <c r="B460" s="1"/>
      <c r="C460" s="8"/>
      <c r="D460" s="1"/>
      <c r="E460" s="1"/>
      <c r="F460" s="1"/>
      <c r="G460" s="1"/>
      <c r="H460" s="1"/>
      <c r="I460" s="1"/>
    </row>
    <row r="461" spans="2:9" ht="15.75" hidden="1" thickBot="1">
      <c r="B461" s="1"/>
      <c r="C461" s="8" t="str">
        <f ca="1" xml:space="preserve">
ven_currently_working_lbl</f>
        <v>Currently Working</v>
      </c>
      <c r="D461" s="1"/>
      <c r="E461" s="5"/>
      <c r="F461" s="1"/>
      <c r="G461" s="1"/>
      <c r="H461" s="1"/>
      <c r="I461" s="1"/>
    </row>
    <row r="462" spans="2:9" ht="15.75" hidden="1" thickBot="1">
      <c r="B462" s="1"/>
      <c r="C462" s="8"/>
      <c r="D462" s="1"/>
      <c r="E462" s="1"/>
      <c r="F462" s="1"/>
      <c r="G462" s="1"/>
      <c r="H462" s="1"/>
      <c r="I462" s="1"/>
    </row>
    <row r="463" spans="2:9" ht="15.75" hidden="1" thickBot="1">
      <c r="B463" s="1"/>
      <c r="C463" s="8" t="str">
        <f ca="1">ven_availablity_travel_lbl</f>
        <v>Availability to Travel</v>
      </c>
      <c r="D463" s="1"/>
      <c r="E463" s="5"/>
      <c r="F463" s="1"/>
      <c r="G463" s="1"/>
      <c r="H463" s="1"/>
      <c r="I463" s="1"/>
    </row>
    <row r="464" spans="2:9" ht="15.75" hidden="1" thickBot="1">
      <c r="B464" s="1"/>
      <c r="C464" s="8"/>
      <c r="D464" s="1"/>
      <c r="E464" s="1"/>
      <c r="F464" s="1"/>
      <c r="G464" s="1"/>
      <c r="H464" s="1"/>
      <c r="I464" s="1"/>
    </row>
    <row r="465" spans="2:9" ht="15.75" hidden="1" thickBot="1">
      <c r="B465" s="1"/>
      <c r="C465" s="8" t="str">
        <f ca="1">ven_city_to_work_lbl</f>
        <v xml:space="preserve">
Cities Where You Will be Willing to Work </v>
      </c>
      <c r="D465" s="1"/>
      <c r="E465" s="5"/>
      <c r="F465" s="1"/>
      <c r="G465" s="1"/>
      <c r="H465" s="1"/>
      <c r="I465" s="1"/>
    </row>
    <row r="466" spans="2:9" hidden="1">
      <c r="B466" s="1"/>
      <c r="C466" s="8"/>
      <c r="D466" s="1"/>
      <c r="E466" s="1"/>
      <c r="F466" s="1"/>
      <c r="G466" s="1"/>
      <c r="H466" s="1"/>
      <c r="I466" s="1"/>
    </row>
    <row r="467" spans="2:9" hidden="1">
      <c r="B467" s="7"/>
      <c r="C467" s="30" t="str">
        <f ca="1">ven_skills_lbl</f>
        <v>Skills</v>
      </c>
      <c r="D467" s="7"/>
      <c r="E467" s="7"/>
      <c r="F467" s="7"/>
      <c r="G467" s="7"/>
      <c r="H467" s="7"/>
      <c r="I467" s="7"/>
    </row>
    <row r="468" spans="2:9" ht="15.75" hidden="1" thickBot="1">
      <c r="B468" s="1"/>
      <c r="C468" s="8"/>
      <c r="D468" s="1"/>
      <c r="E468" s="1"/>
      <c r="F468" s="1"/>
      <c r="G468" s="1"/>
      <c r="H468" s="1"/>
      <c r="I468" s="1"/>
    </row>
    <row r="469" spans="2:9" ht="15.75" hidden="1" thickBot="1">
      <c r="B469" s="1"/>
      <c r="C469" s="8" t="str">
        <f ca="1">ven_rd_effective_dt_lbl</f>
        <v>Effective date</v>
      </c>
      <c r="D469" s="1"/>
      <c r="E469" s="5"/>
      <c r="F469" s="1"/>
      <c r="G469" s="1"/>
      <c r="H469" s="1"/>
      <c r="I469" s="1"/>
    </row>
    <row r="470" spans="2:9" ht="15.75" hidden="1" thickBot="1">
      <c r="B470" s="1"/>
      <c r="C470" s="8"/>
      <c r="D470" s="1"/>
      <c r="E470" s="1"/>
      <c r="F470" s="1"/>
      <c r="G470" s="1"/>
      <c r="H470" s="1"/>
      <c r="I470" s="1"/>
    </row>
    <row r="471" spans="2:9" ht="15.75" hidden="1" thickBot="1">
      <c r="B471" s="1"/>
      <c r="C471" s="8" t="str">
        <f ca="1">ven_read_lbl</f>
        <v>Read</v>
      </c>
      <c r="D471" s="1"/>
      <c r="E471" s="5"/>
      <c r="F471" s="1"/>
      <c r="G471" s="1"/>
      <c r="H471" s="1"/>
      <c r="I471" s="1"/>
    </row>
    <row r="472" spans="2:9" ht="15.75" hidden="1" thickBot="1">
      <c r="B472" s="1"/>
      <c r="C472" s="8"/>
      <c r="D472" s="1"/>
      <c r="E472" s="1"/>
      <c r="F472" s="1"/>
      <c r="G472" s="1"/>
      <c r="H472" s="1"/>
      <c r="I472" s="1"/>
    </row>
    <row r="473" spans="2:9" ht="15.75" hidden="1" thickBot="1">
      <c r="B473" s="1"/>
      <c r="C473" s="8" t="str">
        <f ca="1">ven_rd_effective_dt_lbl</f>
        <v>Effective date</v>
      </c>
      <c r="D473" s="1"/>
      <c r="E473" s="5"/>
      <c r="F473" s="1"/>
      <c r="G473" s="1"/>
      <c r="H473" s="1"/>
      <c r="I473" s="1"/>
    </row>
    <row r="474" spans="2:9" ht="15.75" hidden="1" thickBot="1">
      <c r="B474" s="1"/>
      <c r="C474" s="8"/>
      <c r="D474" s="1"/>
      <c r="E474" s="1"/>
      <c r="F474" s="1"/>
      <c r="G474" s="1"/>
      <c r="H474" s="1"/>
      <c r="I474" s="1"/>
    </row>
    <row r="475" spans="2:9" ht="15.75" hidden="1" thickBot="1">
      <c r="B475" s="1"/>
      <c r="C475" s="8" t="str">
        <f ca="1">ven_writes_lbl</f>
        <v>Writes</v>
      </c>
      <c r="D475" s="1"/>
      <c r="E475" s="5"/>
      <c r="F475" s="1"/>
      <c r="G475" s="1"/>
      <c r="H475" s="1"/>
      <c r="I475" s="1"/>
    </row>
    <row r="476" spans="2:9" ht="15.75" hidden="1" thickBot="1">
      <c r="B476" s="1"/>
      <c r="C476" s="8"/>
      <c r="D476" s="1"/>
      <c r="E476" s="1"/>
      <c r="F476" s="1"/>
      <c r="G476" s="1"/>
      <c r="H476" s="1"/>
      <c r="I476" s="1"/>
    </row>
    <row r="477" spans="2:9" ht="15.75" hidden="1" thickBot="1">
      <c r="B477" s="1"/>
      <c r="C477" s="8" t="str">
        <f ca="1">ven_rd_effective_dt_lbl</f>
        <v>Effective date</v>
      </c>
      <c r="D477" s="1"/>
      <c r="E477" s="5"/>
      <c r="F477" s="1"/>
      <c r="G477" s="1"/>
      <c r="H477" s="1"/>
      <c r="I477" s="1"/>
    </row>
    <row r="478" spans="2:9" ht="15.75" hidden="1" thickBot="1">
      <c r="B478" s="1"/>
      <c r="C478" s="8"/>
      <c r="D478" s="1"/>
      <c r="E478" s="1"/>
      <c r="F478" s="1"/>
      <c r="G478" s="1"/>
      <c r="H478" s="1"/>
      <c r="I478" s="1"/>
    </row>
    <row r="479" spans="2:9" ht="15.75" hidden="1" thickBot="1">
      <c r="B479" s="1"/>
      <c r="C479" s="8" t="str">
        <f ca="1">ven_speaks_lbl</f>
        <v>Speaks</v>
      </c>
      <c r="D479" s="1"/>
      <c r="E479" s="5"/>
      <c r="F479" s="1"/>
      <c r="G479" s="1"/>
      <c r="H479" s="1"/>
      <c r="I479" s="1"/>
    </row>
    <row r="480" spans="2:9" hidden="1">
      <c r="B480" s="1"/>
      <c r="C480" s="8"/>
      <c r="D480" s="1"/>
      <c r="E480" s="1"/>
      <c r="F480" s="1"/>
      <c r="G480" s="1"/>
      <c r="H480" s="1"/>
      <c r="I480" s="1"/>
    </row>
    <row r="481" spans="2:9" hidden="1">
      <c r="B481" s="7"/>
      <c r="C481" s="30" t="str">
        <f ca="1">ven_job_records_prev_lbl</f>
        <v>Job records (previous employer)</v>
      </c>
      <c r="D481" s="7"/>
      <c r="E481" s="7"/>
      <c r="F481" s="7"/>
      <c r="G481" s="7"/>
      <c r="H481" s="7"/>
      <c r="I481" s="7"/>
    </row>
    <row r="482" spans="2:9" ht="15.75" hidden="1" thickBot="1">
      <c r="B482" s="1"/>
      <c r="C482" s="8"/>
      <c r="D482" s="1"/>
      <c r="E482" s="1"/>
      <c r="F482" s="1"/>
      <c r="G482" s="1"/>
      <c r="H482" s="1"/>
      <c r="I482" s="1"/>
    </row>
    <row r="483" spans="2:9" ht="15.75" hidden="1" thickBot="1">
      <c r="B483" s="1"/>
      <c r="C483" s="8" t="str">
        <f ca="1">ven_start_dt_lbl</f>
        <v>Start Date</v>
      </c>
      <c r="D483" s="1"/>
      <c r="E483" s="5"/>
      <c r="F483" s="1"/>
      <c r="G483" s="1"/>
      <c r="H483" s="1"/>
      <c r="I483" s="1"/>
    </row>
    <row r="484" spans="2:9" ht="15.75" hidden="1" thickBot="1">
      <c r="B484" s="1"/>
      <c r="C484" s="8"/>
      <c r="D484" s="1"/>
      <c r="E484" s="1"/>
      <c r="F484" s="1"/>
      <c r="G484" s="1"/>
      <c r="H484" s="1"/>
      <c r="I484" s="1"/>
    </row>
    <row r="485" spans="2:9" ht="15.75" hidden="1" thickBot="1">
      <c r="B485" s="1"/>
      <c r="C485" s="8" t="str">
        <f ca="1">ven_end_dt_lbl</f>
        <v>End Date</v>
      </c>
      <c r="D485" s="1"/>
      <c r="E485" s="5"/>
      <c r="F485" s="1"/>
      <c r="G485" s="1"/>
      <c r="H485" s="1"/>
      <c r="I485" s="1"/>
    </row>
    <row r="486" spans="2:9" ht="15.75" hidden="1" thickBot="1">
      <c r="B486" s="1"/>
      <c r="C486" s="1"/>
      <c r="D486" s="1"/>
      <c r="E486" s="1"/>
      <c r="F486" s="1"/>
      <c r="G486" s="1"/>
      <c r="H486" s="1"/>
      <c r="I486" s="1"/>
    </row>
    <row r="487" spans="2:9" ht="15.75" hidden="1" thickBot="1">
      <c r="B487" s="1"/>
      <c r="C487" s="8" t="str">
        <f ca="1">ven_end_reason_lbl</f>
        <v>End Reason</v>
      </c>
      <c r="D487" s="1"/>
      <c r="E487" s="5"/>
      <c r="F487" s="1"/>
      <c r="G487" s="1"/>
      <c r="H487" s="1"/>
      <c r="I487" s="1"/>
    </row>
    <row r="488" spans="2:9" ht="15.75" hidden="1" thickBot="1">
      <c r="B488" s="1"/>
      <c r="C488" s="8"/>
      <c r="D488" s="1"/>
      <c r="E488" s="1"/>
      <c r="F488" s="1"/>
      <c r="G488" s="1"/>
      <c r="H488" s="1"/>
      <c r="I488" s="1"/>
    </row>
    <row r="489" spans="2:9" ht="15.75" hidden="1" thickBot="1">
      <c r="B489" s="1"/>
      <c r="C489" s="8" t="str">
        <f ca="1">ven_first_pos_lbl</f>
        <v xml:space="preserve">First Position </v>
      </c>
      <c r="D489" s="1"/>
      <c r="E489" s="5"/>
      <c r="F489" s="1"/>
      <c r="G489" s="1"/>
      <c r="H489" s="1"/>
      <c r="I489" s="1"/>
    </row>
    <row r="490" spans="2:9" ht="15.75" hidden="1" thickBot="1">
      <c r="B490" s="1"/>
      <c r="C490" s="8"/>
      <c r="D490" s="1"/>
      <c r="E490" s="1"/>
      <c r="F490" s="1"/>
      <c r="G490" s="1"/>
      <c r="H490" s="1"/>
      <c r="I490" s="1"/>
    </row>
    <row r="491" spans="2:9" ht="15.75" hidden="1" thickBot="1">
      <c r="B491" s="1"/>
      <c r="C491" s="8" t="str">
        <f ca="1">ven_last_pos_lbl</f>
        <v>Last Position</v>
      </c>
      <c r="D491" s="1"/>
      <c r="E491" s="5"/>
      <c r="F491" s="1"/>
      <c r="G491" s="1"/>
      <c r="H491" s="1"/>
      <c r="I491" s="1"/>
    </row>
    <row r="492" spans="2:9" ht="15.75" hidden="1" thickBot="1">
      <c r="B492" s="1"/>
      <c r="C492" s="8"/>
      <c r="D492" s="1"/>
      <c r="E492" s="1"/>
      <c r="F492" s="1"/>
      <c r="G492" s="1"/>
      <c r="H492" s="1"/>
      <c r="I492" s="1"/>
    </row>
    <row r="493" spans="2:9" ht="15.75" hidden="1" thickBot="1">
      <c r="B493" s="1"/>
      <c r="C493" s="8" t="str">
        <f ca="1">ven_last_wage_lbl</f>
        <v>Last Wage/Salary</v>
      </c>
      <c r="D493" s="1"/>
      <c r="E493" s="5"/>
      <c r="F493" s="1"/>
      <c r="G493" s="1"/>
      <c r="H493" s="1"/>
      <c r="I493" s="1"/>
    </row>
    <row r="494" spans="2:9" hidden="1">
      <c r="B494" s="1"/>
      <c r="C494" s="8"/>
      <c r="D494" s="1"/>
      <c r="E494" s="1"/>
      <c r="F494" s="1"/>
      <c r="G494" s="1"/>
      <c r="H494" s="1"/>
      <c r="I494" s="1"/>
    </row>
    <row r="495" spans="2:9" hidden="1">
      <c r="B495" s="7"/>
      <c r="C495" s="30" t="str">
        <f ca="1">ven_training_lbl</f>
        <v>Training</v>
      </c>
      <c r="D495" s="7"/>
      <c r="E495" s="7"/>
      <c r="F495" s="7"/>
      <c r="G495" s="7"/>
      <c r="H495" s="7"/>
      <c r="I495" s="7"/>
    </row>
    <row r="496" spans="2:9" ht="15.75" hidden="1" thickBot="1">
      <c r="B496" s="1"/>
      <c r="C496" s="8"/>
      <c r="D496" s="1"/>
      <c r="E496" s="1"/>
      <c r="F496" s="1"/>
      <c r="G496" s="1"/>
      <c r="H496" s="1"/>
      <c r="I496" s="1"/>
    </row>
    <row r="497" spans="2:9" ht="15.75" hidden="1" thickBot="1">
      <c r="B497" s="1"/>
      <c r="C497" s="8" t="str">
        <f ca="1">ven_place_lbl</f>
        <v xml:space="preserve">Place </v>
      </c>
      <c r="D497" s="1"/>
      <c r="E497" s="5"/>
      <c r="F497" s="1"/>
      <c r="G497" s="1"/>
      <c r="H497" s="1"/>
      <c r="I497" s="1"/>
    </row>
    <row r="498" spans="2:9" ht="15.75" hidden="1" thickBot="1">
      <c r="B498" s="1"/>
      <c r="C498" s="1"/>
      <c r="D498" s="1"/>
      <c r="E498" s="1"/>
      <c r="F498" s="1"/>
      <c r="G498" s="1"/>
      <c r="H498" s="1"/>
      <c r="I498" s="1"/>
    </row>
    <row r="499" spans="2:9" ht="15.75" hidden="1" thickBot="1">
      <c r="B499" s="1"/>
      <c r="C499" s="8" t="str">
        <f ca="1">ven_training_start_dt_lbl</f>
        <v>Start Date</v>
      </c>
      <c r="D499" s="1"/>
      <c r="E499" s="5"/>
      <c r="F499" s="1"/>
      <c r="G499" s="1"/>
      <c r="H499" s="1"/>
      <c r="I499" s="1"/>
    </row>
    <row r="500" spans="2:9" ht="15.75" hidden="1" thickBot="1">
      <c r="B500" s="1"/>
      <c r="C500" s="8"/>
      <c r="D500" s="1"/>
      <c r="E500" s="1"/>
      <c r="F500" s="1"/>
      <c r="G500" s="1"/>
      <c r="H500" s="1"/>
      <c r="I500" s="1"/>
    </row>
    <row r="501" spans="2:9" ht="15.75" hidden="1" thickBot="1">
      <c r="B501" s="1"/>
      <c r="C501" s="8" t="str">
        <f ca="1">ven_training_end_dt_lbl</f>
        <v>End Date</v>
      </c>
      <c r="D501" s="1"/>
      <c r="E501" s="5"/>
      <c r="F501" s="1"/>
      <c r="G501" s="1"/>
      <c r="H501" s="1"/>
      <c r="I501" s="1"/>
    </row>
    <row r="502" spans="2:9" ht="15.75" hidden="1" thickBot="1">
      <c r="B502" s="1"/>
      <c r="C502" s="1"/>
      <c r="D502" s="1"/>
      <c r="E502" s="1"/>
      <c r="F502" s="1"/>
      <c r="G502" s="1"/>
      <c r="H502" s="1"/>
      <c r="I502" s="1"/>
    </row>
    <row r="503" spans="2:9" ht="15.75" hidden="1" thickBot="1">
      <c r="B503" s="1"/>
      <c r="C503" s="8" t="str">
        <f ca="1">ven_duration_lbl</f>
        <v>Duration (Hours)</v>
      </c>
      <c r="D503" s="1"/>
      <c r="E503" s="5"/>
      <c r="F503" s="1"/>
      <c r="G503" s="1"/>
      <c r="H503" s="1"/>
      <c r="I503" s="1"/>
    </row>
    <row r="504" spans="2:9" ht="15.75" hidden="1" thickBot="1">
      <c r="B504" s="1"/>
      <c r="C504" s="8"/>
      <c r="D504" s="1"/>
      <c r="E504" s="1"/>
      <c r="F504" s="1"/>
      <c r="G504" s="1"/>
      <c r="H504" s="1"/>
      <c r="I504" s="1"/>
    </row>
    <row r="505" spans="2:9" ht="15.75" hidden="1" thickBot="1">
      <c r="B505" s="1"/>
      <c r="C505" s="8" t="str">
        <f ca="1">ven_other_knowldg_lbl</f>
        <v>Other knowledge</v>
      </c>
      <c r="D505" s="1"/>
      <c r="E505" s="5"/>
      <c r="F505" s="1"/>
      <c r="G505" s="1"/>
      <c r="H505" s="1"/>
      <c r="I505" s="1"/>
    </row>
    <row r="506" spans="2:9" hidden="1">
      <c r="B506" s="1"/>
      <c r="C506" s="8"/>
      <c r="D506" s="1"/>
      <c r="E506" s="1"/>
      <c r="F506" s="1"/>
      <c r="G506" s="1"/>
      <c r="H506" s="1"/>
      <c r="I506" s="1"/>
    </row>
    <row r="507" spans="2:9" hidden="1">
      <c r="B507" s="7"/>
      <c r="C507" s="30" t="str">
        <f ca="1">ven_msc_emp_questions_lbl</f>
        <v>Miscellaneous Empployment Questions</v>
      </c>
      <c r="D507" s="7"/>
      <c r="E507" s="7"/>
      <c r="F507" s="7"/>
      <c r="G507" s="7"/>
      <c r="H507" s="7"/>
      <c r="I507" s="7"/>
    </row>
    <row r="508" spans="2:9" hidden="1">
      <c r="B508" s="1"/>
      <c r="C508" s="8"/>
      <c r="D508" s="1"/>
      <c r="E508" s="1"/>
      <c r="F508" s="1"/>
      <c r="G508" s="1"/>
      <c r="H508" s="1"/>
      <c r="I508" s="1"/>
    </row>
    <row r="509" spans="2:9" ht="15.75" hidden="1" thickBot="1">
      <c r="B509" s="1"/>
      <c r="C509" s="112" t="str">
        <f ca="1">ven_declaration_lbl</f>
        <v>I declare that the information provided herein is true, and I authorize Cargill de Venezuela C.A, the verification thereof. On the other hand, I declare that the documentation that I have delivered or will deliver to Cargill de Venezuela C.A, on my person, is owned by the Company.</v>
      </c>
      <c r="D509" s="112"/>
      <c r="E509" s="112"/>
      <c r="F509" s="112"/>
      <c r="G509" s="1"/>
      <c r="H509" s="1"/>
      <c r="I509" s="1"/>
    </row>
    <row r="510" spans="2:9" ht="15.75" hidden="1" thickBot="1">
      <c r="B510" s="1"/>
      <c r="C510" s="8" t="str">
        <f ca="1">ven_place_dt_lbl</f>
        <v>Place and Date</v>
      </c>
      <c r="D510" s="1"/>
      <c r="E510" s="5"/>
      <c r="F510" s="1"/>
      <c r="G510" s="1"/>
      <c r="H510" s="1"/>
      <c r="I510" s="1"/>
    </row>
    <row r="511" spans="2:9" ht="15.75" hidden="1" thickBot="1">
      <c r="B511" s="1"/>
      <c r="C511" s="8"/>
      <c r="D511" s="1"/>
      <c r="E511" s="1"/>
      <c r="F511" s="1"/>
      <c r="G511" s="1"/>
      <c r="H511" s="1"/>
      <c r="I511" s="1"/>
    </row>
    <row r="512" spans="2:9" ht="15.75" hidden="1" thickBot="1">
      <c r="B512" s="1"/>
      <c r="C512" s="8" t="str">
        <f ca="1">ven_empl_sign_lbl</f>
        <v>Employee´s Signature</v>
      </c>
      <c r="D512" s="1"/>
      <c r="E512" s="5"/>
      <c r="F512" s="1"/>
      <c r="G512" s="1"/>
      <c r="H512" s="1"/>
      <c r="I512" s="1"/>
    </row>
    <row r="513" spans="2:9" ht="15.75" hidden="1" thickBot="1">
      <c r="B513" s="1"/>
      <c r="C513" s="1"/>
      <c r="D513" s="1"/>
      <c r="E513" s="1"/>
      <c r="F513" s="1"/>
      <c r="G513" s="1"/>
      <c r="H513" s="1"/>
      <c r="I513" s="1"/>
    </row>
    <row r="514" spans="2:9" ht="15.75" hidden="1" thickBot="1">
      <c r="B514" s="1"/>
      <c r="C514" s="57" t="str">
        <f ca="1">ven_comments_lbl</f>
        <v>Comments/Observations</v>
      </c>
      <c r="D514" s="1"/>
      <c r="E514" s="5"/>
      <c r="F514" s="1"/>
      <c r="G514" s="1"/>
      <c r="H514" s="1"/>
      <c r="I514" s="1"/>
    </row>
    <row r="515" spans="2:9" ht="15.75" hidden="1" thickBot="1">
      <c r="B515" s="1"/>
      <c r="C515" s="1"/>
      <c r="D515" s="1"/>
      <c r="E515" s="1"/>
      <c r="F515" s="1"/>
      <c r="G515" s="1"/>
      <c r="H515" s="1"/>
      <c r="I515" s="1"/>
    </row>
    <row r="516" spans="2:9" ht="15.75" hidden="1" thickBot="1">
      <c r="B516" s="1"/>
      <c r="C516" s="3" t="str">
        <f ca="1">ven_reviewed_lbl</f>
        <v>Reviewed By</v>
      </c>
      <c r="D516" s="1"/>
      <c r="E516" s="5"/>
      <c r="F516" s="1"/>
      <c r="G516" s="1"/>
      <c r="H516" s="1"/>
      <c r="I516" s="1"/>
    </row>
    <row r="517" spans="2:9" ht="15.75" hidden="1" thickBot="1">
      <c r="B517" s="1"/>
      <c r="C517" s="1"/>
      <c r="D517" s="1"/>
      <c r="E517" s="1"/>
      <c r="F517" s="1"/>
      <c r="G517" s="1"/>
      <c r="H517" s="1"/>
      <c r="I517" s="1"/>
    </row>
    <row r="518" spans="2:9" ht="15.75" hidden="1" thickBot="1">
      <c r="B518" s="1"/>
      <c r="C518" s="3" t="str">
        <f ca="1">ven_rec_sign_lbl</f>
        <v>Recruiting Singature</v>
      </c>
      <c r="D518" s="1"/>
      <c r="E518" s="5"/>
      <c r="F518" s="1"/>
      <c r="G518" s="1"/>
      <c r="H518" s="1"/>
      <c r="I518" s="1"/>
    </row>
    <row r="519" spans="2:9" ht="15.75" hidden="1" thickBot="1">
      <c r="B519" s="1"/>
      <c r="C519" s="1"/>
      <c r="D519" s="1"/>
      <c r="E519" s="1"/>
      <c r="F519" s="1"/>
      <c r="G519" s="1"/>
      <c r="H519" s="1"/>
      <c r="I519" s="1"/>
    </row>
    <row r="520" spans="2:9" ht="15.75" hidden="1" thickBot="1">
      <c r="B520" s="1"/>
      <c r="C520" s="3" t="str">
        <f ca="1">ven_date_lbl</f>
        <v>Date</v>
      </c>
      <c r="D520" s="1"/>
      <c r="E520" s="5"/>
      <c r="F520" s="1"/>
      <c r="G520" s="1"/>
      <c r="H520" s="1"/>
      <c r="I520" s="1"/>
    </row>
    <row r="521" spans="2:9" hidden="1">
      <c r="B521" s="1"/>
      <c r="C521" s="1"/>
      <c r="D521" s="1"/>
      <c r="E521" s="1"/>
      <c r="F521" s="1"/>
      <c r="G521" s="1"/>
      <c r="H521" s="1"/>
      <c r="I521" s="1"/>
    </row>
    <row r="522" spans="2:9" hidden="1">
      <c r="B522" s="7"/>
      <c r="C522" s="30" t="str">
        <f ca="1">ven_aux_personl_dtls_lbl</f>
        <v>Personal Details</v>
      </c>
      <c r="D522" s="7"/>
      <c r="E522" s="7"/>
      <c r="F522" s="7"/>
      <c r="G522" s="7"/>
      <c r="H522" s="7"/>
      <c r="I522" s="7"/>
    </row>
    <row r="523" spans="2:9" ht="15.75" hidden="1" thickBot="1">
      <c r="B523" s="1"/>
      <c r="C523" s="1"/>
      <c r="D523" s="1"/>
      <c r="E523" s="1"/>
      <c r="F523" s="1"/>
      <c r="G523" s="1"/>
      <c r="H523" s="1"/>
      <c r="I523" s="1"/>
    </row>
    <row r="524" spans="2:9" ht="15.75" hidden="1" thickBot="1">
      <c r="B524" s="1"/>
      <c r="C524" s="3" t="s">
        <v>7866</v>
      </c>
      <c r="D524" s="1"/>
      <c r="E524" s="5"/>
      <c r="F524" s="1"/>
      <c r="G524" s="1"/>
      <c r="H524" s="1"/>
      <c r="I524" s="1"/>
    </row>
    <row r="525" spans="2:9" hidden="1">
      <c r="B525" s="1"/>
      <c r="C525" s="1"/>
      <c r="D525" s="1"/>
      <c r="E525" s="1"/>
      <c r="F525" s="1"/>
      <c r="G525" s="1"/>
      <c r="H525" s="1"/>
      <c r="I525" s="1"/>
    </row>
    <row r="526" spans="2:9" hidden="1">
      <c r="B526" s="7"/>
      <c r="C526" s="30" t="s">
        <v>7867</v>
      </c>
      <c r="D526" s="7"/>
      <c r="E526" s="7"/>
      <c r="F526" s="7"/>
      <c r="G526" s="7"/>
      <c r="H526" s="7"/>
      <c r="I526" s="7"/>
    </row>
    <row r="527" spans="2:9" ht="15.75" hidden="1" thickBot="1">
      <c r="B527" s="1"/>
      <c r="C527" s="1"/>
      <c r="D527" s="1"/>
      <c r="E527" s="1"/>
      <c r="F527" s="1"/>
      <c r="G527" s="1"/>
      <c r="H527" s="1"/>
      <c r="I527" s="1"/>
    </row>
    <row r="528" spans="2:9" ht="15.75" hidden="1" thickBot="1">
      <c r="B528" s="1"/>
      <c r="C528" s="3" t="s">
        <v>7868</v>
      </c>
      <c r="D528" s="1"/>
      <c r="E528" s="5"/>
      <c r="F528" s="1"/>
      <c r="G528" s="1"/>
      <c r="H528" s="1"/>
      <c r="I528" s="1"/>
    </row>
    <row r="529" spans="2:9" ht="15.75" hidden="1" thickBot="1">
      <c r="B529" s="1"/>
      <c r="C529" s="1"/>
      <c r="D529" s="1"/>
      <c r="E529" s="1"/>
      <c r="F529" s="1"/>
      <c r="G529" s="1"/>
      <c r="H529" s="1"/>
      <c r="I529" s="1"/>
    </row>
    <row r="530" spans="2:9" ht="15.75" hidden="1" thickBot="1">
      <c r="B530" s="1"/>
      <c r="C530" s="3" t="s">
        <v>7869</v>
      </c>
      <c r="D530" s="1"/>
      <c r="E530" s="5"/>
      <c r="F530" s="1"/>
      <c r="G530" s="1"/>
      <c r="H530" s="1"/>
      <c r="I530" s="1"/>
    </row>
    <row r="531" spans="2:9" ht="15.75" hidden="1" thickBot="1">
      <c r="B531" s="1"/>
      <c r="C531" s="1"/>
      <c r="D531" s="1"/>
      <c r="E531" s="1"/>
      <c r="F531" s="1"/>
      <c r="G531" s="1"/>
      <c r="H531" s="1"/>
      <c r="I531" s="1"/>
    </row>
    <row r="532" spans="2:9" ht="15.75" hidden="1" thickBot="1">
      <c r="B532" s="1"/>
      <c r="C532" s="3" t="s">
        <v>7870</v>
      </c>
      <c r="D532" s="1"/>
      <c r="E532" s="5"/>
      <c r="F532" s="1"/>
      <c r="G532" s="1"/>
      <c r="H532" s="1"/>
      <c r="I532" s="1"/>
    </row>
    <row r="533" spans="2:9" ht="15.75" hidden="1" thickBot="1">
      <c r="B533" s="1"/>
      <c r="C533" s="1"/>
      <c r="D533" s="1"/>
      <c r="E533" s="1"/>
      <c r="F533" s="1"/>
      <c r="G533" s="1"/>
      <c r="H533" s="1"/>
      <c r="I533" s="1"/>
    </row>
    <row r="534" spans="2:9" ht="15.75" hidden="1" thickBot="1">
      <c r="B534" s="1"/>
      <c r="C534" s="3" t="s">
        <v>7871</v>
      </c>
      <c r="D534" s="1"/>
      <c r="E534" s="5"/>
      <c r="F534" s="1"/>
      <c r="G534" s="1"/>
      <c r="H534" s="1"/>
      <c r="I534" s="1"/>
    </row>
    <row r="535" spans="2:9" ht="15.75" hidden="1" thickBot="1">
      <c r="B535" s="1"/>
      <c r="C535" s="1"/>
      <c r="D535" s="1"/>
      <c r="E535" s="1"/>
      <c r="F535" s="1"/>
      <c r="G535" s="1"/>
      <c r="H535" s="1"/>
      <c r="I535" s="1"/>
    </row>
    <row r="536" spans="2:9" ht="15.75" hidden="1" thickBot="1">
      <c r="B536" s="1"/>
      <c r="C536" s="3" t="s">
        <v>7872</v>
      </c>
      <c r="D536" s="1"/>
      <c r="E536" s="5"/>
      <c r="F536" s="1"/>
      <c r="G536" s="1"/>
      <c r="H536" s="1"/>
      <c r="I536" s="1"/>
    </row>
    <row r="537" spans="2:9" ht="15.75" hidden="1" thickBot="1">
      <c r="B537" s="1"/>
      <c r="C537" s="1"/>
      <c r="D537" s="1"/>
      <c r="E537" s="1"/>
      <c r="F537" s="1"/>
      <c r="G537" s="1"/>
      <c r="H537" s="1"/>
      <c r="I537" s="1"/>
    </row>
    <row r="538" spans="2:9" ht="15.75" hidden="1" thickBot="1">
      <c r="B538" s="1"/>
      <c r="C538" s="3" t="s">
        <v>7873</v>
      </c>
      <c r="D538" s="1"/>
      <c r="E538" s="5"/>
      <c r="F538" s="1"/>
      <c r="G538" s="1"/>
      <c r="H538" s="1"/>
      <c r="I538" s="1"/>
    </row>
    <row r="539" spans="2:9" hidden="1">
      <c r="B539" s="1"/>
      <c r="C539" s="1"/>
      <c r="D539" s="1"/>
      <c r="E539" s="1"/>
      <c r="F539" s="1"/>
      <c r="G539" s="1"/>
      <c r="H539" s="1"/>
      <c r="I539" s="1"/>
    </row>
    <row r="540" spans="2:9" hidden="1">
      <c r="B540" s="7"/>
      <c r="C540" s="30" t="s">
        <v>7874</v>
      </c>
      <c r="D540" s="7"/>
      <c r="E540" s="7"/>
      <c r="F540" s="7"/>
      <c r="G540" s="7"/>
      <c r="H540" s="7"/>
      <c r="I540" s="7"/>
    </row>
    <row r="541" spans="2:9" ht="15.75" hidden="1" thickBot="1">
      <c r="B541" s="1"/>
      <c r="C541" s="1"/>
      <c r="D541" s="1"/>
      <c r="E541" s="1"/>
      <c r="F541" s="1"/>
      <c r="G541" s="1"/>
      <c r="H541" s="1"/>
      <c r="I541" s="1"/>
    </row>
    <row r="542" spans="2:9" ht="15.75" hidden="1" thickBot="1">
      <c r="B542" s="1"/>
      <c r="C542" s="3" t="s">
        <v>7875</v>
      </c>
      <c r="D542" s="1"/>
      <c r="E542" s="5"/>
      <c r="F542" s="1"/>
      <c r="G542" s="1"/>
      <c r="H542" s="1"/>
      <c r="I542" s="1"/>
    </row>
    <row r="543" spans="2:9" ht="15.75" hidden="1" thickBot="1">
      <c r="B543" s="1"/>
      <c r="C543" s="1"/>
      <c r="D543" s="1"/>
      <c r="E543" s="1"/>
      <c r="F543" s="1"/>
      <c r="G543" s="1"/>
      <c r="H543" s="1"/>
      <c r="I543" s="1"/>
    </row>
    <row r="544" spans="2:9" ht="15.75" hidden="1" thickBot="1">
      <c r="B544" s="1"/>
      <c r="C544" s="3" t="s">
        <v>7876</v>
      </c>
      <c r="D544" s="1"/>
      <c r="E544" s="5"/>
      <c r="F544" s="1"/>
      <c r="G544" s="1"/>
      <c r="H544" s="1"/>
      <c r="I544" s="1"/>
    </row>
    <row r="545" spans="2:9" ht="15.75" hidden="1" thickBot="1">
      <c r="B545" s="1"/>
      <c r="C545" s="1"/>
      <c r="D545" s="1"/>
      <c r="E545" s="1"/>
      <c r="F545" s="1"/>
      <c r="G545" s="1"/>
      <c r="H545" s="1"/>
      <c r="I545" s="1"/>
    </row>
    <row r="546" spans="2:9" ht="15.75" hidden="1" thickBot="1">
      <c r="B546" s="1"/>
      <c r="C546" s="3" t="s">
        <v>7877</v>
      </c>
      <c r="D546" s="1"/>
      <c r="E546" s="5"/>
      <c r="F546" s="1"/>
      <c r="G546" s="1"/>
      <c r="H546" s="1"/>
      <c r="I546" s="1"/>
    </row>
    <row r="547" spans="2:9" ht="15.75" hidden="1" thickBot="1">
      <c r="B547" s="1"/>
      <c r="C547" s="1"/>
      <c r="D547" s="1"/>
      <c r="E547" s="1"/>
      <c r="F547" s="1"/>
      <c r="G547" s="1"/>
      <c r="H547" s="1"/>
      <c r="I547" s="1"/>
    </row>
    <row r="548" spans="2:9" ht="15.75" hidden="1" thickBot="1">
      <c r="B548" s="1"/>
      <c r="C548" s="3" t="s">
        <v>7878</v>
      </c>
      <c r="D548" s="1"/>
      <c r="E548" s="5"/>
      <c r="F548" s="1"/>
      <c r="G548" s="1"/>
      <c r="H548" s="1"/>
      <c r="I548" s="1"/>
    </row>
    <row r="549" spans="2:9" ht="15.75" hidden="1" thickBot="1">
      <c r="B549" s="1"/>
      <c r="C549" s="1"/>
      <c r="D549" s="1"/>
      <c r="E549" s="1"/>
      <c r="F549" s="1"/>
      <c r="G549" s="1"/>
      <c r="H549" s="1"/>
      <c r="I549" s="1"/>
    </row>
    <row r="550" spans="2:9" ht="15.75" hidden="1" thickBot="1">
      <c r="B550" s="1"/>
      <c r="C550" s="3" t="s">
        <v>7879</v>
      </c>
      <c r="D550" s="1"/>
      <c r="E550" s="5"/>
      <c r="F550" s="1"/>
      <c r="G550" s="1"/>
      <c r="H550" s="1"/>
      <c r="I550" s="1"/>
    </row>
    <row r="551" spans="2:9" ht="15.75" hidden="1" thickBot="1">
      <c r="B551" s="1"/>
      <c r="C551" s="1"/>
      <c r="D551" s="1"/>
      <c r="E551" s="1"/>
      <c r="F551" s="1"/>
      <c r="G551" s="1"/>
      <c r="H551" s="1"/>
      <c r="I551" s="1"/>
    </row>
    <row r="552" spans="2:9" ht="15.75" hidden="1" thickBot="1">
      <c r="B552" s="1"/>
      <c r="C552" s="3" t="s">
        <v>7880</v>
      </c>
      <c r="D552" s="1"/>
      <c r="E552" s="5"/>
      <c r="F552" s="1"/>
      <c r="G552" s="1"/>
      <c r="H552" s="1"/>
      <c r="I552" s="1"/>
    </row>
    <row r="553" spans="2:9" hidden="1">
      <c r="B553" s="1"/>
      <c r="C553" s="1"/>
      <c r="D553" s="1"/>
      <c r="E553" s="1"/>
      <c r="F553" s="1"/>
      <c r="G553" s="1"/>
      <c r="H553" s="1"/>
      <c r="I553" s="1"/>
    </row>
    <row r="554" spans="2:9" hidden="1">
      <c r="B554" s="7"/>
      <c r="C554" s="30" t="str">
        <f ca="1">bra_data_for_registration_lbl</f>
        <v>Data for Registration</v>
      </c>
      <c r="D554" s="7"/>
      <c r="E554" s="7"/>
      <c r="F554" s="7"/>
      <c r="G554" s="7"/>
      <c r="H554" s="7"/>
      <c r="I554" s="7"/>
    </row>
    <row r="555" spans="2:9" ht="15.75" hidden="1" thickBot="1">
      <c r="B555" s="1"/>
      <c r="C555" s="1"/>
      <c r="D555" s="1"/>
      <c r="E555" s="1"/>
      <c r="F555" s="1"/>
      <c r="G555" s="1"/>
      <c r="H555" s="1"/>
      <c r="I555" s="1"/>
    </row>
    <row r="556" spans="2:9" ht="15.75" hidden="1" thickBot="1">
      <c r="B556" s="1"/>
      <c r="C556" s="3" t="str">
        <f ca="1">bra_code_lbl</f>
        <v>Code</v>
      </c>
      <c r="D556" s="1"/>
      <c r="E556" s="5"/>
      <c r="F556" s="1"/>
      <c r="G556" s="1"/>
      <c r="H556" s="1"/>
      <c r="I556" s="1"/>
    </row>
    <row r="557" spans="2:9" ht="15.75" hidden="1" thickBot="1">
      <c r="B557" s="1"/>
      <c r="C557" s="3"/>
      <c r="D557" s="1"/>
      <c r="E557" s="1"/>
      <c r="F557" s="1"/>
      <c r="G557" s="1"/>
      <c r="H557" s="1"/>
      <c r="I557" s="1"/>
    </row>
    <row r="558" spans="2:9" ht="15.75" hidden="1" thickBot="1">
      <c r="B558" s="1"/>
      <c r="C558" s="3" t="str">
        <f ca="1">bra_type_variable_remunaration_lbl</f>
        <v>Type of Variable Remuneration</v>
      </c>
      <c r="D558" s="1"/>
      <c r="E558" s="5"/>
      <c r="F558" s="1"/>
      <c r="G558" s="1"/>
      <c r="H558" s="1"/>
      <c r="I558" s="1"/>
    </row>
    <row r="559" spans="2:9" ht="15.75" hidden="1" thickBot="1">
      <c r="B559" s="1"/>
      <c r="C559" s="3"/>
      <c r="D559" s="1"/>
      <c r="E559" s="1"/>
      <c r="F559" s="1"/>
      <c r="G559" s="1"/>
      <c r="H559" s="1"/>
      <c r="I559" s="1"/>
    </row>
    <row r="560" spans="2:9" ht="15.75" hidden="1" thickBot="1">
      <c r="B560" s="1"/>
      <c r="C560" s="3" t="str">
        <f ca="1">bra_observations_lbl</f>
        <v>Observations</v>
      </c>
      <c r="D560" s="1"/>
      <c r="E560" s="5"/>
      <c r="F560" s="1"/>
      <c r="G560" s="1"/>
      <c r="H560" s="1"/>
      <c r="I560" s="1"/>
    </row>
    <row r="561" spans="2:9" ht="15.75" hidden="1" thickBot="1">
      <c r="B561" s="1"/>
      <c r="C561" s="3"/>
      <c r="D561" s="1"/>
      <c r="E561" s="1"/>
      <c r="F561" s="1"/>
      <c r="G561" s="1"/>
      <c r="H561" s="1"/>
      <c r="I561" s="1"/>
    </row>
    <row r="562" spans="2:9" ht="15.75" hidden="1" thickBot="1">
      <c r="B562" s="1"/>
      <c r="C562" s="3" t="str">
        <f ca="1">bra_min_wage_range_lbl</f>
        <v>Minimum Wage Range</v>
      </c>
      <c r="D562" s="1"/>
      <c r="E562" s="5"/>
      <c r="F562" s="1"/>
      <c r="G562" s="1"/>
      <c r="H562" s="1"/>
      <c r="I562" s="1"/>
    </row>
    <row r="563" spans="2:9" ht="15.75" hidden="1" thickBot="1">
      <c r="B563" s="1"/>
      <c r="C563" s="3"/>
      <c r="D563" s="1"/>
      <c r="E563" s="1"/>
      <c r="F563" s="1"/>
      <c r="G563" s="1"/>
      <c r="H563" s="1"/>
      <c r="I563" s="1"/>
    </row>
    <row r="564" spans="2:9" ht="15.75" hidden="1" thickBot="1">
      <c r="B564" s="1"/>
      <c r="C564" s="3" t="str">
        <f ca="1">bra_med_wage_range_lbl</f>
        <v>Medium Wage Range</v>
      </c>
      <c r="D564" s="1"/>
      <c r="E564" s="5"/>
      <c r="F564" s="1"/>
      <c r="G564" s="1"/>
      <c r="H564" s="1"/>
      <c r="I564" s="1"/>
    </row>
    <row r="565" spans="2:9" ht="15.75" hidden="1" thickBot="1">
      <c r="B565" s="1"/>
      <c r="C565" s="3"/>
      <c r="D565" s="1"/>
      <c r="E565" s="1"/>
      <c r="F565" s="1"/>
      <c r="G565" s="1"/>
      <c r="H565" s="1"/>
      <c r="I565" s="1"/>
    </row>
    <row r="566" spans="2:9" ht="15.75" hidden="1" thickBot="1">
      <c r="B566" s="1"/>
      <c r="C566" s="3" t="str">
        <f ca="1">bra_max_wage_range_lbl</f>
        <v>Maximum Wage Range</v>
      </c>
      <c r="D566" s="1"/>
      <c r="E566" s="5"/>
      <c r="F566" s="1"/>
      <c r="G566" s="1"/>
      <c r="H566" s="1"/>
      <c r="I566" s="1"/>
    </row>
    <row r="567" spans="2:9" ht="15.75" hidden="1" thickBot="1">
      <c r="B567" s="1"/>
      <c r="C567" s="3"/>
      <c r="D567" s="1"/>
      <c r="E567" s="1"/>
      <c r="F567" s="1"/>
      <c r="G567" s="1"/>
      <c r="H567" s="1"/>
      <c r="I567" s="1"/>
    </row>
    <row r="568" spans="2:9" ht="15.75" hidden="1" thickBot="1">
      <c r="B568" s="1"/>
      <c r="C568" s="3" t="str">
        <f ca="1">bra_functional_leadership_id_lbl</f>
        <v>Functional Leadership/ ID:</v>
      </c>
      <c r="D568" s="1"/>
      <c r="E568" s="5"/>
      <c r="F568" s="1"/>
      <c r="G568" s="1"/>
      <c r="H568" s="1"/>
      <c r="I568" s="1"/>
    </row>
    <row r="569" spans="2:9" hidden="1">
      <c r="B569" s="1"/>
      <c r="C569" s="3"/>
      <c r="D569" s="1"/>
      <c r="E569" s="1"/>
      <c r="F569" s="1"/>
      <c r="G569" s="1"/>
      <c r="H569" s="1"/>
      <c r="I569" s="1"/>
    </row>
    <row r="570" spans="2:9" hidden="1">
      <c r="B570" s="7"/>
      <c r="C570" s="30" t="str">
        <f ca="1">bra_general_information_lbl</f>
        <v>General Information</v>
      </c>
      <c r="D570" s="7"/>
      <c r="E570" s="7"/>
      <c r="F570" s="7"/>
      <c r="G570" s="7"/>
      <c r="H570" s="7"/>
      <c r="I570" s="7"/>
    </row>
    <row r="571" spans="2:9" ht="15.75" hidden="1" thickBot="1">
      <c r="B571" s="1"/>
      <c r="C571" s="3"/>
      <c r="D571" s="1"/>
      <c r="E571" s="1"/>
      <c r="F571" s="1"/>
      <c r="G571" s="1"/>
      <c r="H571" s="1"/>
      <c r="I571" s="1"/>
    </row>
    <row r="572" spans="2:9" ht="15.75" hidden="1" thickBot="1">
      <c r="B572" s="1"/>
      <c r="C572" s="3" t="str">
        <f ca="1">bra_admission_detail_lbl</f>
        <v>Admission Details</v>
      </c>
      <c r="D572" s="1"/>
      <c r="E572" s="5"/>
      <c r="F572" s="1"/>
      <c r="G572" s="1"/>
      <c r="H572" s="1"/>
      <c r="I572" s="1"/>
    </row>
    <row r="573" spans="2:9" ht="15.75" hidden="1" thickBot="1">
      <c r="B573" s="1"/>
      <c r="C573" s="3"/>
      <c r="D573" s="1"/>
      <c r="E573" s="1"/>
      <c r="F573" s="1"/>
      <c r="G573" s="1"/>
      <c r="H573" s="1"/>
      <c r="I573" s="1"/>
    </row>
    <row r="574" spans="2:9" ht="15.75" hidden="1" thickBot="1">
      <c r="B574" s="1"/>
      <c r="C574" s="3" t="str">
        <f ca="1">bra_observations_1_lbl</f>
        <v>Observations</v>
      </c>
      <c r="D574" s="1"/>
      <c r="E574" s="5"/>
      <c r="F574" s="1"/>
      <c r="G574" s="1"/>
      <c r="H574" s="1"/>
      <c r="I574" s="1"/>
    </row>
    <row r="575" spans="2:9" ht="15.75" hidden="1" thickBot="1">
      <c r="B575" s="1"/>
      <c r="C575" s="3"/>
      <c r="D575" s="1"/>
      <c r="E575" s="1"/>
      <c r="F575" s="1"/>
      <c r="G575" s="1"/>
      <c r="H575" s="1"/>
      <c r="I575" s="1"/>
    </row>
    <row r="576" spans="2:9" ht="15.75" hidden="1" thickBot="1">
      <c r="B576" s="1"/>
      <c r="C576" s="3" t="str">
        <f ca="1">bra_legal_Number_lbl</f>
        <v>Legal Number</v>
      </c>
      <c r="D576" s="1"/>
      <c r="E576" s="5"/>
      <c r="F576" s="1"/>
      <c r="G576" s="1"/>
      <c r="H576" s="1"/>
      <c r="I576" s="1"/>
    </row>
    <row r="577" spans="2:9" ht="15.75" hidden="1" thickBot="1">
      <c r="B577" s="1"/>
      <c r="C577" s="3"/>
      <c r="D577" s="1"/>
      <c r="E577" s="1"/>
      <c r="F577" s="1"/>
      <c r="G577" s="1"/>
      <c r="H577" s="1"/>
      <c r="I577" s="1"/>
    </row>
    <row r="578" spans="2:9" ht="15.75" hidden="1" thickBot="1">
      <c r="B578" s="1"/>
      <c r="C578" s="3" t="str">
        <f ca="1">bra_ppr_team_code_lbl</f>
        <v>PPR Team Code</v>
      </c>
      <c r="D578" s="1"/>
      <c r="E578" s="5"/>
      <c r="F578" s="1"/>
      <c r="G578" s="1"/>
      <c r="H578" s="1"/>
      <c r="I578" s="1"/>
    </row>
    <row r="579" spans="2:9" ht="15.75" hidden="1" thickBot="1">
      <c r="B579" s="1"/>
      <c r="C579" s="3"/>
      <c r="D579" s="1"/>
      <c r="E579" s="1"/>
      <c r="F579" s="1"/>
      <c r="G579" s="1"/>
      <c r="H579" s="1"/>
      <c r="I579" s="1"/>
    </row>
    <row r="580" spans="2:9" ht="15.75" hidden="1" thickBot="1">
      <c r="B580" s="1"/>
      <c r="C580" s="3" t="str">
        <f ca="1">bra_type_workmanship_lbl</f>
        <v>Type of Workmanship</v>
      </c>
      <c r="D580" s="1"/>
      <c r="E580" s="5"/>
      <c r="F580" s="1"/>
      <c r="G580" s="1"/>
      <c r="H580" s="1"/>
      <c r="I580" s="1"/>
    </row>
    <row r="581" spans="2:9" ht="15.75" hidden="1" thickBot="1">
      <c r="B581" s="1"/>
      <c r="C581" s="3"/>
      <c r="D581" s="1"/>
      <c r="E581" s="1"/>
      <c r="F581" s="1"/>
      <c r="G581" s="1"/>
      <c r="H581" s="1"/>
      <c r="I581" s="1"/>
    </row>
    <row r="582" spans="2:9" ht="15.75" hidden="1" thickBot="1">
      <c r="B582" s="1"/>
      <c r="C582" s="3" t="str">
        <f ca="1">bra_trade_union_reg_code_lbl</f>
        <v>Trade Union Region Code (Base Date)</v>
      </c>
      <c r="D582" s="1"/>
      <c r="E582" s="5"/>
      <c r="F582" s="1"/>
      <c r="G582" s="1"/>
      <c r="H582" s="1"/>
      <c r="I582" s="1"/>
    </row>
    <row r="583" spans="2:9" ht="15.75" hidden="1" thickBot="1">
      <c r="B583" s="1"/>
      <c r="C583" s="3"/>
      <c r="D583" s="1"/>
      <c r="E583" s="1"/>
      <c r="F583" s="1"/>
      <c r="G583" s="1"/>
      <c r="H583" s="1"/>
      <c r="I583" s="1"/>
    </row>
    <row r="584" spans="2:9" ht="15.75" hidden="1" thickBot="1">
      <c r="B584" s="1"/>
      <c r="C584" s="3" t="str">
        <f ca="1">bra_syndicate_cat_lbl</f>
        <v>Syndicate Category</v>
      </c>
      <c r="D584" s="1"/>
      <c r="E584" s="5"/>
      <c r="F584" s="1"/>
      <c r="G584" s="1"/>
      <c r="H584" s="1"/>
      <c r="I584" s="1"/>
    </row>
    <row r="585" spans="2:9" ht="15.75" hidden="1" thickBot="1">
      <c r="B585" s="1"/>
      <c r="C585" s="3"/>
      <c r="D585" s="1"/>
      <c r="E585" s="1"/>
      <c r="F585" s="1"/>
      <c r="G585" s="1"/>
      <c r="H585" s="1"/>
      <c r="I585" s="1"/>
    </row>
    <row r="586" spans="2:9" ht="15.75" hidden="1" thickBot="1">
      <c r="B586" s="1"/>
      <c r="C586" s="3" t="str">
        <f ca="1">bra_syndicate_prevailing_lbl</f>
        <v>Syndicate prevailing:</v>
      </c>
      <c r="D586" s="1"/>
      <c r="E586" s="5"/>
      <c r="F586" s="1"/>
      <c r="G586" s="1"/>
      <c r="H586" s="1"/>
      <c r="I586" s="1"/>
    </row>
    <row r="587" spans="2:9" ht="15.75" hidden="1" thickBot="1">
      <c r="B587" s="1"/>
      <c r="C587" s="3"/>
      <c r="D587" s="1"/>
      <c r="E587" s="1"/>
      <c r="F587" s="1"/>
      <c r="G587" s="1"/>
      <c r="H587" s="1"/>
      <c r="I587" s="1"/>
    </row>
    <row r="588" spans="2:9" ht="15.75" hidden="1" thickBot="1">
      <c r="B588" s="1"/>
      <c r="C588" s="3" t="str">
        <f ca="1">bra_make_exp_contract_lbl</f>
        <v>Make Experience Contract?</v>
      </c>
      <c r="D588" s="1"/>
      <c r="E588" s="5"/>
      <c r="F588" s="1"/>
      <c r="G588" s="1"/>
      <c r="H588" s="1"/>
      <c r="I588" s="1"/>
    </row>
    <row r="589" spans="2:9" ht="15.75" hidden="1" thickBot="1">
      <c r="B589" s="1"/>
      <c r="C589" s="3"/>
      <c r="D589" s="1"/>
      <c r="E589" s="1"/>
      <c r="F589" s="1"/>
      <c r="G589" s="1"/>
      <c r="H589" s="1"/>
      <c r="I589" s="1"/>
    </row>
    <row r="590" spans="2:9" ht="15.75" hidden="1" thickBot="1">
      <c r="B590" s="1"/>
      <c r="C590" s="3" t="str">
        <f ca="1">bra_time_code_rhevolution_lbl</f>
        <v>Time code for Rhevolution</v>
      </c>
      <c r="D590" s="1"/>
      <c r="E590" s="5"/>
      <c r="F590" s="1"/>
      <c r="G590" s="1"/>
      <c r="H590" s="1"/>
      <c r="I590" s="1"/>
    </row>
    <row r="591" spans="2:9" hidden="1">
      <c r="B591" s="1"/>
      <c r="C591" s="3"/>
      <c r="D591" s="1"/>
      <c r="E591" s="1"/>
      <c r="F591" s="1"/>
      <c r="G591" s="1"/>
      <c r="H591" s="1"/>
      <c r="I591" s="1"/>
    </row>
    <row r="592" spans="2:9" hidden="1">
      <c r="B592" s="7"/>
      <c r="C592" s="30" t="str">
        <f ca="1">bra_data_reg_ronda_lbl</f>
        <v>Data for regristracion in RONDA</v>
      </c>
      <c r="D592" s="7"/>
      <c r="E592" s="7"/>
      <c r="F592" s="7"/>
      <c r="G592" s="7"/>
      <c r="H592" s="7"/>
      <c r="I592" s="7"/>
    </row>
    <row r="593" spans="2:9" ht="15.75" hidden="1" thickBot="1">
      <c r="B593" s="1"/>
      <c r="C593" s="3"/>
      <c r="D593" s="1"/>
      <c r="E593" s="1"/>
      <c r="F593" s="1"/>
      <c r="G593" s="1"/>
      <c r="H593" s="1"/>
      <c r="I593" s="1"/>
    </row>
    <row r="594" spans="2:9" ht="15.75" hidden="1" thickBot="1">
      <c r="B594" s="1"/>
      <c r="C594" s="3" t="str">
        <f ca="1">bra_emp_registrated_lbl</f>
        <v>Employee Registrated?</v>
      </c>
      <c r="D594" s="1"/>
      <c r="E594" s="5"/>
      <c r="F594" s="1"/>
      <c r="G594" s="1"/>
      <c r="H594" s="1"/>
      <c r="I594" s="1"/>
    </row>
    <row r="595" spans="2:9" ht="15.75" hidden="1" thickBot="1">
      <c r="B595" s="1"/>
      <c r="C595" s="3"/>
      <c r="D595" s="1"/>
      <c r="E595" s="1"/>
      <c r="F595" s="1"/>
      <c r="G595" s="1"/>
      <c r="H595" s="1"/>
      <c r="I595" s="1"/>
    </row>
    <row r="596" spans="2:9" ht="15.75" hidden="1" thickBot="1">
      <c r="B596" s="1"/>
      <c r="C596" s="3" t="str">
        <f ca="1">bra_emp_clock_lbl</f>
        <v>Employee to clock in/out?</v>
      </c>
      <c r="D596" s="1"/>
      <c r="E596" s="5"/>
      <c r="F596" s="1"/>
      <c r="G596" s="1"/>
      <c r="H596" s="1"/>
      <c r="I596" s="1"/>
    </row>
    <row r="597" spans="2:9" ht="15.75" hidden="1" thickBot="1">
      <c r="B597" s="1"/>
      <c r="C597" s="3"/>
      <c r="D597" s="1"/>
      <c r="E597" s="1"/>
      <c r="F597" s="1"/>
      <c r="G597" s="1"/>
      <c r="H597" s="1"/>
      <c r="I597" s="1"/>
    </row>
    <row r="598" spans="2:9" ht="15.75" hidden="1" thickBot="1">
      <c r="B598" s="1"/>
      <c r="C598" s="3" t="str">
        <f ca="1">bra_badge_no_lbl</f>
        <v xml:space="preserve">Badge No. </v>
      </c>
      <c r="D598" s="1"/>
      <c r="E598" s="5"/>
      <c r="F598" s="1"/>
      <c r="G598" s="1"/>
      <c r="H598" s="1"/>
      <c r="I598" s="1"/>
    </row>
    <row r="599" spans="2:9" ht="15.75" hidden="1" thickBot="1">
      <c r="B599" s="1"/>
      <c r="C599" s="3"/>
      <c r="D599" s="1"/>
      <c r="E599" s="1"/>
      <c r="F599" s="1"/>
      <c r="G599" s="1"/>
      <c r="H599" s="1"/>
      <c r="I599" s="1"/>
    </row>
    <row r="600" spans="2:9" ht="15.75" hidden="1" thickBot="1">
      <c r="B600" s="1"/>
      <c r="C600" s="3" t="str">
        <f ca="1">bra_labor_union_lbl</f>
        <v>Labor Union</v>
      </c>
      <c r="D600" s="1"/>
      <c r="E600" s="5"/>
      <c r="F600" s="1"/>
      <c r="G600" s="1"/>
      <c r="H600" s="1"/>
      <c r="I600" s="1"/>
    </row>
    <row r="601" spans="2:9" ht="15.75" hidden="1" thickBot="1">
      <c r="B601" s="1"/>
      <c r="C601" s="3"/>
      <c r="D601" s="1"/>
      <c r="E601" s="1"/>
      <c r="F601" s="1"/>
      <c r="G601" s="1"/>
      <c r="H601" s="1"/>
      <c r="I601" s="1"/>
    </row>
    <row r="602" spans="2:9" ht="15.75" hidden="1" thickBot="1">
      <c r="B602" s="1"/>
      <c r="C602" s="3" t="str">
        <f ca="1">bra_type_calculation_lbl</f>
        <v>Type of Calculation</v>
      </c>
      <c r="D602" s="1"/>
      <c r="E602" s="5"/>
      <c r="F602" s="1"/>
      <c r="G602" s="1"/>
      <c r="H602" s="1"/>
      <c r="I602" s="1"/>
    </row>
    <row r="603" spans="2:9" ht="15.75" hidden="1" thickBot="1">
      <c r="B603" s="1"/>
      <c r="C603" s="3"/>
      <c r="D603" s="1"/>
      <c r="E603" s="1"/>
      <c r="F603" s="1"/>
      <c r="G603" s="1"/>
      <c r="H603" s="1"/>
      <c r="I603" s="1"/>
    </row>
    <row r="604" spans="2:9" ht="15.75" hidden="1" thickBot="1">
      <c r="B604" s="1"/>
      <c r="C604" s="3" t="str">
        <f ca="1">bra_scale_lbl</f>
        <v>Scale</v>
      </c>
      <c r="D604" s="1"/>
      <c r="E604" s="5"/>
      <c r="F604" s="1"/>
      <c r="G604" s="1"/>
      <c r="H604" s="1"/>
      <c r="I604" s="1"/>
    </row>
    <row r="605" spans="2:9" ht="15.75" hidden="1" thickBot="1">
      <c r="B605" s="1"/>
      <c r="C605" s="3"/>
      <c r="D605" s="1"/>
      <c r="E605" s="1"/>
      <c r="F605" s="1"/>
      <c r="G605" s="1"/>
      <c r="H605" s="1"/>
      <c r="I605" s="1"/>
    </row>
    <row r="606" spans="2:9" ht="15.75" hidden="1" thickBot="1">
      <c r="B606" s="1"/>
      <c r="C606" s="3" t="str">
        <f ca="1">bra_normal_days_perm_lbl</f>
        <v>Normal Days Permission</v>
      </c>
      <c r="D606" s="1"/>
      <c r="E606" s="5"/>
      <c r="F606" s="1"/>
      <c r="G606" s="1"/>
      <c r="H606" s="1"/>
      <c r="I606" s="1"/>
    </row>
    <row r="607" spans="2:9" ht="15.75" hidden="1" thickBot="1">
      <c r="B607" s="1"/>
      <c r="C607" s="3"/>
      <c r="D607" s="1"/>
      <c r="E607" s="1"/>
      <c r="F607" s="1"/>
      <c r="G607" s="1"/>
      <c r="H607" s="1"/>
      <c r="I607" s="1"/>
    </row>
    <row r="608" spans="2:9" ht="15.75" hidden="1" thickBot="1">
      <c r="B608" s="1"/>
      <c r="C608" s="3" t="str">
        <f ca="1">bra_saturday_perm_lbl</f>
        <v>Saturday Permission</v>
      </c>
      <c r="D608" s="1"/>
      <c r="E608" s="5"/>
      <c r="F608" s="1"/>
      <c r="G608" s="1"/>
      <c r="H608" s="1"/>
      <c r="I608" s="1"/>
    </row>
    <row r="609" spans="2:9" ht="15.75" hidden="1" thickBot="1">
      <c r="B609" s="1"/>
      <c r="C609" s="3"/>
      <c r="D609" s="1"/>
      <c r="E609" s="1"/>
      <c r="F609" s="1"/>
      <c r="G609" s="1"/>
      <c r="H609" s="1"/>
      <c r="I609" s="1"/>
    </row>
    <row r="610" spans="2:9" ht="15.75" hidden="1" thickBot="1">
      <c r="B610" s="1"/>
      <c r="C610" s="3" t="str">
        <f ca="1">bra_sunday_perm_lbl</f>
        <v>Sunday Permission</v>
      </c>
      <c r="D610" s="1"/>
      <c r="E610" s="5"/>
      <c r="F610" s="1"/>
      <c r="G610" s="1"/>
      <c r="H610" s="1"/>
      <c r="I610" s="1"/>
    </row>
    <row r="611" spans="2:9" ht="15.75" hidden="1" thickBot="1">
      <c r="B611" s="1"/>
      <c r="C611" s="3"/>
      <c r="D611" s="1"/>
      <c r="E611" s="1"/>
      <c r="F611" s="1"/>
      <c r="G611" s="1"/>
      <c r="H611" s="1"/>
      <c r="I611" s="1"/>
    </row>
    <row r="612" spans="2:9" ht="15.75" hidden="1" thickBot="1">
      <c r="B612" s="1"/>
      <c r="C612" s="3" t="str">
        <f ca="1">bra_holiday_perm_lbl</f>
        <v>Holiday Permission</v>
      </c>
      <c r="D612" s="1"/>
      <c r="E612" s="5"/>
      <c r="F612" s="1"/>
      <c r="G612" s="1"/>
      <c r="H612" s="1"/>
      <c r="I612" s="1"/>
    </row>
    <row r="613" spans="2:9" hidden="1">
      <c r="B613" s="1"/>
      <c r="C613" s="3"/>
      <c r="D613" s="1"/>
      <c r="E613" s="1"/>
      <c r="F613" s="1"/>
      <c r="G613" s="1"/>
      <c r="H613" s="1"/>
      <c r="I613" s="1"/>
    </row>
    <row r="614" spans="2:9" hidden="1">
      <c r="B614" s="7"/>
      <c r="C614" s="30" t="str">
        <f ca="1">bra_staff_request_lbl</f>
        <v>Staff Request</v>
      </c>
      <c r="D614" s="7"/>
      <c r="E614" s="7"/>
      <c r="F614" s="7"/>
      <c r="G614" s="7"/>
      <c r="H614" s="7"/>
      <c r="I614" s="7"/>
    </row>
    <row r="615" spans="2:9" hidden="1">
      <c r="B615" s="1"/>
      <c r="C615" s="3"/>
      <c r="D615" s="1"/>
      <c r="E615" s="1"/>
      <c r="F615" s="1"/>
      <c r="G615" s="1"/>
      <c r="H615" s="1"/>
      <c r="I615" s="1"/>
    </row>
    <row r="616" spans="2:9" hidden="1">
      <c r="B616" s="1"/>
      <c r="C616" s="113" t="str">
        <f ca="1">bra_staff_req_content_lbl</f>
        <v>This is the document through which the selection process for a new recruitment is initiated, either by substitution or increase of the table. This form refers to I and previous bands positions.
The applicant must complete and submit the following form (one form for each open vacancy).</v>
      </c>
      <c r="D616" s="113"/>
      <c r="E616" s="113"/>
      <c r="F616" s="113"/>
      <c r="G616" s="113"/>
      <c r="H616" s="1"/>
      <c r="I616" s="1"/>
    </row>
    <row r="617" spans="2:9" hidden="1">
      <c r="B617" s="1"/>
      <c r="C617" s="3"/>
      <c r="D617" s="1"/>
      <c r="E617" s="1"/>
      <c r="F617" s="1"/>
      <c r="G617" s="1"/>
      <c r="H617" s="1"/>
      <c r="I617" s="1"/>
    </row>
    <row r="618" spans="2:9" hidden="1">
      <c r="B618" s="7"/>
      <c r="C618" s="30" t="str">
        <f ca="1">bra_details_person_admitted_lbl</f>
        <v>Details of the person to be admitted</v>
      </c>
      <c r="D618" s="7"/>
      <c r="E618" s="7"/>
      <c r="F618" s="7"/>
      <c r="G618" s="7"/>
      <c r="H618" s="7"/>
      <c r="I618" s="7"/>
    </row>
    <row r="619" spans="2:9" ht="15.75" hidden="1" thickBot="1">
      <c r="B619" s="1"/>
      <c r="C619" s="3"/>
      <c r="D619" s="1"/>
      <c r="E619" s="1"/>
      <c r="F619" s="1"/>
      <c r="G619" s="1"/>
      <c r="H619" s="1"/>
      <c r="I619" s="1"/>
    </row>
    <row r="620" spans="2:9" ht="15.75" hidden="1" thickBot="1">
      <c r="B620" s="1"/>
      <c r="C620" s="3" t="str">
        <f ca="1">bra_indirect_functional_leadship_lbl</f>
        <v>Indirect / Functional Leadership</v>
      </c>
      <c r="D620" s="1"/>
      <c r="E620" s="5"/>
      <c r="F620" s="1"/>
      <c r="G620" s="1"/>
      <c r="H620" s="1"/>
      <c r="I620" s="1"/>
    </row>
    <row r="621" spans="2:9" ht="15.75" hidden="1" thickBot="1">
      <c r="B621" s="1"/>
      <c r="C621" s="3"/>
      <c r="D621" s="1"/>
      <c r="E621" s="1"/>
      <c r="F621" s="1"/>
      <c r="G621" s="1"/>
      <c r="H621" s="1"/>
      <c r="I621" s="1"/>
    </row>
    <row r="622" spans="2:9" ht="15.75" hidden="1" thickBot="1">
      <c r="B622" s="1"/>
      <c r="C622" s="3" t="str">
        <f ca="1">bra_leadership_abroad_lbl</f>
        <v>Leadership Abroad (If it exists)</v>
      </c>
      <c r="D622" s="1"/>
      <c r="E622" s="5"/>
      <c r="F622" s="1"/>
      <c r="G622" s="1"/>
      <c r="H622" s="1"/>
      <c r="I622" s="1"/>
    </row>
    <row r="623" spans="2:9" ht="15.75" hidden="1" thickBot="1">
      <c r="B623" s="1"/>
      <c r="C623" s="3"/>
      <c r="D623" s="1"/>
      <c r="E623" s="1"/>
      <c r="F623" s="1"/>
      <c r="G623" s="1"/>
      <c r="H623" s="1"/>
      <c r="I623" s="1"/>
    </row>
    <row r="624" spans="2:9" ht="15.75" hidden="1" thickBot="1">
      <c r="B624" s="1"/>
      <c r="C624" s="3" t="str">
        <f ca="1">bra_supervisor_charge_lbl</f>
        <v>Supervision charge? (Yes;No) (Supervision: any function you have subordinated.)</v>
      </c>
      <c r="D624" s="1"/>
      <c r="E624" s="5"/>
      <c r="F624" s="1"/>
      <c r="G624" s="1"/>
      <c r="H624" s="1"/>
      <c r="I624" s="1"/>
    </row>
    <row r="625" spans="2:9" ht="15.75" hidden="1" thickBot="1">
      <c r="B625" s="1"/>
      <c r="C625" s="3"/>
      <c r="D625" s="1"/>
      <c r="E625" s="1"/>
      <c r="F625" s="1"/>
      <c r="G625" s="1"/>
      <c r="H625" s="1"/>
      <c r="I625" s="1"/>
    </row>
    <row r="626" spans="2:9" ht="15.75" hidden="1" thickBot="1">
      <c r="B626" s="1"/>
      <c r="C626" s="3" t="str">
        <f ca="1">bra_suggested_salary_range_lbl</f>
        <v>Suggested Salary Range</v>
      </c>
      <c r="D626" s="1"/>
      <c r="E626" s="5"/>
      <c r="F626" s="1"/>
      <c r="G626" s="1"/>
      <c r="H626" s="1"/>
      <c r="I626" s="1"/>
    </row>
    <row r="627" spans="2:9" ht="15.75" hidden="1" thickBot="1">
      <c r="B627" s="1"/>
      <c r="C627" s="3"/>
      <c r="D627" s="1"/>
      <c r="E627" s="1"/>
      <c r="F627" s="1"/>
      <c r="G627" s="1"/>
      <c r="H627" s="1"/>
      <c r="I627" s="1"/>
    </row>
    <row r="628" spans="2:9" ht="15.75" hidden="1" thickBot="1">
      <c r="B628" s="1"/>
      <c r="C628" s="3" t="str">
        <f ca="1">bra_host_lbl</f>
        <v>Host</v>
      </c>
      <c r="D628" s="1"/>
      <c r="E628" s="5"/>
      <c r="F628" s="1"/>
      <c r="G628" s="1"/>
      <c r="H628" s="1"/>
      <c r="I628" s="1"/>
    </row>
    <row r="629" spans="2:9" hidden="1">
      <c r="B629" s="1"/>
      <c r="C629" s="3"/>
      <c r="D629" s="1"/>
      <c r="E629" s="1"/>
      <c r="F629" s="1"/>
      <c r="G629" s="1"/>
      <c r="H629" s="1"/>
      <c r="I629" s="1"/>
    </row>
    <row r="630" spans="2:9" hidden="1">
      <c r="B630" s="7"/>
      <c r="C630" s="30" t="str">
        <f ca="1">bra_details_person_admitted_lbl</f>
        <v>Details of the person to be admitted</v>
      </c>
      <c r="D630" s="7"/>
      <c r="E630" s="7"/>
      <c r="F630" s="7"/>
      <c r="G630" s="7"/>
      <c r="H630" s="7"/>
      <c r="I630" s="7"/>
    </row>
    <row r="631" spans="2:9" ht="15.75" hidden="1" thickBot="1">
      <c r="B631" s="1"/>
      <c r="C631" s="3"/>
      <c r="D631" s="1"/>
      <c r="E631" s="1"/>
      <c r="F631" s="1"/>
      <c r="G631" s="1"/>
      <c r="H631" s="1"/>
      <c r="I631" s="1"/>
    </row>
    <row r="632" spans="2:9" ht="15.75" hidden="1" thickBot="1">
      <c r="B632" s="1"/>
      <c r="C632" s="3" t="str">
        <f ca="1">bra_environment_work_code_lbl</f>
        <v>Environment Work Code</v>
      </c>
      <c r="D632" s="1"/>
      <c r="E632" s="5"/>
      <c r="F632" s="1"/>
      <c r="G632" s="1"/>
      <c r="H632" s="1"/>
      <c r="I632" s="1"/>
    </row>
    <row r="633" spans="2:9" ht="15.75" hidden="1" thickBot="1">
      <c r="B633" s="1"/>
      <c r="C633" s="3"/>
      <c r="D633" s="1"/>
      <c r="E633" s="1"/>
      <c r="F633" s="1"/>
      <c r="G633" s="1"/>
      <c r="H633" s="1"/>
      <c r="I633" s="1"/>
    </row>
    <row r="634" spans="2:9" ht="15.75" hidden="1" thickBot="1">
      <c r="B634" s="1"/>
      <c r="C634" s="3" t="str">
        <f ca="1">bra_percentage_performance_lbl</f>
        <v>Percentage of performance</v>
      </c>
      <c r="D634" s="1"/>
      <c r="E634" s="5"/>
      <c r="F634" s="1"/>
      <c r="G634" s="1"/>
      <c r="H634" s="1"/>
      <c r="I634" s="1"/>
    </row>
    <row r="635" spans="2:9" ht="15.75" hidden="1" thickBot="1">
      <c r="B635" s="1"/>
      <c r="C635" s="3"/>
      <c r="D635" s="1"/>
      <c r="E635" s="1"/>
      <c r="F635" s="1"/>
      <c r="G635" s="1"/>
      <c r="H635" s="1"/>
      <c r="I635" s="1"/>
    </row>
    <row r="636" spans="2:9" ht="15.75" hidden="1" thickBot="1">
      <c r="B636" s="1"/>
      <c r="C636" s="3" t="str">
        <f ca="1">bra_responsible_applicant_lbl</f>
        <v>Responsible (Applicant)</v>
      </c>
      <c r="D636" s="1"/>
      <c r="E636" s="5"/>
      <c r="F636" s="1"/>
      <c r="G636" s="1"/>
      <c r="H636" s="1"/>
      <c r="I636" s="1"/>
    </row>
    <row r="637" spans="2:9" ht="15.75" hidden="1" thickBot="1">
      <c r="B637" s="1"/>
      <c r="C637" s="3"/>
      <c r="D637" s="1"/>
      <c r="E637" s="1"/>
      <c r="F637" s="1"/>
      <c r="G637" s="1"/>
      <c r="H637" s="1"/>
      <c r="I637" s="1"/>
    </row>
    <row r="638" spans="2:9" ht="15.75" hidden="1" thickBot="1">
      <c r="B638" s="1"/>
      <c r="C638" s="3" t="str">
        <f ca="1">bra_by_lbl</f>
        <v>By</v>
      </c>
      <c r="D638" s="1"/>
      <c r="E638" s="5"/>
      <c r="F638" s="1"/>
      <c r="G638" s="1"/>
      <c r="H638" s="1"/>
      <c r="I638" s="1"/>
    </row>
    <row r="639" spans="2:9" ht="15.75" hidden="1" thickBot="1">
      <c r="B639" s="1"/>
      <c r="C639" s="3"/>
      <c r="D639" s="1"/>
      <c r="E639" s="1"/>
      <c r="F639" s="1"/>
      <c r="G639" s="1"/>
      <c r="H639" s="1"/>
      <c r="I639" s="1"/>
    </row>
    <row r="640" spans="2:9" ht="15.75" hidden="1" thickBot="1">
      <c r="B640" s="1"/>
      <c r="C640" s="3" t="str">
        <f ca="1">bra_responible_cscrh_lbl</f>
        <v>Responsible (CSCRH)</v>
      </c>
      <c r="D640" s="1"/>
      <c r="E640" s="5"/>
      <c r="F640" s="1"/>
      <c r="G640" s="1"/>
      <c r="H640" s="1"/>
      <c r="I640" s="1"/>
    </row>
    <row r="641" spans="2:9" ht="15.75" hidden="1" thickBot="1">
      <c r="B641" s="1"/>
      <c r="C641" s="3"/>
      <c r="D641" s="1"/>
      <c r="E641" s="1"/>
      <c r="F641" s="1"/>
      <c r="G641" s="1"/>
      <c r="H641" s="1"/>
      <c r="I641" s="1"/>
    </row>
    <row r="642" spans="2:9" ht="15.75" hidden="1" thickBot="1">
      <c r="B642" s="1"/>
      <c r="C642" s="3" t="str">
        <f ca="1">bra_by_lbl</f>
        <v>By</v>
      </c>
      <c r="D642" s="1"/>
      <c r="E642" s="5"/>
      <c r="F642" s="1"/>
      <c r="G642" s="1"/>
      <c r="H642" s="1"/>
      <c r="I642" s="1"/>
    </row>
    <row r="643" spans="2:9" ht="15.75" hidden="1" thickBot="1">
      <c r="B643" s="1"/>
      <c r="C643" s="3"/>
      <c r="D643" s="1"/>
      <c r="E643" s="1"/>
      <c r="F643" s="1"/>
      <c r="G643" s="1"/>
      <c r="H643" s="1"/>
      <c r="I643" s="1"/>
    </row>
    <row r="644" spans="2:9" ht="15.75" hidden="1" thickBot="1">
      <c r="B644" s="1"/>
      <c r="C644" s="3" t="str">
        <f ca="1">bra_responsible_hr_lbl</f>
        <v>Responsible (HR of the BU)</v>
      </c>
      <c r="D644" s="1"/>
      <c r="E644" s="5"/>
      <c r="F644" s="1"/>
      <c r="G644" s="1"/>
      <c r="H644" s="1"/>
      <c r="I644" s="1"/>
    </row>
    <row r="645" spans="2:9" ht="15.75" hidden="1" thickBot="1">
      <c r="B645" s="1"/>
      <c r="C645" s="3"/>
      <c r="D645" s="1"/>
      <c r="E645" s="1"/>
      <c r="F645" s="1"/>
      <c r="G645" s="1"/>
      <c r="H645" s="1"/>
      <c r="I645" s="1"/>
    </row>
    <row r="646" spans="2:9" ht="15.75" hidden="1" thickBot="1">
      <c r="B646" s="1"/>
      <c r="C646" s="3" t="str">
        <f ca="1">bra_by_lbl</f>
        <v>By</v>
      </c>
      <c r="D646" s="1"/>
      <c r="E646" s="5"/>
      <c r="F646" s="1"/>
      <c r="G646" s="1"/>
      <c r="H646" s="1"/>
      <c r="I646" s="1"/>
    </row>
    <row r="647" spans="2:9" hidden="1">
      <c r="B647" s="1"/>
      <c r="C647" s="3"/>
      <c r="D647" s="1"/>
      <c r="E647" s="1"/>
      <c r="F647" s="1"/>
      <c r="G647" s="1"/>
      <c r="H647" s="1"/>
      <c r="I647" s="1"/>
    </row>
    <row r="648" spans="2:9" hidden="1">
      <c r="B648" s="7"/>
      <c r="C648" s="30" t="str">
        <f ca="1">bra_condition_admission_lbl</f>
        <v>Condition of Admission</v>
      </c>
      <c r="D648" s="7"/>
      <c r="E648" s="7"/>
      <c r="F648" s="7"/>
      <c r="G648" s="7"/>
      <c r="H648" s="7"/>
      <c r="I648" s="7"/>
    </row>
    <row r="649" spans="2:9" ht="15.75" hidden="1" thickBot="1">
      <c r="B649" s="1"/>
      <c r="C649" s="3"/>
      <c r="D649" s="1"/>
      <c r="E649" s="1"/>
      <c r="F649" s="1"/>
      <c r="G649" s="1"/>
      <c r="H649" s="1"/>
      <c r="I649" s="1"/>
    </row>
    <row r="650" spans="2:9" ht="15.75" hidden="1" thickBot="1">
      <c r="B650" s="1"/>
      <c r="C650" s="3" t="str">
        <f ca="1">bra_permanent_lbl</f>
        <v>Permanent (for  the replacement of: Name/ID)</v>
      </c>
      <c r="D650" s="1"/>
      <c r="E650" s="5"/>
      <c r="F650" s="1"/>
      <c r="G650" s="1"/>
      <c r="H650" s="1"/>
      <c r="I650" s="1"/>
    </row>
    <row r="651" spans="2:9" hidden="1">
      <c r="B651" s="1"/>
      <c r="C651" s="3"/>
      <c r="D651" s="1"/>
      <c r="E651" s="1"/>
      <c r="F651" s="1"/>
      <c r="G651" s="1"/>
      <c r="H651" s="1"/>
      <c r="I651" s="1"/>
    </row>
    <row r="652" spans="2:9" hidden="1">
      <c r="B652" s="1"/>
      <c r="C652" s="114" t="str">
        <f ca="1">bra_permanent_org_chart_lbl</f>
        <v>Permanent - Org Chart Promotion  (In the case of a picture increase it is necessary to be sent a copy of this request to the controller of your division)</v>
      </c>
      <c r="D652" s="114"/>
      <c r="E652" s="114"/>
      <c r="F652" s="114"/>
      <c r="G652" s="1"/>
      <c r="H652" s="1"/>
      <c r="I652" s="1"/>
    </row>
    <row r="653" spans="2:9" hidden="1">
      <c r="B653" s="1"/>
      <c r="C653" s="3"/>
      <c r="D653" s="1"/>
      <c r="E653" s="1"/>
      <c r="F653" s="1"/>
      <c r="G653" s="1"/>
      <c r="H653" s="1"/>
      <c r="I653" s="1"/>
    </row>
    <row r="654" spans="2:9" hidden="1">
      <c r="B654" s="7"/>
      <c r="C654" s="30" t="str">
        <f ca="1">bra_controlling_data_lbl</f>
        <v>Controller Data</v>
      </c>
      <c r="D654" s="7"/>
      <c r="E654" s="7"/>
      <c r="F654" s="7"/>
      <c r="G654" s="7"/>
      <c r="H654" s="7"/>
      <c r="I654" s="7"/>
    </row>
    <row r="655" spans="2:9" ht="15.75" hidden="1" thickBot="1">
      <c r="B655" s="1"/>
      <c r="C655" s="3"/>
      <c r="D655" s="1"/>
      <c r="E655" s="1"/>
      <c r="F655" s="1"/>
      <c r="G655" s="1"/>
      <c r="H655" s="1"/>
      <c r="I655" s="1"/>
    </row>
    <row r="656" spans="2:9" ht="15.75" hidden="1" thickBot="1">
      <c r="B656" s="1"/>
      <c r="C656" s="3" t="str">
        <f ca="1">bra_requirements_lbl</f>
        <v xml:space="preserve">Requirements </v>
      </c>
      <c r="D656" s="1"/>
      <c r="E656" s="5"/>
      <c r="F656" s="1"/>
      <c r="G656" s="1"/>
      <c r="H656" s="1"/>
      <c r="I656" s="1"/>
    </row>
    <row r="657" spans="2:9" ht="15.75" hidden="1" thickBot="1">
      <c r="B657" s="1"/>
      <c r="C657" s="3"/>
      <c r="D657" s="1"/>
      <c r="E657" s="1"/>
      <c r="F657" s="1"/>
      <c r="G657" s="1"/>
      <c r="H657" s="1"/>
      <c r="I657" s="1"/>
    </row>
    <row r="658" spans="2:9" ht="15.75" hidden="1" thickBot="1">
      <c r="B658" s="1"/>
      <c r="C658" s="3" t="str">
        <f ca="1">bra_elements_mand_filling_lbl</f>
        <v xml:space="preserve">Elements of Mandatory Filling </v>
      </c>
      <c r="D658" s="1"/>
      <c r="E658" s="5"/>
      <c r="F658" s="1"/>
      <c r="G658" s="1"/>
      <c r="H658" s="1"/>
      <c r="I658" s="1"/>
    </row>
    <row r="659" spans="2:9" hidden="1">
      <c r="B659" s="1"/>
      <c r="C659" s="3"/>
      <c r="D659" s="1"/>
      <c r="E659" s="1"/>
      <c r="F659" s="1"/>
      <c r="G659" s="1"/>
      <c r="H659" s="1"/>
      <c r="I659" s="1"/>
    </row>
    <row r="660" spans="2:9" hidden="1">
      <c r="B660" s="7"/>
      <c r="C660" s="30" t="str">
        <f ca="1">mex_contract_data_lbl</f>
        <v>Contract Data</v>
      </c>
      <c r="D660" s="7"/>
      <c r="E660" s="7"/>
      <c r="F660" s="7"/>
      <c r="G660" s="7"/>
      <c r="H660" s="7"/>
      <c r="I660" s="7"/>
    </row>
    <row r="661" spans="2:9" ht="15.75" hidden="1" thickBot="1">
      <c r="B661" s="1"/>
      <c r="C661" s="3"/>
      <c r="D661" s="1"/>
      <c r="E661" s="1"/>
      <c r="F661" s="1"/>
      <c r="G661" s="1"/>
      <c r="H661" s="1"/>
      <c r="I661" s="1"/>
    </row>
    <row r="662" spans="2:9" ht="15.75" hidden="1" thickBot="1">
      <c r="B662" s="1"/>
      <c r="C662" s="3" t="str">
        <f ca="1">mex_transfer_bonus_lbl</f>
        <v>Transfer Bonus</v>
      </c>
      <c r="D662" s="1"/>
      <c r="E662" s="5"/>
      <c r="F662" s="1"/>
      <c r="G662" s="1"/>
      <c r="H662" s="1"/>
      <c r="I662" s="1"/>
    </row>
    <row r="663" spans="2:9" ht="15.75" hidden="1" thickBot="1">
      <c r="B663" s="1"/>
      <c r="C663" s="3"/>
      <c r="D663" s="1"/>
      <c r="E663" s="1"/>
      <c r="F663" s="1"/>
      <c r="G663" s="1"/>
      <c r="H663" s="1"/>
      <c r="I663" s="1"/>
    </row>
    <row r="664" spans="2:9" ht="15.75" hidden="1" thickBot="1">
      <c r="B664" s="1"/>
      <c r="C664" s="3" t="str">
        <f ca="1">mex_contribution_lbl</f>
        <v>Contribution</v>
      </c>
      <c r="D664" s="1"/>
      <c r="E664" s="5"/>
      <c r="F664" s="1"/>
      <c r="G664" s="1"/>
      <c r="H664" s="1"/>
      <c r="I664" s="1"/>
    </row>
    <row r="665" spans="2:9" ht="15.75" hidden="1" thickBot="1">
      <c r="B665" s="1"/>
      <c r="C665" s="3"/>
      <c r="D665" s="1"/>
      <c r="E665" s="1"/>
      <c r="F665" s="1"/>
      <c r="G665" s="1"/>
      <c r="H665" s="1"/>
      <c r="I665" s="1"/>
    </row>
    <row r="666" spans="2:9" ht="15.75" hidden="1" thickBot="1">
      <c r="B666" s="1"/>
      <c r="C666" s="3" t="str">
        <f ca="1">mex_comments_lbl</f>
        <v>Comments</v>
      </c>
      <c r="D666" s="1"/>
      <c r="E666" s="5"/>
      <c r="F666" s="1"/>
      <c r="G666" s="1"/>
      <c r="H666" s="1"/>
      <c r="I666" s="1"/>
    </row>
    <row r="667" spans="2:9" hidden="1">
      <c r="B667" s="1"/>
      <c r="C667" s="3"/>
      <c r="D667" s="1"/>
      <c r="E667" s="1"/>
      <c r="F667" s="1"/>
      <c r="G667" s="1"/>
      <c r="H667" s="1"/>
      <c r="I667" s="1"/>
    </row>
    <row r="668" spans="2:9" hidden="1">
      <c r="B668" s="7"/>
      <c r="C668" s="30" t="str">
        <f ca="1">mex_personal_details_lbl</f>
        <v>Personal Details</v>
      </c>
      <c r="D668" s="7"/>
      <c r="E668" s="7"/>
      <c r="F668" s="7"/>
      <c r="G668" s="7"/>
      <c r="H668" s="7"/>
      <c r="I668" s="7"/>
    </row>
    <row r="669" spans="2:9" ht="15.75" hidden="1" thickBot="1">
      <c r="B669" s="1"/>
      <c r="C669" s="3"/>
      <c r="D669" s="1"/>
      <c r="E669" s="1"/>
      <c r="F669" s="1"/>
      <c r="G669" s="1"/>
      <c r="H669" s="1"/>
      <c r="I669" s="1"/>
    </row>
    <row r="670" spans="2:9" ht="15.75" hidden="1" thickBot="1">
      <c r="B670" s="1"/>
      <c r="C670" s="3" t="str">
        <f ca="1">mex_reg_imss_lbl</f>
        <v>Registration in I.M.S.S</v>
      </c>
      <c r="D670" s="1"/>
      <c r="E670" s="5"/>
      <c r="F670" s="1"/>
      <c r="G670" s="1"/>
      <c r="H670" s="1"/>
      <c r="I670" s="1"/>
    </row>
    <row r="671" spans="2:9" ht="15.75" hidden="1" thickBot="1">
      <c r="B671" s="1"/>
      <c r="C671" s="3"/>
      <c r="D671" s="1"/>
      <c r="E671" s="1"/>
      <c r="F671" s="1"/>
      <c r="G671" s="1"/>
      <c r="H671" s="1"/>
      <c r="I671" s="1"/>
    </row>
    <row r="672" spans="2:9" ht="15.75" hidden="1" thickBot="1">
      <c r="B672" s="1"/>
      <c r="C672" s="3" t="str">
        <f ca="1">mex_rfc_lbl</f>
        <v>RFC (The Federal Taxpayers Registry)</v>
      </c>
      <c r="D672" s="1"/>
      <c r="E672" s="5"/>
      <c r="F672" s="1"/>
      <c r="G672" s="1"/>
      <c r="H672" s="1"/>
      <c r="I672" s="1"/>
    </row>
    <row r="673" spans="2:9" ht="15.75" hidden="1" thickBot="1">
      <c r="B673" s="1"/>
      <c r="C673" s="3"/>
      <c r="D673" s="1"/>
      <c r="E673" s="1"/>
      <c r="F673" s="1"/>
      <c r="G673" s="1"/>
      <c r="H673" s="1"/>
      <c r="I673" s="1"/>
    </row>
    <row r="674" spans="2:9" ht="15.75" hidden="1" thickBot="1">
      <c r="B674" s="1"/>
      <c r="C674" s="3" t="str">
        <f ca="1">mex_curp_lbl</f>
        <v>CURP (Unique Population Registry Code)</v>
      </c>
      <c r="D674" s="1"/>
      <c r="E674" s="5"/>
      <c r="F674" s="1"/>
      <c r="G674" s="1"/>
      <c r="H674" s="1"/>
      <c r="I674" s="1"/>
    </row>
    <row r="675" spans="2:9" ht="15.75" hidden="1" thickBot="1">
      <c r="B675" s="1"/>
      <c r="C675" s="3"/>
      <c r="D675" s="1"/>
      <c r="E675" s="1"/>
      <c r="F675" s="1"/>
      <c r="G675" s="1"/>
      <c r="H675" s="1"/>
      <c r="I675" s="1"/>
    </row>
    <row r="676" spans="2:9" ht="15.75" hidden="1" thickBot="1">
      <c r="B676" s="1"/>
      <c r="C676" s="3" t="str">
        <f ca="1">mex_marriage_date_lbl</f>
        <v>Marriaged Date</v>
      </c>
      <c r="D676" s="1"/>
      <c r="E676" s="5"/>
      <c r="F676" s="1"/>
      <c r="G676" s="1"/>
      <c r="H676" s="1"/>
      <c r="I676" s="1"/>
    </row>
    <row r="677" spans="2:9" ht="15.75" hidden="1" thickBot="1">
      <c r="B677" s="1"/>
      <c r="C677" s="3"/>
      <c r="D677" s="1"/>
      <c r="E677" s="1"/>
      <c r="F677" s="1"/>
      <c r="G677" s="1"/>
      <c r="H677" s="1"/>
      <c r="I677" s="1"/>
    </row>
    <row r="678" spans="2:9" ht="15.75" hidden="1" thickBot="1">
      <c r="B678" s="1"/>
      <c r="C678" s="3" t="str">
        <f ca="1">mex_payroll_card_lbl</f>
        <v>Payroll Card</v>
      </c>
      <c r="D678" s="1"/>
      <c r="E678" s="5"/>
      <c r="F678" s="1"/>
      <c r="G678" s="1"/>
      <c r="H678" s="1"/>
      <c r="I678" s="1"/>
    </row>
    <row r="679" spans="2:9" hidden="1">
      <c r="B679" s="1"/>
      <c r="C679" s="3"/>
      <c r="D679" s="1"/>
      <c r="E679" s="1"/>
      <c r="F679" s="1"/>
      <c r="G679" s="1"/>
      <c r="H679" s="1"/>
      <c r="I679" s="1"/>
    </row>
    <row r="680" spans="2:9" hidden="1">
      <c r="B680" s="7"/>
      <c r="C680" s="30" t="str">
        <f ca="1">mex_emergency_contact_lbl</f>
        <v xml:space="preserve">Emergency Contact </v>
      </c>
      <c r="D680" s="7"/>
      <c r="E680" s="7"/>
      <c r="F680" s="7"/>
      <c r="G680" s="7"/>
      <c r="H680" s="7"/>
      <c r="I680" s="7"/>
    </row>
    <row r="681" spans="2:9" ht="15.75" hidden="1" thickBot="1">
      <c r="B681" s="1"/>
      <c r="C681" s="3"/>
      <c r="D681" s="1"/>
      <c r="E681" s="1"/>
      <c r="F681" s="1"/>
      <c r="G681" s="1"/>
      <c r="H681" s="1"/>
      <c r="I681" s="1"/>
    </row>
    <row r="682" spans="2:9" ht="15.75" hidden="1" thickBot="1">
      <c r="B682" s="1"/>
      <c r="C682" s="3" t="str">
        <f ca="1">mex_blood_group_lbl</f>
        <v>Blood Group</v>
      </c>
      <c r="D682" s="1"/>
      <c r="E682" s="5"/>
      <c r="F682" s="1"/>
      <c r="G682" s="1"/>
      <c r="H682" s="1"/>
      <c r="I682" s="1"/>
    </row>
    <row r="683" spans="2:9" hidden="1">
      <c r="B683" s="1"/>
      <c r="C683" s="3"/>
      <c r="D683" s="1"/>
      <c r="E683" s="1"/>
      <c r="F683" s="1"/>
      <c r="G683" s="1"/>
      <c r="H683" s="1"/>
      <c r="I683" s="1"/>
    </row>
    <row r="684" spans="2:9" hidden="1">
      <c r="B684" s="7"/>
      <c r="C684" s="30" t="str">
        <f ca="1">mex_misc_data_lbl</f>
        <v>Miscellanious Data</v>
      </c>
      <c r="D684" s="7"/>
      <c r="E684" s="7"/>
      <c r="F684" s="7"/>
      <c r="G684" s="7"/>
      <c r="H684" s="7"/>
      <c r="I684" s="7"/>
    </row>
    <row r="685" spans="2:9" ht="15.75" hidden="1" thickBot="1">
      <c r="B685" s="1"/>
      <c r="C685" s="3"/>
      <c r="D685" s="1"/>
      <c r="E685" s="1"/>
      <c r="F685" s="1"/>
      <c r="G685" s="1"/>
      <c r="H685" s="1"/>
      <c r="I685" s="1"/>
    </row>
    <row r="686" spans="2:9" ht="15.75" hidden="1" thickBot="1">
      <c r="B686" s="1"/>
      <c r="C686" s="3" t="str">
        <f ca="1">mex_created_by_lbl</f>
        <v>Created by</v>
      </c>
      <c r="D686" s="1"/>
      <c r="E686" s="5"/>
      <c r="F686" s="1"/>
      <c r="G686" s="1"/>
      <c r="H686" s="1"/>
      <c r="I686" s="1"/>
    </row>
    <row r="687" spans="2:9" ht="15.75" hidden="1" thickBot="1">
      <c r="B687" s="1"/>
      <c r="C687" s="3"/>
      <c r="D687" s="1"/>
      <c r="E687" s="1"/>
      <c r="F687" s="1"/>
      <c r="G687" s="1"/>
      <c r="H687" s="1"/>
      <c r="I687" s="1"/>
    </row>
    <row r="688" spans="2:9" ht="15.75" hidden="1" thickBot="1">
      <c r="B688" s="1"/>
      <c r="C688" s="3" t="str">
        <f ca="1">mex_validated_by_lbl</f>
        <v>Validated by</v>
      </c>
      <c r="D688" s="1"/>
      <c r="E688" s="5"/>
      <c r="F688" s="1"/>
      <c r="G688" s="1"/>
      <c r="H688" s="1"/>
      <c r="I688" s="1"/>
    </row>
    <row r="689" spans="2:9" ht="15.75" hidden="1" thickBot="1">
      <c r="B689" s="1"/>
      <c r="C689" s="3"/>
      <c r="D689" s="1"/>
      <c r="E689" s="1"/>
      <c r="F689" s="1"/>
      <c r="G689" s="1"/>
      <c r="H689" s="1"/>
      <c r="I689" s="1"/>
    </row>
    <row r="690" spans="2:9" ht="15.75" hidden="1" thickBot="1">
      <c r="B690" s="1"/>
      <c r="C690" s="3" t="str">
        <f ca="1">mex_hr_name_sign_lbl</f>
        <v>HR Director (Name and Signature)</v>
      </c>
      <c r="D690" s="1"/>
      <c r="E690" s="5"/>
      <c r="F690" s="1"/>
      <c r="G690" s="1"/>
      <c r="H690" s="1"/>
      <c r="I690" s="1"/>
    </row>
    <row r="691" spans="2:9" hidden="1">
      <c r="B691" s="1"/>
      <c r="C691" s="3"/>
      <c r="D691" s="1"/>
      <c r="E691" s="1"/>
      <c r="F691" s="1"/>
      <c r="G691" s="1"/>
      <c r="H691" s="1"/>
      <c r="I691" s="1"/>
    </row>
    <row r="692" spans="2:9" hidden="1">
      <c r="B692" s="7"/>
      <c r="C692" s="30" t="str">
        <f ca="1">nic_application_desc_lbl</f>
        <v>Application Description</v>
      </c>
      <c r="D692" s="7"/>
      <c r="E692" s="7"/>
      <c r="F692" s="7"/>
      <c r="G692" s="7"/>
      <c r="H692" s="7"/>
      <c r="I692" s="7"/>
    </row>
    <row r="693" spans="2:9" hidden="1">
      <c r="B693" s="1"/>
      <c r="C693" s="3"/>
      <c r="D693" s="1"/>
      <c r="E693" s="1"/>
      <c r="F693" s="1"/>
      <c r="G693" s="1"/>
      <c r="H693" s="1"/>
      <c r="I693" s="1"/>
    </row>
    <row r="694" spans="2:9" hidden="1">
      <c r="B694" s="1"/>
      <c r="C694" s="115" t="str">
        <f ca="1">nic_new_hire_repl_lbl</f>
        <v>New hire/Replacement (Associate´s No. And Name to be Replaced; Replacement Reason)</v>
      </c>
      <c r="D694" s="115"/>
      <c r="E694" s="115"/>
      <c r="F694" s="1"/>
      <c r="G694" s="1"/>
      <c r="H694" s="1"/>
      <c r="I694" s="1"/>
    </row>
    <row r="695" spans="2:9" ht="15.75" hidden="1" thickBot="1">
      <c r="B695" s="1"/>
      <c r="C695" s="3"/>
      <c r="D695" s="1"/>
      <c r="E695" s="1"/>
      <c r="F695" s="1"/>
      <c r="G695" s="1"/>
      <c r="H695" s="1"/>
      <c r="I695" s="1"/>
    </row>
    <row r="696" spans="2:9" ht="15.75" hidden="1" thickBot="1">
      <c r="B696" s="1"/>
      <c r="C696" s="3" t="str">
        <f ca="1">nic_comments_lbl</f>
        <v>Comments</v>
      </c>
      <c r="D696" s="1"/>
      <c r="E696" s="5"/>
      <c r="F696" s="1"/>
      <c r="G696" s="1"/>
      <c r="H696" s="1"/>
      <c r="I696" s="1"/>
    </row>
    <row r="697" spans="2:9" hidden="1">
      <c r="B697" s="1"/>
      <c r="C697" s="3"/>
      <c r="D697" s="1"/>
      <c r="E697" s="1"/>
      <c r="F697" s="1"/>
      <c r="G697" s="1"/>
      <c r="H697" s="1"/>
      <c r="I697" s="1"/>
    </row>
    <row r="698" spans="2:9" hidden="1">
      <c r="B698" s="7"/>
      <c r="C698" s="30" t="str">
        <f ca="1">nic_signatures_lbl</f>
        <v xml:space="preserve">Signatures </v>
      </c>
      <c r="D698" s="7"/>
      <c r="E698" s="7"/>
      <c r="F698" s="7"/>
      <c r="G698" s="7"/>
      <c r="H698" s="7"/>
      <c r="I698" s="7"/>
    </row>
    <row r="699" spans="2:9" ht="15.75" hidden="1" thickBot="1">
      <c r="B699" s="1"/>
      <c r="C699" s="3"/>
      <c r="D699" s="1"/>
      <c r="E699" s="1"/>
      <c r="F699" s="1"/>
      <c r="G699" s="1"/>
      <c r="H699" s="1"/>
      <c r="I699" s="1"/>
    </row>
    <row r="700" spans="2:9" ht="15.75" hidden="1" thickBot="1">
      <c r="B700" s="1"/>
      <c r="C700" s="3" t="str">
        <f ca="1">nic_creation_date_lbl</f>
        <v>Creation Date</v>
      </c>
      <c r="D700" s="1"/>
      <c r="E700" s="5"/>
      <c r="F700" s="1"/>
      <c r="G700" s="1"/>
      <c r="H700" s="1"/>
      <c r="I700" s="1"/>
    </row>
    <row r="701" spans="2:9" ht="15.75" hidden="1" thickBot="1">
      <c r="B701" s="1"/>
      <c r="C701" s="3"/>
      <c r="D701" s="1"/>
      <c r="E701" s="1"/>
      <c r="F701" s="1"/>
      <c r="G701" s="1"/>
      <c r="H701" s="1"/>
      <c r="I701" s="1"/>
    </row>
    <row r="702" spans="2:9" ht="15.75" hidden="1" thickBot="1">
      <c r="B702" s="1"/>
      <c r="C702" s="3" t="str">
        <f ca="1">nic_date_received_lbl</f>
        <v>Date Received</v>
      </c>
      <c r="D702" s="1"/>
      <c r="E702" s="5"/>
      <c r="F702" s="1"/>
      <c r="G702" s="1"/>
      <c r="H702" s="1"/>
      <c r="I702" s="1"/>
    </row>
    <row r="703" spans="2:9" ht="15.75" hidden="1" thickBot="1">
      <c r="B703" s="1"/>
      <c r="C703" s="3"/>
      <c r="D703" s="1"/>
      <c r="E703" s="1"/>
      <c r="F703" s="1"/>
      <c r="G703" s="1"/>
      <c r="H703" s="1"/>
      <c r="I703" s="1"/>
    </row>
    <row r="704" spans="2:9" ht="15.75" hidden="1" thickBot="1">
      <c r="B704" s="1"/>
      <c r="C704" s="3" t="str">
        <f ca="1">nic_applied_date_lbl</f>
        <v>Applied Date</v>
      </c>
      <c r="D704" s="1"/>
      <c r="E704" s="5"/>
      <c r="F704" s="1"/>
      <c r="G704" s="1"/>
      <c r="H704" s="1"/>
      <c r="I704" s="1"/>
    </row>
    <row r="705" spans="2:9" ht="15.75" hidden="1" thickBot="1">
      <c r="B705" s="1"/>
      <c r="C705" s="3"/>
      <c r="D705" s="1"/>
      <c r="E705" s="1"/>
      <c r="F705" s="1"/>
      <c r="G705" s="1"/>
      <c r="H705" s="1"/>
      <c r="I705" s="1"/>
    </row>
    <row r="706" spans="2:9" ht="15.75" hidden="1" thickBot="1">
      <c r="B706" s="1"/>
      <c r="C706" s="3" t="str">
        <f ca="1">nic_hr_rep_lbl</f>
        <v>Created by HR Representative</v>
      </c>
      <c r="D706" s="1"/>
      <c r="E706" s="5"/>
      <c r="F706" s="1"/>
      <c r="G706" s="1"/>
      <c r="H706" s="1"/>
      <c r="I706" s="1"/>
    </row>
    <row r="707" spans="2:9" ht="15.75" hidden="1" thickBot="1">
      <c r="B707" s="1"/>
      <c r="C707" s="3"/>
      <c r="D707" s="1"/>
      <c r="E707" s="1"/>
      <c r="F707" s="1"/>
      <c r="G707" s="1"/>
      <c r="H707" s="1"/>
      <c r="I707" s="1"/>
    </row>
    <row r="708" spans="2:9" ht="15.75" hidden="1" thickBot="1">
      <c r="B708" s="1"/>
      <c r="C708" s="3" t="str">
        <f ca="1">nic_applied_payroll_lbl</f>
        <v>Applied: Payroll</v>
      </c>
      <c r="D708" s="1"/>
      <c r="E708" s="5"/>
      <c r="F708" s="1"/>
      <c r="G708" s="1"/>
      <c r="H708" s="1"/>
      <c r="I708" s="1"/>
    </row>
    <row r="709" spans="2:9" hidden="1">
      <c r="B709" s="1"/>
      <c r="C709" s="3"/>
      <c r="D709" s="1"/>
      <c r="E709" s="1"/>
      <c r="F709" s="1"/>
      <c r="G709" s="1"/>
      <c r="H709" s="1"/>
      <c r="I709" s="1"/>
    </row>
    <row r="710" spans="2:9" hidden="1">
      <c r="B710" s="7"/>
      <c r="C710" s="30" t="str">
        <f ca="1">per_personal_details_form_lbl</f>
        <v>Personal Details Form</v>
      </c>
      <c r="D710" s="7"/>
      <c r="E710" s="7"/>
      <c r="F710" s="7"/>
      <c r="G710" s="7"/>
      <c r="H710" s="7"/>
      <c r="I710" s="7"/>
    </row>
    <row r="711" spans="2:9" ht="15.75" hidden="1" thickBot="1">
      <c r="B711" s="1"/>
      <c r="C711" s="3"/>
      <c r="D711" s="1"/>
      <c r="E711" s="1"/>
      <c r="F711" s="1"/>
      <c r="G711" s="1"/>
      <c r="H711" s="1"/>
      <c r="I711" s="1"/>
    </row>
    <row r="712" spans="2:9" ht="30.75" hidden="1" thickBot="1">
      <c r="B712" s="1"/>
      <c r="C712" s="33" t="str">
        <f ca="1">per_cuil_lbl</f>
        <v>CUIL (unique code of labor identification) / N ° SOCIAL SECURITY / BOX OF INSCRIPTION OIL. (Do not stack to Peru)</v>
      </c>
      <c r="D712" s="1"/>
      <c r="E712" s="5"/>
      <c r="F712" s="1"/>
      <c r="G712" s="1"/>
      <c r="H712" s="1"/>
      <c r="I712" s="1"/>
    </row>
    <row r="713" spans="2:9" hidden="1">
      <c r="B713" s="1"/>
      <c r="C713" s="3"/>
      <c r="D713" s="1"/>
      <c r="E713" s="1"/>
      <c r="F713" s="1"/>
      <c r="G713" s="1"/>
      <c r="H713" s="1"/>
      <c r="I713" s="1"/>
    </row>
    <row r="714" spans="2:9" hidden="1">
      <c r="B714" s="7"/>
      <c r="C714" s="30" t="str">
        <f ca="1">per_education_lbl</f>
        <v>Education</v>
      </c>
      <c r="D714" s="7"/>
      <c r="E714" s="7"/>
      <c r="F714" s="7"/>
      <c r="G714" s="7"/>
      <c r="H714" s="7"/>
      <c r="I714" s="7"/>
    </row>
    <row r="715" spans="2:9" ht="15.75" hidden="1" thickBot="1">
      <c r="B715" s="1"/>
      <c r="C715" s="3"/>
      <c r="D715" s="1"/>
      <c r="E715" s="1"/>
      <c r="F715" s="1"/>
      <c r="G715" s="1"/>
      <c r="H715" s="1"/>
      <c r="I715" s="1"/>
    </row>
    <row r="716" spans="2:9" ht="15.75" hidden="1" thickBot="1">
      <c r="B716" s="1"/>
      <c r="C716" s="3" t="str">
        <f ca="1">per_end_date_lbl</f>
        <v>End Date</v>
      </c>
      <c r="D716" s="1"/>
      <c r="E716" s="5"/>
      <c r="F716" s="1"/>
      <c r="G716" s="1"/>
      <c r="H716" s="1"/>
      <c r="I716" s="1"/>
    </row>
    <row r="717" spans="2:9" ht="15.75" hidden="1" thickBot="1">
      <c r="B717" s="1"/>
      <c r="C717" s="3"/>
      <c r="D717" s="1"/>
      <c r="E717" s="1"/>
      <c r="F717" s="1"/>
      <c r="G717" s="1"/>
      <c r="H717" s="1"/>
      <c r="I717" s="1"/>
    </row>
    <row r="718" spans="2:9" ht="15.75" hidden="1" thickBot="1">
      <c r="B718" s="1"/>
      <c r="C718" s="3" t="str">
        <f ca="1">per_other_studies_lbl</f>
        <v>Other Studies/Courses</v>
      </c>
      <c r="D718" s="1"/>
      <c r="E718" s="5"/>
      <c r="F718" s="1"/>
      <c r="G718" s="1"/>
      <c r="H718" s="1"/>
      <c r="I718" s="1"/>
    </row>
    <row r="719" spans="2:9" hidden="1">
      <c r="B719" s="1"/>
      <c r="C719" s="3"/>
      <c r="D719" s="1"/>
      <c r="E719" s="1"/>
      <c r="F719" s="1"/>
      <c r="G719" s="1"/>
      <c r="H719" s="1"/>
      <c r="I719" s="1"/>
    </row>
    <row r="720" spans="2:9" hidden="1">
      <c r="B720" s="7"/>
      <c r="C720" s="30" t="str">
        <f ca="1">per_misc_data_lbl</f>
        <v>Miscellanious Data</v>
      </c>
      <c r="D720" s="7"/>
      <c r="E720" s="7"/>
      <c r="F720" s="7"/>
      <c r="G720" s="7"/>
      <c r="H720" s="7"/>
      <c r="I720" s="7"/>
    </row>
    <row r="721" spans="2:9" ht="15.75" hidden="1" thickBot="1">
      <c r="B721" s="1"/>
      <c r="C721" s="3"/>
      <c r="D721" s="1"/>
      <c r="E721" s="1"/>
      <c r="F721" s="1"/>
      <c r="G721" s="1"/>
      <c r="H721" s="1"/>
      <c r="I721" s="1"/>
    </row>
    <row r="722" spans="2:9" ht="15.75" hidden="1" thickBot="1">
      <c r="B722" s="1"/>
      <c r="C722" s="3" t="str">
        <f ca="1">per_sign_lbl</f>
        <v>Signature</v>
      </c>
      <c r="D722" s="1"/>
      <c r="E722" s="5"/>
      <c r="F722" s="1"/>
      <c r="G722" s="1"/>
      <c r="H722" s="1"/>
      <c r="I722" s="1"/>
    </row>
    <row r="723" spans="2:9" hidden="1">
      <c r="B723" s="1"/>
      <c r="C723" s="3"/>
      <c r="D723" s="1"/>
      <c r="E723" s="1"/>
      <c r="F723" s="1"/>
      <c r="G723" s="1"/>
      <c r="H723" s="1"/>
      <c r="I723" s="1"/>
    </row>
    <row r="724" spans="2:9" hidden="1">
      <c r="B724" s="7"/>
      <c r="C724" s="30" t="str">
        <f ca="1">hnd_application_desc_lbl</f>
        <v>Application Description</v>
      </c>
      <c r="D724" s="7"/>
      <c r="E724" s="7"/>
      <c r="F724" s="7"/>
      <c r="G724" s="7"/>
      <c r="H724" s="7"/>
      <c r="I724" s="7"/>
    </row>
    <row r="725" spans="2:9" ht="15.75" hidden="1" thickBot="1">
      <c r="B725" s="1"/>
      <c r="C725" s="3"/>
      <c r="D725" s="1"/>
      <c r="E725" s="1"/>
      <c r="F725" s="1"/>
      <c r="G725" s="1"/>
      <c r="H725" s="1"/>
      <c r="I725" s="1"/>
    </row>
    <row r="726" spans="2:9" ht="30.75" hidden="1" thickBot="1">
      <c r="B726" s="1"/>
      <c r="C726" s="33" t="str">
        <f ca="1">hnd_new_hire_replc_lbl</f>
        <v>New hire/Replacement (Employee No. And Name to be Replaced; Replacement Reason)</v>
      </c>
      <c r="D726" s="1"/>
      <c r="E726" s="5"/>
      <c r="F726" s="1"/>
      <c r="G726" s="1"/>
      <c r="H726" s="1"/>
      <c r="I726" s="1"/>
    </row>
    <row r="727" spans="2:9" ht="15.75" hidden="1" thickBot="1">
      <c r="B727" s="1"/>
      <c r="C727" s="3"/>
      <c r="D727" s="1"/>
      <c r="E727" s="1"/>
      <c r="F727" s="1"/>
      <c r="G727" s="1"/>
      <c r="H727" s="1"/>
      <c r="I727" s="1"/>
    </row>
    <row r="728" spans="2:9" ht="15.75" hidden="1" thickBot="1">
      <c r="B728" s="1"/>
      <c r="C728" s="3" t="str">
        <f ca="1">hnd_salary_increase_lbl</f>
        <v>Salary Increase (Current Monthly Salary;New Monthly Salary)</v>
      </c>
      <c r="D728" s="1"/>
      <c r="E728" s="5"/>
      <c r="F728" s="1"/>
      <c r="G728" s="1"/>
      <c r="H728" s="1"/>
      <c r="I728" s="1"/>
    </row>
    <row r="729" spans="2:9" ht="15.75" hidden="1" thickBot="1">
      <c r="B729" s="1"/>
      <c r="C729" s="3"/>
      <c r="D729" s="1"/>
      <c r="E729" s="1"/>
      <c r="F729" s="1"/>
      <c r="G729" s="1"/>
      <c r="H729" s="1"/>
      <c r="I729" s="1"/>
    </row>
    <row r="730" spans="2:9" ht="15.75" hidden="1" thickBot="1">
      <c r="B730" s="1"/>
      <c r="C730" s="3" t="str">
        <f ca="1">hnd_comments_lbl</f>
        <v xml:space="preserve">Comments </v>
      </c>
      <c r="D730" s="1"/>
      <c r="E730" s="5"/>
      <c r="F730" s="1"/>
      <c r="G730" s="1"/>
      <c r="H730" s="1"/>
      <c r="I730" s="1"/>
    </row>
    <row r="731" spans="2:9" hidden="1">
      <c r="B731" s="1"/>
      <c r="C731" s="3"/>
      <c r="D731" s="1"/>
      <c r="E731" s="1"/>
      <c r="F731" s="1"/>
      <c r="G731" s="1"/>
      <c r="H731" s="1"/>
      <c r="I731" s="1"/>
    </row>
    <row r="732" spans="2:9" hidden="1">
      <c r="B732" s="7"/>
      <c r="C732" s="30" t="str">
        <f ca="1">hnd_signatures_lbl</f>
        <v xml:space="preserve">Signatures </v>
      </c>
      <c r="D732" s="7"/>
      <c r="E732" s="7"/>
      <c r="F732" s="7"/>
      <c r="G732" s="7"/>
      <c r="H732" s="7"/>
      <c r="I732" s="7"/>
    </row>
    <row r="733" spans="2:9" ht="15.75" hidden="1" thickBot="1">
      <c r="B733" s="1"/>
      <c r="C733" s="3"/>
      <c r="D733" s="1"/>
      <c r="E733" s="1"/>
      <c r="F733" s="1"/>
      <c r="G733" s="1"/>
      <c r="H733" s="1"/>
      <c r="I733" s="1"/>
    </row>
    <row r="734" spans="2:9" ht="15.75" hidden="1" thickBot="1">
      <c r="B734" s="1"/>
      <c r="C734" s="3" t="str">
        <f ca="1">hnd_creation_date_lbl</f>
        <v>Creation Date</v>
      </c>
      <c r="D734" s="1"/>
      <c r="E734" s="5"/>
      <c r="F734" s="1"/>
      <c r="G734" s="1"/>
      <c r="H734" s="1"/>
      <c r="I734" s="1"/>
    </row>
    <row r="735" spans="2:9" ht="15.75" hidden="1" thickBot="1">
      <c r="B735" s="1"/>
      <c r="C735" s="3"/>
      <c r="D735" s="1"/>
      <c r="E735" s="1"/>
      <c r="F735" s="1"/>
      <c r="G735" s="1"/>
      <c r="H735" s="1"/>
      <c r="I735" s="1"/>
    </row>
    <row r="736" spans="2:9" ht="15.75" hidden="1" thickBot="1">
      <c r="B736" s="1"/>
      <c r="C736" s="3" t="str">
        <f ca="1">hnd_applied_date_lbl</f>
        <v>Applied Date</v>
      </c>
      <c r="D736" s="1"/>
      <c r="E736" s="5"/>
      <c r="F736" s="1"/>
      <c r="G736" s="1"/>
      <c r="H736" s="1"/>
      <c r="I736" s="1"/>
    </row>
    <row r="737" spans="2:9" ht="15.75" hidden="1" thickBot="1">
      <c r="B737" s="1"/>
      <c r="C737" s="3"/>
      <c r="D737" s="1"/>
      <c r="E737" s="1"/>
      <c r="F737" s="1"/>
      <c r="G737" s="1"/>
      <c r="H737" s="1"/>
      <c r="I737" s="1"/>
    </row>
    <row r="738" spans="2:9" ht="15.75" hidden="1" thickBot="1">
      <c r="B738" s="1"/>
      <c r="C738" s="3" t="str">
        <f ca="1">hnd_created_hr_lbl</f>
        <v xml:space="preserve">Created by HR Representative </v>
      </c>
      <c r="D738" s="1"/>
      <c r="E738" s="5"/>
      <c r="F738" s="1"/>
      <c r="G738" s="1"/>
      <c r="H738" s="1"/>
      <c r="I738" s="1"/>
    </row>
    <row r="739" spans="2:9" ht="15.75" hidden="1" thickBot="1">
      <c r="B739" s="1"/>
      <c r="C739" s="3"/>
      <c r="D739" s="1"/>
      <c r="E739" s="1"/>
      <c r="F739" s="1"/>
      <c r="G739" s="1"/>
      <c r="H739" s="1"/>
      <c r="I739" s="1"/>
    </row>
    <row r="740" spans="2:9" ht="15.75" hidden="1" thickBot="1">
      <c r="B740" s="1"/>
      <c r="C740" s="3" t="str">
        <f ca="1">hnd_applied_payroll_lbl</f>
        <v>Applied: Payroll</v>
      </c>
      <c r="D740" s="1"/>
      <c r="E740" s="5"/>
      <c r="F740" s="1"/>
      <c r="G740" s="1"/>
      <c r="H740" s="1"/>
      <c r="I740" s="1"/>
    </row>
    <row r="741" spans="2:9" hidden="1">
      <c r="B741" s="1"/>
      <c r="C741" s="3"/>
      <c r="D741" s="1"/>
      <c r="E741" s="1"/>
      <c r="F741" s="1"/>
      <c r="G741" s="1"/>
      <c r="H741" s="1"/>
      <c r="I741" s="1"/>
    </row>
    <row r="742" spans="2:9" hidden="1">
      <c r="B742" s="7"/>
      <c r="C742" s="30" t="str">
        <f ca="1">gtm_employee_data_lbl</f>
        <v>Employee Data</v>
      </c>
      <c r="D742" s="7"/>
      <c r="E742" s="7"/>
      <c r="F742" s="7"/>
      <c r="G742" s="7"/>
      <c r="H742" s="7"/>
      <c r="I742" s="7"/>
    </row>
    <row r="743" spans="2:9" ht="15.75" hidden="1" thickBot="1">
      <c r="B743" s="1"/>
      <c r="C743" s="3"/>
      <c r="D743" s="1"/>
      <c r="E743" s="1"/>
      <c r="F743" s="1"/>
      <c r="G743" s="1"/>
      <c r="H743" s="1"/>
      <c r="I743" s="1"/>
    </row>
    <row r="744" spans="2:9" ht="30.75" hidden="1" thickBot="1">
      <c r="B744" s="1"/>
      <c r="C744" s="33" t="str">
        <f ca="1">gtm_dpi_lbl</f>
        <v>Place where the DPI was extended (Public document, personal and non-transferable)</v>
      </c>
      <c r="D744" s="1"/>
      <c r="E744" s="5"/>
      <c r="F744" s="1"/>
      <c r="G744" s="1"/>
      <c r="H744" s="1"/>
      <c r="I744" s="1"/>
    </row>
    <row r="745" spans="2:9" ht="15.75" hidden="1" thickBot="1">
      <c r="B745" s="1"/>
      <c r="C745" s="3"/>
      <c r="D745" s="1"/>
      <c r="E745" s="1"/>
      <c r="F745" s="1"/>
      <c r="G745" s="1"/>
      <c r="H745" s="1"/>
      <c r="I745" s="1"/>
    </row>
    <row r="746" spans="2:9" ht="15.75" hidden="1" thickBot="1">
      <c r="B746" s="1"/>
      <c r="C746" s="3" t="str">
        <f ca="1">gtm_occupation_lbl</f>
        <v>Ocupation</v>
      </c>
      <c r="D746" s="1"/>
      <c r="E746" s="5"/>
      <c r="F746" s="1"/>
      <c r="G746" s="1"/>
      <c r="H746" s="1"/>
      <c r="I746" s="1"/>
    </row>
    <row r="747" spans="2:9" ht="15.75" hidden="1" thickBot="1">
      <c r="B747" s="1"/>
      <c r="C747" s="3"/>
      <c r="D747" s="1"/>
      <c r="E747" s="1"/>
      <c r="F747" s="1"/>
      <c r="G747" s="1"/>
      <c r="H747" s="1"/>
      <c r="I747" s="1"/>
    </row>
    <row r="748" spans="2:9" ht="15.75" hidden="1" thickBot="1">
      <c r="B748" s="1"/>
      <c r="C748" s="3" t="str">
        <f ca="1">gtm_avg_third_fourteen_lbl</f>
        <v>Average for Third and Fourteen</v>
      </c>
      <c r="D748" s="1"/>
      <c r="E748" s="5"/>
      <c r="F748" s="1"/>
      <c r="G748" s="1"/>
      <c r="H748" s="1"/>
      <c r="I748" s="1"/>
    </row>
    <row r="749" spans="2:9" hidden="1">
      <c r="B749" s="1"/>
      <c r="C749" s="3"/>
      <c r="D749" s="1"/>
      <c r="E749" s="1"/>
      <c r="F749" s="1"/>
      <c r="G749" s="1"/>
      <c r="H749" s="1"/>
      <c r="I749" s="1"/>
    </row>
    <row r="750" spans="2:9" hidden="1">
      <c r="B750" s="7"/>
      <c r="C750" s="30" t="str">
        <f ca="1">gtm_application_desc_lbl</f>
        <v>Application Description</v>
      </c>
      <c r="D750" s="7"/>
      <c r="E750" s="7"/>
      <c r="F750" s="7"/>
      <c r="G750" s="7"/>
      <c r="H750" s="7"/>
      <c r="I750" s="7"/>
    </row>
    <row r="751" spans="2:9" ht="15.75" hidden="1" thickBot="1">
      <c r="B751" s="1"/>
      <c r="C751" s="3"/>
      <c r="D751" s="1"/>
      <c r="E751" s="1"/>
      <c r="F751" s="1"/>
      <c r="G751" s="1"/>
      <c r="H751" s="1"/>
      <c r="I751" s="1"/>
    </row>
    <row r="752" spans="2:9" ht="30.75" hidden="1" thickBot="1">
      <c r="B752" s="1"/>
      <c r="C752" s="33" t="str">
        <f ca="1">gtm_new_hire_replc_lbl</f>
        <v>New hire/Replacement (Employee No. And Name to be Replaced; Replacement Reason)</v>
      </c>
      <c r="D752" s="1"/>
      <c r="E752" s="5"/>
      <c r="F752" s="1"/>
      <c r="G752" s="1"/>
      <c r="H752" s="1"/>
      <c r="I752" s="1"/>
    </row>
    <row r="753" spans="2:9" ht="15.75" hidden="1" thickBot="1">
      <c r="B753" s="1"/>
      <c r="C753" s="3"/>
      <c r="D753" s="1"/>
      <c r="E753" s="1"/>
      <c r="F753" s="1"/>
      <c r="G753" s="1"/>
      <c r="H753" s="1"/>
      <c r="I753" s="1"/>
    </row>
    <row r="754" spans="2:9" ht="15.75" hidden="1" thickBot="1">
      <c r="B754" s="1"/>
      <c r="C754" s="3" t="str">
        <f ca="1">gtm_salary_increase_lbl</f>
        <v>Salary Increase (Current Monthly Salary;New Monthly Salary)</v>
      </c>
      <c r="D754" s="1"/>
      <c r="E754" s="5"/>
      <c r="F754" s="1"/>
      <c r="G754" s="1"/>
      <c r="H754" s="1"/>
      <c r="I754" s="1"/>
    </row>
    <row r="755" spans="2:9" ht="15.75" hidden="1" thickBot="1">
      <c r="B755" s="1"/>
      <c r="C755" s="3"/>
      <c r="D755" s="1"/>
      <c r="E755" s="1"/>
      <c r="F755" s="1"/>
      <c r="G755" s="1"/>
      <c r="H755" s="1"/>
      <c r="I755" s="1"/>
    </row>
    <row r="756" spans="2:9" ht="15.75" hidden="1" thickBot="1">
      <c r="B756" s="1"/>
      <c r="C756" s="3" t="str">
        <f ca="1">gtm_comments_lbl</f>
        <v>Comments</v>
      </c>
      <c r="D756" s="1"/>
      <c r="E756" s="5"/>
      <c r="F756" s="1"/>
      <c r="G756" s="1"/>
      <c r="H756" s="1"/>
      <c r="I756" s="1"/>
    </row>
    <row r="757" spans="2:9" hidden="1">
      <c r="B757" s="1"/>
      <c r="C757" s="3"/>
      <c r="D757" s="1"/>
      <c r="E757" s="1"/>
      <c r="F757" s="1"/>
      <c r="G757" s="1"/>
      <c r="H757" s="1"/>
      <c r="I757" s="1"/>
    </row>
    <row r="758" spans="2:9" hidden="1">
      <c r="B758" s="7"/>
      <c r="C758" s="30" t="str">
        <f ca="1">gtm_signatures_lbl</f>
        <v xml:space="preserve">Signatures </v>
      </c>
      <c r="D758" s="7"/>
      <c r="E758" s="7"/>
      <c r="F758" s="7"/>
      <c r="G758" s="7"/>
      <c r="H758" s="7"/>
      <c r="I758" s="7"/>
    </row>
    <row r="759" spans="2:9" ht="15.75" hidden="1" thickBot="1">
      <c r="B759" s="1"/>
      <c r="C759" s="3"/>
      <c r="D759" s="1"/>
      <c r="E759" s="1"/>
      <c r="F759" s="1"/>
      <c r="G759" s="1"/>
      <c r="H759" s="1"/>
      <c r="I759" s="1"/>
    </row>
    <row r="760" spans="2:9" ht="15.75" hidden="1" thickBot="1">
      <c r="B760" s="1"/>
      <c r="C760" s="3" t="str">
        <f ca="1">gtm_date_received_lbl</f>
        <v>Date Received</v>
      </c>
      <c r="D760" s="1"/>
      <c r="E760" s="5"/>
      <c r="F760" s="1"/>
      <c r="G760" s="1"/>
      <c r="H760" s="1"/>
      <c r="I760" s="1"/>
    </row>
    <row r="761" spans="2:9" ht="15.75" hidden="1" thickBot="1">
      <c r="B761" s="1"/>
      <c r="C761" s="3"/>
      <c r="D761" s="1"/>
      <c r="E761" s="1"/>
      <c r="F761" s="1"/>
      <c r="G761" s="1"/>
      <c r="H761" s="1"/>
      <c r="I761" s="1"/>
    </row>
    <row r="762" spans="2:9" ht="15.75" hidden="1" thickBot="1">
      <c r="B762" s="1"/>
      <c r="C762" s="3" t="str">
        <f ca="1">gtm_applied_date_lbl</f>
        <v>Applied Date</v>
      </c>
      <c r="D762" s="1"/>
      <c r="E762" s="5"/>
      <c r="F762" s="1"/>
      <c r="G762" s="1"/>
      <c r="H762" s="1"/>
      <c r="I762" s="1"/>
    </row>
    <row r="763" spans="2:9" ht="15.75" hidden="1" thickBot="1">
      <c r="B763" s="1"/>
      <c r="C763" s="3"/>
      <c r="D763" s="1"/>
      <c r="E763" s="1"/>
      <c r="F763" s="1"/>
      <c r="G763" s="1"/>
      <c r="H763" s="1"/>
      <c r="I763" s="1"/>
    </row>
    <row r="764" spans="2:9" ht="15.75" hidden="1" thickBot="1">
      <c r="B764" s="1"/>
      <c r="C764" s="3" t="str">
        <f ca="1">gtm_hr_rep_lbl</f>
        <v xml:space="preserve">Created by HR Representative </v>
      </c>
      <c r="D764" s="1"/>
      <c r="E764" s="5"/>
      <c r="F764" s="1"/>
      <c r="G764" s="1"/>
      <c r="H764" s="1"/>
      <c r="I764" s="1"/>
    </row>
    <row r="765" spans="2:9" ht="15.75" hidden="1" thickBot="1">
      <c r="B765" s="1"/>
      <c r="C765" s="3"/>
      <c r="D765" s="1"/>
      <c r="E765" s="1"/>
      <c r="F765" s="1"/>
      <c r="G765" s="1"/>
      <c r="H765" s="1"/>
      <c r="I765" s="1"/>
    </row>
    <row r="766" spans="2:9" ht="15.75" hidden="1" thickBot="1">
      <c r="B766" s="1"/>
      <c r="C766" s="3" t="str">
        <f ca="1">gtm_applied_payroll_lbl</f>
        <v>Applied: Payroll</v>
      </c>
      <c r="D766" s="1"/>
      <c r="E766" s="5"/>
      <c r="F766" s="1"/>
      <c r="G766" s="1"/>
      <c r="H766" s="1"/>
      <c r="I766" s="1"/>
    </row>
    <row r="767" spans="2:9" hidden="1">
      <c r="B767" s="1"/>
      <c r="C767" s="3"/>
      <c r="D767" s="1"/>
      <c r="E767" s="1"/>
      <c r="F767" s="1"/>
      <c r="G767" s="1"/>
      <c r="H767" s="1"/>
      <c r="I767" s="1"/>
    </row>
    <row r="768" spans="2:9" hidden="1">
      <c r="B768" s="7"/>
      <c r="C768" s="30" t="str">
        <f ca="1">cri_employee_data_lbl</f>
        <v>Employee Data</v>
      </c>
      <c r="D768" s="7"/>
      <c r="E768" s="7"/>
      <c r="F768" s="7"/>
      <c r="G768" s="7"/>
      <c r="H768" s="7"/>
      <c r="I768" s="7"/>
    </row>
    <row r="769" spans="2:9" ht="15.75" hidden="1" thickBot="1">
      <c r="B769" s="1"/>
      <c r="C769" s="3"/>
      <c r="D769" s="1"/>
      <c r="E769" s="1"/>
      <c r="F769" s="1"/>
      <c r="G769" s="1"/>
      <c r="H769" s="1"/>
      <c r="I769" s="1"/>
    </row>
    <row r="770" spans="2:9" ht="15.75" hidden="1" thickBot="1">
      <c r="B770" s="1"/>
      <c r="C770" s="3" t="str">
        <f ca="1">cri_employee_no_lbl</f>
        <v>Employee No.</v>
      </c>
      <c r="D770" s="1"/>
      <c r="E770" s="5"/>
      <c r="F770" s="1"/>
      <c r="G770" s="1"/>
      <c r="H770" s="1"/>
      <c r="I770" s="1"/>
    </row>
    <row r="771" spans="2:9" hidden="1">
      <c r="B771" s="1"/>
      <c r="C771" s="3"/>
      <c r="D771" s="1"/>
      <c r="E771" s="1"/>
      <c r="F771" s="1"/>
      <c r="G771" s="1"/>
      <c r="H771" s="1"/>
      <c r="I771" s="1"/>
    </row>
    <row r="772" spans="2:9" hidden="1">
      <c r="B772" s="7"/>
      <c r="C772" s="30" t="str">
        <f ca="1">cri_application_desc_lbl</f>
        <v>Application Description</v>
      </c>
      <c r="D772" s="7"/>
      <c r="E772" s="7"/>
      <c r="F772" s="7"/>
      <c r="G772" s="7"/>
      <c r="H772" s="7"/>
      <c r="I772" s="7"/>
    </row>
    <row r="773" spans="2:9" ht="15.75" hidden="1" thickBot="1">
      <c r="B773" s="1"/>
      <c r="C773" s="3"/>
      <c r="D773" s="1"/>
      <c r="E773" s="1"/>
      <c r="F773" s="1"/>
      <c r="G773" s="1"/>
      <c r="H773" s="1"/>
      <c r="I773" s="1"/>
    </row>
    <row r="774" spans="2:9" ht="15.75" hidden="1" thickBot="1">
      <c r="B774" s="1"/>
      <c r="C774" s="3" t="str">
        <f ca="1">cri_replaces_lbl</f>
        <v>Replaces</v>
      </c>
      <c r="D774" s="1"/>
      <c r="E774" s="5"/>
      <c r="F774" s="1"/>
      <c r="G774" s="1"/>
      <c r="H774" s="1"/>
      <c r="I774" s="1"/>
    </row>
    <row r="775" spans="2:9" ht="15.75" hidden="1" thickBot="1">
      <c r="B775" s="1"/>
      <c r="C775" s="3"/>
      <c r="D775" s="1"/>
      <c r="E775" s="1"/>
      <c r="F775" s="1"/>
      <c r="G775" s="1"/>
      <c r="H775" s="1"/>
      <c r="I775" s="1"/>
    </row>
    <row r="776" spans="2:9" ht="15.75" hidden="1" thickBot="1">
      <c r="B776" s="1"/>
      <c r="C776" s="3" t="str">
        <f ca="1">cri_reason_lbl</f>
        <v>Reason</v>
      </c>
      <c r="D776" s="1"/>
      <c r="E776" s="5"/>
      <c r="F776" s="1"/>
      <c r="G776" s="1"/>
      <c r="H776" s="1"/>
      <c r="I776" s="1"/>
    </row>
    <row r="777" spans="2:9" ht="15.75" hidden="1" thickBot="1">
      <c r="B777" s="1"/>
      <c r="C777" s="3"/>
      <c r="D777" s="1"/>
      <c r="E777" s="1"/>
      <c r="F777" s="1"/>
      <c r="G777" s="1"/>
      <c r="H777" s="1"/>
      <c r="I777" s="1"/>
    </row>
    <row r="778" spans="2:9" ht="15.75" hidden="1" thickBot="1">
      <c r="B778" s="1"/>
      <c r="C778" s="3" t="str">
        <f ca="1">cri_transfer_lbl</f>
        <v xml:space="preserve">Transfer </v>
      </c>
      <c r="D778" s="1"/>
      <c r="E778" s="5"/>
      <c r="F778" s="1"/>
      <c r="G778" s="1"/>
      <c r="H778" s="1"/>
      <c r="I778" s="1"/>
    </row>
    <row r="779" spans="2:9" ht="15.75" hidden="1" thickBot="1">
      <c r="B779" s="1"/>
      <c r="C779" s="3"/>
      <c r="D779" s="1"/>
      <c r="E779" s="1"/>
      <c r="F779" s="1"/>
      <c r="G779" s="1"/>
      <c r="H779" s="1"/>
      <c r="I779" s="1"/>
    </row>
    <row r="780" spans="2:9" ht="15.75" hidden="1" thickBot="1">
      <c r="B780" s="1"/>
      <c r="C780" s="3" t="str">
        <f ca="1">cri_promotion_lbl</f>
        <v>Promotion</v>
      </c>
      <c r="D780" s="1"/>
      <c r="E780" s="5"/>
      <c r="F780" s="1"/>
      <c r="G780" s="1"/>
      <c r="H780" s="1"/>
      <c r="I780" s="1"/>
    </row>
    <row r="781" spans="2:9" ht="15.75" hidden="1" thickBot="1">
      <c r="B781" s="1"/>
      <c r="C781" s="3"/>
      <c r="D781" s="1"/>
      <c r="E781" s="1"/>
      <c r="F781" s="1"/>
      <c r="G781" s="1"/>
      <c r="H781" s="1"/>
      <c r="I781" s="1"/>
    </row>
    <row r="782" spans="2:9" ht="15.75" hidden="1" thickBot="1">
      <c r="B782" s="1"/>
      <c r="C782" s="3" t="str">
        <f ca="1">cri_other_lbl</f>
        <v>Other</v>
      </c>
      <c r="D782" s="1"/>
      <c r="E782" s="5"/>
      <c r="F782" s="1"/>
      <c r="G782" s="1"/>
      <c r="H782" s="1"/>
      <c r="I782" s="1"/>
    </row>
    <row r="783" spans="2:9" hidden="1">
      <c r="B783" s="1"/>
      <c r="C783" s="3"/>
      <c r="D783" s="1"/>
      <c r="E783" s="1"/>
      <c r="F783" s="1"/>
      <c r="G783" s="1"/>
      <c r="H783" s="1"/>
      <c r="I783" s="1"/>
    </row>
    <row r="784" spans="2:9" hidden="1">
      <c r="B784" s="7"/>
      <c r="C784" s="30" t="str">
        <f ca="1">cri_license_vac_lbl</f>
        <v>License/Vacations</v>
      </c>
      <c r="D784" s="7"/>
      <c r="E784" s="7"/>
      <c r="F784" s="7"/>
      <c r="G784" s="7"/>
      <c r="H784" s="7"/>
      <c r="I784" s="7"/>
    </row>
    <row r="785" spans="2:9" ht="15.75" hidden="1" thickBot="1">
      <c r="B785" s="1"/>
      <c r="C785" s="3"/>
      <c r="D785" s="1"/>
      <c r="E785" s="1"/>
      <c r="F785" s="1"/>
      <c r="G785" s="1"/>
      <c r="H785" s="1"/>
      <c r="I785" s="1"/>
    </row>
    <row r="786" spans="2:9" ht="15.75" hidden="1" thickBot="1">
      <c r="B786" s="1"/>
      <c r="C786" s="3" t="str">
        <f ca="1">cri_paid_leave_lbl</f>
        <v>Paid Leave</v>
      </c>
      <c r="D786" s="1"/>
      <c r="E786" s="5"/>
      <c r="F786" s="1"/>
      <c r="G786" s="1"/>
      <c r="H786" s="1"/>
      <c r="I786" s="1"/>
    </row>
    <row r="787" spans="2:9" ht="15.75" hidden="1" thickBot="1">
      <c r="B787" s="1"/>
      <c r="C787" s="3"/>
      <c r="D787" s="1"/>
      <c r="E787" s="1"/>
      <c r="F787" s="1"/>
      <c r="G787" s="1"/>
      <c r="H787" s="1"/>
      <c r="I787" s="1"/>
    </row>
    <row r="788" spans="2:9" ht="15.75" hidden="1" thickBot="1">
      <c r="B788" s="1"/>
      <c r="C788" s="3" t="str">
        <f ca="1">cri_unpaid_leave_lbl</f>
        <v>Unpaid Leave</v>
      </c>
      <c r="D788" s="1"/>
      <c r="E788" s="5"/>
      <c r="F788" s="1"/>
      <c r="G788" s="1"/>
      <c r="H788" s="1"/>
      <c r="I788" s="1"/>
    </row>
    <row r="789" spans="2:9" ht="15.75" hidden="1" thickBot="1">
      <c r="B789" s="1"/>
      <c r="C789" s="3"/>
      <c r="D789" s="1"/>
      <c r="E789" s="1"/>
      <c r="F789" s="1"/>
      <c r="G789" s="1"/>
      <c r="H789" s="1"/>
      <c r="I789" s="1"/>
    </row>
    <row r="790" spans="2:9" ht="15.75" hidden="1" thickBot="1">
      <c r="B790" s="1"/>
      <c r="C790" s="3" t="str">
        <f ca="1">cri_vacations_lbl</f>
        <v>Vacations (From/to; Days to enjoy)</v>
      </c>
      <c r="D790" s="1"/>
      <c r="E790" s="5"/>
      <c r="F790" s="1"/>
      <c r="G790" s="1"/>
      <c r="H790" s="1"/>
      <c r="I790" s="1"/>
    </row>
    <row r="791" spans="2:9" hidden="1">
      <c r="B791" s="1"/>
      <c r="C791" s="3"/>
      <c r="D791" s="1"/>
      <c r="E791" s="1"/>
      <c r="F791" s="1"/>
      <c r="G791" s="1"/>
      <c r="H791" s="1"/>
      <c r="I791" s="1"/>
    </row>
    <row r="792" spans="2:9" hidden="1">
      <c r="B792" s="7"/>
      <c r="C792" s="30" t="str">
        <f ca="1">cri_others_lbl</f>
        <v>Others</v>
      </c>
      <c r="D792" s="7"/>
      <c r="E792" s="7"/>
      <c r="F792" s="7"/>
      <c r="G792" s="7"/>
      <c r="H792" s="7"/>
      <c r="I792" s="7"/>
    </row>
    <row r="793" spans="2:9" ht="15.75" hidden="1" thickBot="1">
      <c r="B793" s="1"/>
      <c r="C793" s="3"/>
      <c r="D793" s="1"/>
      <c r="E793" s="1"/>
      <c r="F793" s="1"/>
      <c r="G793" s="1"/>
      <c r="H793" s="1"/>
      <c r="I793" s="1"/>
    </row>
    <row r="794" spans="2:9" ht="15.75" hidden="1" thickBot="1">
      <c r="B794" s="1"/>
      <c r="C794" s="3" t="str">
        <f ca="1">cri_trial_period_evaluation_lbl</f>
        <v>Trial Period Evaluation (From/to. Amount of days)</v>
      </c>
      <c r="D794" s="1"/>
      <c r="E794" s="5"/>
      <c r="F794" s="1"/>
      <c r="G794" s="1"/>
      <c r="H794" s="1"/>
      <c r="I794" s="1"/>
    </row>
    <row r="795" spans="2:9" ht="15.75" hidden="1" thickBot="1">
      <c r="B795" s="1"/>
      <c r="C795" s="3"/>
      <c r="D795" s="1"/>
      <c r="E795" s="1"/>
      <c r="F795" s="1"/>
      <c r="G795" s="1"/>
      <c r="H795" s="1"/>
      <c r="I795" s="1"/>
    </row>
    <row r="796" spans="2:9" ht="15.75" hidden="1" thickBot="1">
      <c r="B796" s="1"/>
      <c r="C796" s="3" t="str">
        <f ca="1">cri_resignation_lbl</f>
        <v>Resignation (Previous Notification/Yes;No/Last Day worked)</v>
      </c>
      <c r="D796" s="1"/>
      <c r="E796" s="5"/>
      <c r="F796" s="1"/>
      <c r="G796" s="1"/>
      <c r="H796" s="1"/>
      <c r="I796" s="1"/>
    </row>
    <row r="797" spans="2:9" ht="15.75" hidden="1" thickBot="1">
      <c r="B797" s="1"/>
      <c r="C797" s="3"/>
      <c r="D797" s="1"/>
      <c r="E797" s="1"/>
      <c r="F797" s="1"/>
      <c r="G797" s="1"/>
      <c r="H797" s="1"/>
      <c r="I797" s="1"/>
    </row>
    <row r="798" spans="2:9" ht="15.75" hidden="1" thickBot="1">
      <c r="B798" s="1"/>
      <c r="C798" s="3" t="str">
        <f ca="1">cri_desertion_lbl</f>
        <v>Desertion (Last Day Worked)</v>
      </c>
      <c r="D798" s="1"/>
      <c r="E798" s="5"/>
      <c r="F798" s="1"/>
      <c r="G798" s="1"/>
      <c r="H798" s="1"/>
      <c r="I798" s="1"/>
    </row>
    <row r="799" spans="2:9" ht="15.75" hidden="1" thickBot="1">
      <c r="B799" s="1"/>
      <c r="C799" s="3"/>
      <c r="D799" s="1"/>
      <c r="E799" s="1"/>
      <c r="F799" s="1"/>
      <c r="G799" s="1"/>
      <c r="H799" s="1"/>
      <c r="I799" s="1"/>
    </row>
    <row r="800" spans="2:9" ht="15.75" hidden="1" thickBot="1">
      <c r="B800" s="1"/>
      <c r="C800" s="3" t="str">
        <f ca="1">cri_dismissal_without_cause_lbl</f>
        <v>Dismissal Without Cause (Start Date; Seniority)</v>
      </c>
      <c r="D800" s="1"/>
      <c r="E800" s="5"/>
      <c r="F800" s="1"/>
      <c r="G800" s="1"/>
      <c r="H800" s="1"/>
      <c r="I800" s="1"/>
    </row>
    <row r="801" spans="2:9" ht="15.75" hidden="1" thickBot="1">
      <c r="B801" s="1"/>
      <c r="C801" s="3"/>
      <c r="D801" s="1"/>
      <c r="E801" s="1"/>
      <c r="F801" s="1"/>
      <c r="G801" s="1"/>
      <c r="H801" s="1"/>
      <c r="I801" s="1"/>
    </row>
    <row r="802" spans="2:9" ht="15.75" hidden="1" thickBot="1">
      <c r="B802" s="1"/>
      <c r="C802" s="3" t="str">
        <f ca="1">cri_dismissal_with_cause_lbl</f>
        <v>Dismissal With Cause  (Start Date; Seniority)</v>
      </c>
      <c r="D802" s="1"/>
      <c r="E802" s="5"/>
      <c r="F802" s="1"/>
      <c r="G802" s="1"/>
      <c r="H802" s="1"/>
      <c r="I802" s="1"/>
    </row>
    <row r="803" spans="2:9" ht="15.75" hidden="1" thickBot="1">
      <c r="B803" s="1"/>
      <c r="C803" s="3"/>
      <c r="D803" s="1"/>
      <c r="E803" s="1"/>
      <c r="F803" s="1"/>
      <c r="G803" s="1"/>
      <c r="H803" s="1"/>
      <c r="I803" s="1"/>
    </row>
    <row r="804" spans="2:9" ht="15.75" hidden="1" thickBot="1">
      <c r="B804" s="1"/>
      <c r="C804" s="3" t="str">
        <f ca="1">cri_description_lbl</f>
        <v>Description</v>
      </c>
      <c r="D804" s="1"/>
      <c r="E804" s="5"/>
      <c r="F804" s="1"/>
      <c r="G804" s="1"/>
      <c r="H804" s="1"/>
      <c r="I804" s="1"/>
    </row>
    <row r="805" spans="2:9" ht="15.75" hidden="1" thickBot="1">
      <c r="B805" s="1"/>
      <c r="C805" s="3"/>
      <c r="D805" s="1"/>
      <c r="E805" s="1"/>
      <c r="F805" s="1"/>
      <c r="G805" s="1"/>
      <c r="H805" s="1"/>
      <c r="I805" s="1"/>
    </row>
    <row r="806" spans="2:9" ht="15.75" hidden="1" thickBot="1">
      <c r="B806" s="1"/>
      <c r="C806" s="3" t="str">
        <f ca="1">cri_others_1_lbl</f>
        <v>others</v>
      </c>
      <c r="D806" s="1"/>
      <c r="E806" s="5"/>
      <c r="F806" s="1"/>
      <c r="G806" s="1"/>
      <c r="H806" s="1"/>
      <c r="I806" s="1"/>
    </row>
    <row r="807" spans="2:9" hidden="1">
      <c r="B807" s="1"/>
      <c r="C807" s="3"/>
      <c r="D807" s="1"/>
      <c r="E807" s="1"/>
      <c r="F807" s="1"/>
      <c r="G807" s="1"/>
      <c r="H807" s="1"/>
      <c r="I807" s="1"/>
    </row>
    <row r="808" spans="2:9" hidden="1">
      <c r="B808" s="7"/>
      <c r="C808" s="30" t="str">
        <f ca="1">cri_observation_comm_lbl</f>
        <v>Observations/Comments</v>
      </c>
      <c r="D808" s="7"/>
      <c r="E808" s="7"/>
      <c r="F808" s="7"/>
      <c r="G808" s="7"/>
      <c r="H808" s="7"/>
      <c r="I808" s="7"/>
    </row>
    <row r="809" spans="2:9" ht="15.75" hidden="1" thickBot="1">
      <c r="B809" s="1"/>
      <c r="C809" s="3"/>
      <c r="D809" s="1"/>
      <c r="E809" s="1"/>
      <c r="F809" s="1"/>
      <c r="G809" s="1"/>
      <c r="H809" s="1"/>
      <c r="I809" s="1"/>
    </row>
    <row r="810" spans="2:9" ht="15.75" hidden="1" thickBot="1">
      <c r="B810" s="1"/>
      <c r="C810" s="3" t="str">
        <f ca="1">cri_dept_req_procc_lbl</f>
        <v>Department requesting the processing</v>
      </c>
      <c r="D810" s="1"/>
      <c r="E810" s="5"/>
      <c r="F810" s="1"/>
      <c r="G810" s="1"/>
      <c r="H810" s="1"/>
      <c r="I810" s="1"/>
    </row>
    <row r="811" spans="2:9" ht="15.75" hidden="1" thickBot="1">
      <c r="B811" s="1"/>
      <c r="C811" s="3"/>
      <c r="D811" s="1"/>
      <c r="E811" s="1"/>
      <c r="F811" s="1"/>
      <c r="G811" s="1"/>
      <c r="H811" s="1"/>
      <c r="I811" s="1"/>
    </row>
    <row r="812" spans="2:9" ht="15.75" hidden="1" thickBot="1">
      <c r="B812" s="1"/>
      <c r="C812" s="3" t="str">
        <f ca="1">cri_chief_sign_lbl</f>
        <v>Immediate chief Signature</v>
      </c>
      <c r="D812" s="1"/>
      <c r="E812" s="5"/>
      <c r="F812" s="1"/>
      <c r="G812" s="1"/>
      <c r="H812" s="1"/>
      <c r="I812" s="1"/>
    </row>
    <row r="813" spans="2:9" ht="15.75" hidden="1" thickBot="1">
      <c r="B813" s="1"/>
      <c r="C813" s="3"/>
      <c r="D813" s="1"/>
      <c r="E813" s="1"/>
      <c r="F813" s="1"/>
      <c r="G813" s="1"/>
      <c r="H813" s="1"/>
      <c r="I813" s="1"/>
    </row>
    <row r="814" spans="2:9" ht="15.75" hidden="1" thickBot="1">
      <c r="B814" s="1"/>
      <c r="C814" s="3" t="str">
        <f ca="1">cri_dept_mgr_sign_lbl</f>
        <v>Department Manager Signature</v>
      </c>
      <c r="D814" s="1"/>
      <c r="E814" s="5"/>
      <c r="F814" s="1"/>
      <c r="G814" s="1"/>
      <c r="H814" s="1"/>
      <c r="I814" s="1"/>
    </row>
    <row r="815" spans="2:9" ht="15.75" hidden="1" thickBot="1">
      <c r="B815" s="1"/>
      <c r="C815" s="3"/>
      <c r="D815" s="1"/>
      <c r="E815" s="1"/>
      <c r="F815" s="1"/>
      <c r="G815" s="1"/>
      <c r="H815" s="1"/>
      <c r="I815" s="1"/>
    </row>
    <row r="816" spans="2:9" ht="15.75" hidden="1" thickBot="1">
      <c r="B816" s="1"/>
      <c r="C816" s="3" t="str">
        <f ca="1">cri_func_mgr_sign_lbl</f>
        <v xml:space="preserve">Function Manager Signature </v>
      </c>
      <c r="D816" s="1"/>
      <c r="E816" s="5"/>
      <c r="F816" s="1"/>
      <c r="G816" s="1"/>
      <c r="H816" s="1"/>
      <c r="I816" s="1"/>
    </row>
    <row r="817" spans="2:9" ht="15.75" hidden="1" thickBot="1">
      <c r="B817" s="1"/>
      <c r="C817" s="3"/>
      <c r="D817" s="1"/>
      <c r="E817" s="1"/>
      <c r="F817" s="1"/>
      <c r="G817" s="1"/>
      <c r="H817" s="1"/>
      <c r="I817" s="1"/>
    </row>
    <row r="818" spans="2:9" ht="15.75" hidden="1" thickBot="1">
      <c r="B818" s="1"/>
      <c r="C818" s="3" t="str">
        <f ca="1">cri_emp_sign_lbl</f>
        <v>Employee Signature</v>
      </c>
      <c r="D818" s="1"/>
      <c r="E818" s="5"/>
      <c r="F818" s="1"/>
      <c r="G818" s="1"/>
      <c r="H818" s="1"/>
      <c r="I818" s="1"/>
    </row>
    <row r="819" spans="2:9" ht="15.75" hidden="1" thickBot="1">
      <c r="B819" s="1"/>
      <c r="C819" s="3"/>
      <c r="D819" s="1"/>
      <c r="E819" s="1"/>
      <c r="F819" s="1"/>
      <c r="G819" s="1"/>
      <c r="H819" s="1"/>
      <c r="I819" s="1"/>
    </row>
    <row r="820" spans="2:9" ht="15.75" hidden="1" thickBot="1">
      <c r="B820" s="1"/>
      <c r="C820" s="3" t="str">
        <f ca="1">cri_hr_sign_lbl</f>
        <v>HR Signature</v>
      </c>
      <c r="D820" s="1"/>
      <c r="E820" s="5"/>
      <c r="F820" s="1"/>
      <c r="G820" s="1"/>
      <c r="H820" s="1"/>
      <c r="I820" s="1"/>
    </row>
    <row r="821" spans="2:9" hidden="1">
      <c r="B821" s="1"/>
      <c r="C821" s="3"/>
      <c r="D821" s="1"/>
      <c r="E821" s="1"/>
      <c r="F821" s="1"/>
      <c r="G821" s="1"/>
      <c r="H821" s="1"/>
      <c r="I821" s="1"/>
    </row>
    <row r="822" spans="2:9" hidden="1">
      <c r="B822" s="7"/>
      <c r="C822" s="30" t="str">
        <f ca="1">cri_hr_use_lbl</f>
        <v>HR Use only</v>
      </c>
      <c r="D822" s="7"/>
      <c r="E822" s="7"/>
      <c r="F822" s="7"/>
      <c r="G822" s="7"/>
      <c r="H822" s="7"/>
      <c r="I822" s="7"/>
    </row>
    <row r="823" spans="2:9" ht="15.75" hidden="1" thickBot="1">
      <c r="B823" s="1"/>
      <c r="C823" s="3"/>
      <c r="D823" s="1"/>
      <c r="E823" s="1"/>
      <c r="F823" s="1"/>
      <c r="G823" s="1"/>
      <c r="H823" s="1"/>
      <c r="I823" s="1"/>
    </row>
    <row r="824" spans="2:9" ht="15.75" hidden="1" thickBot="1">
      <c r="B824" s="1"/>
      <c r="C824" s="3" t="str">
        <f ca="1">cri_code_lbl</f>
        <v xml:space="preserve">Code </v>
      </c>
      <c r="D824" s="1"/>
      <c r="E824" s="5"/>
      <c r="F824" s="1"/>
      <c r="G824" s="1"/>
      <c r="H824" s="1"/>
      <c r="I824" s="1"/>
    </row>
    <row r="825" spans="2:9" ht="15.75" hidden="1" thickBot="1">
      <c r="B825" s="1"/>
      <c r="C825" s="3"/>
      <c r="D825" s="1"/>
      <c r="E825" s="1"/>
      <c r="F825" s="1"/>
      <c r="G825" s="1"/>
      <c r="H825" s="1"/>
      <c r="I825" s="1"/>
    </row>
    <row r="826" spans="2:9" ht="15.75" hidden="1" thickBot="1">
      <c r="B826" s="1"/>
      <c r="C826" s="3" t="str">
        <f ca="1">cri_comments_lbl</f>
        <v>Comments</v>
      </c>
      <c r="D826" s="1"/>
      <c r="E826" s="5"/>
      <c r="F826" s="1"/>
      <c r="G826" s="1"/>
      <c r="H826" s="1"/>
      <c r="I826" s="1"/>
    </row>
    <row r="827" spans="2:9" ht="15.75" hidden="1" thickBot="1">
      <c r="B827" s="1"/>
      <c r="C827" s="3"/>
      <c r="D827" s="1"/>
      <c r="E827" s="1"/>
      <c r="F827" s="1"/>
      <c r="G827" s="1"/>
      <c r="H827" s="1"/>
      <c r="I827" s="1"/>
    </row>
    <row r="828" spans="2:9" ht="15.75" hidden="1" thickBot="1">
      <c r="B828" s="1"/>
      <c r="C828" s="3" t="str">
        <f ca="1">cri_received_date_lbl</f>
        <v>Received Date</v>
      </c>
      <c r="D828" s="1"/>
      <c r="E828" s="5"/>
      <c r="F828" s="1"/>
      <c r="G828" s="1"/>
      <c r="H828" s="1"/>
      <c r="I828" s="1"/>
    </row>
    <row r="829" spans="2:9" hidden="1">
      <c r="B829" s="1"/>
      <c r="C829" s="3"/>
      <c r="D829" s="1"/>
      <c r="E829" s="1"/>
      <c r="F829" s="1"/>
      <c r="G829" s="1"/>
      <c r="H829" s="1"/>
      <c r="I829" s="1"/>
    </row>
    <row r="830" spans="2:9" hidden="1">
      <c r="B830" s="7"/>
      <c r="C830" s="30" t="str">
        <f ca="1">dom_movement_type_lbl</f>
        <v>Movement Type</v>
      </c>
      <c r="D830" s="7"/>
      <c r="E830" s="7"/>
      <c r="F830" s="7"/>
      <c r="G830" s="7"/>
      <c r="H830" s="7"/>
      <c r="I830" s="7"/>
    </row>
    <row r="831" spans="2:9" ht="15.75" hidden="1" thickBot="1">
      <c r="B831" s="1"/>
      <c r="C831" s="3"/>
      <c r="D831" s="1"/>
      <c r="E831" s="1"/>
      <c r="F831" s="1"/>
      <c r="G831" s="1"/>
      <c r="H831" s="1"/>
      <c r="I831" s="1"/>
    </row>
    <row r="832" spans="2:9" ht="15.75" hidden="1" thickBot="1">
      <c r="B832" s="1"/>
      <c r="C832" s="3" t="str">
        <f ca="1">dom_replacement_lbl</f>
        <v>Replacement</v>
      </c>
      <c r="D832" s="1"/>
      <c r="E832" s="5"/>
      <c r="F832" s="1"/>
      <c r="G832" s="1"/>
      <c r="H832" s="1"/>
      <c r="I832" s="1"/>
    </row>
    <row r="833" spans="2:9" ht="15.75" hidden="1" thickBot="1">
      <c r="B833" s="1"/>
      <c r="C833" s="3"/>
      <c r="D833" s="1"/>
      <c r="E833" s="1"/>
      <c r="F833" s="1"/>
      <c r="G833" s="1"/>
      <c r="H833" s="1"/>
      <c r="I833" s="1"/>
    </row>
    <row r="834" spans="2:9" ht="15.75" hidden="1" thickBot="1">
      <c r="B834" s="1"/>
      <c r="C834" s="3" t="str">
        <f ca="1">dom_outcome_lbl</f>
        <v>Outcome</v>
      </c>
      <c r="D834" s="1"/>
      <c r="E834" s="5"/>
      <c r="F834" s="1"/>
      <c r="G834" s="1"/>
      <c r="H834" s="1"/>
      <c r="I834" s="1"/>
    </row>
    <row r="835" spans="2:9" ht="15.75" hidden="1" thickBot="1">
      <c r="B835" s="1"/>
      <c r="C835" s="3"/>
      <c r="D835" s="1"/>
      <c r="E835" s="1"/>
      <c r="F835" s="1"/>
      <c r="G835" s="1"/>
      <c r="H835" s="1"/>
      <c r="I835" s="1"/>
    </row>
    <row r="836" spans="2:9" ht="15.75" hidden="1" thickBot="1">
      <c r="B836" s="1"/>
      <c r="C836" s="3" t="str">
        <f ca="1">dom_salary_changes_lbl</f>
        <v>Salary changes</v>
      </c>
      <c r="D836" s="1"/>
      <c r="E836" s="5"/>
      <c r="F836" s="1"/>
      <c r="G836" s="1"/>
      <c r="H836" s="1"/>
      <c r="I836" s="1"/>
    </row>
    <row r="837" spans="2:9" ht="15.75" hidden="1" thickBot="1">
      <c r="B837" s="1"/>
      <c r="C837" s="3"/>
      <c r="D837" s="1"/>
      <c r="E837" s="1"/>
      <c r="F837" s="1"/>
      <c r="G837" s="1"/>
      <c r="H837" s="1"/>
      <c r="I837" s="1"/>
    </row>
    <row r="838" spans="2:9" ht="15.75" hidden="1" thickBot="1">
      <c r="B838" s="1"/>
      <c r="C838" s="3" t="str">
        <f ca="1">dom_classification_change_lbl</f>
        <v>Classification Change</v>
      </c>
      <c r="D838" s="1"/>
      <c r="E838" s="5"/>
      <c r="F838" s="1"/>
      <c r="G838" s="1"/>
      <c r="H838" s="1"/>
      <c r="I838" s="1"/>
    </row>
    <row r="839" spans="2:9" ht="15.75" hidden="1" thickBot="1">
      <c r="B839" s="1"/>
      <c r="C839" s="3"/>
      <c r="D839" s="1"/>
      <c r="E839" s="1"/>
      <c r="F839" s="1"/>
      <c r="G839" s="1"/>
      <c r="H839" s="1"/>
      <c r="I839" s="1"/>
    </row>
    <row r="840" spans="2:9" ht="15.75" hidden="1" thickBot="1">
      <c r="B840" s="1"/>
      <c r="C840" s="3" t="str">
        <f ca="1">dom_eff_date_lbl</f>
        <v>Effective Date</v>
      </c>
      <c r="D840" s="1"/>
      <c r="E840" s="5"/>
      <c r="F840" s="1"/>
      <c r="G840" s="1"/>
      <c r="H840" s="1"/>
      <c r="I840" s="1"/>
    </row>
    <row r="841" spans="2:9" ht="15.75" hidden="1" thickBot="1">
      <c r="B841" s="1"/>
      <c r="C841" s="3"/>
      <c r="D841" s="1"/>
      <c r="E841" s="1"/>
      <c r="F841" s="1"/>
      <c r="G841" s="1"/>
      <c r="H841" s="1"/>
      <c r="I841" s="1"/>
    </row>
    <row r="842" spans="2:9" ht="15.75" hidden="1" thickBot="1">
      <c r="B842" s="1"/>
      <c r="C842" s="3" t="str">
        <f ca="1">dom_eplanation_lbl</f>
        <v>Explanation</v>
      </c>
      <c r="D842" s="1"/>
      <c r="E842" s="5"/>
      <c r="F842" s="1"/>
      <c r="G842" s="1"/>
      <c r="H842" s="1"/>
      <c r="I842" s="1"/>
    </row>
    <row r="843" spans="2:9" hidden="1">
      <c r="B843" s="1"/>
      <c r="C843" s="3"/>
      <c r="D843" s="1"/>
      <c r="E843" s="1"/>
      <c r="F843" s="1"/>
      <c r="G843" s="1"/>
      <c r="H843" s="1"/>
      <c r="I843" s="1"/>
    </row>
    <row r="844" spans="2:9" hidden="1">
      <c r="B844" s="7"/>
      <c r="C844" s="30" t="str">
        <f ca="1">dom_employee_data_lbl</f>
        <v>Employee Data</v>
      </c>
      <c r="D844" s="7"/>
      <c r="E844" s="7"/>
      <c r="F844" s="7"/>
      <c r="G844" s="7"/>
      <c r="H844" s="7"/>
      <c r="I844" s="7"/>
    </row>
    <row r="845" spans="2:9" ht="15.75" hidden="1" thickBot="1">
      <c r="B845" s="1"/>
      <c r="C845" s="3"/>
      <c r="D845" s="1"/>
      <c r="E845" s="1"/>
      <c r="F845" s="1"/>
      <c r="G845" s="1"/>
      <c r="H845" s="1"/>
      <c r="I845" s="1"/>
    </row>
    <row r="846" spans="2:9" ht="15.75" hidden="1" thickBot="1">
      <c r="B846" s="1"/>
      <c r="C846" s="3" t="str">
        <f ca="1">dom_employee_no_lbl</f>
        <v>Employee No.</v>
      </c>
      <c r="D846" s="1"/>
      <c r="E846" s="5"/>
      <c r="F846" s="1"/>
      <c r="G846" s="1"/>
      <c r="H846" s="1"/>
      <c r="I846" s="1"/>
    </row>
    <row r="847" spans="2:9" hidden="1">
      <c r="B847" s="1"/>
      <c r="C847" s="3"/>
      <c r="D847" s="1"/>
      <c r="E847" s="1"/>
      <c r="F847" s="1"/>
      <c r="G847" s="1"/>
      <c r="H847" s="1"/>
      <c r="I847" s="1"/>
    </row>
    <row r="848" spans="2:9" hidden="1">
      <c r="B848" s="7"/>
      <c r="C848" s="30" t="str">
        <f ca="1">dom_assigned_benefits_lbl</f>
        <v>Assigned Benefits</v>
      </c>
      <c r="D848" s="7"/>
      <c r="E848" s="7"/>
      <c r="F848" s="7"/>
      <c r="G848" s="7"/>
      <c r="H848" s="7"/>
      <c r="I848" s="7"/>
    </row>
    <row r="849" spans="2:9" ht="15.75" hidden="1" thickBot="1">
      <c r="B849" s="1"/>
      <c r="C849" s="3"/>
      <c r="D849" s="1"/>
      <c r="E849" s="1"/>
      <c r="F849" s="1"/>
      <c r="G849" s="1"/>
      <c r="H849" s="1"/>
      <c r="I849" s="1"/>
    </row>
    <row r="850" spans="2:9" ht="15.75" hidden="1" thickBot="1">
      <c r="B850" s="1"/>
      <c r="C850" s="3" t="str">
        <f ca="1">dom_com_car_lb</f>
        <v>Company Car</v>
      </c>
      <c r="D850" s="1"/>
      <c r="E850" s="5"/>
      <c r="F850" s="1"/>
      <c r="G850" s="1"/>
      <c r="H850" s="1"/>
      <c r="I850" s="1"/>
    </row>
    <row r="851" spans="2:9" ht="15.75" hidden="1" thickBot="1">
      <c r="B851" s="1"/>
      <c r="C851" s="3"/>
      <c r="D851" s="1"/>
      <c r="E851" s="1"/>
      <c r="F851" s="1"/>
      <c r="G851" s="1"/>
      <c r="H851" s="1"/>
      <c r="I851" s="1"/>
    </row>
    <row r="852" spans="2:9" ht="15.75" hidden="1" thickBot="1">
      <c r="B852" s="1"/>
      <c r="C852" s="3" t="str">
        <f ca="1">dom_laptop_lbl</f>
        <v>Laptop</v>
      </c>
      <c r="D852" s="1"/>
      <c r="E852" s="5"/>
      <c r="F852" s="1"/>
      <c r="G852" s="1"/>
      <c r="H852" s="1"/>
      <c r="I852" s="1"/>
    </row>
    <row r="853" spans="2:9" ht="15.75" hidden="1" thickBot="1">
      <c r="B853" s="1"/>
      <c r="C853" s="3"/>
      <c r="D853" s="1"/>
      <c r="E853" s="1"/>
      <c r="F853" s="1"/>
      <c r="G853" s="1"/>
      <c r="H853" s="1"/>
      <c r="I853" s="1"/>
    </row>
    <row r="854" spans="2:9" ht="15.75" hidden="1" thickBot="1">
      <c r="B854" s="1"/>
      <c r="C854" s="3" t="str">
        <f ca="1">dom_cellphone_lbl</f>
        <v>Cellphone</v>
      </c>
      <c r="D854" s="1"/>
      <c r="E854" s="5"/>
      <c r="F854" s="1"/>
      <c r="G854" s="1"/>
      <c r="H854" s="1"/>
      <c r="I854" s="1"/>
    </row>
    <row r="855" spans="2:9" ht="15.75" hidden="1" thickBot="1">
      <c r="B855" s="1"/>
      <c r="C855" s="3"/>
      <c r="D855" s="1"/>
      <c r="E855" s="1"/>
      <c r="F855" s="1"/>
      <c r="G855" s="1"/>
      <c r="H855" s="1"/>
      <c r="I855" s="1"/>
    </row>
    <row r="856" spans="2:9" ht="15.75" hidden="1" thickBot="1">
      <c r="B856" s="1"/>
      <c r="C856" s="3" t="str">
        <f ca="1">dom_apartment_lbl</f>
        <v>Apartment</v>
      </c>
      <c r="D856" s="1"/>
      <c r="E856" s="5"/>
      <c r="F856" s="1"/>
      <c r="G856" s="1"/>
      <c r="H856" s="1"/>
      <c r="I856" s="1"/>
    </row>
    <row r="857" spans="2:9" ht="15.75" hidden="1" thickBot="1">
      <c r="B857" s="1"/>
      <c r="C857" s="3"/>
      <c r="D857" s="1"/>
      <c r="E857" s="1"/>
      <c r="F857" s="1"/>
      <c r="G857" s="1"/>
      <c r="H857" s="1"/>
      <c r="I857" s="1"/>
    </row>
    <row r="858" spans="2:9" ht="15.75" hidden="1" thickBot="1">
      <c r="B858" s="1"/>
      <c r="C858" s="3" t="str">
        <f ca="1">dom_station_pqc_card_lbl</f>
        <v>Station PQC Card</v>
      </c>
      <c r="D858" s="1"/>
      <c r="E858" s="5"/>
      <c r="F858" s="1"/>
      <c r="G858" s="1"/>
      <c r="H858" s="1"/>
      <c r="I858" s="1"/>
    </row>
    <row r="859" spans="2:9" ht="15.75" hidden="1" thickBot="1">
      <c r="B859" s="1"/>
      <c r="C859" s="3"/>
      <c r="D859" s="1"/>
      <c r="E859" s="1"/>
      <c r="F859" s="1"/>
      <c r="G859" s="1"/>
      <c r="H859" s="1"/>
      <c r="I859" s="1"/>
    </row>
    <row r="860" spans="2:9" ht="15.75" hidden="1" thickBot="1">
      <c r="B860" s="1"/>
      <c r="C860" s="3" t="str">
        <f ca="1">dom_amex_lbl</f>
        <v>Amex</v>
      </c>
      <c r="D860" s="1"/>
      <c r="E860" s="5"/>
      <c r="F860" s="1"/>
      <c r="G860" s="1"/>
      <c r="H860" s="1"/>
      <c r="I860" s="1"/>
    </row>
    <row r="861" spans="2:9" ht="15.75" hidden="1" thickBot="1">
      <c r="B861" s="1"/>
      <c r="C861" s="3"/>
      <c r="D861" s="1"/>
      <c r="E861" s="1"/>
      <c r="F861" s="1"/>
      <c r="G861" s="1"/>
      <c r="H861" s="1"/>
      <c r="I861" s="1"/>
    </row>
    <row r="862" spans="2:9" ht="15.75" hidden="1" thickBot="1">
      <c r="B862" s="1"/>
      <c r="C862" s="3" t="str">
        <f ca="1">dom_att_card_lb</f>
        <v>AT&amp;T Card</v>
      </c>
      <c r="D862" s="1"/>
      <c r="E862" s="5"/>
      <c r="F862" s="1"/>
      <c r="G862" s="1"/>
      <c r="H862" s="1"/>
      <c r="I862" s="1"/>
    </row>
    <row r="863" spans="2:9" ht="15.75" hidden="1" thickBot="1">
      <c r="B863" s="1"/>
      <c r="C863" s="3"/>
      <c r="D863" s="1"/>
      <c r="E863" s="1"/>
      <c r="F863" s="1"/>
      <c r="G863" s="1"/>
      <c r="H863" s="1"/>
      <c r="I863" s="1"/>
    </row>
    <row r="864" spans="2:9" ht="15.75" hidden="1" thickBot="1">
      <c r="B864" s="1"/>
      <c r="C864" s="3" t="str">
        <f ca="1">dom_medical_exam_lbl</f>
        <v>Medical Exam</v>
      </c>
      <c r="D864" s="1"/>
      <c r="E864" s="5"/>
      <c r="F864" s="1"/>
      <c r="G864" s="1"/>
      <c r="H864" s="1"/>
      <c r="I864" s="1"/>
    </row>
    <row r="865" spans="2:9" ht="15.75" hidden="1" thickBot="1">
      <c r="B865" s="1"/>
      <c r="C865" s="3"/>
      <c r="D865" s="1"/>
      <c r="E865" s="1"/>
      <c r="F865" s="1"/>
      <c r="G865" s="1"/>
      <c r="H865" s="1"/>
      <c r="I865" s="1"/>
    </row>
    <row r="866" spans="2:9" ht="15.75" hidden="1" thickBot="1">
      <c r="B866" s="1"/>
      <c r="C866" s="3" t="str">
        <f ca="1">dom_action_privacy_club_lbl</f>
        <v>Action Privacy Club</v>
      </c>
      <c r="D866" s="1"/>
      <c r="E866" s="5"/>
      <c r="F866" s="1"/>
      <c r="G866" s="1"/>
      <c r="H866" s="1"/>
      <c r="I866" s="1"/>
    </row>
    <row r="867" spans="2:9" hidden="1">
      <c r="B867" s="1"/>
      <c r="C867" s="3"/>
      <c r="D867" s="1"/>
      <c r="E867" s="1"/>
      <c r="F867" s="1"/>
      <c r="G867" s="1"/>
      <c r="H867" s="1"/>
      <c r="I867" s="1"/>
    </row>
  </sheetData>
  <sheetProtection algorithmName="SHA-512" hashValue="YMLZAo8/z8qmA849N4/ZPYe4EzkGKrzddWhXDES0z5WowAXGjAqJw4ypfUV8CR2aFVmiZuZmoN77GcWo+g7wyw==" saltValue="KI5fBTSuJe9QwJasyb2r3g==" spinCount="100000" sheet="1" objects="1" scenarios="1"/>
  <mergeCells count="5">
    <mergeCell ref="C137:F137"/>
    <mergeCell ref="C509:F509"/>
    <mergeCell ref="C616:G616"/>
    <mergeCell ref="C652:F652"/>
    <mergeCell ref="C694:E694"/>
  </mergeCells>
  <dataValidations count="8">
    <dataValidation type="list" allowBlank="1" showInputMessage="1" showErrorMessage="1" sqref="E11 E49 E37 E55 E57 E65 E53 E51 E99 E101">
      <formula1>"Yes, No"</formula1>
    </dataValidation>
    <dataValidation type="list" allowBlank="1" showInputMessage="1" showErrorMessage="1" sqref="E25">
      <formula1>"B: Essential car user, C: Senior Prof / Sup II, D1: Advisor / Manager I, D2: Sen Advisor / Manager II, E: Sen Manager I, F: Sen Manager II "</formula1>
    </dataValidation>
    <dataValidation type="list" allowBlank="1" showInputMessage="1" showErrorMessage="1" sqref="E35">
      <formula1>"Blue collar with no educational checks, Enhanced, eg, finance, Normal, Yes, No"</formula1>
    </dataValidation>
    <dataValidation type="list" allowBlank="1" showInputMessage="1" showErrorMessage="1" sqref="E103">
      <formula1>"Main Office, Plant"</formula1>
    </dataValidation>
    <dataValidation type="list" allowBlank="1" showInputMessage="1" showErrorMessage="1" sqref="E381 E385 E389 E393 E443 E447 E461 E588 E596 E624 E850 E852 E854 E856 E858 E860 E862 E864 E866">
      <formula1>"Yes,No"</formula1>
    </dataValidation>
    <dataValidation type="list" allowBlank="1" showInputMessage="1" showErrorMessage="1" sqref="E433">
      <formula1>"0+,0-,A+,A-,B+,B-,AB+,AB-"</formula1>
    </dataValidation>
    <dataValidation type="list" allowBlank="1" showInputMessage="1" showErrorMessage="1" sqref="E471 E475 E479">
      <formula1>"Basic,Intermediate,Advanced"</formula1>
    </dataValidation>
    <dataValidation type="list" allowBlank="1" showInputMessage="1" showErrorMessage="1" sqref="E594">
      <formula1>"Yes"</formula1>
    </dataValidation>
  </dataValidations>
  <pageMargins left="0.7" right="0.7" top="0.75" bottom="0.75" header="0.3" footer="0.3"/>
  <pageSetup scale="43"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698"/>
  <sheetViews>
    <sheetView showGridLines="0" topLeftCell="H1" workbookViewId="0">
      <pane ySplit="1" topLeftCell="A2" activePane="bottomLeft" state="frozen"/>
      <selection activeCell="C141" sqref="C141"/>
      <selection pane="bottomLeft" activeCell="V1" sqref="V1"/>
    </sheetView>
  </sheetViews>
  <sheetFormatPr defaultRowHeight="15" customHeight="1"/>
  <cols>
    <col min="1" max="1" width="32.85546875" bestFit="1" customWidth="1"/>
    <col min="2" max="2" width="54.28515625" bestFit="1" customWidth="1"/>
    <col min="4" max="4" width="54.28515625" bestFit="1" customWidth="1"/>
    <col min="16" max="16" width="18.5703125" bestFit="1" customWidth="1"/>
    <col min="20" max="20" width="42.42578125" customWidth="1"/>
    <col min="21" max="21" width="5" bestFit="1" customWidth="1"/>
    <col min="22" max="22" width="15.42578125" bestFit="1" customWidth="1"/>
    <col min="23" max="23" width="10.5703125" bestFit="1" customWidth="1"/>
  </cols>
  <sheetData>
    <row r="1" spans="1:23" ht="15" customHeight="1">
      <c r="A1" s="28" t="s">
        <v>822</v>
      </c>
      <c r="B1" s="28" t="s">
        <v>821</v>
      </c>
      <c r="C1" s="28" t="s">
        <v>396</v>
      </c>
      <c r="D1" s="28" t="s">
        <v>397</v>
      </c>
      <c r="E1" s="28" t="s">
        <v>399</v>
      </c>
      <c r="F1" s="28" t="s">
        <v>400</v>
      </c>
      <c r="G1" s="28" t="s">
        <v>403</v>
      </c>
      <c r="H1" s="28" t="s">
        <v>404</v>
      </c>
      <c r="I1" s="28" t="s">
        <v>411</v>
      </c>
      <c r="J1" s="28" t="s">
        <v>412</v>
      </c>
      <c r="K1" s="28" t="s">
        <v>414</v>
      </c>
      <c r="L1" s="28" t="s">
        <v>819</v>
      </c>
      <c r="M1" s="28" t="s">
        <v>418</v>
      </c>
      <c r="N1" s="28" t="s">
        <v>422</v>
      </c>
      <c r="P1" s="19" t="str">
        <f>Language!B8</f>
        <v>English</v>
      </c>
      <c r="Q1" s="20">
        <f>VLOOKUP(P1,$P$2:$Q$13,2,0)</f>
        <v>3</v>
      </c>
      <c r="T1" s="13">
        <f>[0]!Company</f>
        <v>0</v>
      </c>
      <c r="U1" s="23" t="str">
        <f>IFERROR(VLOOKUP(T1,$T$2:$V$137,2,0),"IND")</f>
        <v>IND</v>
      </c>
      <c r="V1" s="23" t="str">
        <f>IFERROR(VLOOKUP(T1,$T$2:$V$137,3,0),"Default")</f>
        <v>Default</v>
      </c>
      <c r="W1" s="14" t="str">
        <f>IFERROR(VLOOKUP(T1,$T$2:$W$137,4,0),"LE002006")</f>
        <v>LE002006</v>
      </c>
    </row>
    <row r="2" spans="1:23" ht="15" customHeight="1">
      <c r="A2" s="45" t="s">
        <v>0</v>
      </c>
      <c r="B2" s="45" t="str">
        <f ca="1">IFERROR(IF(ISBLANK(OFFSET(B2,0,$Q$1-1)),D2,OFFSET(B2,0,$Q$1-1)),"Please select language")</f>
        <v>Identity</v>
      </c>
      <c r="C2" s="45"/>
      <c r="D2" s="45" t="s">
        <v>0</v>
      </c>
      <c r="E2" s="45"/>
      <c r="F2" s="45"/>
      <c r="G2" s="45"/>
      <c r="H2" s="45"/>
      <c r="I2" s="45"/>
      <c r="J2" s="45"/>
      <c r="K2" s="45"/>
      <c r="L2" s="45"/>
      <c r="M2" s="45"/>
      <c r="N2" s="45"/>
      <c r="P2" s="15" t="s">
        <v>847</v>
      </c>
      <c r="Q2" s="16">
        <v>2</v>
      </c>
      <c r="T2" s="15" t="s">
        <v>4695</v>
      </c>
      <c r="U2" s="22" t="s">
        <v>4830</v>
      </c>
      <c r="V2" s="22" t="s">
        <v>357</v>
      </c>
      <c r="W2" s="16" t="s">
        <v>4855</v>
      </c>
    </row>
    <row r="3" spans="1:23" ht="15" customHeight="1">
      <c r="A3" s="45" t="s">
        <v>827</v>
      </c>
      <c r="B3" s="45" t="str">
        <f t="shared" ref="B3:B151" ca="1" si="0">IFERROR(IF(ISBLANK(OFFSET(B3,0,$Q$1-1)),D3,OFFSET(B3,0,$Q$1-1)),"Please select language")</f>
        <v>* Hire date (DD/MM/YYYY)</v>
      </c>
      <c r="C3" s="45"/>
      <c r="D3" s="45" t="s">
        <v>8620</v>
      </c>
      <c r="E3" s="45"/>
      <c r="F3" s="45"/>
      <c r="G3" s="45"/>
      <c r="H3" s="45"/>
      <c r="I3" s="45"/>
      <c r="J3" s="45"/>
      <c r="K3" s="45"/>
      <c r="L3" s="45"/>
      <c r="M3" s="45"/>
      <c r="N3" s="45"/>
      <c r="P3" s="15" t="s">
        <v>397</v>
      </c>
      <c r="Q3" s="16">
        <v>3</v>
      </c>
      <c r="T3" s="15" t="s">
        <v>4696</v>
      </c>
      <c r="U3" s="22" t="s">
        <v>4831</v>
      </c>
      <c r="V3" s="22" t="s">
        <v>334</v>
      </c>
      <c r="W3" s="16" t="s">
        <v>4856</v>
      </c>
    </row>
    <row r="4" spans="1:23" ht="15" customHeight="1">
      <c r="A4" s="45" t="s">
        <v>823</v>
      </c>
      <c r="B4" s="45" t="str">
        <f t="shared" ca="1" si="0"/>
        <v>* Company</v>
      </c>
      <c r="C4" s="45"/>
      <c r="D4" s="45" t="s">
        <v>8621</v>
      </c>
      <c r="E4" s="45"/>
      <c r="F4" s="45"/>
      <c r="G4" s="45"/>
      <c r="H4" s="45"/>
      <c r="I4" s="45"/>
      <c r="J4" s="45"/>
      <c r="K4" s="45"/>
      <c r="L4" s="45"/>
      <c r="M4" s="45"/>
      <c r="N4" s="45"/>
      <c r="P4" s="15" t="s">
        <v>848</v>
      </c>
      <c r="Q4" s="16">
        <v>4</v>
      </c>
      <c r="T4" s="15" t="s">
        <v>4697</v>
      </c>
      <c r="U4" s="22" t="s">
        <v>4831</v>
      </c>
      <c r="V4" s="22" t="s">
        <v>334</v>
      </c>
      <c r="W4" s="16" t="s">
        <v>4857</v>
      </c>
    </row>
    <row r="5" spans="1:23" ht="15" customHeight="1">
      <c r="A5" s="45" t="s">
        <v>828</v>
      </c>
      <c r="B5" s="45" t="str">
        <f ca="1">IFERROR(IF(ISBLANK(OFFSET(B5,0,$Q$1-1)),D5,OFFSET(B5,0,$Q$1-1)),"Please select language")</f>
        <v>* Event reason</v>
      </c>
      <c r="C5" s="45"/>
      <c r="D5" s="45" t="s">
        <v>8622</v>
      </c>
      <c r="E5" s="45"/>
      <c r="F5" s="45"/>
      <c r="G5" s="45"/>
      <c r="H5" s="45"/>
      <c r="I5" s="45"/>
      <c r="J5" s="45"/>
      <c r="K5" s="45"/>
      <c r="L5" s="45"/>
      <c r="M5" s="45"/>
      <c r="N5" s="45"/>
      <c r="P5" s="15" t="s">
        <v>849</v>
      </c>
      <c r="Q5" s="16">
        <v>5</v>
      </c>
      <c r="T5" s="15" t="s">
        <v>4698</v>
      </c>
      <c r="U5" s="22" t="s">
        <v>4832</v>
      </c>
      <c r="V5" s="22" t="s">
        <v>78</v>
      </c>
      <c r="W5" s="16" t="s">
        <v>4858</v>
      </c>
    </row>
    <row r="6" spans="1:23" ht="15" customHeight="1">
      <c r="A6" s="45" t="s">
        <v>315</v>
      </c>
      <c r="B6" s="45" t="str">
        <f t="shared" ca="1" si="0"/>
        <v>Name Information</v>
      </c>
      <c r="C6" s="45" t="s">
        <v>1779</v>
      </c>
      <c r="D6" s="45" t="s">
        <v>315</v>
      </c>
      <c r="E6" s="45" t="s">
        <v>2890</v>
      </c>
      <c r="F6" s="45" t="s">
        <v>1801</v>
      </c>
      <c r="G6" s="45" t="s">
        <v>1814</v>
      </c>
      <c r="H6" s="45" t="s">
        <v>1827</v>
      </c>
      <c r="I6" s="45" t="s">
        <v>2892</v>
      </c>
      <c r="J6" s="45" t="s">
        <v>858</v>
      </c>
      <c r="K6" s="45" t="s">
        <v>1827</v>
      </c>
      <c r="L6" s="45" t="s">
        <v>1860</v>
      </c>
      <c r="M6" s="45" t="s">
        <v>1872</v>
      </c>
      <c r="N6" s="45" t="s">
        <v>1882</v>
      </c>
      <c r="P6" s="15" t="s">
        <v>850</v>
      </c>
      <c r="Q6" s="16">
        <v>6</v>
      </c>
      <c r="T6" s="15" t="s">
        <v>4699</v>
      </c>
      <c r="U6" s="22" t="s">
        <v>4833</v>
      </c>
      <c r="V6" s="22" t="s">
        <v>147</v>
      </c>
      <c r="W6" s="16" t="s">
        <v>4859</v>
      </c>
    </row>
    <row r="7" spans="1:23" ht="15" customHeight="1">
      <c r="A7" s="45" t="s">
        <v>318</v>
      </c>
      <c r="B7" s="45" t="str">
        <f t="shared" ca="1" si="0"/>
        <v>Salutation</v>
      </c>
      <c r="C7" s="45" t="s">
        <v>1780</v>
      </c>
      <c r="D7" s="45" t="s">
        <v>318</v>
      </c>
      <c r="E7" s="45" t="s">
        <v>1790</v>
      </c>
      <c r="F7" s="45" t="s">
        <v>1802</v>
      </c>
      <c r="G7" s="45" t="s">
        <v>1815</v>
      </c>
      <c r="H7" s="45" t="s">
        <v>1828</v>
      </c>
      <c r="I7" s="45" t="s">
        <v>1839</v>
      </c>
      <c r="J7" s="45" t="s">
        <v>859</v>
      </c>
      <c r="K7" s="45" t="s">
        <v>1849</v>
      </c>
      <c r="L7" s="45" t="s">
        <v>1861</v>
      </c>
      <c r="M7" s="45" t="s">
        <v>1873</v>
      </c>
      <c r="N7" s="45" t="s">
        <v>1883</v>
      </c>
      <c r="P7" s="15" t="s">
        <v>851</v>
      </c>
      <c r="Q7" s="16">
        <v>7</v>
      </c>
      <c r="T7" s="15" t="s">
        <v>4700</v>
      </c>
      <c r="U7" s="22" t="s">
        <v>4834</v>
      </c>
      <c r="V7" s="22" t="s">
        <v>200</v>
      </c>
      <c r="W7" s="16" t="s">
        <v>4860</v>
      </c>
    </row>
    <row r="8" spans="1:23" ht="15" customHeight="1">
      <c r="A8" s="45" t="s">
        <v>829</v>
      </c>
      <c r="B8" s="45" t="str">
        <f t="shared" ca="1" si="0"/>
        <v>* First Name</v>
      </c>
      <c r="C8" s="45" t="s">
        <v>1781</v>
      </c>
      <c r="D8" s="45" t="s">
        <v>8618</v>
      </c>
      <c r="E8" s="45" t="s">
        <v>1791</v>
      </c>
      <c r="F8" s="45" t="s">
        <v>1803</v>
      </c>
      <c r="G8" s="45" t="s">
        <v>1816</v>
      </c>
      <c r="H8" s="45" t="s">
        <v>1827</v>
      </c>
      <c r="I8" s="45" t="s">
        <v>1840</v>
      </c>
      <c r="J8" s="45" t="s">
        <v>860</v>
      </c>
      <c r="K8" s="45" t="s">
        <v>1850</v>
      </c>
      <c r="L8" s="45" t="s">
        <v>1862</v>
      </c>
      <c r="M8" s="45" t="s">
        <v>1874</v>
      </c>
      <c r="N8" s="45" t="s">
        <v>1884</v>
      </c>
      <c r="P8" s="15" t="s">
        <v>852</v>
      </c>
      <c r="Q8" s="16">
        <v>8</v>
      </c>
      <c r="T8" s="15" t="s">
        <v>4701</v>
      </c>
      <c r="U8" s="22" t="s">
        <v>4830</v>
      </c>
      <c r="V8" s="22" t="s">
        <v>357</v>
      </c>
      <c r="W8" s="16" t="s">
        <v>4861</v>
      </c>
    </row>
    <row r="9" spans="1:23" ht="15" customHeight="1">
      <c r="A9" s="45" t="s">
        <v>2969</v>
      </c>
      <c r="B9" s="45" t="str">
        <f t="shared" ca="1" si="0"/>
        <v>Middle Name</v>
      </c>
      <c r="C9" s="45" t="s">
        <v>3093</v>
      </c>
      <c r="D9" s="45" t="s">
        <v>2969</v>
      </c>
      <c r="E9" s="45" t="s">
        <v>3117</v>
      </c>
      <c r="F9" s="45" t="s">
        <v>3119</v>
      </c>
      <c r="G9" s="45" t="s">
        <v>3148</v>
      </c>
      <c r="H9" s="45" t="s">
        <v>3159</v>
      </c>
      <c r="I9" s="45"/>
      <c r="J9" s="45" t="s">
        <v>3212</v>
      </c>
      <c r="K9" s="45" t="s">
        <v>3199</v>
      </c>
      <c r="L9" s="45" t="s">
        <v>3218</v>
      </c>
      <c r="M9" s="45" t="s">
        <v>3243</v>
      </c>
      <c r="N9" s="45" t="s">
        <v>3263</v>
      </c>
      <c r="P9" s="15" t="s">
        <v>853</v>
      </c>
      <c r="Q9" s="16">
        <v>9</v>
      </c>
      <c r="T9" s="15" t="s">
        <v>4702</v>
      </c>
      <c r="U9" s="22" t="s">
        <v>4835</v>
      </c>
      <c r="V9" s="22" t="s">
        <v>86</v>
      </c>
      <c r="W9" s="16" t="s">
        <v>4862</v>
      </c>
    </row>
    <row r="10" spans="1:23" ht="15" customHeight="1">
      <c r="A10" s="45" t="s">
        <v>830</v>
      </c>
      <c r="B10" s="45" t="str">
        <f t="shared" ca="1" si="0"/>
        <v>* Last Name</v>
      </c>
      <c r="C10" s="45" t="s">
        <v>1782</v>
      </c>
      <c r="D10" s="45" t="s">
        <v>8619</v>
      </c>
      <c r="E10" s="45" t="s">
        <v>1792</v>
      </c>
      <c r="F10" s="45" t="s">
        <v>1804</v>
      </c>
      <c r="G10" s="45" t="s">
        <v>1817</v>
      </c>
      <c r="H10" s="45" t="s">
        <v>1829</v>
      </c>
      <c r="I10" s="45" t="s">
        <v>1841</v>
      </c>
      <c r="J10" s="45" t="s">
        <v>861</v>
      </c>
      <c r="K10" s="45" t="s">
        <v>1851</v>
      </c>
      <c r="L10" s="45" t="s">
        <v>1863</v>
      </c>
      <c r="M10" s="45" t="s">
        <v>1875</v>
      </c>
      <c r="N10" s="45" t="s">
        <v>1885</v>
      </c>
      <c r="P10" s="15" t="s">
        <v>854</v>
      </c>
      <c r="Q10" s="16">
        <v>10</v>
      </c>
      <c r="T10" s="15" t="s">
        <v>4703</v>
      </c>
      <c r="U10" s="22" t="s">
        <v>4836</v>
      </c>
      <c r="V10" s="22" t="s">
        <v>342</v>
      </c>
      <c r="W10" s="16" t="s">
        <v>4863</v>
      </c>
    </row>
    <row r="11" spans="1:23" ht="15" customHeight="1">
      <c r="A11" s="45" t="s">
        <v>2758</v>
      </c>
      <c r="B11" s="45" t="str">
        <f t="shared" ca="1" si="0"/>
        <v>Birth Name</v>
      </c>
      <c r="C11" s="45" t="s">
        <v>3096</v>
      </c>
      <c r="D11" s="45" t="s">
        <v>2758</v>
      </c>
      <c r="E11" s="45" t="s">
        <v>3008</v>
      </c>
      <c r="F11" s="45" t="s">
        <v>3120</v>
      </c>
      <c r="G11" s="45" t="s">
        <v>3149</v>
      </c>
      <c r="H11" s="45" t="s">
        <v>3158</v>
      </c>
      <c r="I11" s="45"/>
      <c r="J11" s="45" t="s">
        <v>3213</v>
      </c>
      <c r="K11" s="45" t="s">
        <v>3200</v>
      </c>
      <c r="L11" s="45" t="s">
        <v>3219</v>
      </c>
      <c r="M11" s="45" t="s">
        <v>3244</v>
      </c>
      <c r="N11" s="45" t="s">
        <v>3264</v>
      </c>
      <c r="P11" s="15" t="s">
        <v>855</v>
      </c>
      <c r="Q11" s="16">
        <v>11</v>
      </c>
      <c r="T11" s="15" t="s">
        <v>4704</v>
      </c>
      <c r="U11" s="22" t="s">
        <v>4676</v>
      </c>
      <c r="V11" s="22" t="s">
        <v>348</v>
      </c>
      <c r="W11" s="16" t="s">
        <v>4864</v>
      </c>
    </row>
    <row r="12" spans="1:23" ht="15" customHeight="1">
      <c r="A12" s="45" t="s">
        <v>1968</v>
      </c>
      <c r="B12" s="45" t="str">
        <f t="shared" ca="1" si="0"/>
        <v>Birth Name Prefix</v>
      </c>
      <c r="C12" s="45" t="s">
        <v>2480</v>
      </c>
      <c r="D12" s="45" t="s">
        <v>1968</v>
      </c>
      <c r="E12" s="45"/>
      <c r="F12" s="45"/>
      <c r="G12" s="45"/>
      <c r="H12" s="45"/>
      <c r="I12" s="45"/>
      <c r="J12" s="45"/>
      <c r="K12" s="45"/>
      <c r="L12" s="45"/>
      <c r="M12" s="45"/>
      <c r="N12" s="45"/>
      <c r="P12" s="15" t="s">
        <v>856</v>
      </c>
      <c r="Q12" s="16">
        <v>12</v>
      </c>
      <c r="T12" s="15" t="s">
        <v>4705</v>
      </c>
      <c r="U12" s="22" t="s">
        <v>4837</v>
      </c>
      <c r="V12" s="22" t="s">
        <v>332</v>
      </c>
      <c r="W12" s="16" t="s">
        <v>4865</v>
      </c>
    </row>
    <row r="13" spans="1:23" ht="15" customHeight="1">
      <c r="A13" s="45" t="s">
        <v>1969</v>
      </c>
      <c r="B13" s="45" t="str">
        <f t="shared" ca="1" si="0"/>
        <v>Partner’s Last Name Prefix</v>
      </c>
      <c r="C13" s="45" t="s">
        <v>2479</v>
      </c>
      <c r="D13" s="45" t="s">
        <v>1969</v>
      </c>
      <c r="E13" s="45"/>
      <c r="F13" s="45"/>
      <c r="G13" s="45"/>
      <c r="H13" s="45"/>
      <c r="I13" s="45"/>
      <c r="J13" s="45"/>
      <c r="K13" s="45"/>
      <c r="L13" s="45"/>
      <c r="M13" s="45"/>
      <c r="N13" s="45"/>
      <c r="P13" s="17" t="s">
        <v>857</v>
      </c>
      <c r="Q13" s="18">
        <v>13</v>
      </c>
      <c r="T13" s="15" t="s">
        <v>4706</v>
      </c>
      <c r="U13" s="22" t="s">
        <v>4837</v>
      </c>
      <c r="V13" s="22" t="s">
        <v>332</v>
      </c>
      <c r="W13" s="16" t="s">
        <v>4866</v>
      </c>
    </row>
    <row r="14" spans="1:23" ht="15" customHeight="1">
      <c r="A14" s="45" t="s">
        <v>3074</v>
      </c>
      <c r="B14" s="45" t="str">
        <f t="shared" ca="1" si="0"/>
        <v>First Name (local / preferred)</v>
      </c>
      <c r="C14" s="45"/>
      <c r="D14" s="45" t="s">
        <v>8658</v>
      </c>
      <c r="E14" s="45"/>
      <c r="F14" s="45"/>
      <c r="G14" s="45"/>
      <c r="H14" s="45"/>
      <c r="I14" s="45"/>
      <c r="J14" s="45"/>
      <c r="K14" s="45"/>
      <c r="L14" s="45"/>
      <c r="M14" s="45"/>
      <c r="N14" s="45"/>
      <c r="T14" s="15" t="s">
        <v>4707</v>
      </c>
      <c r="U14" s="22" t="s">
        <v>4831</v>
      </c>
      <c r="V14" s="22" t="s">
        <v>334</v>
      </c>
      <c r="W14" s="16" t="s">
        <v>4867</v>
      </c>
    </row>
    <row r="15" spans="1:23" ht="15" customHeight="1">
      <c r="A15" s="45" t="s">
        <v>3075</v>
      </c>
      <c r="B15" s="45" t="str">
        <f t="shared" ca="1" si="0"/>
        <v>Middle Name (local / preferred)</v>
      </c>
      <c r="C15" s="45"/>
      <c r="D15" s="45" t="s">
        <v>8659</v>
      </c>
      <c r="E15" s="45"/>
      <c r="F15" s="45"/>
      <c r="G15" s="45"/>
      <c r="H15" s="45"/>
      <c r="I15" s="45"/>
      <c r="J15" s="45"/>
      <c r="K15" s="45"/>
      <c r="L15" s="45"/>
      <c r="M15" s="45"/>
      <c r="N15" s="45"/>
      <c r="T15" s="15" t="s">
        <v>4708</v>
      </c>
      <c r="U15" s="22" t="s">
        <v>4831</v>
      </c>
      <c r="V15" s="22" t="s">
        <v>334</v>
      </c>
      <c r="W15" s="16" t="s">
        <v>4868</v>
      </c>
    </row>
    <row r="16" spans="1:23" ht="15" customHeight="1">
      <c r="A16" s="45" t="s">
        <v>3076</v>
      </c>
      <c r="B16" s="45" t="str">
        <f t="shared" ca="1" si="0"/>
        <v>Last Name (local / preferred)</v>
      </c>
      <c r="C16" s="45"/>
      <c r="D16" s="45" t="s">
        <v>8660</v>
      </c>
      <c r="E16" s="45"/>
      <c r="F16" s="45"/>
      <c r="G16" s="45"/>
      <c r="H16" s="45"/>
      <c r="I16" s="45"/>
      <c r="J16" s="45"/>
      <c r="K16" s="45"/>
      <c r="L16" s="45"/>
      <c r="M16" s="45"/>
      <c r="N16" s="45"/>
      <c r="T16" s="15" t="s">
        <v>4709</v>
      </c>
      <c r="U16" s="22" t="s">
        <v>4838</v>
      </c>
      <c r="V16" s="22" t="s">
        <v>356</v>
      </c>
      <c r="W16" s="16" t="s">
        <v>4869</v>
      </c>
    </row>
    <row r="17" spans="1:23" ht="15" customHeight="1">
      <c r="A17" s="45" t="s">
        <v>316</v>
      </c>
      <c r="B17" s="45" t="str">
        <f t="shared" ca="1" si="0"/>
        <v>Biographical Information</v>
      </c>
      <c r="C17" s="45" t="s">
        <v>1783</v>
      </c>
      <c r="D17" s="45" t="s">
        <v>316</v>
      </c>
      <c r="E17" s="45" t="s">
        <v>1793</v>
      </c>
      <c r="F17" s="45" t="s">
        <v>1805</v>
      </c>
      <c r="G17" s="45" t="s">
        <v>1818</v>
      </c>
      <c r="H17" s="45" t="s">
        <v>1830</v>
      </c>
      <c r="I17" s="45"/>
      <c r="J17" s="45" t="s">
        <v>862</v>
      </c>
      <c r="K17" s="45" t="s">
        <v>1852</v>
      </c>
      <c r="L17" s="45" t="s">
        <v>1864</v>
      </c>
      <c r="M17" s="45" t="s">
        <v>1876</v>
      </c>
      <c r="N17" s="45" t="s">
        <v>1886</v>
      </c>
      <c r="T17" s="15" t="s">
        <v>4710</v>
      </c>
      <c r="U17" s="22" t="s">
        <v>4839</v>
      </c>
      <c r="V17" s="22" t="s">
        <v>4667</v>
      </c>
      <c r="W17" s="16" t="s">
        <v>4870</v>
      </c>
    </row>
    <row r="18" spans="1:23" ht="15" customHeight="1">
      <c r="A18" s="45" t="s">
        <v>871</v>
      </c>
      <c r="B18" s="45" t="str">
        <f t="shared" ca="1" si="0"/>
        <v>* Date of Birth (DD/MM/YYYY)</v>
      </c>
      <c r="C18" s="45" t="s">
        <v>1787</v>
      </c>
      <c r="D18" s="45" t="s">
        <v>8623</v>
      </c>
      <c r="E18" s="45" t="s">
        <v>1794</v>
      </c>
      <c r="F18" s="45" t="s">
        <v>1806</v>
      </c>
      <c r="G18" s="45" t="s">
        <v>1819</v>
      </c>
      <c r="H18" s="45" t="s">
        <v>1831</v>
      </c>
      <c r="I18" s="45" t="s">
        <v>1842</v>
      </c>
      <c r="J18" s="45" t="s">
        <v>863</v>
      </c>
      <c r="K18" s="45" t="s">
        <v>2523</v>
      </c>
      <c r="L18" s="45" t="s">
        <v>2524</v>
      </c>
      <c r="M18" s="45" t="s">
        <v>2525</v>
      </c>
      <c r="N18" s="45" t="s">
        <v>2526</v>
      </c>
      <c r="T18" s="15" t="s">
        <v>4711</v>
      </c>
      <c r="U18" s="22" t="s">
        <v>4837</v>
      </c>
      <c r="V18" s="22" t="s">
        <v>332</v>
      </c>
      <c r="W18" s="16" t="s">
        <v>4871</v>
      </c>
    </row>
    <row r="19" spans="1:23" ht="15" customHeight="1">
      <c r="A19" s="45" t="s">
        <v>2983</v>
      </c>
      <c r="B19" s="45" t="str">
        <f t="shared" ca="1" si="0"/>
        <v>Birth Country</v>
      </c>
      <c r="C19" s="45" t="s">
        <v>3094</v>
      </c>
      <c r="D19" s="45" t="s">
        <v>2983</v>
      </c>
      <c r="E19" s="45" t="s">
        <v>3118</v>
      </c>
      <c r="F19" s="45" t="s">
        <v>3121</v>
      </c>
      <c r="G19" s="45" t="s">
        <v>3151</v>
      </c>
      <c r="H19" s="45" t="s">
        <v>3162</v>
      </c>
      <c r="I19" s="45"/>
      <c r="J19" s="45" t="s">
        <v>3063</v>
      </c>
      <c r="K19" s="45" t="s">
        <v>3201</v>
      </c>
      <c r="L19" s="45" t="s">
        <v>3220</v>
      </c>
      <c r="M19" s="45" t="s">
        <v>3245</v>
      </c>
      <c r="N19" s="45" t="s">
        <v>3265</v>
      </c>
      <c r="T19" s="15" t="s">
        <v>4712</v>
      </c>
      <c r="U19" s="22" t="s">
        <v>4837</v>
      </c>
      <c r="V19" s="22" t="s">
        <v>332</v>
      </c>
      <c r="W19" s="16" t="s">
        <v>4872</v>
      </c>
    </row>
    <row r="20" spans="1:23" ht="15" customHeight="1">
      <c r="A20" s="45" t="s">
        <v>2759</v>
      </c>
      <c r="B20" s="45" t="str">
        <f t="shared" ca="1" si="0"/>
        <v>Place of Birth</v>
      </c>
      <c r="C20" s="45" t="s">
        <v>3095</v>
      </c>
      <c r="D20" s="45" t="s">
        <v>2759</v>
      </c>
      <c r="E20" s="45" t="s">
        <v>3009</v>
      </c>
      <c r="F20" s="45" t="s">
        <v>3122</v>
      </c>
      <c r="G20" s="45" t="s">
        <v>3150</v>
      </c>
      <c r="H20" s="45" t="s">
        <v>3160</v>
      </c>
      <c r="I20" s="45"/>
      <c r="J20" s="45" t="s">
        <v>3039</v>
      </c>
      <c r="K20" s="45" t="s">
        <v>2871</v>
      </c>
      <c r="L20" s="45" t="s">
        <v>3221</v>
      </c>
      <c r="M20" s="45" t="s">
        <v>3246</v>
      </c>
      <c r="N20" s="45" t="s">
        <v>3266</v>
      </c>
      <c r="T20" s="15" t="s">
        <v>4713</v>
      </c>
      <c r="U20" s="22" t="s">
        <v>4833</v>
      </c>
      <c r="V20" s="22" t="s">
        <v>147</v>
      </c>
      <c r="W20" s="16" t="s">
        <v>4873</v>
      </c>
    </row>
    <row r="21" spans="1:23" ht="15" customHeight="1">
      <c r="A21" s="45" t="s">
        <v>1970</v>
      </c>
      <c r="B21" s="45" t="str">
        <f t="shared" ca="1" si="0"/>
        <v>Department / Province of Birth</v>
      </c>
      <c r="C21" s="45"/>
      <c r="D21" s="45" t="s">
        <v>1970</v>
      </c>
      <c r="E21" s="45" t="s">
        <v>2488</v>
      </c>
      <c r="F21" s="45"/>
      <c r="G21" s="45"/>
      <c r="H21" s="45" t="s">
        <v>3161</v>
      </c>
      <c r="I21" s="45"/>
      <c r="J21" s="45"/>
      <c r="K21" s="45"/>
      <c r="L21" s="45"/>
      <c r="M21" s="45"/>
      <c r="N21" s="45"/>
      <c r="T21" s="15" t="s">
        <v>4714</v>
      </c>
      <c r="U21" s="22" t="s">
        <v>4831</v>
      </c>
      <c r="V21" s="22" t="s">
        <v>334</v>
      </c>
      <c r="W21" s="16" t="s">
        <v>4874</v>
      </c>
    </row>
    <row r="22" spans="1:23" ht="15" customHeight="1">
      <c r="A22" s="45" t="s">
        <v>317</v>
      </c>
      <c r="B22" s="45" t="str">
        <f t="shared" ca="1" si="0"/>
        <v>National ID Information</v>
      </c>
      <c r="C22" s="45" t="s">
        <v>3097</v>
      </c>
      <c r="D22" s="45" t="s">
        <v>317</v>
      </c>
      <c r="E22" s="45" t="s">
        <v>1795</v>
      </c>
      <c r="F22" s="45" t="s">
        <v>1807</v>
      </c>
      <c r="G22" s="45" t="s">
        <v>1820</v>
      </c>
      <c r="H22" s="45" t="s">
        <v>1832</v>
      </c>
      <c r="I22" s="45" t="s">
        <v>1843</v>
      </c>
      <c r="J22" s="45" t="s">
        <v>864</v>
      </c>
      <c r="K22" s="45" t="s">
        <v>1853</v>
      </c>
      <c r="L22" s="45" t="s">
        <v>1865</v>
      </c>
      <c r="M22" s="45" t="s">
        <v>3789</v>
      </c>
      <c r="N22" s="45" t="s">
        <v>1887</v>
      </c>
      <c r="T22" s="15" t="s">
        <v>4715</v>
      </c>
      <c r="U22" s="22" t="s">
        <v>4831</v>
      </c>
      <c r="V22" s="22" t="s">
        <v>334</v>
      </c>
      <c r="W22" s="16" t="s">
        <v>4875</v>
      </c>
    </row>
    <row r="23" spans="1:23" ht="15" customHeight="1">
      <c r="A23" s="45" t="s">
        <v>320</v>
      </c>
      <c r="B23" s="45" t="str">
        <f t="shared" ca="1" si="0"/>
        <v>* Country</v>
      </c>
      <c r="C23" s="45" t="s">
        <v>1784</v>
      </c>
      <c r="D23" s="45" t="s">
        <v>8624</v>
      </c>
      <c r="E23" s="45" t="s">
        <v>1796</v>
      </c>
      <c r="F23" s="45" t="s">
        <v>1784</v>
      </c>
      <c r="G23" s="45" t="s">
        <v>1821</v>
      </c>
      <c r="H23" s="45" t="s">
        <v>1833</v>
      </c>
      <c r="I23" s="45" t="s">
        <v>1784</v>
      </c>
      <c r="J23" s="45" t="s">
        <v>865</v>
      </c>
      <c r="K23" s="45" t="s">
        <v>1854</v>
      </c>
      <c r="L23" s="45" t="s">
        <v>1866</v>
      </c>
      <c r="M23" s="45" t="s">
        <v>1854</v>
      </c>
      <c r="N23" s="45" t="s">
        <v>1888</v>
      </c>
      <c r="T23" s="15" t="s">
        <v>4716</v>
      </c>
      <c r="U23" s="22" t="s">
        <v>4831</v>
      </c>
      <c r="V23" s="22" t="s">
        <v>334</v>
      </c>
      <c r="W23" s="16" t="s">
        <v>4876</v>
      </c>
    </row>
    <row r="24" spans="1:23" ht="15" customHeight="1">
      <c r="A24" s="45" t="s">
        <v>831</v>
      </c>
      <c r="B24" s="45" t="str">
        <f t="shared" ca="1" si="0"/>
        <v>* National ID Card Type</v>
      </c>
      <c r="C24" s="45" t="s">
        <v>1785</v>
      </c>
      <c r="D24" s="45" t="s">
        <v>8625</v>
      </c>
      <c r="E24" s="45" t="s">
        <v>3010</v>
      </c>
      <c r="F24" s="45" t="s">
        <v>1808</v>
      </c>
      <c r="G24" s="45" t="s">
        <v>1822</v>
      </c>
      <c r="H24" s="45" t="s">
        <v>1834</v>
      </c>
      <c r="I24" s="45" t="s">
        <v>1845</v>
      </c>
      <c r="J24" s="45" t="s">
        <v>866</v>
      </c>
      <c r="K24" s="45" t="s">
        <v>1855</v>
      </c>
      <c r="L24" s="45" t="s">
        <v>1867</v>
      </c>
      <c r="M24" s="45" t="s">
        <v>1877</v>
      </c>
      <c r="N24" s="45" t="s">
        <v>1889</v>
      </c>
      <c r="T24" s="15" t="s">
        <v>4717</v>
      </c>
      <c r="U24" s="22" t="s">
        <v>4831</v>
      </c>
      <c r="V24" s="22" t="s">
        <v>334</v>
      </c>
      <c r="W24" s="16" t="s">
        <v>4877</v>
      </c>
    </row>
    <row r="25" spans="1:23" ht="15" customHeight="1">
      <c r="A25" s="45" t="s">
        <v>832</v>
      </c>
      <c r="B25" s="45" t="str">
        <f t="shared" ca="1" si="0"/>
        <v>* National ID</v>
      </c>
      <c r="C25" s="45" t="s">
        <v>3098</v>
      </c>
      <c r="D25" s="45" t="s">
        <v>8626</v>
      </c>
      <c r="E25" s="45" t="s">
        <v>3323</v>
      </c>
      <c r="F25" s="45" t="s">
        <v>1809</v>
      </c>
      <c r="G25" s="45" t="s">
        <v>3152</v>
      </c>
      <c r="H25" s="45" t="s">
        <v>1835</v>
      </c>
      <c r="I25" s="45" t="s">
        <v>1846</v>
      </c>
      <c r="J25" s="45" t="s">
        <v>864</v>
      </c>
      <c r="K25" s="45" t="s">
        <v>1856</v>
      </c>
      <c r="L25" s="45" t="s">
        <v>3241</v>
      </c>
      <c r="M25" s="45" t="s">
        <v>2886</v>
      </c>
      <c r="N25" s="45" t="s">
        <v>1891</v>
      </c>
      <c r="T25" s="15" t="s">
        <v>4718</v>
      </c>
      <c r="U25" s="22" t="s">
        <v>4831</v>
      </c>
      <c r="V25" s="22" t="s">
        <v>334</v>
      </c>
      <c r="W25" s="16" t="s">
        <v>4878</v>
      </c>
    </row>
    <row r="26" spans="1:23" ht="15" customHeight="1">
      <c r="A26" s="45" t="s">
        <v>833</v>
      </c>
      <c r="B26" s="45" t="str">
        <f t="shared" ca="1" si="0"/>
        <v>* Is Primary</v>
      </c>
      <c r="C26" s="45" t="s">
        <v>1786</v>
      </c>
      <c r="D26" s="45" t="s">
        <v>8627</v>
      </c>
      <c r="E26" s="45" t="s">
        <v>1797</v>
      </c>
      <c r="F26" s="45" t="s">
        <v>1810</v>
      </c>
      <c r="G26" s="45" t="s">
        <v>1823</v>
      </c>
      <c r="H26" s="45" t="s">
        <v>1836</v>
      </c>
      <c r="I26" s="45" t="s">
        <v>1844</v>
      </c>
      <c r="J26" s="45" t="s">
        <v>867</v>
      </c>
      <c r="K26" s="45" t="s">
        <v>2872</v>
      </c>
      <c r="L26" s="45" t="s">
        <v>1868</v>
      </c>
      <c r="M26" s="45" t="s">
        <v>1878</v>
      </c>
      <c r="N26" s="45" t="s">
        <v>1890</v>
      </c>
      <c r="T26" s="15" t="s">
        <v>4719</v>
      </c>
      <c r="U26" s="22" t="s">
        <v>4831</v>
      </c>
      <c r="V26" s="22" t="s">
        <v>334</v>
      </c>
      <c r="W26" s="16" t="s">
        <v>4879</v>
      </c>
    </row>
    <row r="27" spans="1:23" ht="15" customHeight="1">
      <c r="A27" s="45" t="s">
        <v>3072</v>
      </c>
      <c r="B27" s="45" t="str">
        <f t="shared" ca="1" si="0"/>
        <v>Issue date</v>
      </c>
      <c r="C27" s="45"/>
      <c r="D27" s="45" t="s">
        <v>3072</v>
      </c>
      <c r="E27" s="45"/>
      <c r="F27" s="45"/>
      <c r="G27" s="45"/>
      <c r="H27" s="45"/>
      <c r="I27" s="45"/>
      <c r="J27" s="45"/>
      <c r="K27" s="45"/>
      <c r="L27" s="45"/>
      <c r="M27" s="45"/>
      <c r="N27" s="45"/>
      <c r="T27" s="15" t="s">
        <v>4720</v>
      </c>
      <c r="U27" s="22" t="s">
        <v>4831</v>
      </c>
      <c r="V27" s="22" t="s">
        <v>334</v>
      </c>
      <c r="W27" s="16" t="s">
        <v>4880</v>
      </c>
    </row>
    <row r="28" spans="1:23" ht="15" customHeight="1">
      <c r="A28" s="45" t="s">
        <v>3071</v>
      </c>
      <c r="B28" s="45" t="str">
        <f t="shared" ca="1" si="0"/>
        <v>Issued by</v>
      </c>
      <c r="C28" s="45"/>
      <c r="D28" s="45" t="s">
        <v>3071</v>
      </c>
      <c r="E28" s="45"/>
      <c r="F28" s="45"/>
      <c r="G28" s="45"/>
      <c r="H28" s="45"/>
      <c r="I28" s="45"/>
      <c r="J28" s="45"/>
      <c r="K28" s="45"/>
      <c r="L28" s="45"/>
      <c r="M28" s="45"/>
      <c r="N28" s="45"/>
      <c r="T28" s="15" t="s">
        <v>4721</v>
      </c>
      <c r="U28" s="22" t="s">
        <v>4831</v>
      </c>
      <c r="V28" s="22" t="s">
        <v>334</v>
      </c>
      <c r="W28" s="16" t="s">
        <v>4881</v>
      </c>
    </row>
    <row r="29" spans="1:23" ht="15" customHeight="1">
      <c r="A29" s="45" t="s">
        <v>1</v>
      </c>
      <c r="B29" s="45" t="str">
        <f t="shared" ca="1" si="0"/>
        <v>Personal Information</v>
      </c>
      <c r="C29" s="45" t="s">
        <v>2891</v>
      </c>
      <c r="D29" s="45" t="s">
        <v>1</v>
      </c>
      <c r="E29" s="45" t="s">
        <v>1798</v>
      </c>
      <c r="F29" s="45" t="s">
        <v>1811</v>
      </c>
      <c r="G29" s="45" t="s">
        <v>1824</v>
      </c>
      <c r="H29" s="45" t="s">
        <v>1837</v>
      </c>
      <c r="I29" s="45"/>
      <c r="J29" s="45" t="s">
        <v>868</v>
      </c>
      <c r="K29" s="45" t="s">
        <v>1857</v>
      </c>
      <c r="L29" s="45" t="s">
        <v>1869</v>
      </c>
      <c r="M29" s="45" t="s">
        <v>1879</v>
      </c>
      <c r="N29" s="45" t="s">
        <v>1892</v>
      </c>
      <c r="T29" s="15" t="s">
        <v>4722</v>
      </c>
      <c r="U29" s="22" t="s">
        <v>4831</v>
      </c>
      <c r="V29" s="22" t="s">
        <v>334</v>
      </c>
      <c r="W29" s="16" t="s">
        <v>4882</v>
      </c>
    </row>
    <row r="30" spans="1:23" ht="15" customHeight="1">
      <c r="A30" s="45" t="s">
        <v>834</v>
      </c>
      <c r="B30" s="45" t="str">
        <f t="shared" ca="1" si="0"/>
        <v>* Gender</v>
      </c>
      <c r="C30" s="45" t="s">
        <v>1788</v>
      </c>
      <c r="D30" s="45" t="s">
        <v>8628</v>
      </c>
      <c r="E30" s="45" t="s">
        <v>1799</v>
      </c>
      <c r="F30" s="45" t="s">
        <v>1812</v>
      </c>
      <c r="G30" s="45" t="s">
        <v>1825</v>
      </c>
      <c r="H30" s="45" t="s">
        <v>3163</v>
      </c>
      <c r="I30" s="45" t="s">
        <v>1847</v>
      </c>
      <c r="J30" s="45" t="s">
        <v>869</v>
      </c>
      <c r="K30" s="45" t="s">
        <v>1858</v>
      </c>
      <c r="L30" s="45" t="s">
        <v>1870</v>
      </c>
      <c r="M30" s="45" t="s">
        <v>1880</v>
      </c>
      <c r="N30" s="45" t="s">
        <v>1893</v>
      </c>
      <c r="T30" s="15" t="s">
        <v>4723</v>
      </c>
      <c r="U30" s="22" t="s">
        <v>4831</v>
      </c>
      <c r="V30" s="22" t="s">
        <v>334</v>
      </c>
      <c r="W30" s="16" t="s">
        <v>4883</v>
      </c>
    </row>
    <row r="31" spans="1:23" ht="15" customHeight="1">
      <c r="A31" s="45" t="s">
        <v>2761</v>
      </c>
      <c r="B31" s="45" t="str">
        <f t="shared" ca="1" si="0"/>
        <v>Marital Status</v>
      </c>
      <c r="C31" s="45" t="s">
        <v>3099</v>
      </c>
      <c r="D31" s="45" t="s">
        <v>2761</v>
      </c>
      <c r="E31" s="45" t="s">
        <v>3324</v>
      </c>
      <c r="F31" s="45" t="s">
        <v>3123</v>
      </c>
      <c r="G31" s="45" t="s">
        <v>3153</v>
      </c>
      <c r="H31" s="45" t="s">
        <v>3164</v>
      </c>
      <c r="I31" s="45"/>
      <c r="J31" s="45" t="s">
        <v>3047</v>
      </c>
      <c r="K31" s="45" t="s">
        <v>2883</v>
      </c>
      <c r="L31" s="45" t="s">
        <v>3222</v>
      </c>
      <c r="M31" s="45" t="s">
        <v>3247</v>
      </c>
      <c r="N31" s="45" t="s">
        <v>3267</v>
      </c>
      <c r="T31" s="15" t="s">
        <v>4724</v>
      </c>
      <c r="U31" s="22" t="s">
        <v>4831</v>
      </c>
      <c r="V31" s="22" t="s">
        <v>334</v>
      </c>
      <c r="W31" s="16" t="s">
        <v>4884</v>
      </c>
    </row>
    <row r="32" spans="1:23" ht="15" customHeight="1">
      <c r="A32" s="45" t="s">
        <v>2988</v>
      </c>
      <c r="B32" s="45" t="str">
        <f t="shared" ca="1" si="0"/>
        <v>Marital Status date</v>
      </c>
      <c r="C32" s="45" t="s">
        <v>3100</v>
      </c>
      <c r="D32" s="45" t="s">
        <v>2988</v>
      </c>
      <c r="E32" s="45" t="s">
        <v>3325</v>
      </c>
      <c r="F32" s="45" t="s">
        <v>3318</v>
      </c>
      <c r="G32" s="45"/>
      <c r="H32" s="45"/>
      <c r="I32" s="45"/>
      <c r="J32" s="45"/>
      <c r="K32" s="45"/>
      <c r="L32" s="45"/>
      <c r="M32" s="45"/>
      <c r="N32" s="45" t="s">
        <v>3268</v>
      </c>
      <c r="T32" s="15" t="s">
        <v>4725</v>
      </c>
      <c r="U32" s="22" t="s">
        <v>4831</v>
      </c>
      <c r="V32" s="22" t="s">
        <v>334</v>
      </c>
      <c r="W32" s="16" t="s">
        <v>4885</v>
      </c>
    </row>
    <row r="33" spans="1:23" ht="15" customHeight="1">
      <c r="A33" s="45" t="s">
        <v>835</v>
      </c>
      <c r="B33" s="45" t="str">
        <f t="shared" ca="1" si="0"/>
        <v>Nationality</v>
      </c>
      <c r="C33" s="45" t="s">
        <v>1789</v>
      </c>
      <c r="D33" s="45" t="s">
        <v>835</v>
      </c>
      <c r="E33" s="45" t="s">
        <v>1800</v>
      </c>
      <c r="F33" s="45" t="s">
        <v>1813</v>
      </c>
      <c r="G33" s="45" t="s">
        <v>1826</v>
      </c>
      <c r="H33" s="45" t="s">
        <v>1838</v>
      </c>
      <c r="I33" s="45" t="s">
        <v>1848</v>
      </c>
      <c r="J33" s="45" t="s">
        <v>870</v>
      </c>
      <c r="K33" s="45" t="s">
        <v>1859</v>
      </c>
      <c r="L33" s="45" t="s">
        <v>1871</v>
      </c>
      <c r="M33" s="45" t="s">
        <v>1881</v>
      </c>
      <c r="N33" s="45" t="s">
        <v>1894</v>
      </c>
      <c r="T33" s="15" t="s">
        <v>4726</v>
      </c>
      <c r="U33" s="22" t="s">
        <v>4831</v>
      </c>
      <c r="V33" s="22" t="s">
        <v>334</v>
      </c>
      <c r="W33" s="16" t="s">
        <v>4886</v>
      </c>
    </row>
    <row r="34" spans="1:23" ht="15" customHeight="1">
      <c r="A34" s="45" t="s">
        <v>2762</v>
      </c>
      <c r="B34" s="45" t="str">
        <f t="shared" ca="1" si="0"/>
        <v>Second Nationality</v>
      </c>
      <c r="C34" s="45" t="s">
        <v>3101</v>
      </c>
      <c r="D34" s="45" t="s">
        <v>2762</v>
      </c>
      <c r="E34" s="45" t="s">
        <v>3011</v>
      </c>
      <c r="F34" s="45" t="s">
        <v>3124</v>
      </c>
      <c r="G34" s="45" t="s">
        <v>3154</v>
      </c>
      <c r="H34" s="45" t="s">
        <v>3165</v>
      </c>
      <c r="I34" s="45"/>
      <c r="J34" s="45" t="s">
        <v>3203</v>
      </c>
      <c r="K34" s="45" t="s">
        <v>3202</v>
      </c>
      <c r="L34" s="45" t="s">
        <v>3223</v>
      </c>
      <c r="M34" s="45" t="s">
        <v>3790</v>
      </c>
      <c r="N34" s="45" t="s">
        <v>3269</v>
      </c>
      <c r="T34" s="15" t="s">
        <v>4727</v>
      </c>
      <c r="U34" s="22" t="s">
        <v>4831</v>
      </c>
      <c r="V34" s="22" t="s">
        <v>334</v>
      </c>
      <c r="W34" s="16" t="s">
        <v>4887</v>
      </c>
    </row>
    <row r="35" spans="1:23" ht="15" customHeight="1">
      <c r="A35" s="45" t="s">
        <v>2668</v>
      </c>
      <c r="B35" s="45" t="str">
        <f t="shared" ca="1" si="0"/>
        <v>Ethnic Group</v>
      </c>
      <c r="C35" s="45"/>
      <c r="D35" s="45" t="s">
        <v>2668</v>
      </c>
      <c r="E35" s="45"/>
      <c r="F35" s="45"/>
      <c r="G35" s="45"/>
      <c r="H35" s="45"/>
      <c r="I35" s="45"/>
      <c r="J35" s="45"/>
      <c r="K35" s="45"/>
      <c r="L35" s="45"/>
      <c r="M35" s="45"/>
      <c r="N35" s="45"/>
      <c r="T35" s="15" t="s">
        <v>4728</v>
      </c>
      <c r="U35" s="22" t="s">
        <v>4831</v>
      </c>
      <c r="V35" s="22" t="s">
        <v>334</v>
      </c>
      <c r="W35" s="16" t="s">
        <v>4888</v>
      </c>
    </row>
    <row r="36" spans="1:23" ht="15" customHeight="1">
      <c r="A36" s="45" t="s">
        <v>2669</v>
      </c>
      <c r="B36" s="45" t="str">
        <f t="shared" ca="1" si="0"/>
        <v>Disclosed Veteran Category</v>
      </c>
      <c r="C36" s="45"/>
      <c r="D36" s="45" t="s">
        <v>2669</v>
      </c>
      <c r="E36" s="45"/>
      <c r="F36" s="45"/>
      <c r="G36" s="45"/>
      <c r="H36" s="45"/>
      <c r="I36" s="45"/>
      <c r="J36" s="45"/>
      <c r="K36" s="45"/>
      <c r="L36" s="45"/>
      <c r="M36" s="45"/>
      <c r="N36" s="45"/>
      <c r="T36" s="15" t="s">
        <v>4729</v>
      </c>
      <c r="U36" s="22" t="s">
        <v>4831</v>
      </c>
      <c r="V36" s="22" t="s">
        <v>334</v>
      </c>
      <c r="W36" s="16" t="s">
        <v>4889</v>
      </c>
    </row>
    <row r="37" spans="1:23" ht="15" customHeight="1">
      <c r="A37" s="45" t="s">
        <v>2670</v>
      </c>
      <c r="B37" s="45" t="str">
        <f t="shared" ca="1" si="0"/>
        <v>Disability Status</v>
      </c>
      <c r="C37" s="45"/>
      <c r="D37" s="45" t="s">
        <v>2670</v>
      </c>
      <c r="E37" s="45" t="s">
        <v>3012</v>
      </c>
      <c r="F37" s="45" t="s">
        <v>3292</v>
      </c>
      <c r="G37" s="45"/>
      <c r="H37" s="45"/>
      <c r="I37" s="45"/>
      <c r="J37" s="45"/>
      <c r="K37" s="45"/>
      <c r="L37" s="45"/>
      <c r="M37" s="45"/>
      <c r="N37" s="45"/>
      <c r="T37" s="15" t="s">
        <v>4730</v>
      </c>
      <c r="U37" s="22" t="s">
        <v>4831</v>
      </c>
      <c r="V37" s="22" t="s">
        <v>334</v>
      </c>
      <c r="W37" s="16" t="s">
        <v>4890</v>
      </c>
    </row>
    <row r="38" spans="1:23" ht="15" customHeight="1">
      <c r="A38" s="45" t="s">
        <v>2671</v>
      </c>
      <c r="B38" s="45" t="str">
        <f t="shared" ca="1" si="0"/>
        <v>Aboriginal People</v>
      </c>
      <c r="C38" s="45"/>
      <c r="D38" s="45" t="s">
        <v>2671</v>
      </c>
      <c r="E38" s="45"/>
      <c r="F38" s="45"/>
      <c r="G38" s="45"/>
      <c r="H38" s="45"/>
      <c r="I38" s="45"/>
      <c r="J38" s="45"/>
      <c r="K38" s="45"/>
      <c r="L38" s="45"/>
      <c r="M38" s="45"/>
      <c r="N38" s="45"/>
      <c r="T38" s="15" t="s">
        <v>4731</v>
      </c>
      <c r="U38" s="22" t="s">
        <v>4831</v>
      </c>
      <c r="V38" s="22" t="s">
        <v>334</v>
      </c>
      <c r="W38" s="16" t="s">
        <v>4891</v>
      </c>
    </row>
    <row r="39" spans="1:23" ht="15" customHeight="1">
      <c r="A39" s="45" t="s">
        <v>2672</v>
      </c>
      <c r="B39" s="45" t="str">
        <f t="shared" ca="1" si="0"/>
        <v>Is a Visible Minority?</v>
      </c>
      <c r="C39" s="45"/>
      <c r="D39" s="45" t="s">
        <v>2672</v>
      </c>
      <c r="E39" s="45"/>
      <c r="F39" s="45"/>
      <c r="G39" s="45"/>
      <c r="H39" s="45"/>
      <c r="I39" s="45"/>
      <c r="J39" s="45"/>
      <c r="K39" s="45"/>
      <c r="L39" s="45"/>
      <c r="M39" s="45"/>
      <c r="N39" s="45"/>
      <c r="T39" s="15" t="s">
        <v>4732</v>
      </c>
      <c r="U39" s="22" t="s">
        <v>4831</v>
      </c>
      <c r="V39" s="22" t="s">
        <v>334</v>
      </c>
      <c r="W39" s="16" t="s">
        <v>4892</v>
      </c>
    </row>
    <row r="40" spans="1:23" ht="15" customHeight="1">
      <c r="A40" s="45" t="s">
        <v>2673</v>
      </c>
      <c r="B40" s="45" t="str">
        <f t="shared" ca="1" si="0"/>
        <v>Person with Disability</v>
      </c>
      <c r="C40" s="45"/>
      <c r="D40" s="45" t="s">
        <v>2673</v>
      </c>
      <c r="E40" s="45"/>
      <c r="F40" s="45"/>
      <c r="G40" s="45"/>
      <c r="H40" s="45" t="s">
        <v>3166</v>
      </c>
      <c r="I40" s="45"/>
      <c r="J40" s="45"/>
      <c r="K40" s="45"/>
      <c r="L40" s="45"/>
      <c r="M40" s="45"/>
      <c r="N40" s="45"/>
      <c r="T40" s="15" t="s">
        <v>4733</v>
      </c>
      <c r="U40" s="22" t="s">
        <v>4831</v>
      </c>
      <c r="V40" s="22" t="s">
        <v>334</v>
      </c>
      <c r="W40" s="16" t="s">
        <v>4893</v>
      </c>
    </row>
    <row r="41" spans="1:23" ht="15" customHeight="1">
      <c r="A41" s="45" t="s">
        <v>2674</v>
      </c>
      <c r="B41" s="45" t="str">
        <f t="shared" ca="1" si="0"/>
        <v>Accommodation Provided</v>
      </c>
      <c r="C41" s="45"/>
      <c r="D41" s="45" t="s">
        <v>2674</v>
      </c>
      <c r="E41" s="45" t="s">
        <v>3013</v>
      </c>
      <c r="F41" s="45"/>
      <c r="G41" s="45"/>
      <c r="H41" s="45"/>
      <c r="I41" s="45"/>
      <c r="J41" s="45"/>
      <c r="K41" s="45"/>
      <c r="L41" s="45"/>
      <c r="M41" s="45"/>
      <c r="N41" s="45"/>
      <c r="T41" s="15" t="s">
        <v>4734</v>
      </c>
      <c r="U41" s="22" t="s">
        <v>4831</v>
      </c>
      <c r="V41" s="22" t="s">
        <v>334</v>
      </c>
      <c r="W41" s="16" t="s">
        <v>4894</v>
      </c>
    </row>
    <row r="42" spans="1:23" ht="15" customHeight="1">
      <c r="A42" s="45" t="s">
        <v>2802</v>
      </c>
      <c r="B42" s="45" t="str">
        <f t="shared" ca="1" si="0"/>
        <v>Father's name</v>
      </c>
      <c r="C42" s="45"/>
      <c r="D42" s="45" t="s">
        <v>2802</v>
      </c>
      <c r="E42" s="45" t="s">
        <v>3014</v>
      </c>
      <c r="F42" s="45"/>
      <c r="G42" s="45"/>
      <c r="H42" s="45"/>
      <c r="I42" s="45"/>
      <c r="J42" s="45" t="s">
        <v>2803</v>
      </c>
      <c r="K42" s="45"/>
      <c r="L42" s="45"/>
      <c r="M42" s="45"/>
      <c r="N42" s="45"/>
      <c r="T42" s="15" t="s">
        <v>4735</v>
      </c>
      <c r="U42" s="22" t="s">
        <v>4831</v>
      </c>
      <c r="V42" s="22" t="s">
        <v>334</v>
      </c>
      <c r="W42" s="16" t="s">
        <v>4895</v>
      </c>
    </row>
    <row r="43" spans="1:23" ht="15" customHeight="1">
      <c r="A43" s="45" t="s">
        <v>2804</v>
      </c>
      <c r="B43" s="45" t="str">
        <f t="shared" ca="1" si="0"/>
        <v>Mother's name</v>
      </c>
      <c r="C43" s="45"/>
      <c r="D43" s="45" t="s">
        <v>2804</v>
      </c>
      <c r="E43" s="45" t="s">
        <v>3015</v>
      </c>
      <c r="F43" s="45"/>
      <c r="G43" s="45"/>
      <c r="H43" s="45"/>
      <c r="I43" s="45"/>
      <c r="J43" s="45" t="s">
        <v>2805</v>
      </c>
      <c r="K43" s="45"/>
      <c r="L43" s="45"/>
      <c r="M43" s="45"/>
      <c r="N43" s="45"/>
      <c r="T43" s="15" t="s">
        <v>4736</v>
      </c>
      <c r="U43" s="22" t="s">
        <v>4831</v>
      </c>
      <c r="V43" s="22" t="s">
        <v>334</v>
      </c>
      <c r="W43" s="16" t="s">
        <v>4896</v>
      </c>
    </row>
    <row r="44" spans="1:23" ht="15" customHeight="1">
      <c r="A44" s="45" t="s">
        <v>2024</v>
      </c>
      <c r="B44" s="45" t="str">
        <f t="shared" ca="1" si="0"/>
        <v>Address</v>
      </c>
      <c r="C44" s="45" t="s">
        <v>2477</v>
      </c>
      <c r="D44" s="45" t="s">
        <v>2024</v>
      </c>
      <c r="E44" s="45" t="s">
        <v>2491</v>
      </c>
      <c r="F44" s="45" t="s">
        <v>2491</v>
      </c>
      <c r="G44" s="45" t="s">
        <v>2505</v>
      </c>
      <c r="H44" s="45" t="s">
        <v>2514</v>
      </c>
      <c r="I44" s="45" t="s">
        <v>2519</v>
      </c>
      <c r="J44" s="45" t="s">
        <v>2477</v>
      </c>
      <c r="K44" s="45" t="s">
        <v>2521</v>
      </c>
      <c r="L44" s="45" t="s">
        <v>2535</v>
      </c>
      <c r="M44" s="45" t="s">
        <v>2547</v>
      </c>
      <c r="N44" s="45" t="s">
        <v>2477</v>
      </c>
      <c r="T44" s="15" t="s">
        <v>4737</v>
      </c>
      <c r="U44" s="22" t="s">
        <v>4831</v>
      </c>
      <c r="V44" s="22" t="s">
        <v>334</v>
      </c>
      <c r="W44" s="16" t="s">
        <v>4897</v>
      </c>
    </row>
    <row r="45" spans="1:23" ht="15" customHeight="1">
      <c r="A45" s="45" t="s">
        <v>1958</v>
      </c>
      <c r="B45" s="45" t="str">
        <f t="shared" ca="1" si="0"/>
        <v>Address Type</v>
      </c>
      <c r="C45" s="45" t="s">
        <v>2481</v>
      </c>
      <c r="D45" s="45" t="s">
        <v>1958</v>
      </c>
      <c r="E45" s="45" t="s">
        <v>2492</v>
      </c>
      <c r="F45" s="45" t="s">
        <v>2498</v>
      </c>
      <c r="G45" s="45" t="s">
        <v>2506</v>
      </c>
      <c r="H45" s="45" t="s">
        <v>2515</v>
      </c>
      <c r="I45" s="45" t="s">
        <v>2520</v>
      </c>
      <c r="J45" s="45" t="s">
        <v>1959</v>
      </c>
      <c r="K45" s="45" t="s">
        <v>2522</v>
      </c>
      <c r="L45" s="45" t="s">
        <v>2536</v>
      </c>
      <c r="M45" s="45" t="s">
        <v>2548</v>
      </c>
      <c r="N45" s="45" t="s">
        <v>2561</v>
      </c>
      <c r="T45" s="15" t="s">
        <v>4738</v>
      </c>
      <c r="U45" s="22" t="s">
        <v>4840</v>
      </c>
      <c r="V45" s="22" t="s">
        <v>365</v>
      </c>
      <c r="W45" s="16" t="s">
        <v>4898</v>
      </c>
    </row>
    <row r="46" spans="1:23" ht="15" customHeight="1">
      <c r="A46" s="45" t="s">
        <v>320</v>
      </c>
      <c r="B46" s="45" t="str">
        <f t="shared" ca="1" si="0"/>
        <v>Country</v>
      </c>
      <c r="C46" s="45" t="s">
        <v>1784</v>
      </c>
      <c r="D46" s="45" t="s">
        <v>320</v>
      </c>
      <c r="E46" s="45" t="s">
        <v>1796</v>
      </c>
      <c r="F46" s="45" t="s">
        <v>1784</v>
      </c>
      <c r="G46" s="45" t="s">
        <v>1821</v>
      </c>
      <c r="H46" s="45" t="s">
        <v>1833</v>
      </c>
      <c r="I46" s="45" t="s">
        <v>1784</v>
      </c>
      <c r="J46" s="45" t="s">
        <v>865</v>
      </c>
      <c r="K46" s="45" t="s">
        <v>1854</v>
      </c>
      <c r="L46" s="45" t="s">
        <v>1866</v>
      </c>
      <c r="M46" s="45" t="s">
        <v>1854</v>
      </c>
      <c r="N46" s="45" t="s">
        <v>1888</v>
      </c>
      <c r="T46" s="15" t="s">
        <v>4739</v>
      </c>
      <c r="U46" s="22" t="s">
        <v>4840</v>
      </c>
      <c r="V46" s="22" t="s">
        <v>365</v>
      </c>
      <c r="W46" s="16" t="s">
        <v>4899</v>
      </c>
    </row>
    <row r="47" spans="1:23" ht="15" customHeight="1">
      <c r="A47" s="45" t="s">
        <v>1944</v>
      </c>
      <c r="B47" s="45" t="str">
        <f t="shared" ca="1" si="0"/>
        <v>Care of</v>
      </c>
      <c r="C47" s="45"/>
      <c r="D47" s="45" t="s">
        <v>1944</v>
      </c>
      <c r="E47" s="45" t="s">
        <v>2497</v>
      </c>
      <c r="F47" s="45" t="s">
        <v>3317</v>
      </c>
      <c r="G47" s="45" t="s">
        <v>2504</v>
      </c>
      <c r="H47" s="45" t="s">
        <v>3167</v>
      </c>
      <c r="I47" s="45"/>
      <c r="J47" s="45"/>
      <c r="K47" s="45"/>
      <c r="L47" s="45" t="s">
        <v>3224</v>
      </c>
      <c r="M47" s="45"/>
      <c r="N47" s="45"/>
      <c r="T47" s="15" t="s">
        <v>4740</v>
      </c>
      <c r="U47" s="22" t="s">
        <v>4841</v>
      </c>
      <c r="V47" s="22" t="s">
        <v>22</v>
      </c>
      <c r="W47" s="16" t="s">
        <v>4900</v>
      </c>
    </row>
    <row r="48" spans="1:23" ht="15" customHeight="1">
      <c r="A48" s="45" t="s">
        <v>1940</v>
      </c>
      <c r="B48" s="45" t="str">
        <f t="shared" ca="1" si="0"/>
        <v>Street</v>
      </c>
      <c r="C48" s="45" t="s">
        <v>2482</v>
      </c>
      <c r="D48" s="45" t="s">
        <v>1940</v>
      </c>
      <c r="E48" s="45" t="s">
        <v>2490</v>
      </c>
      <c r="F48" s="45" t="s">
        <v>2499</v>
      </c>
      <c r="G48" s="45" t="s">
        <v>3155</v>
      </c>
      <c r="H48" s="45" t="s">
        <v>2516</v>
      </c>
      <c r="I48" s="45"/>
      <c r="J48" s="45" t="s">
        <v>2478</v>
      </c>
      <c r="K48" s="45" t="s">
        <v>2527</v>
      </c>
      <c r="L48" s="45" t="s">
        <v>2537</v>
      </c>
      <c r="M48" s="45" t="s">
        <v>2549</v>
      </c>
      <c r="N48" s="45" t="s">
        <v>2558</v>
      </c>
      <c r="T48" s="15" t="s">
        <v>4741</v>
      </c>
      <c r="U48" s="22" t="s">
        <v>4831</v>
      </c>
      <c r="V48" s="22" t="s">
        <v>334</v>
      </c>
      <c r="W48" s="16" t="s">
        <v>4901</v>
      </c>
    </row>
    <row r="49" spans="1:23" ht="15" customHeight="1">
      <c r="A49" s="45" t="s">
        <v>1941</v>
      </c>
      <c r="B49" s="45" t="str">
        <f t="shared" ca="1" si="0"/>
        <v>House number</v>
      </c>
      <c r="C49" s="45" t="s">
        <v>2485</v>
      </c>
      <c r="D49" s="45" t="s">
        <v>1941</v>
      </c>
      <c r="E49" s="45" t="s">
        <v>2489</v>
      </c>
      <c r="F49" s="45" t="s">
        <v>2500</v>
      </c>
      <c r="G49" s="45" t="s">
        <v>2507</v>
      </c>
      <c r="H49" s="45" t="s">
        <v>3168</v>
      </c>
      <c r="I49" s="45"/>
      <c r="J49" s="45" t="s">
        <v>1960</v>
      </c>
      <c r="K49" s="45" t="s">
        <v>2531</v>
      </c>
      <c r="L49" s="45" t="s">
        <v>2542</v>
      </c>
      <c r="M49" s="45" t="s">
        <v>2531</v>
      </c>
      <c r="N49" s="45" t="s">
        <v>3286</v>
      </c>
      <c r="T49" s="15" t="s">
        <v>4742</v>
      </c>
      <c r="U49" s="22" t="s">
        <v>4676</v>
      </c>
      <c r="V49" s="22" t="s">
        <v>348</v>
      </c>
      <c r="W49" s="16" t="s">
        <v>4902</v>
      </c>
    </row>
    <row r="50" spans="1:23" ht="15" customHeight="1">
      <c r="A50" s="45" t="s">
        <v>1946</v>
      </c>
      <c r="B50" s="45" t="str">
        <f t="shared" ca="1" si="0"/>
        <v>Apartment</v>
      </c>
      <c r="C50" s="45" t="s">
        <v>2486</v>
      </c>
      <c r="D50" s="45" t="s">
        <v>1946</v>
      </c>
      <c r="E50" s="45" t="s">
        <v>2486</v>
      </c>
      <c r="F50" s="45"/>
      <c r="G50" s="45" t="s">
        <v>2513</v>
      </c>
      <c r="H50" s="45"/>
      <c r="I50" s="45"/>
      <c r="J50" s="45" t="s">
        <v>1961</v>
      </c>
      <c r="K50" s="45" t="s">
        <v>2532</v>
      </c>
      <c r="L50" s="45" t="s">
        <v>2545</v>
      </c>
      <c r="M50" s="45" t="s">
        <v>3791</v>
      </c>
      <c r="N50" s="45" t="s">
        <v>3287</v>
      </c>
      <c r="T50" s="15" t="s">
        <v>4743</v>
      </c>
      <c r="U50" s="22" t="s">
        <v>4842</v>
      </c>
      <c r="V50" s="22" t="s">
        <v>336</v>
      </c>
      <c r="W50" s="16" t="s">
        <v>4903</v>
      </c>
    </row>
    <row r="51" spans="1:23" ht="15" customHeight="1">
      <c r="A51" s="45" t="s">
        <v>1942</v>
      </c>
      <c r="B51" s="45" t="str">
        <f t="shared" ca="1" si="0"/>
        <v>Extra address line</v>
      </c>
      <c r="C51" s="45" t="s">
        <v>2487</v>
      </c>
      <c r="D51" s="45" t="s">
        <v>1942</v>
      </c>
      <c r="E51" s="45" t="s">
        <v>2493</v>
      </c>
      <c r="F51" s="45"/>
      <c r="G51" s="45" t="s">
        <v>3156</v>
      </c>
      <c r="H51" s="45"/>
      <c r="I51" s="45"/>
      <c r="J51" s="45" t="s">
        <v>3040</v>
      </c>
      <c r="K51" s="45" t="s">
        <v>2528</v>
      </c>
      <c r="L51" s="45" t="s">
        <v>2538</v>
      </c>
      <c r="M51" s="45" t="s">
        <v>2555</v>
      </c>
      <c r="N51" s="45"/>
      <c r="T51" s="15" t="s">
        <v>4744</v>
      </c>
      <c r="U51" s="22" t="s">
        <v>4843</v>
      </c>
      <c r="V51" s="22" t="s">
        <v>341</v>
      </c>
      <c r="W51" s="16" t="s">
        <v>4904</v>
      </c>
    </row>
    <row r="52" spans="1:23" ht="15" customHeight="1">
      <c r="A52" s="45" t="s">
        <v>1963</v>
      </c>
      <c r="B52" s="45" t="str">
        <f t="shared" ca="1" si="0"/>
        <v>Postal / Zip code</v>
      </c>
      <c r="C52" s="45" t="s">
        <v>2484</v>
      </c>
      <c r="D52" s="45" t="s">
        <v>2675</v>
      </c>
      <c r="E52" s="45" t="s">
        <v>2496</v>
      </c>
      <c r="F52" s="45" t="s">
        <v>2501</v>
      </c>
      <c r="G52" s="45" t="s">
        <v>2510</v>
      </c>
      <c r="H52" s="45" t="s">
        <v>2518</v>
      </c>
      <c r="I52" s="45"/>
      <c r="J52" s="45" t="s">
        <v>1964</v>
      </c>
      <c r="K52" s="45" t="s">
        <v>2873</v>
      </c>
      <c r="L52" s="45" t="s">
        <v>2540</v>
      </c>
      <c r="M52" s="45" t="s">
        <v>2553</v>
      </c>
      <c r="N52" s="45" t="s">
        <v>2559</v>
      </c>
      <c r="T52" s="15" t="s">
        <v>4745</v>
      </c>
      <c r="U52" s="22" t="s">
        <v>4844</v>
      </c>
      <c r="V52" s="22" t="s">
        <v>335</v>
      </c>
      <c r="W52" s="16" t="s">
        <v>4905</v>
      </c>
    </row>
    <row r="53" spans="1:23" ht="15" customHeight="1">
      <c r="A53" s="45" t="s">
        <v>1943</v>
      </c>
      <c r="B53" s="45" t="str">
        <f t="shared" ca="1" si="0"/>
        <v>City</v>
      </c>
      <c r="C53" s="45" t="s">
        <v>2483</v>
      </c>
      <c r="D53" s="45" t="s">
        <v>1943</v>
      </c>
      <c r="E53" s="45" t="s">
        <v>2494</v>
      </c>
      <c r="F53" s="45" t="s">
        <v>2502</v>
      </c>
      <c r="G53" s="45" t="s">
        <v>2509</v>
      </c>
      <c r="H53" s="45" t="s">
        <v>2517</v>
      </c>
      <c r="I53" s="45"/>
      <c r="J53" s="45" t="s">
        <v>1962</v>
      </c>
      <c r="K53" s="45" t="s">
        <v>2529</v>
      </c>
      <c r="L53" s="45" t="s">
        <v>2546</v>
      </c>
      <c r="M53" s="45" t="s">
        <v>2552</v>
      </c>
      <c r="N53" s="45" t="s">
        <v>3288</v>
      </c>
      <c r="T53" s="15" t="s">
        <v>4746</v>
      </c>
      <c r="U53" s="22" t="s">
        <v>4836</v>
      </c>
      <c r="V53" s="22" t="s">
        <v>342</v>
      </c>
      <c r="W53" s="16" t="s">
        <v>4906</v>
      </c>
    </row>
    <row r="54" spans="1:23" ht="15" customHeight="1">
      <c r="A54" s="45" t="s">
        <v>1945</v>
      </c>
      <c r="B54" s="45" t="str">
        <f t="shared" ca="1" si="0"/>
        <v>Locality</v>
      </c>
      <c r="C54" s="45"/>
      <c r="D54" s="45" t="s">
        <v>1945</v>
      </c>
      <c r="E54" s="45"/>
      <c r="F54" s="45"/>
      <c r="G54" s="45"/>
      <c r="H54" s="45" t="s">
        <v>3169</v>
      </c>
      <c r="I54" s="45"/>
      <c r="J54" s="45"/>
      <c r="K54" s="45"/>
      <c r="L54" s="45"/>
      <c r="M54" s="45"/>
      <c r="N54" s="45" t="s">
        <v>2557</v>
      </c>
      <c r="T54" s="15" t="s">
        <v>4747</v>
      </c>
      <c r="U54" s="22" t="s">
        <v>4835</v>
      </c>
      <c r="V54" s="22" t="s">
        <v>86</v>
      </c>
      <c r="W54" s="16" t="s">
        <v>4907</v>
      </c>
    </row>
    <row r="55" spans="1:23" ht="15" customHeight="1">
      <c r="A55" s="45" t="s">
        <v>1971</v>
      </c>
      <c r="B55" s="45" t="str">
        <f t="shared" ca="1" si="0"/>
        <v>County / District / Department</v>
      </c>
      <c r="C55" s="45"/>
      <c r="D55" s="45" t="s">
        <v>1971</v>
      </c>
      <c r="E55" s="45" t="s">
        <v>2495</v>
      </c>
      <c r="F55" s="45" t="s">
        <v>3125</v>
      </c>
      <c r="G55" s="45"/>
      <c r="H55" s="45"/>
      <c r="I55" s="45"/>
      <c r="J55" s="45" t="s">
        <v>1966</v>
      </c>
      <c r="K55" s="45" t="s">
        <v>3204</v>
      </c>
      <c r="L55" s="45" t="s">
        <v>2541</v>
      </c>
      <c r="M55" s="45" t="s">
        <v>3249</v>
      </c>
      <c r="N55" s="45" t="s">
        <v>3289</v>
      </c>
      <c r="T55" s="15" t="s">
        <v>4748</v>
      </c>
      <c r="U55" s="22" t="s">
        <v>4845</v>
      </c>
      <c r="V55" s="22" t="s">
        <v>134</v>
      </c>
      <c r="W55" s="16" t="s">
        <v>4908</v>
      </c>
    </row>
    <row r="56" spans="1:23" ht="15" customHeight="1">
      <c r="A56" s="45" t="s">
        <v>1952</v>
      </c>
      <c r="B56" s="45" t="str">
        <f t="shared" ca="1" si="0"/>
        <v xml:space="preserve">Canton / Province / Region / State </v>
      </c>
      <c r="C56" s="45"/>
      <c r="D56" s="45" t="s">
        <v>1952</v>
      </c>
      <c r="E56" s="45" t="s">
        <v>3016</v>
      </c>
      <c r="F56" s="45" t="s">
        <v>2503</v>
      </c>
      <c r="G56" s="45"/>
      <c r="H56" s="45" t="s">
        <v>3170</v>
      </c>
      <c r="I56" s="45"/>
      <c r="J56" s="45" t="s">
        <v>1965</v>
      </c>
      <c r="K56" s="45" t="s">
        <v>3205</v>
      </c>
      <c r="L56" s="45" t="s">
        <v>2539</v>
      </c>
      <c r="M56" s="45" t="s">
        <v>3248</v>
      </c>
      <c r="N56" s="45" t="s">
        <v>3290</v>
      </c>
      <c r="T56" s="15" t="s">
        <v>4749</v>
      </c>
      <c r="U56" s="22" t="s">
        <v>4834</v>
      </c>
      <c r="V56" s="22" t="s">
        <v>200</v>
      </c>
      <c r="W56" s="16" t="s">
        <v>4909</v>
      </c>
    </row>
    <row r="57" spans="1:23" ht="15" customHeight="1">
      <c r="A57" s="45" t="s">
        <v>1947</v>
      </c>
      <c r="B57" s="45" t="str">
        <f t="shared" ca="1" si="0"/>
        <v>Building</v>
      </c>
      <c r="C57" s="45"/>
      <c r="D57" s="45" t="s">
        <v>1947</v>
      </c>
      <c r="E57" s="45" t="s">
        <v>3017</v>
      </c>
      <c r="F57" s="45"/>
      <c r="G57" s="45" t="s">
        <v>2508</v>
      </c>
      <c r="H57" s="45"/>
      <c r="I57" s="45"/>
      <c r="J57" s="45" t="s">
        <v>3214</v>
      </c>
      <c r="K57" s="45" t="s">
        <v>2874</v>
      </c>
      <c r="L57" s="45" t="s">
        <v>2543</v>
      </c>
      <c r="M57" s="45"/>
      <c r="N57" s="45" t="s">
        <v>2560</v>
      </c>
      <c r="T57" s="15" t="s">
        <v>4750</v>
      </c>
      <c r="U57" s="22" t="s">
        <v>4840</v>
      </c>
      <c r="V57" s="22" t="s">
        <v>365</v>
      </c>
      <c r="W57" s="16" t="s">
        <v>4910</v>
      </c>
    </row>
    <row r="58" spans="1:23" ht="15" customHeight="1">
      <c r="A58" s="45" t="s">
        <v>1948</v>
      </c>
      <c r="B58" s="45" t="str">
        <f t="shared" ca="1" si="0"/>
        <v>Staircase</v>
      </c>
      <c r="C58" s="45"/>
      <c r="D58" s="45" t="s">
        <v>1948</v>
      </c>
      <c r="E58" s="45" t="s">
        <v>3018</v>
      </c>
      <c r="F58" s="45"/>
      <c r="G58" s="45" t="s">
        <v>2511</v>
      </c>
      <c r="H58" s="45"/>
      <c r="I58" s="45"/>
      <c r="J58" s="45" t="s">
        <v>3215</v>
      </c>
      <c r="K58" s="45" t="s">
        <v>2534</v>
      </c>
      <c r="L58" s="45" t="s">
        <v>3225</v>
      </c>
      <c r="M58" s="45" t="s">
        <v>2551</v>
      </c>
      <c r="N58" s="45"/>
      <c r="T58" s="15" t="s">
        <v>4751</v>
      </c>
      <c r="U58" s="22" t="s">
        <v>4831</v>
      </c>
      <c r="V58" s="22" t="s">
        <v>334</v>
      </c>
      <c r="W58" s="16" t="s">
        <v>4911</v>
      </c>
    </row>
    <row r="59" spans="1:23" ht="15" customHeight="1">
      <c r="A59" s="45" t="s">
        <v>1949</v>
      </c>
      <c r="B59" s="45" t="str">
        <f t="shared" ca="1" si="0"/>
        <v>Floor</v>
      </c>
      <c r="C59" s="45"/>
      <c r="D59" s="45" t="s">
        <v>1949</v>
      </c>
      <c r="E59" s="45" t="s">
        <v>3019</v>
      </c>
      <c r="F59" s="45"/>
      <c r="G59" s="45" t="s">
        <v>2512</v>
      </c>
      <c r="H59" s="45"/>
      <c r="I59" s="45"/>
      <c r="J59" s="45" t="s">
        <v>3216</v>
      </c>
      <c r="K59" s="45" t="s">
        <v>2533</v>
      </c>
      <c r="L59" s="45" t="s">
        <v>2544</v>
      </c>
      <c r="M59" s="45" t="s">
        <v>2550</v>
      </c>
      <c r="N59" s="45"/>
      <c r="T59" s="15" t="s">
        <v>4752</v>
      </c>
      <c r="U59" s="22" t="s">
        <v>4831</v>
      </c>
      <c r="V59" s="22" t="s">
        <v>334</v>
      </c>
      <c r="W59" s="16" t="s">
        <v>4912</v>
      </c>
    </row>
    <row r="60" spans="1:23" ht="15" customHeight="1">
      <c r="A60" s="45" t="s">
        <v>1674</v>
      </c>
      <c r="B60" s="45" t="str">
        <f t="shared" ca="1" si="0"/>
        <v>Post</v>
      </c>
      <c r="C60" s="45"/>
      <c r="D60" s="45" t="s">
        <v>1674</v>
      </c>
      <c r="E60" s="45" t="s">
        <v>3020</v>
      </c>
      <c r="F60" s="45"/>
      <c r="G60" s="45"/>
      <c r="H60" s="45"/>
      <c r="I60" s="45"/>
      <c r="J60" s="45" t="s">
        <v>1967</v>
      </c>
      <c r="K60" s="45" t="s">
        <v>3206</v>
      </c>
      <c r="L60" s="45" t="s">
        <v>3226</v>
      </c>
      <c r="M60" s="45" t="s">
        <v>3250</v>
      </c>
      <c r="N60" s="45" t="s">
        <v>1678</v>
      </c>
      <c r="T60" s="15" t="s">
        <v>4753</v>
      </c>
      <c r="U60" s="22" t="s">
        <v>4831</v>
      </c>
      <c r="V60" s="22" t="s">
        <v>334</v>
      </c>
      <c r="W60" s="16" t="s">
        <v>4913</v>
      </c>
    </row>
    <row r="61" spans="1:23" ht="15" customHeight="1">
      <c r="A61" s="45" t="s">
        <v>1950</v>
      </c>
      <c r="B61" s="45" t="str">
        <f t="shared" ca="1" si="0"/>
        <v>Street type</v>
      </c>
      <c r="C61" s="45"/>
      <c r="D61" s="45" t="s">
        <v>1950</v>
      </c>
      <c r="E61" s="45" t="s">
        <v>3021</v>
      </c>
      <c r="F61" s="45"/>
      <c r="G61" s="45"/>
      <c r="H61" s="45"/>
      <c r="I61" s="45"/>
      <c r="J61" s="45"/>
      <c r="K61" s="45" t="s">
        <v>2530</v>
      </c>
      <c r="L61" s="45"/>
      <c r="M61" s="45" t="s">
        <v>2554</v>
      </c>
      <c r="N61" s="45"/>
      <c r="T61" s="15" t="s">
        <v>4754</v>
      </c>
      <c r="U61" s="22" t="s">
        <v>4831</v>
      </c>
      <c r="V61" s="22" t="s">
        <v>334</v>
      </c>
      <c r="W61" s="16" t="s">
        <v>4914</v>
      </c>
    </row>
    <row r="62" spans="1:23" ht="15" customHeight="1">
      <c r="A62" s="45" t="s">
        <v>1951</v>
      </c>
      <c r="B62" s="45" t="str">
        <f t="shared" ca="1" si="0"/>
        <v>Name of Addressee</v>
      </c>
      <c r="C62" s="45"/>
      <c r="D62" s="45" t="s">
        <v>1951</v>
      </c>
      <c r="E62" s="45" t="s">
        <v>3022</v>
      </c>
      <c r="F62" s="45"/>
      <c r="G62" s="45"/>
      <c r="H62" s="45"/>
      <c r="I62" s="45"/>
      <c r="J62" s="45"/>
      <c r="K62" s="45"/>
      <c r="L62" s="45"/>
      <c r="M62" s="45"/>
      <c r="N62" s="45" t="s">
        <v>2556</v>
      </c>
      <c r="T62" s="15" t="s">
        <v>4755</v>
      </c>
      <c r="U62" s="22" t="s">
        <v>4831</v>
      </c>
      <c r="V62" s="22" t="s">
        <v>334</v>
      </c>
      <c r="W62" s="16" t="s">
        <v>4915</v>
      </c>
    </row>
    <row r="63" spans="1:23" ht="15" customHeight="1">
      <c r="A63" s="45" t="s">
        <v>2769</v>
      </c>
      <c r="B63" s="45" t="str">
        <f t="shared" ca="1" si="0"/>
        <v>Work Permit Information</v>
      </c>
      <c r="C63" s="45" t="s">
        <v>3102</v>
      </c>
      <c r="D63" s="45" t="s">
        <v>2769</v>
      </c>
      <c r="E63" s="45" t="s">
        <v>3023</v>
      </c>
      <c r="F63" s="45" t="s">
        <v>3126</v>
      </c>
      <c r="G63" s="45"/>
      <c r="H63" s="45" t="s">
        <v>3171</v>
      </c>
      <c r="I63" s="45"/>
      <c r="J63" s="45" t="s">
        <v>3048</v>
      </c>
      <c r="K63" s="45" t="s">
        <v>2885</v>
      </c>
      <c r="L63" s="45" t="s">
        <v>3227</v>
      </c>
      <c r="M63" s="45" t="s">
        <v>3251</v>
      </c>
      <c r="N63" s="45"/>
      <c r="T63" s="15" t="s">
        <v>4756</v>
      </c>
      <c r="U63" s="22" t="s">
        <v>4838</v>
      </c>
      <c r="V63" s="22" t="s">
        <v>356</v>
      </c>
      <c r="W63" s="16" t="s">
        <v>4916</v>
      </c>
    </row>
    <row r="64" spans="1:23" ht="15" customHeight="1">
      <c r="A64" s="45" t="s">
        <v>320</v>
      </c>
      <c r="B64" s="45" t="str">
        <f t="shared" ca="1" si="0"/>
        <v>Country</v>
      </c>
      <c r="C64" s="45" t="s">
        <v>1784</v>
      </c>
      <c r="D64" s="45" t="s">
        <v>320</v>
      </c>
      <c r="E64" s="45" t="s">
        <v>1796</v>
      </c>
      <c r="F64" s="45" t="s">
        <v>1784</v>
      </c>
      <c r="G64" s="45"/>
      <c r="H64" s="45" t="s">
        <v>1833</v>
      </c>
      <c r="I64" s="45"/>
      <c r="J64" s="45" t="s">
        <v>865</v>
      </c>
      <c r="K64" s="45" t="s">
        <v>1854</v>
      </c>
      <c r="L64" s="45" t="s">
        <v>1866</v>
      </c>
      <c r="M64" s="45" t="s">
        <v>1854</v>
      </c>
      <c r="N64" s="45"/>
      <c r="T64" s="15" t="s">
        <v>4757</v>
      </c>
      <c r="U64" s="22" t="s">
        <v>4831</v>
      </c>
      <c r="V64" s="22" t="s">
        <v>334</v>
      </c>
      <c r="W64" s="16" t="s">
        <v>4917</v>
      </c>
    </row>
    <row r="65" spans="1:23" ht="15" customHeight="1">
      <c r="A65" s="45" t="s">
        <v>2770</v>
      </c>
      <c r="B65" s="45" t="str">
        <f t="shared" ca="1" si="0"/>
        <v>Document Type</v>
      </c>
      <c r="C65" s="45" t="s">
        <v>3103</v>
      </c>
      <c r="D65" s="45" t="s">
        <v>2770</v>
      </c>
      <c r="E65" s="45" t="s">
        <v>3024</v>
      </c>
      <c r="F65" s="45" t="s">
        <v>3127</v>
      </c>
      <c r="G65" s="45"/>
      <c r="H65" s="45" t="s">
        <v>3172</v>
      </c>
      <c r="I65" s="45"/>
      <c r="J65" s="45" t="s">
        <v>3049</v>
      </c>
      <c r="K65" s="45" t="s">
        <v>1877</v>
      </c>
      <c r="L65" s="45" t="s">
        <v>3228</v>
      </c>
      <c r="M65" s="45" t="s">
        <v>1877</v>
      </c>
      <c r="N65" s="45"/>
      <c r="T65" s="15" t="s">
        <v>4758</v>
      </c>
      <c r="U65" s="22" t="s">
        <v>4831</v>
      </c>
      <c r="V65" s="22" t="s">
        <v>334</v>
      </c>
      <c r="W65" s="16" t="s">
        <v>4918</v>
      </c>
    </row>
    <row r="66" spans="1:23" ht="15" customHeight="1">
      <c r="A66" s="45" t="s">
        <v>2771</v>
      </c>
      <c r="B66" s="45" t="str">
        <f t="shared" ca="1" si="0"/>
        <v>Document Number</v>
      </c>
      <c r="C66" s="45" t="s">
        <v>3104</v>
      </c>
      <c r="D66" s="45" t="s">
        <v>2771</v>
      </c>
      <c r="E66" s="45" t="s">
        <v>3025</v>
      </c>
      <c r="F66" s="45" t="s">
        <v>3128</v>
      </c>
      <c r="G66" s="45"/>
      <c r="H66" s="45" t="s">
        <v>3173</v>
      </c>
      <c r="I66" s="45"/>
      <c r="J66" s="45" t="s">
        <v>3050</v>
      </c>
      <c r="K66" s="45" t="s">
        <v>2886</v>
      </c>
      <c r="L66" s="45" t="s">
        <v>3229</v>
      </c>
      <c r="M66" s="45" t="s">
        <v>3252</v>
      </c>
      <c r="N66" s="45"/>
      <c r="T66" s="15" t="s">
        <v>4759</v>
      </c>
      <c r="U66" s="22" t="s">
        <v>4831</v>
      </c>
      <c r="V66" s="22" t="s">
        <v>334</v>
      </c>
      <c r="W66" s="16" t="s">
        <v>4919</v>
      </c>
    </row>
    <row r="67" spans="1:23" ht="15" customHeight="1">
      <c r="A67" s="45" t="s">
        <v>2772</v>
      </c>
      <c r="B67" s="45" t="str">
        <f t="shared" ca="1" si="0"/>
        <v>Issue Date (DD/MM/YYYY)</v>
      </c>
      <c r="C67" s="45" t="s">
        <v>3105</v>
      </c>
      <c r="D67" s="45" t="s">
        <v>2778</v>
      </c>
      <c r="E67" s="45" t="s">
        <v>3026</v>
      </c>
      <c r="F67" s="45" t="s">
        <v>3129</v>
      </c>
      <c r="G67" s="45"/>
      <c r="H67" s="45" t="s">
        <v>3174</v>
      </c>
      <c r="I67" s="45"/>
      <c r="J67" s="45" t="s">
        <v>3051</v>
      </c>
      <c r="K67" s="45" t="s">
        <v>2887</v>
      </c>
      <c r="L67" s="45" t="s">
        <v>3230</v>
      </c>
      <c r="M67" s="45" t="s">
        <v>3253</v>
      </c>
      <c r="N67" s="45"/>
      <c r="T67" s="15" t="s">
        <v>4760</v>
      </c>
      <c r="U67" s="22" t="s">
        <v>4838</v>
      </c>
      <c r="V67" s="22" t="s">
        <v>356</v>
      </c>
      <c r="W67" s="16" t="s">
        <v>4920</v>
      </c>
    </row>
    <row r="68" spans="1:23" ht="15" customHeight="1">
      <c r="A68" s="45" t="s">
        <v>2773</v>
      </c>
      <c r="B68" s="45" t="str">
        <f t="shared" ca="1" si="0"/>
        <v>Expiry Date (DD/MM/YYYY)</v>
      </c>
      <c r="C68" s="45" t="s">
        <v>3106</v>
      </c>
      <c r="D68" s="45" t="s">
        <v>2777</v>
      </c>
      <c r="E68" s="45" t="s">
        <v>3027</v>
      </c>
      <c r="F68" s="45" t="s">
        <v>3130</v>
      </c>
      <c r="G68" s="45"/>
      <c r="H68" s="45" t="s">
        <v>3175</v>
      </c>
      <c r="I68" s="45"/>
      <c r="J68" s="45" t="s">
        <v>3060</v>
      </c>
      <c r="K68" s="45" t="s">
        <v>2875</v>
      </c>
      <c r="L68" s="45" t="s">
        <v>3231</v>
      </c>
      <c r="M68" s="45" t="s">
        <v>3254</v>
      </c>
      <c r="N68" s="45"/>
      <c r="T68" s="15" t="s">
        <v>4761</v>
      </c>
      <c r="U68" s="22" t="s">
        <v>4831</v>
      </c>
      <c r="V68" s="22" t="s">
        <v>334</v>
      </c>
      <c r="W68" s="16" t="s">
        <v>4921</v>
      </c>
    </row>
    <row r="69" spans="1:23" ht="15" customHeight="1">
      <c r="A69" s="45" t="s">
        <v>2767</v>
      </c>
      <c r="B69" s="45" t="str">
        <f t="shared" ca="1" si="0"/>
        <v>Contact Information</v>
      </c>
      <c r="C69" s="45" t="s">
        <v>3107</v>
      </c>
      <c r="D69" s="45" t="s">
        <v>2767</v>
      </c>
      <c r="E69" s="45" t="s">
        <v>3028</v>
      </c>
      <c r="F69" s="45" t="s">
        <v>3131</v>
      </c>
      <c r="G69" s="45"/>
      <c r="H69" s="45" t="s">
        <v>3176</v>
      </c>
      <c r="I69" s="45" t="s">
        <v>3198</v>
      </c>
      <c r="J69" s="45" t="s">
        <v>3052</v>
      </c>
      <c r="K69" s="45" t="s">
        <v>2888</v>
      </c>
      <c r="L69" s="45" t="s">
        <v>3232</v>
      </c>
      <c r="M69" s="45" t="s">
        <v>3255</v>
      </c>
      <c r="N69" s="45" t="s">
        <v>3270</v>
      </c>
      <c r="T69" s="15" t="s">
        <v>4762</v>
      </c>
      <c r="U69" s="22" t="s">
        <v>4831</v>
      </c>
      <c r="V69" s="22" t="s">
        <v>334</v>
      </c>
      <c r="W69" s="16" t="s">
        <v>4922</v>
      </c>
    </row>
    <row r="70" spans="1:23" ht="15" customHeight="1">
      <c r="A70" s="45" t="s">
        <v>2768</v>
      </c>
      <c r="B70" s="45" t="str">
        <f t="shared" ca="1" si="0"/>
        <v>Type</v>
      </c>
      <c r="C70" s="45" t="s">
        <v>3108</v>
      </c>
      <c r="D70" s="45" t="s">
        <v>2768</v>
      </c>
      <c r="E70" s="45" t="s">
        <v>3029</v>
      </c>
      <c r="F70" s="45" t="s">
        <v>3132</v>
      </c>
      <c r="G70" s="45"/>
      <c r="H70" s="45" t="s">
        <v>3177</v>
      </c>
      <c r="I70" s="45"/>
      <c r="J70" s="45" t="s">
        <v>3053</v>
      </c>
      <c r="K70" s="45" t="s">
        <v>2876</v>
      </c>
      <c r="L70" s="45" t="s">
        <v>3233</v>
      </c>
      <c r="M70" s="45" t="s">
        <v>3177</v>
      </c>
      <c r="N70" s="45" t="s">
        <v>3271</v>
      </c>
      <c r="T70" s="15" t="s">
        <v>4763</v>
      </c>
      <c r="U70" s="22" t="s">
        <v>4676</v>
      </c>
      <c r="V70" s="22" t="s">
        <v>348</v>
      </c>
      <c r="W70" s="16" t="s">
        <v>4923</v>
      </c>
    </row>
    <row r="71" spans="1:23" ht="15" customHeight="1">
      <c r="A71" s="45" t="s">
        <v>3802</v>
      </c>
      <c r="B71" s="45" t="str">
        <f t="shared" ca="1" si="0"/>
        <v>* Phone Number</v>
      </c>
      <c r="C71" s="45" t="s">
        <v>3109</v>
      </c>
      <c r="D71" s="45" t="s">
        <v>8632</v>
      </c>
      <c r="E71" s="45" t="s">
        <v>3030</v>
      </c>
      <c r="F71" s="45" t="s">
        <v>3133</v>
      </c>
      <c r="G71" s="45"/>
      <c r="H71" s="45" t="s">
        <v>3178</v>
      </c>
      <c r="I71" s="45"/>
      <c r="J71" s="45" t="s">
        <v>3054</v>
      </c>
      <c r="K71" s="45" t="s">
        <v>2877</v>
      </c>
      <c r="L71" s="45" t="s">
        <v>3234</v>
      </c>
      <c r="M71" s="45" t="s">
        <v>3256</v>
      </c>
      <c r="N71" s="45" t="s">
        <v>3272</v>
      </c>
      <c r="T71" s="15" t="s">
        <v>4764</v>
      </c>
      <c r="U71" s="22" t="s">
        <v>4831</v>
      </c>
      <c r="V71" s="22" t="s">
        <v>334</v>
      </c>
      <c r="W71" s="16" t="s">
        <v>4924</v>
      </c>
    </row>
    <row r="72" spans="1:23" ht="15" customHeight="1">
      <c r="A72" s="45" t="s">
        <v>4670</v>
      </c>
      <c r="B72" s="45" t="str">
        <f t="shared" ca="1" si="0"/>
        <v>* Email</v>
      </c>
      <c r="C72" s="45"/>
      <c r="D72" s="45" t="s">
        <v>8631</v>
      </c>
      <c r="E72" s="45"/>
      <c r="F72" s="45"/>
      <c r="G72" s="45"/>
      <c r="H72" s="45"/>
      <c r="I72" s="45"/>
      <c r="J72" s="45"/>
      <c r="K72" s="45"/>
      <c r="L72" s="45"/>
      <c r="M72" s="45"/>
      <c r="N72" s="45"/>
      <c r="T72" s="15" t="s">
        <v>4765</v>
      </c>
      <c r="U72" s="22" t="s">
        <v>4831</v>
      </c>
      <c r="V72" s="22" t="s">
        <v>334</v>
      </c>
      <c r="W72" s="16" t="s">
        <v>4925</v>
      </c>
    </row>
    <row r="73" spans="1:23" ht="15" customHeight="1">
      <c r="A73" s="45" t="s">
        <v>2763</v>
      </c>
      <c r="B73" s="45" t="str">
        <f t="shared" ca="1" si="0"/>
        <v>Emergency Contact</v>
      </c>
      <c r="C73" s="45" t="s">
        <v>3110</v>
      </c>
      <c r="D73" s="45" t="s">
        <v>2763</v>
      </c>
      <c r="E73" s="45" t="s">
        <v>3031</v>
      </c>
      <c r="F73" s="45" t="s">
        <v>3134</v>
      </c>
      <c r="G73" s="45"/>
      <c r="H73" s="45" t="s">
        <v>3179</v>
      </c>
      <c r="I73" s="45"/>
      <c r="J73" s="45" t="s">
        <v>3055</v>
      </c>
      <c r="K73" s="45" t="s">
        <v>2878</v>
      </c>
      <c r="L73" s="45" t="s">
        <v>3235</v>
      </c>
      <c r="M73" s="45" t="s">
        <v>3257</v>
      </c>
      <c r="N73" s="45" t="s">
        <v>3273</v>
      </c>
      <c r="T73" s="15" t="s">
        <v>4766</v>
      </c>
      <c r="U73" s="22" t="s">
        <v>4831</v>
      </c>
      <c r="V73" s="22" t="s">
        <v>334</v>
      </c>
      <c r="W73" s="16" t="s">
        <v>4926</v>
      </c>
    </row>
    <row r="74" spans="1:23" ht="15" customHeight="1">
      <c r="A74" s="45" t="s">
        <v>2764</v>
      </c>
      <c r="B74" s="45" t="str">
        <f t="shared" ca="1" si="0"/>
        <v>* Name</v>
      </c>
      <c r="C74" s="45" t="s">
        <v>1779</v>
      </c>
      <c r="D74" s="45" t="s">
        <v>8633</v>
      </c>
      <c r="E74" s="45" t="s">
        <v>1792</v>
      </c>
      <c r="F74" s="45" t="s">
        <v>2764</v>
      </c>
      <c r="G74" s="45"/>
      <c r="H74" s="45" t="s">
        <v>1827</v>
      </c>
      <c r="I74" s="45"/>
      <c r="J74" s="45" t="s">
        <v>3056</v>
      </c>
      <c r="K74" s="45" t="s">
        <v>1827</v>
      </c>
      <c r="L74" s="45" t="s">
        <v>3236</v>
      </c>
      <c r="M74" s="45" t="s">
        <v>1874</v>
      </c>
      <c r="N74" s="45" t="s">
        <v>3274</v>
      </c>
      <c r="T74" s="15" t="s">
        <v>4767</v>
      </c>
      <c r="U74" s="22" t="s">
        <v>4838</v>
      </c>
      <c r="V74" s="22" t="s">
        <v>356</v>
      </c>
      <c r="W74" s="16" t="s">
        <v>4927</v>
      </c>
    </row>
    <row r="75" spans="1:23" ht="15" customHeight="1">
      <c r="A75" s="45" t="s">
        <v>2765</v>
      </c>
      <c r="B75" s="45" t="str">
        <f t="shared" ca="1" si="0"/>
        <v>* Relationship</v>
      </c>
      <c r="C75" s="45" t="s">
        <v>3111</v>
      </c>
      <c r="D75" s="45" t="s">
        <v>8634</v>
      </c>
      <c r="E75" s="45" t="s">
        <v>3032</v>
      </c>
      <c r="F75" s="45" t="s">
        <v>3135</v>
      </c>
      <c r="G75" s="45"/>
      <c r="H75" s="45" t="s">
        <v>3180</v>
      </c>
      <c r="I75" s="45"/>
      <c r="J75" s="45" t="s">
        <v>3057</v>
      </c>
      <c r="K75" s="45" t="s">
        <v>3207</v>
      </c>
      <c r="L75" s="45" t="s">
        <v>3237</v>
      </c>
      <c r="M75" s="45" t="s">
        <v>3792</v>
      </c>
      <c r="N75" s="45" t="s">
        <v>3275</v>
      </c>
      <c r="T75" s="15" t="s">
        <v>4768</v>
      </c>
      <c r="U75" s="22" t="s">
        <v>4846</v>
      </c>
      <c r="V75" s="22" t="s">
        <v>87</v>
      </c>
      <c r="W75" s="16" t="s">
        <v>4928</v>
      </c>
    </row>
    <row r="76" spans="1:23" ht="15" customHeight="1">
      <c r="A76" s="45" t="s">
        <v>2766</v>
      </c>
      <c r="B76" s="45" t="str">
        <f t="shared" ca="1" si="0"/>
        <v>* Phone</v>
      </c>
      <c r="C76" s="45" t="s">
        <v>3112</v>
      </c>
      <c r="D76" s="45" t="s">
        <v>8635</v>
      </c>
      <c r="E76" s="45" t="s">
        <v>3030</v>
      </c>
      <c r="F76" s="45" t="s">
        <v>3133</v>
      </c>
      <c r="G76" s="45"/>
      <c r="H76" s="45" t="s">
        <v>3181</v>
      </c>
      <c r="I76" s="45"/>
      <c r="J76" s="45" t="s">
        <v>3058</v>
      </c>
      <c r="K76" s="45" t="s">
        <v>3209</v>
      </c>
      <c r="L76" s="45" t="s">
        <v>3058</v>
      </c>
      <c r="M76" s="45" t="s">
        <v>3259</v>
      </c>
      <c r="N76" s="45" t="s">
        <v>3058</v>
      </c>
      <c r="T76" s="15" t="s">
        <v>4675</v>
      </c>
      <c r="U76" s="22" t="s">
        <v>4676</v>
      </c>
      <c r="V76" s="22" t="s">
        <v>348</v>
      </c>
      <c r="W76" s="16" t="s">
        <v>4677</v>
      </c>
    </row>
    <row r="77" spans="1:23" ht="15" customHeight="1">
      <c r="A77" s="45" t="s">
        <v>2916</v>
      </c>
      <c r="B77" s="45" t="str">
        <f t="shared" ca="1" si="0"/>
        <v>Dependents</v>
      </c>
      <c r="C77" s="45" t="s">
        <v>3113</v>
      </c>
      <c r="D77" s="45" t="s">
        <v>2916</v>
      </c>
      <c r="E77" s="45" t="s">
        <v>3315</v>
      </c>
      <c r="F77" s="45" t="s">
        <v>3319</v>
      </c>
      <c r="G77" s="45"/>
      <c r="H77" s="45"/>
      <c r="I77" s="45"/>
      <c r="J77" s="45" t="s">
        <v>3059</v>
      </c>
      <c r="K77" s="45" t="s">
        <v>3208</v>
      </c>
      <c r="L77" s="45" t="s">
        <v>3238</v>
      </c>
      <c r="M77" s="45" t="s">
        <v>3260</v>
      </c>
      <c r="N77" s="45" t="s">
        <v>3276</v>
      </c>
      <c r="T77" s="15" t="s">
        <v>4769</v>
      </c>
      <c r="U77" s="22" t="s">
        <v>4831</v>
      </c>
      <c r="V77" s="22" t="s">
        <v>334</v>
      </c>
      <c r="W77" s="16" t="s">
        <v>4929</v>
      </c>
    </row>
    <row r="78" spans="1:23" ht="15" customHeight="1">
      <c r="A78" s="45" t="s">
        <v>2917</v>
      </c>
      <c r="B78" s="45" t="str">
        <f t="shared" ca="1" si="0"/>
        <v>* Relationship Type</v>
      </c>
      <c r="C78" s="45" t="s">
        <v>3111</v>
      </c>
      <c r="D78" s="45" t="s">
        <v>8636</v>
      </c>
      <c r="E78" s="45" t="s">
        <v>3032</v>
      </c>
      <c r="F78" s="45" t="s">
        <v>3135</v>
      </c>
      <c r="G78" s="45"/>
      <c r="H78" s="45"/>
      <c r="I78" s="45"/>
      <c r="J78" s="45" t="s">
        <v>3061</v>
      </c>
      <c r="K78" s="45" t="s">
        <v>3207</v>
      </c>
      <c r="L78" s="45" t="s">
        <v>3237</v>
      </c>
      <c r="M78" s="45" t="s">
        <v>3258</v>
      </c>
      <c r="N78" s="45" t="s">
        <v>3277</v>
      </c>
      <c r="T78" s="15" t="s">
        <v>4770</v>
      </c>
      <c r="U78" s="22" t="s">
        <v>4831</v>
      </c>
      <c r="V78" s="22" t="s">
        <v>334</v>
      </c>
      <c r="W78" s="16" t="s">
        <v>4930</v>
      </c>
    </row>
    <row r="79" spans="1:23" ht="15" customHeight="1">
      <c r="A79" s="45" t="s">
        <v>829</v>
      </c>
      <c r="B79" s="45" t="str">
        <f t="shared" ca="1" si="0"/>
        <v>* First Name</v>
      </c>
      <c r="C79" s="45" t="s">
        <v>1781</v>
      </c>
      <c r="D79" s="45" t="s">
        <v>8618</v>
      </c>
      <c r="E79" s="45" t="s">
        <v>1791</v>
      </c>
      <c r="F79" s="45" t="s">
        <v>1803</v>
      </c>
      <c r="G79" s="45"/>
      <c r="H79" s="45"/>
      <c r="I79" s="45"/>
      <c r="J79" s="45" t="s">
        <v>860</v>
      </c>
      <c r="K79" s="45" t="s">
        <v>1827</v>
      </c>
      <c r="L79" s="45" t="s">
        <v>1862</v>
      </c>
      <c r="M79" s="45" t="s">
        <v>1874</v>
      </c>
      <c r="N79" s="45" t="s">
        <v>3278</v>
      </c>
      <c r="T79" s="15" t="s">
        <v>4771</v>
      </c>
      <c r="U79" s="22" t="s">
        <v>4840</v>
      </c>
      <c r="V79" s="22" t="s">
        <v>365</v>
      </c>
      <c r="W79" s="16" t="s">
        <v>4931</v>
      </c>
    </row>
    <row r="80" spans="1:23" ht="15" customHeight="1">
      <c r="A80" s="45" t="s">
        <v>830</v>
      </c>
      <c r="B80" s="45" t="str">
        <f t="shared" ca="1" si="0"/>
        <v>* Last Name</v>
      </c>
      <c r="C80" s="45" t="s">
        <v>1782</v>
      </c>
      <c r="D80" s="45" t="s">
        <v>8619</v>
      </c>
      <c r="E80" s="45" t="s">
        <v>1792</v>
      </c>
      <c r="F80" s="45" t="s">
        <v>1804</v>
      </c>
      <c r="G80" s="45"/>
      <c r="H80" s="45"/>
      <c r="I80" s="45"/>
      <c r="J80" s="45" t="s">
        <v>861</v>
      </c>
      <c r="K80" s="45" t="s">
        <v>3210</v>
      </c>
      <c r="L80" s="45" t="s">
        <v>1863</v>
      </c>
      <c r="M80" s="45" t="s">
        <v>1875</v>
      </c>
      <c r="N80" s="45" t="s">
        <v>3279</v>
      </c>
      <c r="T80" s="15" t="s">
        <v>4772</v>
      </c>
      <c r="U80" s="22" t="s">
        <v>4831</v>
      </c>
      <c r="V80" s="22" t="s">
        <v>334</v>
      </c>
      <c r="W80" s="16" t="s">
        <v>4932</v>
      </c>
    </row>
    <row r="81" spans="1:23" ht="15" customHeight="1">
      <c r="A81" s="45" t="s">
        <v>834</v>
      </c>
      <c r="B81" s="45" t="str">
        <f t="shared" ca="1" si="0"/>
        <v>* Gender</v>
      </c>
      <c r="C81" s="45" t="s">
        <v>1788</v>
      </c>
      <c r="D81" s="45" t="s">
        <v>8628</v>
      </c>
      <c r="E81" s="45" t="s">
        <v>1799</v>
      </c>
      <c r="F81" s="45" t="s">
        <v>1812</v>
      </c>
      <c r="G81" s="45"/>
      <c r="H81" s="45"/>
      <c r="I81" s="45"/>
      <c r="J81" s="45" t="s">
        <v>869</v>
      </c>
      <c r="K81" s="45" t="s">
        <v>1858</v>
      </c>
      <c r="L81" s="45" t="s">
        <v>1870</v>
      </c>
      <c r="M81" s="45" t="s">
        <v>1880</v>
      </c>
      <c r="N81" s="45" t="s">
        <v>1893</v>
      </c>
      <c r="T81" s="15" t="s">
        <v>4773</v>
      </c>
      <c r="U81" s="22" t="s">
        <v>4847</v>
      </c>
      <c r="V81" s="22" t="s">
        <v>328</v>
      </c>
      <c r="W81" s="16" t="s">
        <v>4933</v>
      </c>
    </row>
    <row r="82" spans="1:23" ht="15" customHeight="1">
      <c r="A82" s="45" t="s">
        <v>871</v>
      </c>
      <c r="B82" s="45" t="str">
        <f t="shared" ca="1" si="0"/>
        <v>* Date of Birth (DD/MM/YYYY)</v>
      </c>
      <c r="C82" s="45" t="s">
        <v>1787</v>
      </c>
      <c r="D82" s="45" t="s">
        <v>8623</v>
      </c>
      <c r="E82" s="45" t="s">
        <v>1794</v>
      </c>
      <c r="F82" s="45" t="s">
        <v>3320</v>
      </c>
      <c r="G82" s="45"/>
      <c r="H82" s="45"/>
      <c r="I82" s="45"/>
      <c r="J82" s="45" t="s">
        <v>3062</v>
      </c>
      <c r="K82" s="45" t="s">
        <v>3211</v>
      </c>
      <c r="L82" s="45" t="s">
        <v>3239</v>
      </c>
      <c r="M82" s="45" t="s">
        <v>3261</v>
      </c>
      <c r="N82" s="45" t="s">
        <v>3280</v>
      </c>
      <c r="T82" s="15" t="s">
        <v>4774</v>
      </c>
      <c r="U82" s="22" t="s">
        <v>4838</v>
      </c>
      <c r="V82" s="22" t="s">
        <v>356</v>
      </c>
      <c r="W82" s="16" t="s">
        <v>4934</v>
      </c>
    </row>
    <row r="83" spans="1:23" ht="15" customHeight="1">
      <c r="A83" s="45" t="s">
        <v>2983</v>
      </c>
      <c r="B83" s="45" t="str">
        <f t="shared" ca="1" si="0"/>
        <v>Birth Country</v>
      </c>
      <c r="C83" s="45" t="s">
        <v>3094</v>
      </c>
      <c r="D83" s="45" t="s">
        <v>2983</v>
      </c>
      <c r="E83" s="45" t="s">
        <v>3118</v>
      </c>
      <c r="F83" s="45" t="s">
        <v>3121</v>
      </c>
      <c r="G83" s="45"/>
      <c r="H83" s="45"/>
      <c r="I83" s="45"/>
      <c r="J83" s="45" t="s">
        <v>3063</v>
      </c>
      <c r="K83" s="45" t="s">
        <v>3201</v>
      </c>
      <c r="L83" s="45" t="s">
        <v>3220</v>
      </c>
      <c r="M83" s="45" t="s">
        <v>3245</v>
      </c>
      <c r="N83" s="45" t="s">
        <v>3265</v>
      </c>
      <c r="T83" s="15" t="s">
        <v>4775</v>
      </c>
      <c r="U83" s="22" t="s">
        <v>4848</v>
      </c>
      <c r="V83" s="22" t="s">
        <v>353</v>
      </c>
      <c r="W83" s="16" t="s">
        <v>4935</v>
      </c>
    </row>
    <row r="84" spans="1:23" ht="15" customHeight="1">
      <c r="A84" s="45" t="s">
        <v>835</v>
      </c>
      <c r="B84" s="45" t="str">
        <f t="shared" ca="1" si="0"/>
        <v>Nationality</v>
      </c>
      <c r="C84" s="45" t="s">
        <v>1789</v>
      </c>
      <c r="D84" s="45" t="s">
        <v>835</v>
      </c>
      <c r="E84" s="45" t="s">
        <v>1800</v>
      </c>
      <c r="F84" s="45" t="s">
        <v>1813</v>
      </c>
      <c r="G84" s="45" t="s">
        <v>1826</v>
      </c>
      <c r="H84" s="45" t="s">
        <v>1838</v>
      </c>
      <c r="I84" s="45" t="s">
        <v>1848</v>
      </c>
      <c r="J84" s="45" t="s">
        <v>870</v>
      </c>
      <c r="K84" s="45" t="s">
        <v>1859</v>
      </c>
      <c r="L84" s="45" t="s">
        <v>1871</v>
      </c>
      <c r="M84" s="45" t="s">
        <v>1881</v>
      </c>
      <c r="N84" s="45" t="s">
        <v>1894</v>
      </c>
      <c r="T84" s="15" t="s">
        <v>4776</v>
      </c>
      <c r="U84" s="22" t="s">
        <v>4849</v>
      </c>
      <c r="V84" s="22" t="s">
        <v>361</v>
      </c>
      <c r="W84" s="16" t="s">
        <v>4936</v>
      </c>
    </row>
    <row r="85" spans="1:23" ht="15" customHeight="1">
      <c r="A85" s="45" t="s">
        <v>2761</v>
      </c>
      <c r="B85" s="45" t="str">
        <f t="shared" ca="1" si="0"/>
        <v>Marital Status</v>
      </c>
      <c r="C85" s="45" t="s">
        <v>3099</v>
      </c>
      <c r="D85" s="45" t="s">
        <v>2761</v>
      </c>
      <c r="E85" s="45" t="s">
        <v>3324</v>
      </c>
      <c r="F85" s="45" t="s">
        <v>3123</v>
      </c>
      <c r="G85" s="45"/>
      <c r="H85" s="45"/>
      <c r="I85" s="45"/>
      <c r="J85" s="45" t="s">
        <v>3047</v>
      </c>
      <c r="K85" s="45" t="s">
        <v>2883</v>
      </c>
      <c r="L85" s="45" t="s">
        <v>3222</v>
      </c>
      <c r="M85" s="45" t="s">
        <v>3247</v>
      </c>
      <c r="N85" s="45" t="s">
        <v>3267</v>
      </c>
      <c r="T85" s="15" t="s">
        <v>4777</v>
      </c>
      <c r="U85" s="22" t="s">
        <v>4839</v>
      </c>
      <c r="V85" s="22" t="s">
        <v>4667</v>
      </c>
      <c r="W85" s="16" t="s">
        <v>4937</v>
      </c>
    </row>
    <row r="86" spans="1:23" ht="15" customHeight="1">
      <c r="A86" s="45" t="s">
        <v>2984</v>
      </c>
      <c r="B86" s="45" t="str">
        <f t="shared" ca="1" si="0"/>
        <v>* National ID Country</v>
      </c>
      <c r="C86" s="45" t="s">
        <v>3114</v>
      </c>
      <c r="D86" s="45" t="s">
        <v>8637</v>
      </c>
      <c r="E86" s="45"/>
      <c r="F86" s="45"/>
      <c r="G86" s="45"/>
      <c r="H86" s="45"/>
      <c r="I86" s="45"/>
      <c r="J86" s="45" t="s">
        <v>3064</v>
      </c>
      <c r="K86" s="45"/>
      <c r="L86" s="45"/>
      <c r="M86" s="45"/>
      <c r="N86" s="45" t="s">
        <v>1888</v>
      </c>
      <c r="T86" s="78" t="s">
        <v>4778</v>
      </c>
      <c r="U86" s="79" t="s">
        <v>4850</v>
      </c>
      <c r="V86" s="79" t="s">
        <v>371</v>
      </c>
      <c r="W86" s="80" t="s">
        <v>4938</v>
      </c>
    </row>
    <row r="87" spans="1:23" ht="15" customHeight="1">
      <c r="A87" s="45" t="s">
        <v>2985</v>
      </c>
      <c r="B87" s="45" t="str">
        <f t="shared" ca="1" si="0"/>
        <v>* National ID Type</v>
      </c>
      <c r="C87" s="45" t="s">
        <v>3115</v>
      </c>
      <c r="D87" s="45" t="s">
        <v>8638</v>
      </c>
      <c r="E87" s="45"/>
      <c r="F87" s="45"/>
      <c r="G87" s="45"/>
      <c r="H87" s="45"/>
      <c r="I87" s="45"/>
      <c r="J87" s="45" t="s">
        <v>3065</v>
      </c>
      <c r="K87" s="45"/>
      <c r="L87" s="45"/>
      <c r="M87" s="45"/>
      <c r="N87" s="45" t="s">
        <v>1889</v>
      </c>
      <c r="T87" s="15" t="s">
        <v>4779</v>
      </c>
      <c r="U87" s="22" t="s">
        <v>4840</v>
      </c>
      <c r="V87" s="22" t="s">
        <v>365</v>
      </c>
      <c r="W87" s="16" t="s">
        <v>4939</v>
      </c>
    </row>
    <row r="88" spans="1:23" ht="15" customHeight="1">
      <c r="A88" s="45" t="s">
        <v>2986</v>
      </c>
      <c r="B88" s="45" t="str">
        <f t="shared" ca="1" si="0"/>
        <v>* National ID Number</v>
      </c>
      <c r="C88" s="45" t="s">
        <v>3116</v>
      </c>
      <c r="D88" s="45" t="s">
        <v>8639</v>
      </c>
      <c r="E88" s="45"/>
      <c r="F88" s="45"/>
      <c r="G88" s="45"/>
      <c r="H88" s="45"/>
      <c r="I88" s="45"/>
      <c r="J88" s="45" t="s">
        <v>3066</v>
      </c>
      <c r="K88" s="45"/>
      <c r="L88" s="45"/>
      <c r="M88" s="45"/>
      <c r="N88" s="45" t="s">
        <v>1891</v>
      </c>
      <c r="T88" s="15" t="s">
        <v>4780</v>
      </c>
      <c r="U88" s="22" t="s">
        <v>4849</v>
      </c>
      <c r="V88" s="22" t="s">
        <v>361</v>
      </c>
      <c r="W88" s="16" t="s">
        <v>4940</v>
      </c>
    </row>
    <row r="89" spans="1:23" ht="15" customHeight="1">
      <c r="A89" s="45" t="s">
        <v>2918</v>
      </c>
      <c r="B89" s="45" t="str">
        <f t="shared" ca="1" si="0"/>
        <v>Occupation</v>
      </c>
      <c r="C89" s="45" t="s">
        <v>2924</v>
      </c>
      <c r="D89" s="45" t="s">
        <v>2918</v>
      </c>
      <c r="E89" s="45" t="s">
        <v>2923</v>
      </c>
      <c r="F89" s="45"/>
      <c r="G89" s="45"/>
      <c r="H89" s="45"/>
      <c r="I89" s="45"/>
      <c r="J89" s="45"/>
      <c r="K89" s="45"/>
      <c r="L89" s="45"/>
      <c r="M89" s="45"/>
      <c r="N89" s="45"/>
      <c r="T89" s="15" t="s">
        <v>4781</v>
      </c>
      <c r="U89" s="22" t="s">
        <v>4851</v>
      </c>
      <c r="V89" s="22" t="s">
        <v>141</v>
      </c>
      <c r="W89" s="16" t="s">
        <v>4941</v>
      </c>
    </row>
    <row r="90" spans="1:23" ht="15" customHeight="1">
      <c r="A90" s="45" t="s">
        <v>2919</v>
      </c>
      <c r="B90" s="45" t="str">
        <f t="shared" ca="1" si="0"/>
        <v>Partner Income</v>
      </c>
      <c r="C90" s="45" t="s">
        <v>2925</v>
      </c>
      <c r="D90" s="45" t="s">
        <v>2919</v>
      </c>
      <c r="E90" s="45" t="s">
        <v>2926</v>
      </c>
      <c r="F90" s="45"/>
      <c r="G90" s="45"/>
      <c r="H90" s="45"/>
      <c r="I90" s="45"/>
      <c r="J90" s="45"/>
      <c r="K90" s="45"/>
      <c r="L90" s="45"/>
      <c r="M90" s="45"/>
      <c r="N90" s="45"/>
      <c r="T90" s="15" t="s">
        <v>4782</v>
      </c>
      <c r="U90" s="22" t="s">
        <v>4851</v>
      </c>
      <c r="V90" s="22" t="s">
        <v>141</v>
      </c>
      <c r="W90" s="16" t="s">
        <v>4942</v>
      </c>
    </row>
    <row r="91" spans="1:23" ht="15" customHeight="1">
      <c r="A91" s="45" t="s">
        <v>2920</v>
      </c>
      <c r="B91" s="45" t="str">
        <f t="shared" ca="1" si="0"/>
        <v>Joining Hospitalization Insurance</v>
      </c>
      <c r="C91" s="45" t="s">
        <v>2927</v>
      </c>
      <c r="D91" s="45" t="s">
        <v>2920</v>
      </c>
      <c r="E91" s="45" t="s">
        <v>2928</v>
      </c>
      <c r="F91" s="45"/>
      <c r="G91" s="45"/>
      <c r="H91" s="45"/>
      <c r="I91" s="45"/>
      <c r="J91" s="45"/>
      <c r="K91" s="45"/>
      <c r="L91" s="45"/>
      <c r="M91" s="45"/>
      <c r="N91" s="45"/>
      <c r="T91" s="15" t="s">
        <v>4783</v>
      </c>
      <c r="U91" s="22" t="s">
        <v>4838</v>
      </c>
      <c r="V91" s="22" t="s">
        <v>356</v>
      </c>
      <c r="W91" s="16" t="s">
        <v>4943</v>
      </c>
    </row>
    <row r="92" spans="1:23" ht="15" customHeight="1">
      <c r="A92" s="45" t="s">
        <v>2921</v>
      </c>
      <c r="B92" s="45" t="str">
        <f t="shared" ca="1" si="0"/>
        <v>Disabled Person</v>
      </c>
      <c r="C92" s="45" t="s">
        <v>2930</v>
      </c>
      <c r="D92" s="45" t="s">
        <v>2921</v>
      </c>
      <c r="E92" s="45" t="s">
        <v>2929</v>
      </c>
      <c r="F92" s="45"/>
      <c r="G92" s="45"/>
      <c r="H92" s="45"/>
      <c r="I92" s="45"/>
      <c r="J92" s="45"/>
      <c r="K92" s="45"/>
      <c r="L92" s="45"/>
      <c r="M92" s="45"/>
      <c r="N92" s="45"/>
      <c r="T92" s="15" t="s">
        <v>4784</v>
      </c>
      <c r="U92" s="22" t="s">
        <v>4849</v>
      </c>
      <c r="V92" s="22" t="s">
        <v>361</v>
      </c>
      <c r="W92" s="16" t="s">
        <v>4944</v>
      </c>
    </row>
    <row r="93" spans="1:23" ht="15" customHeight="1">
      <c r="A93" s="45" t="s">
        <v>2922</v>
      </c>
      <c r="B93" s="45" t="str">
        <f t="shared" ca="1" si="0"/>
        <v>Disabled %</v>
      </c>
      <c r="C93" s="45" t="s">
        <v>2931</v>
      </c>
      <c r="D93" s="45" t="s">
        <v>2922</v>
      </c>
      <c r="E93" s="45" t="s">
        <v>2932</v>
      </c>
      <c r="F93" s="45"/>
      <c r="G93" s="45"/>
      <c r="H93" s="45"/>
      <c r="I93" s="45"/>
      <c r="J93" s="45"/>
      <c r="K93" s="45"/>
      <c r="L93" s="45"/>
      <c r="M93" s="45"/>
      <c r="N93" s="45"/>
      <c r="T93" s="15" t="s">
        <v>4785</v>
      </c>
      <c r="U93" s="22" t="s">
        <v>4841</v>
      </c>
      <c r="V93" s="22" t="s">
        <v>22</v>
      </c>
      <c r="W93" s="16" t="s">
        <v>4945</v>
      </c>
    </row>
    <row r="94" spans="1:23" ht="15" customHeight="1">
      <c r="A94" s="45" t="s">
        <v>2989</v>
      </c>
      <c r="B94" s="45" t="str">
        <f t="shared" ca="1" si="0"/>
        <v>Job Title</v>
      </c>
      <c r="C94" s="45"/>
      <c r="D94" s="45" t="s">
        <v>2989</v>
      </c>
      <c r="E94" s="45" t="s">
        <v>2923</v>
      </c>
      <c r="F94" s="45" t="s">
        <v>3321</v>
      </c>
      <c r="G94" s="45"/>
      <c r="H94" s="45"/>
      <c r="I94" s="45"/>
      <c r="J94" s="45"/>
      <c r="K94" s="45"/>
      <c r="L94" s="45"/>
      <c r="M94" s="45"/>
      <c r="N94" s="45"/>
      <c r="T94" s="15" t="s">
        <v>4786</v>
      </c>
      <c r="U94" s="22" t="s">
        <v>4830</v>
      </c>
      <c r="V94" s="22" t="s">
        <v>357</v>
      </c>
      <c r="W94" s="16" t="s">
        <v>4946</v>
      </c>
    </row>
    <row r="95" spans="1:23" ht="15" customHeight="1">
      <c r="A95" s="45" t="s">
        <v>2784</v>
      </c>
      <c r="B95" s="45" t="str">
        <f t="shared" ca="1" si="0"/>
        <v>Health Insurance</v>
      </c>
      <c r="C95" s="45"/>
      <c r="D95" s="45" t="s">
        <v>2784</v>
      </c>
      <c r="E95" s="45"/>
      <c r="F95" s="45"/>
      <c r="G95" s="45"/>
      <c r="H95" s="45"/>
      <c r="I95" s="45"/>
      <c r="J95" s="45" t="s">
        <v>3192</v>
      </c>
      <c r="K95" s="45"/>
      <c r="L95" s="45"/>
      <c r="M95" s="45"/>
      <c r="N95" s="45"/>
      <c r="T95" s="15" t="s">
        <v>4787</v>
      </c>
      <c r="U95" s="22" t="s">
        <v>4850</v>
      </c>
      <c r="V95" s="22" t="s">
        <v>371</v>
      </c>
      <c r="W95" s="16" t="s">
        <v>4947</v>
      </c>
    </row>
    <row r="96" spans="1:23" ht="15" customHeight="1">
      <c r="A96" s="45" t="s">
        <v>3194</v>
      </c>
      <c r="B96" s="45" t="str">
        <f t="shared" ca="1" si="0"/>
        <v>Degree of Challenge</v>
      </c>
      <c r="C96" s="45"/>
      <c r="D96" s="45" t="s">
        <v>3194</v>
      </c>
      <c r="E96" s="45"/>
      <c r="F96" s="45"/>
      <c r="G96" s="45"/>
      <c r="H96" s="45"/>
      <c r="I96" s="45"/>
      <c r="J96" s="45" t="s">
        <v>3193</v>
      </c>
      <c r="K96" s="45"/>
      <c r="L96" s="45"/>
      <c r="M96" s="45"/>
      <c r="N96" s="45"/>
      <c r="T96" s="15" t="s">
        <v>4788</v>
      </c>
      <c r="U96" s="22" t="s">
        <v>4847</v>
      </c>
      <c r="V96" s="22" t="s">
        <v>328</v>
      </c>
      <c r="W96" s="16" t="s">
        <v>4948</v>
      </c>
    </row>
    <row r="97" spans="1:23" ht="15" customHeight="1">
      <c r="A97" s="45" t="s">
        <v>2573</v>
      </c>
      <c r="B97" s="45" t="str">
        <f t="shared" ca="1" si="0"/>
        <v>Payment Information</v>
      </c>
      <c r="C97" s="45" t="s">
        <v>2620</v>
      </c>
      <c r="D97" s="45" t="s">
        <v>2573</v>
      </c>
      <c r="E97" s="45" t="s">
        <v>2625</v>
      </c>
      <c r="F97" s="45" t="s">
        <v>2630</v>
      </c>
      <c r="G97" s="45" t="s">
        <v>2634</v>
      </c>
      <c r="H97" s="45" t="s">
        <v>2638</v>
      </c>
      <c r="I97" s="45" t="s">
        <v>3314</v>
      </c>
      <c r="J97" s="45" t="s">
        <v>2644</v>
      </c>
      <c r="K97" s="45" t="s">
        <v>2653</v>
      </c>
      <c r="L97" s="45" t="s">
        <v>2657</v>
      </c>
      <c r="M97" s="45" t="s">
        <v>2661</v>
      </c>
      <c r="N97" s="45" t="s">
        <v>2664</v>
      </c>
      <c r="T97" s="15" t="s">
        <v>4789</v>
      </c>
      <c r="U97" s="22" t="s">
        <v>4852</v>
      </c>
      <c r="V97" s="22" t="s">
        <v>370</v>
      </c>
      <c r="W97" s="16" t="s">
        <v>4949</v>
      </c>
    </row>
    <row r="98" spans="1:23" ht="15" customHeight="1">
      <c r="A98" s="45" t="s">
        <v>2574</v>
      </c>
      <c r="B98" s="45" t="str">
        <f t="shared" ca="1" si="0"/>
        <v>Pay Type</v>
      </c>
      <c r="C98" s="45" t="s">
        <v>3312</v>
      </c>
      <c r="D98" s="45" t="s">
        <v>2574</v>
      </c>
      <c r="E98" s="45" t="s">
        <v>2768</v>
      </c>
      <c r="F98" s="45" t="s">
        <v>3136</v>
      </c>
      <c r="G98" s="45" t="s">
        <v>3311</v>
      </c>
      <c r="H98" s="45" t="s">
        <v>3182</v>
      </c>
      <c r="I98" s="45" t="s">
        <v>3312</v>
      </c>
      <c r="J98" s="45" t="s">
        <v>3041</v>
      </c>
      <c r="K98" s="45" t="s">
        <v>2889</v>
      </c>
      <c r="L98" s="45" t="s">
        <v>3242</v>
      </c>
      <c r="M98" s="45" t="s">
        <v>3313</v>
      </c>
      <c r="N98" s="45" t="s">
        <v>3281</v>
      </c>
      <c r="T98" s="15" t="s">
        <v>4790</v>
      </c>
      <c r="U98" s="22" t="s">
        <v>4849</v>
      </c>
      <c r="V98" s="22" t="s">
        <v>361</v>
      </c>
      <c r="W98" s="16" t="s">
        <v>4950</v>
      </c>
    </row>
    <row r="99" spans="1:23" ht="15" customHeight="1">
      <c r="A99" s="45" t="s">
        <v>2575</v>
      </c>
      <c r="B99" s="45" t="str">
        <f t="shared" ca="1" si="0"/>
        <v>Payment Method</v>
      </c>
      <c r="C99" s="45" t="s">
        <v>2621</v>
      </c>
      <c r="D99" s="45" t="s">
        <v>2575</v>
      </c>
      <c r="E99" s="45" t="s">
        <v>2626</v>
      </c>
      <c r="F99" s="45" t="s">
        <v>2631</v>
      </c>
      <c r="G99" s="45" t="s">
        <v>2635</v>
      </c>
      <c r="H99" s="45" t="s">
        <v>2639</v>
      </c>
      <c r="I99" s="45" t="s">
        <v>2642</v>
      </c>
      <c r="J99" s="45" t="s">
        <v>2645</v>
      </c>
      <c r="K99" s="45" t="s">
        <v>2654</v>
      </c>
      <c r="L99" s="45" t="s">
        <v>2658</v>
      </c>
      <c r="M99" s="45" t="s">
        <v>2662</v>
      </c>
      <c r="N99" s="45" t="s">
        <v>2665</v>
      </c>
      <c r="T99" s="15" t="s">
        <v>4791</v>
      </c>
      <c r="U99" s="22" t="s">
        <v>4831</v>
      </c>
      <c r="V99" s="22" t="s">
        <v>334</v>
      </c>
      <c r="W99" s="16" t="s">
        <v>4951</v>
      </c>
    </row>
    <row r="100" spans="1:23" ht="15" customHeight="1">
      <c r="A100" s="45" t="s">
        <v>2576</v>
      </c>
      <c r="B100" s="45" t="str">
        <f t="shared" ca="1" si="0"/>
        <v>Bank Country</v>
      </c>
      <c r="C100" s="45" t="s">
        <v>2622</v>
      </c>
      <c r="D100" s="45" t="s">
        <v>2576</v>
      </c>
      <c r="E100" s="45" t="s">
        <v>2627</v>
      </c>
      <c r="F100" s="45" t="s">
        <v>2632</v>
      </c>
      <c r="G100" s="45" t="s">
        <v>2636</v>
      </c>
      <c r="H100" s="45" t="s">
        <v>3183</v>
      </c>
      <c r="I100" s="45" t="s">
        <v>2622</v>
      </c>
      <c r="J100" s="45" t="s">
        <v>2646</v>
      </c>
      <c r="K100" s="45" t="s">
        <v>2655</v>
      </c>
      <c r="L100" s="45" t="s">
        <v>2659</v>
      </c>
      <c r="M100" s="45" t="s">
        <v>2663</v>
      </c>
      <c r="N100" s="45" t="s">
        <v>2666</v>
      </c>
      <c r="T100" s="15" t="s">
        <v>4792</v>
      </c>
      <c r="U100" s="22" t="s">
        <v>4837</v>
      </c>
      <c r="V100" s="22" t="s">
        <v>332</v>
      </c>
      <c r="W100" s="16" t="s">
        <v>4952</v>
      </c>
    </row>
    <row r="101" spans="1:23" ht="15" customHeight="1">
      <c r="A101" s="45" t="s">
        <v>2846</v>
      </c>
      <c r="B101" s="45" t="str">
        <f t="shared" ca="1" si="0"/>
        <v>Branch ID</v>
      </c>
      <c r="C101" s="45"/>
      <c r="D101" s="45" t="s">
        <v>2846</v>
      </c>
      <c r="E101" s="45" t="s">
        <v>3033</v>
      </c>
      <c r="F101" s="45"/>
      <c r="G101" s="45"/>
      <c r="H101" s="45" t="s">
        <v>3184</v>
      </c>
      <c r="I101" s="45"/>
      <c r="J101" s="45"/>
      <c r="K101" s="45"/>
      <c r="L101" s="45"/>
      <c r="M101" s="45"/>
      <c r="N101" s="45"/>
      <c r="T101" s="15" t="s">
        <v>4793</v>
      </c>
      <c r="U101" s="22" t="s">
        <v>4840</v>
      </c>
      <c r="V101" s="22" t="s">
        <v>365</v>
      </c>
      <c r="W101" s="16" t="s">
        <v>4953</v>
      </c>
    </row>
    <row r="102" spans="1:23" ht="15" customHeight="1">
      <c r="A102" s="45" t="s">
        <v>2577</v>
      </c>
      <c r="B102" s="45" t="str">
        <f t="shared" ca="1" si="0"/>
        <v>Account Owner</v>
      </c>
      <c r="C102" s="45" t="s">
        <v>2597</v>
      </c>
      <c r="D102" s="45" t="s">
        <v>2577</v>
      </c>
      <c r="E102" s="45" t="s">
        <v>2601</v>
      </c>
      <c r="F102" s="45" t="s">
        <v>2602</v>
      </c>
      <c r="G102" s="45" t="s">
        <v>2603</v>
      </c>
      <c r="H102" s="45" t="s">
        <v>2604</v>
      </c>
      <c r="I102" s="45" t="s">
        <v>2605</v>
      </c>
      <c r="J102" s="45" t="s">
        <v>2647</v>
      </c>
      <c r="K102" s="45" t="s">
        <v>2606</v>
      </c>
      <c r="L102" s="45" t="s">
        <v>2607</v>
      </c>
      <c r="M102" s="45" t="s">
        <v>2608</v>
      </c>
      <c r="N102" s="45" t="s">
        <v>2609</v>
      </c>
      <c r="T102" s="15" t="s">
        <v>4794</v>
      </c>
      <c r="U102" s="22" t="s">
        <v>4840</v>
      </c>
      <c r="V102" s="22" t="s">
        <v>365</v>
      </c>
      <c r="W102" s="16" t="s">
        <v>4954</v>
      </c>
    </row>
    <row r="103" spans="1:23" ht="15" customHeight="1">
      <c r="A103" s="45" t="s">
        <v>2578</v>
      </c>
      <c r="B103" s="45" t="str">
        <f t="shared" ca="1" si="0"/>
        <v>Account Type</v>
      </c>
      <c r="C103" s="45" t="s">
        <v>2598</v>
      </c>
      <c r="D103" s="45" t="s">
        <v>2578</v>
      </c>
      <c r="E103" s="45" t="s">
        <v>2610</v>
      </c>
      <c r="F103" s="45" t="s">
        <v>2611</v>
      </c>
      <c r="G103" s="45" t="s">
        <v>2612</v>
      </c>
      <c r="H103" s="45" t="s">
        <v>2613</v>
      </c>
      <c r="I103" s="45"/>
      <c r="J103" s="45" t="s">
        <v>2648</v>
      </c>
      <c r="K103" s="45" t="s">
        <v>2614</v>
      </c>
      <c r="L103" s="45" t="s">
        <v>2615</v>
      </c>
      <c r="M103" s="45" t="s">
        <v>2616</v>
      </c>
      <c r="N103" s="45" t="s">
        <v>2617</v>
      </c>
      <c r="T103" s="15" t="s">
        <v>4795</v>
      </c>
      <c r="U103" s="22" t="s">
        <v>4853</v>
      </c>
      <c r="V103" s="22" t="s">
        <v>5006</v>
      </c>
      <c r="W103" s="16" t="s">
        <v>4955</v>
      </c>
    </row>
    <row r="104" spans="1:23" ht="15" customHeight="1">
      <c r="A104" s="45" t="s">
        <v>3799</v>
      </c>
      <c r="B104" s="45" t="str">
        <f t="shared" ca="1" si="0"/>
        <v>Building Society Roll Number</v>
      </c>
      <c r="C104" s="45"/>
      <c r="D104" s="45" t="s">
        <v>3799</v>
      </c>
      <c r="E104" s="45"/>
      <c r="F104" s="45"/>
      <c r="G104" s="45"/>
      <c r="H104" s="45"/>
      <c r="I104" s="45"/>
      <c r="J104" s="45"/>
      <c r="K104" s="45"/>
      <c r="L104" s="45"/>
      <c r="M104" s="45"/>
      <c r="N104" s="45"/>
      <c r="T104" s="15" t="s">
        <v>4796</v>
      </c>
      <c r="U104" s="22" t="s">
        <v>4837</v>
      </c>
      <c r="V104" s="22" t="s">
        <v>332</v>
      </c>
      <c r="W104" s="16" t="s">
        <v>4956</v>
      </c>
    </row>
    <row r="105" spans="1:23" ht="15" customHeight="1">
      <c r="A105" s="45" t="s">
        <v>2579</v>
      </c>
      <c r="B105" s="45" t="str">
        <f t="shared" ca="1" si="0"/>
        <v>Sort Code</v>
      </c>
      <c r="C105" s="45" t="s">
        <v>2598</v>
      </c>
      <c r="D105" s="45" t="s">
        <v>2579</v>
      </c>
      <c r="E105" s="45" t="s">
        <v>3034</v>
      </c>
      <c r="F105" s="45"/>
      <c r="G105" s="45"/>
      <c r="H105" s="45"/>
      <c r="I105" s="45"/>
      <c r="J105" s="45" t="s">
        <v>3217</v>
      </c>
      <c r="K105" s="45"/>
      <c r="L105" s="45"/>
      <c r="M105" s="45"/>
      <c r="N105" s="45"/>
      <c r="T105" s="15" t="s">
        <v>4797</v>
      </c>
      <c r="U105" s="22" t="s">
        <v>4837</v>
      </c>
      <c r="V105" s="22" t="s">
        <v>332</v>
      </c>
      <c r="W105" s="16" t="s">
        <v>4957</v>
      </c>
    </row>
    <row r="106" spans="1:23" ht="15" customHeight="1">
      <c r="A106" s="45" t="s">
        <v>2847</v>
      </c>
      <c r="B106" s="45" t="str">
        <f t="shared" ca="1" si="0"/>
        <v>Routing Number</v>
      </c>
      <c r="C106" s="45"/>
      <c r="D106" s="45" t="s">
        <v>2847</v>
      </c>
      <c r="E106" s="45" t="s">
        <v>3035</v>
      </c>
      <c r="F106" s="45"/>
      <c r="G106" s="45"/>
      <c r="H106" s="45"/>
      <c r="I106" s="45"/>
      <c r="J106" s="45" t="s">
        <v>2650</v>
      </c>
      <c r="K106" s="45"/>
      <c r="L106" s="45"/>
      <c r="M106" s="45"/>
      <c r="N106" s="45"/>
      <c r="T106" s="15" t="s">
        <v>4798</v>
      </c>
      <c r="U106" s="22" t="s">
        <v>4842</v>
      </c>
      <c r="V106" s="22" t="s">
        <v>336</v>
      </c>
      <c r="W106" s="16" t="s">
        <v>4958</v>
      </c>
    </row>
    <row r="107" spans="1:23" ht="15" customHeight="1">
      <c r="A107" s="45" t="s">
        <v>2580</v>
      </c>
      <c r="B107" s="45" t="str">
        <f t="shared" ca="1" si="0"/>
        <v>Account Number</v>
      </c>
      <c r="C107" s="45" t="s">
        <v>2588</v>
      </c>
      <c r="D107" s="45" t="s">
        <v>2580</v>
      </c>
      <c r="E107" s="45" t="s">
        <v>2589</v>
      </c>
      <c r="F107" s="45" t="s">
        <v>2590</v>
      </c>
      <c r="G107" s="45" t="s">
        <v>2591</v>
      </c>
      <c r="H107" s="45" t="s">
        <v>2592</v>
      </c>
      <c r="I107" s="45" t="s">
        <v>2590</v>
      </c>
      <c r="J107" s="45" t="s">
        <v>2650</v>
      </c>
      <c r="K107" s="45" t="s">
        <v>2593</v>
      </c>
      <c r="L107" s="45" t="s">
        <v>2594</v>
      </c>
      <c r="M107" s="45" t="s">
        <v>2595</v>
      </c>
      <c r="N107" s="45" t="s">
        <v>2596</v>
      </c>
      <c r="T107" s="15" t="s">
        <v>4799</v>
      </c>
      <c r="U107" s="22" t="s">
        <v>4838</v>
      </c>
      <c r="V107" s="22" t="s">
        <v>356</v>
      </c>
      <c r="W107" s="16" t="s">
        <v>4959</v>
      </c>
    </row>
    <row r="108" spans="1:23" ht="15" customHeight="1">
      <c r="A108" s="45" t="s">
        <v>2581</v>
      </c>
      <c r="B108" s="45" t="str">
        <f t="shared" ca="1" si="0"/>
        <v>Business Identifier Code</v>
      </c>
      <c r="C108" s="45" t="s">
        <v>2624</v>
      </c>
      <c r="D108" s="45" t="s">
        <v>2581</v>
      </c>
      <c r="E108" s="45" t="s">
        <v>2628</v>
      </c>
      <c r="F108" s="45" t="s">
        <v>2633</v>
      </c>
      <c r="G108" s="45" t="s">
        <v>2637</v>
      </c>
      <c r="H108" s="45" t="s">
        <v>3185</v>
      </c>
      <c r="I108" s="45" t="s">
        <v>2643</v>
      </c>
      <c r="J108" s="45" t="s">
        <v>2649</v>
      </c>
      <c r="K108" s="45" t="s">
        <v>2656</v>
      </c>
      <c r="L108" s="45" t="s">
        <v>2660</v>
      </c>
      <c r="M108" s="45" t="s">
        <v>3793</v>
      </c>
      <c r="N108" s="45" t="s">
        <v>2667</v>
      </c>
      <c r="T108" s="15" t="s">
        <v>4800</v>
      </c>
      <c r="U108" s="22" t="s">
        <v>4832</v>
      </c>
      <c r="V108" s="22" t="s">
        <v>78</v>
      </c>
      <c r="W108" s="16" t="s">
        <v>4960</v>
      </c>
    </row>
    <row r="109" spans="1:23" ht="15" customHeight="1">
      <c r="A109" s="45" t="s">
        <v>2582</v>
      </c>
      <c r="B109" s="45" t="str">
        <f t="shared" ca="1" si="0"/>
        <v>IBAN</v>
      </c>
      <c r="C109" s="45" t="s">
        <v>2582</v>
      </c>
      <c r="D109" s="45" t="s">
        <v>2582</v>
      </c>
      <c r="E109" s="45" t="s">
        <v>2582</v>
      </c>
      <c r="F109" s="45" t="s">
        <v>2582</v>
      </c>
      <c r="G109" s="45" t="s">
        <v>2582</v>
      </c>
      <c r="H109" s="45" t="s">
        <v>2582</v>
      </c>
      <c r="I109" s="45" t="s">
        <v>2582</v>
      </c>
      <c r="J109" s="45" t="s">
        <v>3196</v>
      </c>
      <c r="K109" s="45" t="s">
        <v>2582</v>
      </c>
      <c r="L109" s="45" t="s">
        <v>2582</v>
      </c>
      <c r="M109" s="45" t="s">
        <v>2582</v>
      </c>
      <c r="N109" s="45" t="s">
        <v>2582</v>
      </c>
      <c r="T109" s="15" t="s">
        <v>4801</v>
      </c>
      <c r="U109" s="22" t="s">
        <v>4853</v>
      </c>
      <c r="V109" s="22" t="s">
        <v>5006</v>
      </c>
      <c r="W109" s="16" t="s">
        <v>4961</v>
      </c>
    </row>
    <row r="110" spans="1:23" ht="15" customHeight="1">
      <c r="A110" s="45" t="s">
        <v>825</v>
      </c>
      <c r="B110" s="45" t="str">
        <f t="shared" ca="1" si="0"/>
        <v>Currency</v>
      </c>
      <c r="C110" s="45" t="s">
        <v>2623</v>
      </c>
      <c r="D110" s="45" t="s">
        <v>825</v>
      </c>
      <c r="E110" s="45" t="s">
        <v>2629</v>
      </c>
      <c r="F110" s="45" t="s">
        <v>3137</v>
      </c>
      <c r="G110" s="45" t="s">
        <v>3157</v>
      </c>
      <c r="H110" s="45" t="s">
        <v>2623</v>
      </c>
      <c r="I110" s="45" t="s">
        <v>2623</v>
      </c>
      <c r="J110" s="45" t="s">
        <v>3042</v>
      </c>
      <c r="K110" s="45" t="s">
        <v>2879</v>
      </c>
      <c r="L110" s="45" t="s">
        <v>3240</v>
      </c>
      <c r="M110" s="45" t="s">
        <v>3262</v>
      </c>
      <c r="N110" s="45" t="s">
        <v>3282</v>
      </c>
      <c r="T110" s="15" t="s">
        <v>4802</v>
      </c>
      <c r="U110" s="22" t="s">
        <v>4837</v>
      </c>
      <c r="V110" s="22" t="s">
        <v>332</v>
      </c>
      <c r="W110" s="16" t="s">
        <v>4962</v>
      </c>
    </row>
    <row r="111" spans="1:23" ht="15" customHeight="1">
      <c r="A111" s="45" t="s">
        <v>2600</v>
      </c>
      <c r="B111" s="45" t="str">
        <f t="shared" ca="1" si="0"/>
        <v>Pay Slip Language</v>
      </c>
      <c r="C111" s="45" t="s">
        <v>2599</v>
      </c>
      <c r="D111" s="45" t="s">
        <v>2600</v>
      </c>
      <c r="E111" s="45" t="s">
        <v>2618</v>
      </c>
      <c r="F111" s="45" t="s">
        <v>3138</v>
      </c>
      <c r="G111" s="45"/>
      <c r="H111" s="45" t="s">
        <v>3186</v>
      </c>
      <c r="I111" s="45"/>
      <c r="J111" s="45"/>
      <c r="K111" s="45"/>
      <c r="L111" s="45"/>
      <c r="M111" s="45"/>
      <c r="N111" s="45"/>
      <c r="T111" s="15" t="s">
        <v>4803</v>
      </c>
      <c r="U111" s="22" t="s">
        <v>4831</v>
      </c>
      <c r="V111" s="22" t="s">
        <v>334</v>
      </c>
      <c r="W111" s="16" t="s">
        <v>4963</v>
      </c>
    </row>
    <row r="112" spans="1:23" ht="15" customHeight="1">
      <c r="A112" s="45" t="s">
        <v>784</v>
      </c>
      <c r="B112" s="45" t="str">
        <f t="shared" ca="1" si="0"/>
        <v>Additional Information</v>
      </c>
      <c r="C112" s="45"/>
      <c r="D112" s="45" t="s">
        <v>784</v>
      </c>
      <c r="E112" s="45" t="s">
        <v>3036</v>
      </c>
      <c r="F112" s="45" t="s">
        <v>3139</v>
      </c>
      <c r="G112" s="45"/>
      <c r="H112" s="45" t="s">
        <v>3187</v>
      </c>
      <c r="I112" s="45"/>
      <c r="J112" s="45" t="s">
        <v>3043</v>
      </c>
      <c r="K112" s="45" t="s">
        <v>2880</v>
      </c>
      <c r="L112" s="45"/>
      <c r="M112" s="45" t="s">
        <v>3794</v>
      </c>
      <c r="N112" s="45" t="s">
        <v>3283</v>
      </c>
      <c r="T112" s="15" t="s">
        <v>4804</v>
      </c>
      <c r="U112" s="22" t="s">
        <v>4831</v>
      </c>
      <c r="V112" s="22" t="s">
        <v>334</v>
      </c>
      <c r="W112" s="16" t="s">
        <v>4964</v>
      </c>
    </row>
    <row r="113" spans="1:23" ht="15" customHeight="1">
      <c r="A113" s="45" t="s">
        <v>2779</v>
      </c>
      <c r="B113" s="45" t="str">
        <f t="shared" ca="1" si="0"/>
        <v>Court certificate provided?</v>
      </c>
      <c r="C113" s="45"/>
      <c r="D113" s="45" t="s">
        <v>2798</v>
      </c>
      <c r="E113" s="45"/>
      <c r="F113" s="45"/>
      <c r="G113" s="45"/>
      <c r="H113" s="45" t="s">
        <v>3188</v>
      </c>
      <c r="I113" s="45"/>
      <c r="J113" s="45"/>
      <c r="K113" s="45"/>
      <c r="L113" s="45"/>
      <c r="M113" s="45"/>
      <c r="N113" s="45"/>
      <c r="T113" s="15" t="s">
        <v>4805</v>
      </c>
      <c r="U113" s="22" t="s">
        <v>4840</v>
      </c>
      <c r="V113" s="22" t="s">
        <v>365</v>
      </c>
      <c r="W113" s="16" t="s">
        <v>4965</v>
      </c>
    </row>
    <row r="114" spans="1:23" ht="15" customHeight="1">
      <c r="A114" s="45" t="s">
        <v>2780</v>
      </c>
      <c r="B114" s="45" t="str">
        <f t="shared" ca="1" si="0"/>
        <v>Medical certificate provided?</v>
      </c>
      <c r="C114" s="45"/>
      <c r="D114" s="45" t="s">
        <v>2799</v>
      </c>
      <c r="E114" s="45"/>
      <c r="F114" s="45"/>
      <c r="G114" s="45"/>
      <c r="H114" s="45" t="s">
        <v>3189</v>
      </c>
      <c r="I114" s="45"/>
      <c r="J114" s="45"/>
      <c r="K114" s="45"/>
      <c r="L114" s="45"/>
      <c r="M114" s="45"/>
      <c r="N114" s="45"/>
      <c r="T114" s="15" t="s">
        <v>4806</v>
      </c>
      <c r="U114" s="22" t="s">
        <v>4831</v>
      </c>
      <c r="V114" s="22" t="s">
        <v>334</v>
      </c>
      <c r="W114" s="16" t="s">
        <v>4966</v>
      </c>
    </row>
    <row r="115" spans="1:23" ht="15" customHeight="1">
      <c r="A115" s="45" t="s">
        <v>2781</v>
      </c>
      <c r="B115" s="45" t="str">
        <f t="shared" ca="1" si="0"/>
        <v>Tax ID</v>
      </c>
      <c r="C115" s="45"/>
      <c r="D115" s="45" t="s">
        <v>2781</v>
      </c>
      <c r="E115" s="45"/>
      <c r="F115" s="45" t="s">
        <v>3140</v>
      </c>
      <c r="G115" s="45"/>
      <c r="H115" s="45"/>
      <c r="I115" s="45"/>
      <c r="J115" s="45"/>
      <c r="K115" s="45" t="s">
        <v>2881</v>
      </c>
      <c r="L115" s="45"/>
      <c r="M115" s="45"/>
      <c r="N115" s="45"/>
      <c r="T115" s="15" t="s">
        <v>4807</v>
      </c>
      <c r="U115" s="22" t="s">
        <v>4847</v>
      </c>
      <c r="V115" s="22" t="s">
        <v>328</v>
      </c>
      <c r="W115" s="16" t="s">
        <v>4967</v>
      </c>
    </row>
    <row r="116" spans="1:23" ht="15" customHeight="1">
      <c r="A116" s="45" t="s">
        <v>2782</v>
      </c>
      <c r="B116" s="45" t="str">
        <f t="shared" ca="1" si="0"/>
        <v>Tax class</v>
      </c>
      <c r="C116" s="45"/>
      <c r="D116" s="45" t="s">
        <v>2782</v>
      </c>
      <c r="E116" s="45"/>
      <c r="F116" s="45" t="s">
        <v>3141</v>
      </c>
      <c r="G116" s="45"/>
      <c r="H116" s="45"/>
      <c r="I116" s="45"/>
      <c r="J116" s="45"/>
      <c r="K116" s="45"/>
      <c r="L116" s="45"/>
      <c r="M116" s="45"/>
      <c r="N116" s="45"/>
      <c r="T116" s="15" t="s">
        <v>4808</v>
      </c>
      <c r="U116" s="22" t="s">
        <v>4852</v>
      </c>
      <c r="V116" s="22" t="s">
        <v>370</v>
      </c>
      <c r="W116" s="16" t="s">
        <v>4968</v>
      </c>
    </row>
    <row r="117" spans="1:23" ht="15" customHeight="1">
      <c r="A117" s="45" t="s">
        <v>2783</v>
      </c>
      <c r="B117" s="45" t="str">
        <f t="shared" ca="1" si="0"/>
        <v>Konfession</v>
      </c>
      <c r="C117" s="45"/>
      <c r="D117" s="45" t="s">
        <v>2783</v>
      </c>
      <c r="E117" s="45" t="s">
        <v>3037</v>
      </c>
      <c r="F117" s="45" t="s">
        <v>2783</v>
      </c>
      <c r="G117" s="45"/>
      <c r="H117" s="45"/>
      <c r="I117" s="45"/>
      <c r="J117" s="45"/>
      <c r="K117" s="45"/>
      <c r="L117" s="45"/>
      <c r="M117" s="45"/>
      <c r="N117" s="45"/>
      <c r="T117" s="15" t="s">
        <v>4809</v>
      </c>
      <c r="U117" s="22" t="s">
        <v>4831</v>
      </c>
      <c r="V117" s="22" t="s">
        <v>334</v>
      </c>
      <c r="W117" s="16" t="s">
        <v>4969</v>
      </c>
    </row>
    <row r="118" spans="1:23" ht="15" customHeight="1">
      <c r="A118" s="45" t="s">
        <v>2970</v>
      </c>
      <c r="B118" s="45" t="str">
        <f t="shared" ca="1" si="0"/>
        <v>Disability</v>
      </c>
      <c r="C118" s="45"/>
      <c r="D118" s="45" t="s">
        <v>2970</v>
      </c>
      <c r="E118" s="45"/>
      <c r="F118" s="45" t="s">
        <v>3292</v>
      </c>
      <c r="G118" s="45"/>
      <c r="H118" s="45"/>
      <c r="I118" s="45"/>
      <c r="J118" s="45"/>
      <c r="K118" s="45"/>
      <c r="L118" s="45"/>
      <c r="M118" s="45"/>
      <c r="N118" s="45"/>
      <c r="T118" s="15" t="s">
        <v>4810</v>
      </c>
      <c r="U118" s="22" t="s">
        <v>4854</v>
      </c>
      <c r="V118" s="22" t="s">
        <v>349</v>
      </c>
      <c r="W118" s="16" t="s">
        <v>4970</v>
      </c>
    </row>
    <row r="119" spans="1:23" ht="15" customHeight="1">
      <c r="A119" s="45" t="s">
        <v>2971</v>
      </c>
      <c r="B119" s="45" t="str">
        <f t="shared" ca="1" si="0"/>
        <v>Disability %</v>
      </c>
      <c r="C119" s="45"/>
      <c r="D119" s="45" t="s">
        <v>2971</v>
      </c>
      <c r="E119" s="45"/>
      <c r="F119" s="45" t="s">
        <v>3310</v>
      </c>
      <c r="G119" s="45"/>
      <c r="H119" s="45"/>
      <c r="I119" s="45"/>
      <c r="J119" s="45"/>
      <c r="K119" s="45"/>
      <c r="L119" s="45"/>
      <c r="M119" s="45"/>
      <c r="N119" s="45"/>
      <c r="T119" s="15" t="s">
        <v>4811</v>
      </c>
      <c r="U119" s="22" t="s">
        <v>4854</v>
      </c>
      <c r="V119" s="22" t="s">
        <v>349</v>
      </c>
      <c r="W119" s="16" t="s">
        <v>4971</v>
      </c>
    </row>
    <row r="120" spans="1:23" ht="15" customHeight="1">
      <c r="A120" s="45" t="s">
        <v>2784</v>
      </c>
      <c r="B120" s="45" t="str">
        <f t="shared" ca="1" si="0"/>
        <v>Health Insurance</v>
      </c>
      <c r="C120" s="45"/>
      <c r="D120" s="45" t="s">
        <v>2784</v>
      </c>
      <c r="E120" s="45"/>
      <c r="F120" s="45" t="s">
        <v>3142</v>
      </c>
      <c r="G120" s="45"/>
      <c r="H120" s="45"/>
      <c r="I120" s="45"/>
      <c r="J120" s="45"/>
      <c r="K120" s="45"/>
      <c r="L120" s="45"/>
      <c r="M120" s="45"/>
      <c r="N120" s="45"/>
      <c r="T120" s="15" t="s">
        <v>4812</v>
      </c>
      <c r="U120" s="22" t="s">
        <v>4849</v>
      </c>
      <c r="V120" s="22" t="s">
        <v>361</v>
      </c>
      <c r="W120" s="16" t="s">
        <v>4972</v>
      </c>
    </row>
    <row r="121" spans="1:23" ht="15" customHeight="1">
      <c r="A121" s="45" t="s">
        <v>2785</v>
      </c>
      <c r="B121" s="45" t="str">
        <f t="shared" ca="1" si="0"/>
        <v>Name of Health Insurer</v>
      </c>
      <c r="C121" s="45"/>
      <c r="D121" s="45" t="s">
        <v>2785</v>
      </c>
      <c r="E121" s="45"/>
      <c r="F121" s="45" t="s">
        <v>3143</v>
      </c>
      <c r="G121" s="45"/>
      <c r="H121" s="45"/>
      <c r="I121" s="45"/>
      <c r="J121" s="45"/>
      <c r="K121" s="45"/>
      <c r="L121" s="45"/>
      <c r="M121" s="45"/>
      <c r="N121" s="45"/>
      <c r="T121" s="15" t="s">
        <v>4813</v>
      </c>
      <c r="U121" s="22" t="s">
        <v>4830</v>
      </c>
      <c r="V121" s="22" t="s">
        <v>357</v>
      </c>
      <c r="W121" s="16" t="s">
        <v>4973</v>
      </c>
    </row>
    <row r="122" spans="1:23" ht="15" customHeight="1">
      <c r="A122" s="45" t="s">
        <v>2786</v>
      </c>
      <c r="B122" s="45" t="str">
        <f t="shared" ca="1" si="0"/>
        <v>Address of Health Insurer</v>
      </c>
      <c r="C122" s="45"/>
      <c r="D122" s="45" t="s">
        <v>2786</v>
      </c>
      <c r="E122" s="45"/>
      <c r="F122" s="45" t="s">
        <v>3144</v>
      </c>
      <c r="G122" s="45"/>
      <c r="H122" s="45"/>
      <c r="I122" s="45"/>
      <c r="J122" s="45"/>
      <c r="K122" s="45"/>
      <c r="L122" s="45"/>
      <c r="M122" s="45"/>
      <c r="N122" s="45"/>
      <c r="T122" s="15" t="s">
        <v>4814</v>
      </c>
      <c r="U122" s="22" t="s">
        <v>4834</v>
      </c>
      <c r="V122" s="22" t="s">
        <v>200</v>
      </c>
      <c r="W122" s="16" t="s">
        <v>4974</v>
      </c>
    </row>
    <row r="123" spans="1:23" ht="15" customHeight="1">
      <c r="A123" s="45" t="s">
        <v>2787</v>
      </c>
      <c r="B123" s="45" t="str">
        <f t="shared" ca="1" si="0"/>
        <v>Pension Fund</v>
      </c>
      <c r="C123" s="45"/>
      <c r="D123" s="45" t="s">
        <v>2787</v>
      </c>
      <c r="E123" s="45" t="s">
        <v>3038</v>
      </c>
      <c r="F123" s="45" t="s">
        <v>3145</v>
      </c>
      <c r="G123" s="45"/>
      <c r="H123" s="45" t="s">
        <v>3190</v>
      </c>
      <c r="I123" s="45"/>
      <c r="J123" s="45"/>
      <c r="K123" s="45"/>
      <c r="L123" s="45"/>
      <c r="M123" s="45"/>
      <c r="N123" s="45"/>
      <c r="T123" s="15" t="s">
        <v>4815</v>
      </c>
      <c r="U123" s="22" t="s">
        <v>4676</v>
      </c>
      <c r="V123" s="22" t="s">
        <v>348</v>
      </c>
      <c r="W123" s="16" t="s">
        <v>4975</v>
      </c>
    </row>
    <row r="124" spans="1:23" ht="15" customHeight="1">
      <c r="A124" s="45" t="s">
        <v>2788</v>
      </c>
      <c r="B124" s="45" t="str">
        <f t="shared" ca="1" si="0"/>
        <v>CV attached?</v>
      </c>
      <c r="C124" s="45"/>
      <c r="D124" s="45" t="s">
        <v>2800</v>
      </c>
      <c r="E124" s="45" t="s">
        <v>2788</v>
      </c>
      <c r="F124" s="45" t="s">
        <v>3146</v>
      </c>
      <c r="G124" s="45"/>
      <c r="H124" s="45" t="s">
        <v>2788</v>
      </c>
      <c r="I124" s="45"/>
      <c r="J124" s="45" t="s">
        <v>3044</v>
      </c>
      <c r="K124" s="45" t="s">
        <v>2788</v>
      </c>
      <c r="L124" s="45"/>
      <c r="M124" s="45" t="s">
        <v>3795</v>
      </c>
      <c r="N124" s="45" t="s">
        <v>3284</v>
      </c>
      <c r="T124" s="15" t="s">
        <v>4816</v>
      </c>
      <c r="U124" s="22" t="s">
        <v>4847</v>
      </c>
      <c r="V124" s="22" t="s">
        <v>328</v>
      </c>
      <c r="W124" s="16" t="s">
        <v>4976</v>
      </c>
    </row>
    <row r="125" spans="1:23" ht="15" customHeight="1">
      <c r="A125" s="45" t="s">
        <v>2789</v>
      </c>
      <c r="B125" s="45" t="str">
        <f t="shared" ca="1" si="0"/>
        <v>Education/certificates attached?</v>
      </c>
      <c r="C125" s="45"/>
      <c r="D125" s="45" t="s">
        <v>2801</v>
      </c>
      <c r="E125" s="45" t="s">
        <v>3326</v>
      </c>
      <c r="F125" s="45" t="s">
        <v>3147</v>
      </c>
      <c r="G125" s="45"/>
      <c r="H125" s="45" t="s">
        <v>3191</v>
      </c>
      <c r="I125" s="45"/>
      <c r="J125" s="45" t="s">
        <v>3045</v>
      </c>
      <c r="K125" s="45" t="s">
        <v>2882</v>
      </c>
      <c r="L125" s="45"/>
      <c r="M125" s="45" t="s">
        <v>3796</v>
      </c>
      <c r="N125" s="45" t="s">
        <v>3285</v>
      </c>
      <c r="T125" s="15" t="s">
        <v>4817</v>
      </c>
      <c r="U125" s="22" t="s">
        <v>4831</v>
      </c>
      <c r="V125" s="22" t="s">
        <v>334</v>
      </c>
      <c r="W125" s="16" t="s">
        <v>4977</v>
      </c>
    </row>
    <row r="126" spans="1:23" ht="15" customHeight="1">
      <c r="A126" s="45" t="s">
        <v>2990</v>
      </c>
      <c r="B126" s="45" t="str">
        <f t="shared" ca="1" si="0"/>
        <v>Education Level</v>
      </c>
      <c r="C126" s="45"/>
      <c r="D126" s="45" t="s">
        <v>2990</v>
      </c>
      <c r="E126" s="74" t="s">
        <v>3316</v>
      </c>
      <c r="F126" s="45" t="s">
        <v>3322</v>
      </c>
      <c r="G126" s="45"/>
      <c r="H126" s="45"/>
      <c r="I126" s="45"/>
      <c r="J126" s="45"/>
      <c r="K126" s="45"/>
      <c r="L126" s="45"/>
      <c r="M126" s="45"/>
      <c r="N126" s="45"/>
      <c r="T126" s="15" t="s">
        <v>4818</v>
      </c>
      <c r="U126" s="22" t="s">
        <v>4844</v>
      </c>
      <c r="V126" s="22" t="s">
        <v>335</v>
      </c>
      <c r="W126" s="16" t="s">
        <v>4978</v>
      </c>
    </row>
    <row r="127" spans="1:23" ht="15" customHeight="1">
      <c r="A127" s="45" t="s">
        <v>2795</v>
      </c>
      <c r="B127" s="45" t="str">
        <f t="shared" ca="1" si="0"/>
        <v>Tax Office</v>
      </c>
      <c r="C127" s="45"/>
      <c r="D127" s="45" t="s">
        <v>2795</v>
      </c>
      <c r="E127" s="45"/>
      <c r="F127" s="45"/>
      <c r="G127" s="45"/>
      <c r="H127" s="45"/>
      <c r="I127" s="45"/>
      <c r="J127" s="45" t="s">
        <v>2796</v>
      </c>
      <c r="K127" s="45"/>
      <c r="L127" s="45"/>
      <c r="M127" s="45"/>
      <c r="N127" s="45"/>
      <c r="T127" s="15" t="s">
        <v>4819</v>
      </c>
      <c r="U127" s="22" t="s">
        <v>4840</v>
      </c>
      <c r="V127" s="22" t="s">
        <v>365</v>
      </c>
      <c r="W127" s="16" t="s">
        <v>4979</v>
      </c>
    </row>
    <row r="128" spans="1:23" ht="15" customHeight="1">
      <c r="A128" s="45" t="s">
        <v>2797</v>
      </c>
      <c r="B128" s="45" t="str">
        <f t="shared" ca="1" si="0"/>
        <v>Healthcare Branch</v>
      </c>
      <c r="C128" s="45"/>
      <c r="D128" s="45" t="s">
        <v>2797</v>
      </c>
      <c r="E128" s="45"/>
      <c r="F128" s="45"/>
      <c r="G128" s="45"/>
      <c r="H128" s="45"/>
      <c r="I128" s="45"/>
      <c r="J128" s="45" t="s">
        <v>2790</v>
      </c>
      <c r="K128" s="45"/>
      <c r="L128" s="45"/>
      <c r="M128" s="45"/>
      <c r="N128" s="45"/>
      <c r="T128" s="15" t="s">
        <v>4820</v>
      </c>
      <c r="U128" s="22" t="s">
        <v>4853</v>
      </c>
      <c r="V128" s="22" t="s">
        <v>5006</v>
      </c>
      <c r="W128" s="16" t="s">
        <v>4980</v>
      </c>
    </row>
    <row r="129" spans="1:23" ht="15" customHeight="1">
      <c r="A129" s="45" t="s">
        <v>2791</v>
      </c>
      <c r="B129" s="45" t="str">
        <f t="shared" ca="1" si="0"/>
        <v>P45 Received</v>
      </c>
      <c r="C129" s="45"/>
      <c r="D129" s="45" t="s">
        <v>2791</v>
      </c>
      <c r="E129" s="45"/>
      <c r="F129" s="45"/>
      <c r="G129" s="45"/>
      <c r="H129" s="45"/>
      <c r="I129" s="45"/>
      <c r="J129" s="45" t="s">
        <v>3067</v>
      </c>
      <c r="K129" s="45"/>
      <c r="L129" s="45"/>
      <c r="M129" s="45"/>
      <c r="N129" s="45"/>
      <c r="T129" s="15" t="s">
        <v>4821</v>
      </c>
      <c r="U129" s="22" t="s">
        <v>4854</v>
      </c>
      <c r="V129" s="22" t="s">
        <v>349</v>
      </c>
      <c r="W129" s="16" t="s">
        <v>4981</v>
      </c>
    </row>
    <row r="130" spans="1:23" ht="15" customHeight="1">
      <c r="A130" s="45" t="s">
        <v>2792</v>
      </c>
      <c r="B130" s="45" t="str">
        <f t="shared" ca="1" si="0"/>
        <v>Student loan to repay?</v>
      </c>
      <c r="C130" s="45"/>
      <c r="D130" s="45" t="s">
        <v>2792</v>
      </c>
      <c r="E130" s="45"/>
      <c r="F130" s="45"/>
      <c r="G130" s="45"/>
      <c r="H130" s="45"/>
      <c r="I130" s="45"/>
      <c r="J130" s="45" t="s">
        <v>3068</v>
      </c>
      <c r="K130" s="45"/>
      <c r="L130" s="45"/>
      <c r="M130" s="45"/>
      <c r="N130" s="45"/>
      <c r="T130" s="15" t="s">
        <v>4822</v>
      </c>
      <c r="U130" s="22" t="s">
        <v>4854</v>
      </c>
      <c r="V130" s="22" t="s">
        <v>349</v>
      </c>
      <c r="W130" s="16" t="s">
        <v>4982</v>
      </c>
    </row>
    <row r="131" spans="1:23" ht="15" customHeight="1">
      <c r="A131" s="45" t="s">
        <v>2793</v>
      </c>
      <c r="B131" s="45" t="str">
        <f t="shared" ca="1" si="0"/>
        <v>First source of earnings in current year?</v>
      </c>
      <c r="C131" s="45"/>
      <c r="D131" s="45" t="s">
        <v>2793</v>
      </c>
      <c r="E131" s="45"/>
      <c r="F131" s="45"/>
      <c r="G131" s="45"/>
      <c r="H131" s="45"/>
      <c r="I131" s="45"/>
      <c r="J131" s="45" t="s">
        <v>3069</v>
      </c>
      <c r="K131" s="45"/>
      <c r="L131" s="45"/>
      <c r="M131" s="45"/>
      <c r="N131" s="45"/>
      <c r="T131" s="15" t="s">
        <v>4823</v>
      </c>
      <c r="U131" s="22" t="s">
        <v>4854</v>
      </c>
      <c r="V131" s="22" t="s">
        <v>349</v>
      </c>
      <c r="W131" s="16" t="s">
        <v>4983</v>
      </c>
    </row>
    <row r="132" spans="1:23" ht="15" customHeight="1">
      <c r="A132" s="45" t="s">
        <v>2893</v>
      </c>
      <c r="B132" s="45" t="str">
        <f t="shared" ca="1" si="0"/>
        <v>Distance home-work (one way)</v>
      </c>
      <c r="C132" s="45" t="s">
        <v>2894</v>
      </c>
      <c r="D132" s="45" t="s">
        <v>2893</v>
      </c>
      <c r="E132" s="45" t="s">
        <v>2895</v>
      </c>
      <c r="F132" s="45"/>
      <c r="G132" s="45"/>
      <c r="H132" s="45"/>
      <c r="I132" s="45"/>
      <c r="J132" s="45"/>
      <c r="K132" s="45"/>
      <c r="L132" s="45"/>
      <c r="M132" s="45"/>
      <c r="N132" s="45"/>
      <c r="T132" s="15" t="s">
        <v>4824</v>
      </c>
      <c r="U132" s="22" t="s">
        <v>4854</v>
      </c>
      <c r="V132" s="22" t="s">
        <v>349</v>
      </c>
      <c r="W132" s="16" t="s">
        <v>4984</v>
      </c>
    </row>
    <row r="133" spans="1:23" ht="15" customHeight="1">
      <c r="A133" s="45" t="s">
        <v>2896</v>
      </c>
      <c r="B133" s="45" t="str">
        <f t="shared" ca="1" si="0"/>
        <v>Transportation</v>
      </c>
      <c r="C133" s="45" t="s">
        <v>2897</v>
      </c>
      <c r="D133" s="45" t="s">
        <v>2896</v>
      </c>
      <c r="E133" s="45" t="s">
        <v>2898</v>
      </c>
      <c r="F133" s="45"/>
      <c r="G133" s="45"/>
      <c r="H133" s="45"/>
      <c r="I133" s="45"/>
      <c r="J133" s="45"/>
      <c r="K133" s="45"/>
      <c r="L133" s="45"/>
      <c r="M133" s="45"/>
      <c r="N133" s="45"/>
      <c r="T133" s="15" t="s">
        <v>4825</v>
      </c>
      <c r="U133" s="22" t="s">
        <v>4837</v>
      </c>
      <c r="V133" s="22" t="s">
        <v>332</v>
      </c>
      <c r="W133" s="16" t="s">
        <v>4985</v>
      </c>
    </row>
    <row r="134" spans="1:23" ht="15" customHeight="1">
      <c r="A134" s="45" t="s">
        <v>2870</v>
      </c>
      <c r="B134" s="45" t="str">
        <f t="shared" ca="1" si="0"/>
        <v>Number of the dependents</v>
      </c>
      <c r="C134" s="45"/>
      <c r="D134" s="45" t="s">
        <v>2870</v>
      </c>
      <c r="E134" s="45"/>
      <c r="F134" s="45"/>
      <c r="G134" s="45"/>
      <c r="H134" s="45"/>
      <c r="I134" s="45"/>
      <c r="J134" s="45"/>
      <c r="K134" s="45" t="s">
        <v>2884</v>
      </c>
      <c r="L134" s="45"/>
      <c r="M134" s="45"/>
      <c r="N134" s="45"/>
      <c r="T134" s="15" t="s">
        <v>4826</v>
      </c>
      <c r="U134" s="22" t="s">
        <v>4850</v>
      </c>
      <c r="V134" s="22" t="s">
        <v>371</v>
      </c>
      <c r="W134" s="16" t="s">
        <v>4826</v>
      </c>
    </row>
    <row r="135" spans="1:23" ht="15" customHeight="1">
      <c r="A135" s="45" t="s">
        <v>2794</v>
      </c>
      <c r="B135" s="45" t="str">
        <f t="shared" ca="1" si="0"/>
        <v>Is this your only job /are you in receipt of pension?</v>
      </c>
      <c r="C135" s="45"/>
      <c r="D135" s="45" t="s">
        <v>2794</v>
      </c>
      <c r="E135" s="45"/>
      <c r="F135" s="45"/>
      <c r="G135" s="45"/>
      <c r="H135" s="45"/>
      <c r="I135" s="45"/>
      <c r="J135" s="45" t="s">
        <v>3070</v>
      </c>
      <c r="K135" s="45"/>
      <c r="L135" s="45"/>
      <c r="M135" s="45"/>
      <c r="N135" s="45"/>
      <c r="T135" s="15" t="s">
        <v>4827</v>
      </c>
      <c r="U135" s="22" t="s">
        <v>4840</v>
      </c>
      <c r="V135" s="22" t="s">
        <v>365</v>
      </c>
      <c r="W135" s="16" t="s">
        <v>4986</v>
      </c>
    </row>
    <row r="136" spans="1:23" ht="15" customHeight="1">
      <c r="A136" s="45" t="s">
        <v>3801</v>
      </c>
      <c r="B136" s="45" t="str">
        <f t="shared" ca="1" si="0"/>
        <v>National ID card number</v>
      </c>
      <c r="C136" s="45"/>
      <c r="D136" s="45" t="s">
        <v>3801</v>
      </c>
      <c r="E136" s="45"/>
      <c r="F136" s="45"/>
      <c r="G136" s="45"/>
      <c r="H136" s="45"/>
      <c r="I136" s="45"/>
      <c r="J136" s="45"/>
      <c r="K136" s="45"/>
      <c r="L136" s="45"/>
      <c r="M136" s="45"/>
      <c r="N136" s="45"/>
      <c r="T136" s="15" t="s">
        <v>4828</v>
      </c>
      <c r="U136" s="22" t="s">
        <v>4831</v>
      </c>
      <c r="V136" s="22" t="s">
        <v>334</v>
      </c>
      <c r="W136" s="16" t="s">
        <v>4987</v>
      </c>
    </row>
    <row r="137" spans="1:23" ht="15" customHeight="1">
      <c r="A137" s="45" t="s">
        <v>1902</v>
      </c>
      <c r="B137" s="45" t="str">
        <f t="shared" ca="1" si="0"/>
        <v>Social Security Number</v>
      </c>
      <c r="C137" s="45"/>
      <c r="D137" s="45" t="s">
        <v>1902</v>
      </c>
      <c r="E137" s="45"/>
      <c r="F137" s="45"/>
      <c r="G137" s="45"/>
      <c r="H137" s="45"/>
      <c r="I137" s="45"/>
      <c r="J137" s="45"/>
      <c r="K137" s="45"/>
      <c r="L137" s="45"/>
      <c r="M137" s="45" t="s">
        <v>3797</v>
      </c>
      <c r="N137" s="45"/>
      <c r="T137" s="17" t="s">
        <v>4829</v>
      </c>
      <c r="U137" s="24" t="s">
        <v>4831</v>
      </c>
      <c r="V137" s="24" t="s">
        <v>334</v>
      </c>
      <c r="W137" s="18" t="s">
        <v>4988</v>
      </c>
    </row>
    <row r="138" spans="1:23" ht="15" customHeight="1">
      <c r="A138" s="45" t="s">
        <v>319</v>
      </c>
      <c r="B138" s="45" t="str">
        <f t="shared" ca="1" si="0"/>
        <v>Target Position</v>
      </c>
      <c r="C138" s="45"/>
      <c r="D138" s="45" t="s">
        <v>319</v>
      </c>
      <c r="E138" s="45"/>
      <c r="F138" s="45"/>
      <c r="G138" s="45"/>
      <c r="H138" s="45"/>
      <c r="I138" s="45"/>
      <c r="J138" s="45"/>
      <c r="K138" s="45"/>
      <c r="L138" s="45"/>
      <c r="M138" s="45"/>
      <c r="N138" s="45"/>
    </row>
    <row r="139" spans="1:23" ht="15" customHeight="1">
      <c r="A139" s="45" t="s">
        <v>874</v>
      </c>
      <c r="B139" s="45" t="str">
        <f t="shared" ca="1" si="0"/>
        <v>Position Title and/or ID</v>
      </c>
      <c r="C139" s="45"/>
      <c r="D139" s="45" t="s">
        <v>3798</v>
      </c>
      <c r="E139" s="45"/>
      <c r="F139" s="45"/>
      <c r="G139" s="45"/>
      <c r="H139" s="45"/>
      <c r="I139" s="45"/>
      <c r="J139" s="45"/>
      <c r="K139" s="45"/>
      <c r="L139" s="45"/>
      <c r="M139" s="45"/>
      <c r="N139" s="45"/>
    </row>
    <row r="140" spans="1:23" ht="15" customHeight="1">
      <c r="A140" s="45" t="s">
        <v>2078</v>
      </c>
      <c r="B140" s="45" t="str">
        <f t="shared" ca="1" si="0"/>
        <v>Payroll Job Code</v>
      </c>
      <c r="C140" s="45"/>
      <c r="D140" s="45" t="s">
        <v>2078</v>
      </c>
      <c r="E140" s="45"/>
      <c r="F140" s="45"/>
      <c r="G140" s="45"/>
      <c r="H140" s="45"/>
      <c r="I140" s="45"/>
      <c r="J140" s="45"/>
      <c r="K140" s="45"/>
      <c r="L140" s="45"/>
      <c r="M140" s="45"/>
      <c r="N140" s="45"/>
    </row>
    <row r="141" spans="1:23" ht="15" customHeight="1">
      <c r="A141" s="45" t="s">
        <v>2079</v>
      </c>
      <c r="B141" s="45" t="str">
        <f t="shared" ca="1" si="0"/>
        <v>Payroll Position Code</v>
      </c>
      <c r="C141" s="45"/>
      <c r="D141" s="45" t="s">
        <v>2079</v>
      </c>
      <c r="E141" s="45"/>
      <c r="F141" s="45"/>
      <c r="G141" s="45"/>
      <c r="H141" s="45"/>
      <c r="I141" s="45"/>
      <c r="J141" s="45"/>
      <c r="K141" s="45"/>
      <c r="L141" s="45"/>
      <c r="M141" s="45"/>
      <c r="N141" s="45"/>
    </row>
    <row r="142" spans="1:23" ht="15" customHeight="1">
      <c r="A142" s="45" t="s">
        <v>321</v>
      </c>
      <c r="B142" s="45" t="str">
        <f t="shared" ca="1" si="0"/>
        <v>Employment details</v>
      </c>
      <c r="C142" s="45"/>
      <c r="D142" s="45" t="s">
        <v>321</v>
      </c>
      <c r="E142" s="45"/>
      <c r="F142" s="45"/>
      <c r="G142" s="45"/>
      <c r="H142" s="45"/>
      <c r="I142" s="45"/>
      <c r="J142" s="45"/>
      <c r="K142" s="45"/>
      <c r="L142" s="45"/>
      <c r="M142" s="45"/>
      <c r="N142" s="45"/>
    </row>
    <row r="143" spans="1:23" ht="15" customHeight="1">
      <c r="A143" s="45" t="s">
        <v>872</v>
      </c>
      <c r="B143" s="45" t="str">
        <f t="shared" ca="1" si="0"/>
        <v>* Original Start Date (DD/MM/YYYY)</v>
      </c>
      <c r="C143" s="45"/>
      <c r="D143" s="45" t="s">
        <v>8651</v>
      </c>
      <c r="E143" s="45"/>
      <c r="F143" s="45"/>
      <c r="G143" s="45"/>
      <c r="H143" s="45"/>
      <c r="I143" s="45"/>
      <c r="J143" s="45"/>
      <c r="K143" s="45"/>
      <c r="L143" s="45"/>
      <c r="M143" s="45"/>
      <c r="N143" s="45"/>
    </row>
    <row r="144" spans="1:23" ht="15" customHeight="1">
      <c r="A144" s="45" t="s">
        <v>873</v>
      </c>
      <c r="B144" s="45" t="str">
        <f t="shared" ca="1" si="0"/>
        <v>Service Date (DD/MM/YYYY)</v>
      </c>
      <c r="C144" s="45"/>
      <c r="D144" s="45" t="s">
        <v>322</v>
      </c>
      <c r="E144" s="45"/>
      <c r="F144" s="45"/>
      <c r="G144" s="45"/>
      <c r="H144" s="45"/>
      <c r="I144" s="45"/>
      <c r="J144" s="45"/>
      <c r="K144" s="45"/>
      <c r="L144" s="45"/>
      <c r="M144" s="45"/>
      <c r="N144" s="45"/>
    </row>
    <row r="145" spans="1:14" ht="15" customHeight="1">
      <c r="A145" s="45" t="s">
        <v>2726</v>
      </c>
      <c r="B145" s="45" t="str">
        <f ca="1">IFERROR(IF(ISBLANK(OFFSET(B145,0,$Q$1-1)),D145,OFFSET(B145,0,$Q$1-1)),"Please select language")</f>
        <v>Seniority Date (DD/MM/YYYY)</v>
      </c>
      <c r="C145" s="45"/>
      <c r="D145" s="45" t="s">
        <v>2727</v>
      </c>
      <c r="E145" s="45"/>
      <c r="F145" s="45"/>
      <c r="G145" s="45"/>
      <c r="H145" s="45"/>
      <c r="I145" s="45"/>
      <c r="J145" s="45"/>
      <c r="K145" s="45"/>
      <c r="L145" s="45"/>
      <c r="M145" s="45"/>
      <c r="N145" s="45"/>
    </row>
    <row r="146" spans="1:14" ht="15" customHeight="1">
      <c r="A146" s="45" t="s">
        <v>2</v>
      </c>
      <c r="B146" s="45" t="str">
        <f t="shared" ca="1" si="0"/>
        <v>Job Information</v>
      </c>
      <c r="C146" s="45"/>
      <c r="D146" s="45" t="s">
        <v>2</v>
      </c>
      <c r="E146" s="45"/>
      <c r="F146" s="45"/>
      <c r="G146" s="45"/>
      <c r="H146" s="45"/>
      <c r="I146" s="45"/>
      <c r="J146" s="45"/>
      <c r="K146" s="45"/>
      <c r="L146" s="45"/>
      <c r="M146" s="45"/>
      <c r="N146" s="45"/>
    </row>
    <row r="147" spans="1:14" ht="15" customHeight="1">
      <c r="A147" s="45" t="s">
        <v>836</v>
      </c>
      <c r="B147" s="45" t="str">
        <f t="shared" ca="1" si="0"/>
        <v>* Manager</v>
      </c>
      <c r="C147" s="45"/>
      <c r="D147" s="45" t="s">
        <v>8640</v>
      </c>
      <c r="E147" s="45"/>
      <c r="F147" s="45"/>
      <c r="G147" s="45"/>
      <c r="H147" s="45"/>
      <c r="I147" s="45"/>
      <c r="J147" s="45"/>
      <c r="K147" s="45"/>
      <c r="L147" s="45"/>
      <c r="M147" s="45"/>
      <c r="N147" s="45"/>
    </row>
    <row r="148" spans="1:14" ht="15" customHeight="1">
      <c r="A148" s="45" t="s">
        <v>837</v>
      </c>
      <c r="B148" s="45" t="str">
        <f t="shared" ca="1" si="0"/>
        <v>* Employee Type</v>
      </c>
      <c r="C148" s="45"/>
      <c r="D148" s="45" t="s">
        <v>8641</v>
      </c>
      <c r="E148" s="45"/>
      <c r="F148" s="45"/>
      <c r="G148" s="45"/>
      <c r="H148" s="45"/>
      <c r="I148" s="45"/>
      <c r="J148" s="45"/>
      <c r="K148" s="45"/>
      <c r="L148" s="45"/>
      <c r="M148" s="45"/>
      <c r="N148" s="45"/>
    </row>
    <row r="149" spans="1:14" ht="15" customHeight="1">
      <c r="A149" s="45" t="s">
        <v>838</v>
      </c>
      <c r="B149" s="45" t="str">
        <f t="shared" ca="1" si="0"/>
        <v>* Employee Class</v>
      </c>
      <c r="C149" s="45"/>
      <c r="D149" s="45" t="s">
        <v>8642</v>
      </c>
      <c r="E149" s="45"/>
      <c r="F149" s="45"/>
      <c r="G149" s="45"/>
      <c r="H149" s="45"/>
      <c r="I149" s="45"/>
      <c r="J149" s="45"/>
      <c r="K149" s="45"/>
      <c r="L149" s="45"/>
      <c r="M149" s="45"/>
      <c r="N149" s="45"/>
    </row>
    <row r="150" spans="1:14" ht="15" customHeight="1">
      <c r="A150" s="45" t="s">
        <v>1972</v>
      </c>
      <c r="B150" s="45" t="str">
        <f t="shared" ca="1" si="0"/>
        <v>* Employee Sub-Type</v>
      </c>
      <c r="C150" s="45"/>
      <c r="D150" s="45" t="s">
        <v>8644</v>
      </c>
      <c r="E150" s="45"/>
      <c r="F150" s="45"/>
      <c r="G150" s="45"/>
      <c r="H150" s="45"/>
      <c r="I150" s="45"/>
      <c r="J150" s="45"/>
      <c r="K150" s="45"/>
      <c r="L150" s="45"/>
      <c r="M150" s="45"/>
      <c r="N150" s="45"/>
    </row>
    <row r="151" spans="1:14" ht="15" customHeight="1">
      <c r="A151" s="45" t="s">
        <v>839</v>
      </c>
      <c r="B151" s="45" t="str">
        <f t="shared" ca="1" si="0"/>
        <v xml:space="preserve">* Standard Weekly Hours </v>
      </c>
      <c r="C151" s="45"/>
      <c r="D151" s="45" t="s">
        <v>8643</v>
      </c>
      <c r="E151" s="45"/>
      <c r="F151" s="45"/>
      <c r="G151" s="45"/>
      <c r="H151" s="45"/>
      <c r="I151" s="45"/>
      <c r="J151" s="45"/>
      <c r="K151" s="45"/>
      <c r="L151" s="45"/>
      <c r="M151" s="45"/>
      <c r="N151" s="45"/>
    </row>
    <row r="152" spans="1:14" ht="15" customHeight="1">
      <c r="A152" s="45" t="s">
        <v>840</v>
      </c>
      <c r="B152" s="45" t="str">
        <f t="shared" ref="B152:B222" ca="1" si="1">IFERROR(IF(ISBLANK(OFFSET(B152,0,$Q$1-1)),D152,OFFSET(B152,0,$Q$1-1)),"Please select language")</f>
        <v>* Work Schedule Rule</v>
      </c>
      <c r="C152" s="45"/>
      <c r="D152" s="45" t="s">
        <v>8645</v>
      </c>
      <c r="E152" s="45"/>
      <c r="F152" s="45"/>
      <c r="G152" s="45"/>
      <c r="H152" s="45"/>
      <c r="I152" s="45"/>
      <c r="J152" s="45"/>
      <c r="K152" s="45"/>
      <c r="L152" s="45"/>
      <c r="M152" s="45"/>
      <c r="N152" s="45"/>
    </row>
    <row r="153" spans="1:14" ht="15" customHeight="1">
      <c r="A153" s="45" t="s">
        <v>2972</v>
      </c>
      <c r="B153" s="45" t="str">
        <f t="shared" ca="1" si="1"/>
        <v>Job Internal Grade</v>
      </c>
      <c r="C153" s="45"/>
      <c r="D153" s="45" t="s">
        <v>2972</v>
      </c>
      <c r="E153" s="45"/>
      <c r="F153" s="45"/>
      <c r="G153" s="45"/>
      <c r="H153" s="45"/>
      <c r="I153" s="45"/>
      <c r="J153" s="45"/>
      <c r="K153" s="45"/>
      <c r="L153" s="45"/>
      <c r="M153" s="45"/>
      <c r="N153" s="45"/>
    </row>
    <row r="154" spans="1:14" ht="15" customHeight="1">
      <c r="A154" s="45" t="s">
        <v>841</v>
      </c>
      <c r="B154" s="45" t="str">
        <f t="shared" ca="1" si="1"/>
        <v>Work Contract</v>
      </c>
      <c r="C154" s="45"/>
      <c r="D154" s="45" t="s">
        <v>841</v>
      </c>
      <c r="E154" s="45"/>
      <c r="F154" s="45"/>
      <c r="G154" s="45"/>
      <c r="H154" s="45"/>
      <c r="I154" s="45"/>
      <c r="J154" s="45"/>
      <c r="K154" s="45"/>
      <c r="L154" s="45"/>
      <c r="M154" s="45"/>
      <c r="N154" s="45"/>
    </row>
    <row r="155" spans="1:14" ht="15" customHeight="1">
      <c r="A155" s="45" t="s">
        <v>2012</v>
      </c>
      <c r="B155" s="45" t="str">
        <f t="shared" ca="1" si="1"/>
        <v>Contract Type</v>
      </c>
      <c r="C155" s="45"/>
      <c r="D155" s="45" t="s">
        <v>2012</v>
      </c>
      <c r="E155" s="45"/>
      <c r="F155" s="45"/>
      <c r="G155" s="45"/>
      <c r="H155" s="45"/>
      <c r="I155" s="45"/>
      <c r="J155" s="45"/>
      <c r="K155" s="45"/>
      <c r="L155" s="45"/>
      <c r="M155" s="45"/>
      <c r="N155" s="45"/>
    </row>
    <row r="156" spans="1:14" ht="15" customHeight="1">
      <c r="A156" s="45" t="s">
        <v>818</v>
      </c>
      <c r="B156" s="45" t="str">
        <f t="shared" ca="1" si="1"/>
        <v>Probationary Period End Date (DD/MM/YYYY)</v>
      </c>
      <c r="C156" s="45"/>
      <c r="D156" s="45" t="s">
        <v>2760</v>
      </c>
      <c r="E156" s="45"/>
      <c r="F156" s="45"/>
      <c r="G156" s="45"/>
      <c r="H156" s="45"/>
      <c r="I156" s="45"/>
      <c r="J156" s="45"/>
      <c r="K156" s="45"/>
      <c r="L156" s="45"/>
      <c r="M156" s="45"/>
      <c r="N156" s="45"/>
    </row>
    <row r="157" spans="1:14" ht="15" customHeight="1">
      <c r="A157" s="45" t="s">
        <v>2564</v>
      </c>
      <c r="B157" s="45" t="str">
        <f t="shared" ca="1" si="1"/>
        <v>Contract End Date (DD/MM/YYYY)</v>
      </c>
      <c r="C157" s="45"/>
      <c r="D157" s="45" t="s">
        <v>2565</v>
      </c>
      <c r="E157" s="45"/>
      <c r="F157" s="45"/>
      <c r="G157" s="45"/>
      <c r="H157" s="45"/>
      <c r="I157" s="45"/>
      <c r="J157" s="45"/>
      <c r="K157" s="45"/>
      <c r="L157" s="45"/>
      <c r="M157" s="45"/>
      <c r="N157" s="45"/>
    </row>
    <row r="158" spans="1:14" ht="15" customHeight="1">
      <c r="A158" s="45" t="s">
        <v>842</v>
      </c>
      <c r="B158" s="45" t="str">
        <f t="shared" ca="1" si="1"/>
        <v>* Pay Scale Type</v>
      </c>
      <c r="C158" s="45"/>
      <c r="D158" s="45" t="s">
        <v>8647</v>
      </c>
      <c r="E158" s="45"/>
      <c r="F158" s="45"/>
      <c r="G158" s="45"/>
      <c r="H158" s="45"/>
      <c r="I158" s="45"/>
      <c r="J158" s="45"/>
      <c r="K158" s="45"/>
      <c r="L158" s="45"/>
      <c r="M158" s="45"/>
      <c r="N158" s="45"/>
    </row>
    <row r="159" spans="1:14" ht="15" customHeight="1">
      <c r="A159" s="45" t="s">
        <v>843</v>
      </c>
      <c r="B159" s="45" t="str">
        <f t="shared" ca="1" si="1"/>
        <v>* Pay Scale Area</v>
      </c>
      <c r="C159" s="45"/>
      <c r="D159" s="45" t="s">
        <v>8648</v>
      </c>
      <c r="E159" s="45"/>
      <c r="F159" s="45"/>
      <c r="G159" s="45"/>
      <c r="H159" s="45"/>
      <c r="I159" s="45"/>
      <c r="J159" s="45"/>
      <c r="K159" s="45"/>
      <c r="L159" s="45"/>
      <c r="M159" s="45"/>
      <c r="N159" s="45"/>
    </row>
    <row r="160" spans="1:14" ht="15" customHeight="1">
      <c r="A160" s="45" t="s">
        <v>4</v>
      </c>
      <c r="B160" s="45" t="str">
        <f t="shared" ca="1" si="1"/>
        <v xml:space="preserve">Pay Scale Level </v>
      </c>
      <c r="C160" s="45"/>
      <c r="D160" s="45" t="s">
        <v>4</v>
      </c>
      <c r="E160" s="45"/>
      <c r="F160" s="45"/>
      <c r="G160" s="45"/>
      <c r="H160" s="45"/>
      <c r="I160" s="45"/>
      <c r="J160" s="45"/>
      <c r="K160" s="45"/>
      <c r="L160" s="45"/>
      <c r="M160" s="45"/>
      <c r="N160" s="45"/>
    </row>
    <row r="161" spans="1:14" ht="15" customHeight="1">
      <c r="A161" s="45" t="s">
        <v>3</v>
      </c>
      <c r="B161" s="45" t="str">
        <f t="shared" ca="1" si="1"/>
        <v>* Pay Scale Group</v>
      </c>
      <c r="C161" s="45"/>
      <c r="D161" s="45" t="s">
        <v>8649</v>
      </c>
      <c r="E161" s="45"/>
      <c r="F161" s="45"/>
      <c r="G161" s="45"/>
      <c r="H161" s="45"/>
      <c r="I161" s="45"/>
      <c r="J161" s="45"/>
      <c r="K161" s="45"/>
      <c r="L161" s="45"/>
      <c r="M161" s="45"/>
      <c r="N161" s="45"/>
    </row>
    <row r="162" spans="1:14" ht="15" customHeight="1">
      <c r="A162" s="45" t="s">
        <v>2022</v>
      </c>
      <c r="B162" s="45" t="str">
        <f t="shared" ca="1" si="1"/>
        <v>Labor Agreement</v>
      </c>
      <c r="C162" s="45"/>
      <c r="D162" s="45" t="s">
        <v>2022</v>
      </c>
      <c r="E162" s="45"/>
      <c r="F162" s="45"/>
      <c r="G162" s="45"/>
      <c r="H162" s="45"/>
      <c r="I162" s="45"/>
      <c r="J162" s="45"/>
      <c r="K162" s="45"/>
      <c r="L162" s="45"/>
      <c r="M162" s="45"/>
      <c r="N162" s="45"/>
    </row>
    <row r="163" spans="1:14" ht="15" customHeight="1">
      <c r="A163" s="45" t="s">
        <v>2023</v>
      </c>
      <c r="B163" s="45" t="str">
        <f t="shared" ca="1" si="1"/>
        <v>Organizational Unit</v>
      </c>
      <c r="C163" s="45"/>
      <c r="D163" s="45" t="s">
        <v>2023</v>
      </c>
      <c r="E163" s="45"/>
      <c r="F163" s="45"/>
      <c r="G163" s="45"/>
      <c r="H163" s="45"/>
      <c r="I163" s="45"/>
      <c r="J163" s="45"/>
      <c r="K163" s="45"/>
      <c r="L163" s="45"/>
      <c r="M163" s="45"/>
      <c r="N163" s="45"/>
    </row>
    <row r="164" spans="1:14" ht="15" customHeight="1">
      <c r="A164" s="45" t="s">
        <v>2676</v>
      </c>
      <c r="B164" s="45" t="str">
        <f t="shared" ca="1" si="1"/>
        <v>Benefits Class</v>
      </c>
      <c r="C164" s="45"/>
      <c r="D164" s="45" t="s">
        <v>2676</v>
      </c>
      <c r="E164" s="45"/>
      <c r="F164" s="45"/>
      <c r="G164" s="45"/>
      <c r="H164" s="45"/>
      <c r="I164" s="45"/>
      <c r="J164" s="45"/>
      <c r="K164" s="45"/>
      <c r="L164" s="45"/>
      <c r="M164" s="45"/>
      <c r="N164" s="45"/>
    </row>
    <row r="165" spans="1:14" ht="15" customHeight="1">
      <c r="A165" s="45" t="s">
        <v>2677</v>
      </c>
      <c r="B165" s="45" t="str">
        <f t="shared" ca="1" si="1"/>
        <v>Union Code</v>
      </c>
      <c r="C165" s="45"/>
      <c r="D165" s="45" t="s">
        <v>2677</v>
      </c>
      <c r="E165" s="45"/>
      <c r="F165" s="45"/>
      <c r="G165" s="45"/>
      <c r="H165" s="45"/>
      <c r="I165" s="45"/>
      <c r="J165" s="45"/>
      <c r="K165" s="45"/>
      <c r="L165" s="45"/>
      <c r="M165" s="45"/>
      <c r="N165" s="45"/>
    </row>
    <row r="166" spans="1:14" ht="15" customHeight="1">
      <c r="A166" s="45" t="s">
        <v>2678</v>
      </c>
      <c r="B166" s="45" t="str">
        <f t="shared" ca="1" si="1"/>
        <v>Unbanded Pay Grade</v>
      </c>
      <c r="C166" s="45"/>
      <c r="D166" s="45" t="s">
        <v>2678</v>
      </c>
      <c r="E166" s="45"/>
      <c r="F166" s="45"/>
      <c r="G166" s="45"/>
      <c r="H166" s="45"/>
      <c r="I166" s="45"/>
      <c r="J166" s="45"/>
      <c r="K166" s="45"/>
      <c r="L166" s="45"/>
      <c r="M166" s="45"/>
      <c r="N166" s="45"/>
    </row>
    <row r="167" spans="1:14" ht="15" customHeight="1">
      <c r="A167" s="45" t="s">
        <v>2679</v>
      </c>
      <c r="B167" s="45" t="str">
        <f t="shared" ca="1" si="1"/>
        <v>* Overtime Eligibility</v>
      </c>
      <c r="C167" s="45"/>
      <c r="D167" s="45" t="s">
        <v>2680</v>
      </c>
      <c r="E167" s="45"/>
      <c r="F167" s="45"/>
      <c r="G167" s="45"/>
      <c r="H167" s="45"/>
      <c r="I167" s="45"/>
      <c r="J167" s="45"/>
      <c r="K167" s="45"/>
      <c r="L167" s="45"/>
      <c r="M167" s="45"/>
      <c r="N167" s="45"/>
    </row>
    <row r="168" spans="1:14" ht="15" customHeight="1">
      <c r="A168" s="45" t="s">
        <v>2729</v>
      </c>
      <c r="B168" s="45" t="str">
        <f t="shared" ca="1" si="1"/>
        <v>Competition Clause</v>
      </c>
      <c r="C168" s="45"/>
      <c r="D168" s="45" t="s">
        <v>2729</v>
      </c>
      <c r="E168" s="45"/>
      <c r="F168" s="45"/>
      <c r="G168" s="45"/>
      <c r="H168" s="45"/>
      <c r="I168" s="45"/>
      <c r="J168" s="45"/>
      <c r="K168" s="45"/>
      <c r="L168" s="45"/>
      <c r="M168" s="45"/>
      <c r="N168" s="45"/>
    </row>
    <row r="169" spans="1:14" ht="15" customHeight="1">
      <c r="A169" s="45" t="s">
        <v>2857</v>
      </c>
      <c r="B169" s="45" t="str">
        <f t="shared" ca="1" si="1"/>
        <v>ER/IR Manager</v>
      </c>
      <c r="C169" s="45"/>
      <c r="D169" s="45" t="s">
        <v>2857</v>
      </c>
      <c r="E169" s="45"/>
      <c r="F169" s="45"/>
      <c r="G169" s="45"/>
      <c r="H169" s="45"/>
      <c r="I169" s="45"/>
      <c r="J169" s="45"/>
      <c r="K169" s="45"/>
      <c r="L169" s="45"/>
      <c r="M169" s="45"/>
      <c r="N169" s="45"/>
    </row>
    <row r="170" spans="1:14" ht="15" customHeight="1">
      <c r="A170" s="45" t="s">
        <v>2566</v>
      </c>
      <c r="B170" s="45" t="str">
        <f t="shared" ca="1" si="1"/>
        <v>Alternative Cost Distribution</v>
      </c>
      <c r="C170" s="45"/>
      <c r="D170" s="45" t="s">
        <v>2566</v>
      </c>
      <c r="E170" s="45"/>
      <c r="F170" s="45"/>
      <c r="G170" s="45"/>
      <c r="H170" s="45"/>
      <c r="I170" s="45"/>
      <c r="J170" s="45"/>
      <c r="K170" s="45"/>
      <c r="L170" s="45"/>
      <c r="M170" s="45"/>
      <c r="N170" s="45"/>
    </row>
    <row r="171" spans="1:14" ht="15" customHeight="1">
      <c r="A171" s="45" t="s">
        <v>2567</v>
      </c>
      <c r="B171" s="45" t="str">
        <f t="shared" ca="1" si="1"/>
        <v>Second Cost Centre</v>
      </c>
      <c r="C171" s="45"/>
      <c r="D171" s="45" t="s">
        <v>2567</v>
      </c>
      <c r="E171" s="45"/>
      <c r="F171" s="45"/>
      <c r="G171" s="45"/>
      <c r="H171" s="45"/>
      <c r="I171" s="45"/>
      <c r="J171" s="45"/>
      <c r="K171" s="45"/>
      <c r="L171" s="45"/>
      <c r="M171" s="45"/>
      <c r="N171" s="45"/>
    </row>
    <row r="172" spans="1:14" ht="15" customHeight="1">
      <c r="A172" s="45" t="s">
        <v>2569</v>
      </c>
      <c r="B172" s="45" t="str">
        <f t="shared" ca="1" si="1"/>
        <v>Percentage (2nd cc)</v>
      </c>
      <c r="C172" s="45"/>
      <c r="D172" s="45" t="s">
        <v>2569</v>
      </c>
      <c r="E172" s="45"/>
      <c r="F172" s="45"/>
      <c r="G172" s="45"/>
      <c r="H172" s="45"/>
      <c r="I172" s="45"/>
      <c r="J172" s="45"/>
      <c r="K172" s="45"/>
      <c r="L172" s="45"/>
      <c r="M172" s="45"/>
      <c r="N172" s="45"/>
    </row>
    <row r="173" spans="1:14" ht="15" customHeight="1">
      <c r="A173" s="45" t="s">
        <v>2570</v>
      </c>
      <c r="B173" s="45" t="str">
        <f t="shared" ca="1" si="1"/>
        <v>Businesses/Functions (2nd cc)</v>
      </c>
      <c r="C173" s="45"/>
      <c r="D173" s="45" t="s">
        <v>2570</v>
      </c>
      <c r="E173" s="45"/>
      <c r="F173" s="45"/>
      <c r="G173" s="45"/>
      <c r="H173" s="45"/>
      <c r="I173" s="45"/>
      <c r="J173" s="45"/>
      <c r="K173" s="45"/>
      <c r="L173" s="45"/>
      <c r="M173" s="45"/>
      <c r="N173" s="45"/>
    </row>
    <row r="174" spans="1:14" ht="15" customHeight="1">
      <c r="A174" s="45" t="s">
        <v>2568</v>
      </c>
      <c r="B174" s="45" t="str">
        <f t="shared" ca="1" si="1"/>
        <v>Third Cost Centre</v>
      </c>
      <c r="C174" s="45"/>
      <c r="D174" s="45" t="s">
        <v>2568</v>
      </c>
      <c r="E174" s="45"/>
      <c r="F174" s="45"/>
      <c r="G174" s="45"/>
      <c r="H174" s="45"/>
      <c r="I174" s="45"/>
      <c r="J174" s="45"/>
      <c r="K174" s="45"/>
      <c r="L174" s="45"/>
      <c r="M174" s="45"/>
      <c r="N174" s="45"/>
    </row>
    <row r="175" spans="1:14" ht="15" customHeight="1">
      <c r="A175" s="45" t="s">
        <v>2571</v>
      </c>
      <c r="B175" s="45" t="str">
        <f t="shared" ca="1" si="1"/>
        <v>Percentage (3rd cc)</v>
      </c>
      <c r="C175" s="45"/>
      <c r="D175" s="45" t="s">
        <v>2571</v>
      </c>
      <c r="E175" s="45"/>
      <c r="F175" s="45"/>
      <c r="G175" s="45"/>
      <c r="H175" s="45"/>
      <c r="I175" s="45"/>
      <c r="J175" s="45"/>
      <c r="K175" s="45"/>
      <c r="L175" s="45"/>
      <c r="M175" s="45"/>
      <c r="N175" s="45"/>
    </row>
    <row r="176" spans="1:14" ht="15" customHeight="1">
      <c r="A176" s="45" t="s">
        <v>2572</v>
      </c>
      <c r="B176" s="45" t="str">
        <f t="shared" ca="1" si="1"/>
        <v>Businesses/Functions (3rd cc)</v>
      </c>
      <c r="C176" s="45"/>
      <c r="D176" s="45" t="s">
        <v>2572</v>
      </c>
      <c r="E176" s="45"/>
      <c r="F176" s="45"/>
      <c r="G176" s="45"/>
      <c r="H176" s="45"/>
      <c r="I176" s="45"/>
      <c r="J176" s="45"/>
      <c r="K176" s="45"/>
      <c r="L176" s="45"/>
      <c r="M176" s="45"/>
      <c r="N176" s="45"/>
    </row>
    <row r="177" spans="1:14" ht="15" customHeight="1">
      <c r="A177" s="45" t="s">
        <v>323</v>
      </c>
      <c r="B177" s="45" t="str">
        <f t="shared" ca="1" si="1"/>
        <v>Compensation Information</v>
      </c>
      <c r="C177" s="45"/>
      <c r="D177" s="45" t="s">
        <v>323</v>
      </c>
      <c r="E177" s="45"/>
      <c r="F177" s="45"/>
      <c r="G177" s="45"/>
      <c r="H177" s="45"/>
      <c r="I177" s="45"/>
      <c r="J177" s="45"/>
      <c r="K177" s="45"/>
      <c r="L177" s="45"/>
      <c r="M177" s="45"/>
      <c r="N177" s="45"/>
    </row>
    <row r="178" spans="1:14" ht="15" customHeight="1">
      <c r="A178" s="45" t="s">
        <v>844</v>
      </c>
      <c r="B178" s="45" t="str">
        <f t="shared" ca="1" si="1"/>
        <v>* Pay Group</v>
      </c>
      <c r="C178" s="45"/>
      <c r="D178" s="45" t="s">
        <v>8652</v>
      </c>
      <c r="E178" s="45"/>
      <c r="F178" s="45"/>
      <c r="G178" s="45"/>
      <c r="H178" s="45"/>
      <c r="I178" s="45"/>
      <c r="J178" s="45"/>
      <c r="K178" s="45"/>
      <c r="L178" s="45"/>
      <c r="M178" s="45"/>
      <c r="N178" s="45"/>
    </row>
    <row r="179" spans="1:14" ht="15" customHeight="1">
      <c r="A179" s="45" t="s">
        <v>845</v>
      </c>
      <c r="B179" s="45" t="str">
        <f t="shared" ca="1" si="1"/>
        <v>* Pay Change Reason</v>
      </c>
      <c r="C179" s="45"/>
      <c r="D179" s="45" t="s">
        <v>8653</v>
      </c>
      <c r="E179" s="45"/>
      <c r="F179" s="45"/>
      <c r="G179" s="45"/>
      <c r="H179" s="45"/>
      <c r="I179" s="45"/>
      <c r="J179" s="45"/>
      <c r="K179" s="45"/>
      <c r="L179" s="45"/>
      <c r="M179" s="45"/>
      <c r="N179" s="45"/>
    </row>
    <row r="180" spans="1:14" ht="15" customHeight="1">
      <c r="A180" s="45" t="s">
        <v>846</v>
      </c>
      <c r="B180" s="45" t="str">
        <f t="shared" ca="1" si="1"/>
        <v>* Pay Component</v>
      </c>
      <c r="C180" s="45"/>
      <c r="D180" s="45" t="s">
        <v>8654</v>
      </c>
      <c r="E180" s="45"/>
      <c r="F180" s="45"/>
      <c r="G180" s="45"/>
      <c r="H180" s="45"/>
      <c r="I180" s="45"/>
      <c r="J180" s="45"/>
      <c r="K180" s="45"/>
      <c r="L180" s="45"/>
      <c r="M180" s="45"/>
      <c r="N180" s="45"/>
    </row>
    <row r="181" spans="1:14" ht="15" customHeight="1">
      <c r="A181" s="45" t="s">
        <v>824</v>
      </c>
      <c r="B181" s="45" t="str">
        <f t="shared" ca="1" si="1"/>
        <v>* Amount</v>
      </c>
      <c r="C181" s="45"/>
      <c r="D181" s="45" t="s">
        <v>8657</v>
      </c>
      <c r="E181" s="45"/>
      <c r="F181" s="45"/>
      <c r="G181" s="45"/>
      <c r="H181" s="45"/>
      <c r="I181" s="45"/>
      <c r="J181" s="45"/>
      <c r="K181" s="45"/>
      <c r="L181" s="45"/>
      <c r="M181" s="45"/>
      <c r="N181" s="45"/>
    </row>
    <row r="182" spans="1:14" ht="15" customHeight="1">
      <c r="A182" s="45" t="s">
        <v>825</v>
      </c>
      <c r="B182" s="45" t="str">
        <f t="shared" ca="1" si="1"/>
        <v>* Currency</v>
      </c>
      <c r="C182" s="45"/>
      <c r="D182" s="45" t="s">
        <v>8655</v>
      </c>
      <c r="E182" s="45"/>
      <c r="F182" s="45"/>
      <c r="G182" s="45"/>
      <c r="H182" s="45"/>
      <c r="I182" s="45"/>
      <c r="J182" s="45"/>
      <c r="K182" s="45"/>
      <c r="L182" s="45"/>
      <c r="M182" s="45"/>
      <c r="N182" s="45"/>
    </row>
    <row r="183" spans="1:14" ht="15" customHeight="1">
      <c r="A183" s="45" t="s">
        <v>826</v>
      </c>
      <c r="B183" s="45" t="str">
        <f t="shared" ca="1" si="1"/>
        <v>* Frequency</v>
      </c>
      <c r="C183" s="45"/>
      <c r="D183" s="45" t="s">
        <v>8656</v>
      </c>
      <c r="E183" s="45"/>
      <c r="F183" s="45"/>
      <c r="G183" s="45"/>
      <c r="H183" s="45"/>
      <c r="I183" s="45"/>
      <c r="J183" s="45"/>
      <c r="K183" s="45"/>
      <c r="L183" s="45"/>
      <c r="M183" s="45"/>
      <c r="N183" s="45"/>
    </row>
    <row r="184" spans="1:14" ht="15" customHeight="1">
      <c r="A184" s="45" t="s">
        <v>2821</v>
      </c>
      <c r="B184" s="45" t="str">
        <f t="shared" ca="1" si="1"/>
        <v>Bonus Type</v>
      </c>
      <c r="C184" s="45"/>
      <c r="D184" s="45" t="s">
        <v>2821</v>
      </c>
      <c r="E184" s="45"/>
      <c r="F184" s="45"/>
      <c r="G184" s="45"/>
      <c r="H184" s="45"/>
      <c r="I184" s="45"/>
      <c r="J184" s="45"/>
      <c r="K184" s="45"/>
      <c r="L184" s="45"/>
      <c r="M184" s="45"/>
      <c r="N184" s="45"/>
    </row>
    <row r="185" spans="1:14" ht="15" customHeight="1">
      <c r="A185" s="45" t="s">
        <v>2820</v>
      </c>
      <c r="B185" s="45" t="str">
        <f t="shared" ca="1" si="1"/>
        <v>Bonus Target</v>
      </c>
      <c r="C185" s="45"/>
      <c r="D185" s="45" t="s">
        <v>2820</v>
      </c>
      <c r="E185" s="45"/>
      <c r="F185" s="45"/>
      <c r="G185" s="45"/>
      <c r="H185" s="45"/>
      <c r="I185" s="45"/>
      <c r="J185" s="45"/>
      <c r="K185" s="45"/>
      <c r="L185" s="45"/>
      <c r="M185" s="45"/>
      <c r="N185" s="45"/>
    </row>
    <row r="186" spans="1:14" ht="15" customHeight="1">
      <c r="A186" s="46" t="s">
        <v>2806</v>
      </c>
      <c r="B186" s="46" t="str">
        <f t="shared" ca="1" si="1"/>
        <v>* Contract Type</v>
      </c>
      <c r="C186" s="46"/>
      <c r="D186" s="46" t="s">
        <v>2806</v>
      </c>
      <c r="E186" s="46"/>
      <c r="F186" s="46"/>
      <c r="G186" s="46"/>
      <c r="H186" s="46"/>
      <c r="I186" s="46"/>
      <c r="J186" s="46"/>
      <c r="K186" s="46"/>
      <c r="L186" s="46"/>
      <c r="M186" s="46"/>
      <c r="N186" s="46"/>
    </row>
    <row r="187" spans="1:14" ht="15" customHeight="1">
      <c r="A187" s="46" t="s">
        <v>787</v>
      </c>
      <c r="B187" s="46" t="str">
        <f t="shared" ca="1" si="1"/>
        <v>If FTC, contract length</v>
      </c>
      <c r="C187" s="46"/>
      <c r="D187" s="46" t="s">
        <v>787</v>
      </c>
      <c r="E187" s="46"/>
      <c r="F187" s="46"/>
      <c r="G187" s="46"/>
      <c r="H187" s="46"/>
      <c r="I187" s="46"/>
      <c r="J187" s="46"/>
      <c r="K187" s="46"/>
      <c r="L187" s="46"/>
      <c r="M187" s="46"/>
      <c r="N187" s="46"/>
    </row>
    <row r="188" spans="1:14" ht="15" customHeight="1">
      <c r="A188" s="46" t="s">
        <v>2807</v>
      </c>
      <c r="B188" s="46" t="str">
        <f t="shared" ca="1" si="1"/>
        <v>* Site location</v>
      </c>
      <c r="C188" s="46"/>
      <c r="D188" s="46" t="s">
        <v>2807</v>
      </c>
      <c r="E188" s="46"/>
      <c r="F188" s="46"/>
      <c r="G188" s="46"/>
      <c r="H188" s="46"/>
      <c r="I188" s="46"/>
      <c r="J188" s="46"/>
      <c r="K188" s="46"/>
      <c r="L188" s="46"/>
      <c r="M188" s="46"/>
      <c r="N188" s="46"/>
    </row>
    <row r="189" spans="1:14" ht="15" customHeight="1">
      <c r="A189" s="46" t="s">
        <v>2808</v>
      </c>
      <c r="B189" s="46" t="str">
        <f t="shared" ca="1" si="1"/>
        <v>* Existing employee</v>
      </c>
      <c r="C189" s="46"/>
      <c r="D189" s="46" t="s">
        <v>2808</v>
      </c>
      <c r="E189" s="46"/>
      <c r="F189" s="46"/>
      <c r="G189" s="46"/>
      <c r="H189" s="46"/>
      <c r="I189" s="46"/>
      <c r="J189" s="46"/>
      <c r="K189" s="46"/>
      <c r="L189" s="46"/>
      <c r="M189" s="46"/>
      <c r="N189" s="46"/>
    </row>
    <row r="190" spans="1:14" ht="15" customHeight="1">
      <c r="A190" s="46" t="s">
        <v>2809</v>
      </c>
      <c r="B190" s="46" t="str">
        <f t="shared" ca="1" si="1"/>
        <v>* Start date and time</v>
      </c>
      <c r="C190" s="46"/>
      <c r="D190" s="46" t="s">
        <v>2809</v>
      </c>
      <c r="E190" s="46"/>
      <c r="F190" s="46"/>
      <c r="G190" s="46"/>
      <c r="H190" s="46"/>
      <c r="I190" s="46"/>
      <c r="J190" s="46"/>
      <c r="K190" s="46"/>
      <c r="L190" s="46"/>
      <c r="M190" s="46"/>
      <c r="N190" s="46"/>
    </row>
    <row r="191" spans="1:14" ht="15" customHeight="1">
      <c r="A191" s="46" t="s">
        <v>2810</v>
      </c>
      <c r="B191" s="46" t="str">
        <f t="shared" ca="1" si="1"/>
        <v>* Name of person / area to report to on first day</v>
      </c>
      <c r="C191" s="46"/>
      <c r="D191" s="46" t="s">
        <v>2810</v>
      </c>
      <c r="E191" s="46"/>
      <c r="F191" s="46"/>
      <c r="G191" s="46"/>
      <c r="H191" s="46"/>
      <c r="I191" s="46"/>
      <c r="J191" s="46"/>
      <c r="K191" s="46"/>
      <c r="L191" s="46"/>
      <c r="M191" s="46"/>
      <c r="N191" s="46"/>
    </row>
    <row r="192" spans="1:14" ht="15" customHeight="1">
      <c r="A192" s="46" t="s">
        <v>2854</v>
      </c>
      <c r="B192" s="46" t="str">
        <f t="shared" ca="1" si="1"/>
        <v>* HR Approver</v>
      </c>
      <c r="C192" s="46"/>
      <c r="D192" s="46" t="s">
        <v>2854</v>
      </c>
      <c r="E192" s="46"/>
      <c r="F192" s="46"/>
      <c r="G192" s="46"/>
      <c r="H192" s="46"/>
      <c r="I192" s="46"/>
      <c r="J192" s="46"/>
      <c r="K192" s="46"/>
      <c r="L192" s="46"/>
      <c r="M192" s="46"/>
      <c r="N192" s="46"/>
    </row>
    <row r="193" spans="1:14" ht="15" customHeight="1">
      <c r="A193" s="46" t="s">
        <v>793</v>
      </c>
      <c r="B193" s="46" t="str">
        <f t="shared" ca="1" si="1"/>
        <v>Break arrangement if applicable</v>
      </c>
      <c r="C193" s="46"/>
      <c r="D193" s="46" t="s">
        <v>793</v>
      </c>
      <c r="E193" s="46"/>
      <c r="F193" s="46"/>
      <c r="G193" s="46"/>
      <c r="H193" s="46"/>
      <c r="I193" s="46"/>
      <c r="J193" s="46"/>
      <c r="K193" s="46"/>
      <c r="L193" s="46"/>
      <c r="M193" s="46"/>
      <c r="N193" s="46"/>
    </row>
    <row r="194" spans="1:14" ht="15" customHeight="1">
      <c r="A194" s="46" t="s">
        <v>2869</v>
      </c>
      <c r="B194" s="46" t="str">
        <f t="shared" ca="1" si="1"/>
        <v>Start – Finish times / days</v>
      </c>
      <c r="C194" s="46"/>
      <c r="D194" s="46" t="s">
        <v>2869</v>
      </c>
      <c r="E194" s="46"/>
      <c r="F194" s="46"/>
      <c r="G194" s="46"/>
      <c r="H194" s="46"/>
      <c r="I194" s="46"/>
      <c r="J194" s="46"/>
      <c r="K194" s="46"/>
      <c r="L194" s="46"/>
      <c r="M194" s="46"/>
      <c r="N194" s="46"/>
    </row>
    <row r="195" spans="1:14" ht="15" customHeight="1">
      <c r="A195" s="46" t="s">
        <v>794</v>
      </c>
      <c r="B195" s="46" t="str">
        <f t="shared" ca="1" si="1"/>
        <v>Car Grade</v>
      </c>
      <c r="C195" s="46"/>
      <c r="D195" s="46" t="s">
        <v>794</v>
      </c>
      <c r="E195" s="46"/>
      <c r="F195" s="46"/>
      <c r="G195" s="46"/>
      <c r="H195" s="46"/>
      <c r="I195" s="46"/>
      <c r="J195" s="46"/>
      <c r="K195" s="46"/>
      <c r="L195" s="46"/>
      <c r="M195" s="46"/>
      <c r="N195" s="46"/>
    </row>
    <row r="196" spans="1:14" ht="15" customHeight="1">
      <c r="A196" s="46" t="s">
        <v>796</v>
      </c>
      <c r="B196" s="46" t="str">
        <f t="shared" ca="1" si="1"/>
        <v>Other requirements,eg, learning agreement, retention schedule</v>
      </c>
      <c r="C196" s="46"/>
      <c r="D196" s="46" t="s">
        <v>796</v>
      </c>
      <c r="E196" s="46"/>
      <c r="F196" s="46"/>
      <c r="G196" s="46"/>
      <c r="H196" s="46"/>
      <c r="I196" s="46"/>
      <c r="J196" s="46"/>
      <c r="K196" s="46"/>
      <c r="L196" s="46"/>
      <c r="M196" s="46"/>
      <c r="N196" s="46"/>
    </row>
    <row r="197" spans="1:14" ht="15" customHeight="1">
      <c r="A197" s="46" t="s">
        <v>797</v>
      </c>
      <c r="B197" s="46" t="str">
        <f t="shared" ca="1" si="1"/>
        <v>HR Induction Date</v>
      </c>
      <c r="C197" s="46"/>
      <c r="D197" s="46" t="s">
        <v>797</v>
      </c>
      <c r="E197" s="46"/>
      <c r="F197" s="46"/>
      <c r="G197" s="46"/>
      <c r="H197" s="46"/>
      <c r="I197" s="46"/>
      <c r="J197" s="46"/>
      <c r="K197" s="46"/>
      <c r="L197" s="46"/>
      <c r="M197" s="46"/>
      <c r="N197" s="46"/>
    </row>
    <row r="198" spans="1:14" ht="15" customHeight="1">
      <c r="A198" s="46" t="s">
        <v>798</v>
      </c>
      <c r="B198" s="46" t="str">
        <f t="shared" ca="1" si="1"/>
        <v>HR Induction Time</v>
      </c>
      <c r="C198" s="46"/>
      <c r="D198" s="46" t="s">
        <v>798</v>
      </c>
      <c r="E198" s="46"/>
      <c r="F198" s="46"/>
      <c r="G198" s="46"/>
      <c r="H198" s="46"/>
      <c r="I198" s="46"/>
      <c r="J198" s="46"/>
      <c r="K198" s="46"/>
      <c r="L198" s="46"/>
      <c r="M198" s="46"/>
      <c r="N198" s="46"/>
    </row>
    <row r="199" spans="1:14" ht="15" customHeight="1">
      <c r="A199" s="46" t="s">
        <v>2811</v>
      </c>
      <c r="B199" s="46" t="str">
        <f t="shared" ca="1" si="1"/>
        <v>* HR Induction to be held by</v>
      </c>
      <c r="C199" s="46"/>
      <c r="D199" s="46" t="s">
        <v>2811</v>
      </c>
      <c r="E199" s="46"/>
      <c r="F199" s="46"/>
      <c r="G199" s="46"/>
      <c r="H199" s="46"/>
      <c r="I199" s="46"/>
      <c r="J199" s="46"/>
      <c r="K199" s="46"/>
      <c r="L199" s="46"/>
      <c r="M199" s="46"/>
      <c r="N199" s="46"/>
    </row>
    <row r="200" spans="1:14" ht="15" customHeight="1">
      <c r="A200" s="46" t="s">
        <v>799</v>
      </c>
      <c r="B200" s="46" t="str">
        <f t="shared" ca="1" si="1"/>
        <v>Hire Right Check</v>
      </c>
      <c r="C200" s="46"/>
      <c r="D200" s="46" t="s">
        <v>799</v>
      </c>
      <c r="E200" s="46"/>
      <c r="F200" s="46"/>
      <c r="G200" s="46"/>
      <c r="H200" s="46"/>
      <c r="I200" s="46"/>
      <c r="J200" s="46"/>
      <c r="K200" s="46"/>
      <c r="L200" s="46"/>
      <c r="M200" s="46"/>
      <c r="N200" s="46"/>
    </row>
    <row r="201" spans="1:14" ht="15" customHeight="1">
      <c r="A201" s="46" t="s">
        <v>800</v>
      </c>
      <c r="B201" s="46" t="str">
        <f t="shared" ca="1" si="1"/>
        <v>Applicable Union agreement</v>
      </c>
      <c r="C201" s="46"/>
      <c r="D201" s="46" t="s">
        <v>800</v>
      </c>
      <c r="E201" s="46"/>
      <c r="F201" s="46"/>
      <c r="G201" s="46"/>
      <c r="H201" s="46"/>
      <c r="I201" s="46"/>
      <c r="J201" s="46"/>
      <c r="K201" s="46"/>
      <c r="L201" s="46"/>
      <c r="M201" s="46"/>
      <c r="N201" s="46"/>
    </row>
    <row r="202" spans="1:14" ht="15" customHeight="1">
      <c r="A202" s="46" t="s">
        <v>801</v>
      </c>
      <c r="B202" s="46" t="str">
        <f t="shared" ca="1" si="1"/>
        <v>Union name (if applicable)</v>
      </c>
      <c r="C202" s="46"/>
      <c r="D202" s="46" t="s">
        <v>801</v>
      </c>
      <c r="E202" s="46"/>
      <c r="F202" s="46"/>
      <c r="G202" s="46"/>
      <c r="H202" s="46"/>
      <c r="I202" s="46"/>
      <c r="J202" s="46"/>
      <c r="K202" s="46"/>
      <c r="L202" s="46"/>
      <c r="M202" s="46"/>
      <c r="N202" s="46"/>
    </row>
    <row r="203" spans="1:14" ht="15" customHeight="1">
      <c r="A203" s="46" t="s">
        <v>2867</v>
      </c>
      <c r="B203" s="46" t="str">
        <f t="shared" ca="1" si="1"/>
        <v>Union's employee number</v>
      </c>
      <c r="C203" s="46"/>
      <c r="D203" s="46" t="s">
        <v>2867</v>
      </c>
      <c r="E203" s="46"/>
      <c r="F203" s="46"/>
      <c r="G203" s="46"/>
      <c r="H203" s="46"/>
      <c r="I203" s="46"/>
      <c r="J203" s="46"/>
      <c r="K203" s="46"/>
      <c r="L203" s="46"/>
      <c r="M203" s="46"/>
      <c r="N203" s="46"/>
    </row>
    <row r="204" spans="1:14" ht="15" customHeight="1">
      <c r="A204" s="46" t="s">
        <v>2868</v>
      </c>
      <c r="B204" s="46" t="str">
        <f t="shared" ca="1" si="1"/>
        <v>% of salary deducted (union)</v>
      </c>
      <c r="C204" s="46"/>
      <c r="D204" s="46" t="s">
        <v>2868</v>
      </c>
      <c r="E204" s="46"/>
      <c r="F204" s="46"/>
      <c r="G204" s="46"/>
      <c r="H204" s="46"/>
      <c r="I204" s="46"/>
      <c r="J204" s="46"/>
      <c r="K204" s="46"/>
      <c r="L204" s="46"/>
      <c r="M204" s="46"/>
      <c r="N204" s="46"/>
    </row>
    <row r="205" spans="1:14" ht="15" customHeight="1">
      <c r="A205" s="46" t="s">
        <v>802</v>
      </c>
      <c r="B205" s="46" t="str">
        <f t="shared" ca="1" si="1"/>
        <v>Date of agreement (if applicable)</v>
      </c>
      <c r="C205" s="46"/>
      <c r="D205" s="46" t="s">
        <v>802</v>
      </c>
      <c r="E205" s="46"/>
      <c r="F205" s="46"/>
      <c r="G205" s="46"/>
      <c r="H205" s="46"/>
      <c r="I205" s="46"/>
      <c r="J205" s="46"/>
      <c r="K205" s="46"/>
      <c r="L205" s="46"/>
      <c r="M205" s="46"/>
      <c r="N205" s="46"/>
    </row>
    <row r="206" spans="1:14" ht="15" customHeight="1">
      <c r="A206" s="46" t="s">
        <v>803</v>
      </c>
      <c r="B206" s="46" t="str">
        <f t="shared" ca="1" si="1"/>
        <v>Agreement available from</v>
      </c>
      <c r="C206" s="46"/>
      <c r="D206" s="46" t="s">
        <v>803</v>
      </c>
      <c r="E206" s="46"/>
      <c r="F206" s="46"/>
      <c r="G206" s="46"/>
      <c r="H206" s="46"/>
      <c r="I206" s="46"/>
      <c r="J206" s="46"/>
      <c r="K206" s="46"/>
      <c r="L206" s="46"/>
      <c r="M206" s="46"/>
      <c r="N206" s="46"/>
    </row>
    <row r="207" spans="1:14" ht="15" customHeight="1">
      <c r="A207" s="46" t="s">
        <v>804</v>
      </c>
      <c r="B207" s="46" t="str">
        <f t="shared" ca="1" si="1"/>
        <v>Amex required</v>
      </c>
      <c r="C207" s="46"/>
      <c r="D207" s="46" t="s">
        <v>804</v>
      </c>
      <c r="E207" s="46"/>
      <c r="F207" s="46"/>
      <c r="G207" s="46"/>
      <c r="H207" s="46"/>
      <c r="I207" s="46"/>
      <c r="J207" s="46"/>
      <c r="K207" s="46"/>
      <c r="L207" s="46"/>
      <c r="M207" s="46"/>
      <c r="N207" s="46"/>
    </row>
    <row r="208" spans="1:14" ht="15" customHeight="1">
      <c r="A208" s="46" t="s">
        <v>2839</v>
      </c>
      <c r="B208" s="46" t="str">
        <f t="shared" ca="1" si="1"/>
        <v>PC required</v>
      </c>
      <c r="C208" s="46"/>
      <c r="D208" s="46" t="s">
        <v>2839</v>
      </c>
      <c r="E208" s="46"/>
      <c r="F208" s="46"/>
      <c r="G208" s="46"/>
      <c r="H208" s="46"/>
      <c r="I208" s="46"/>
      <c r="J208" s="46"/>
      <c r="K208" s="46"/>
      <c r="L208" s="46"/>
      <c r="M208" s="46"/>
      <c r="N208" s="46"/>
    </row>
    <row r="209" spans="1:14" ht="15" customHeight="1">
      <c r="A209" s="46" t="s">
        <v>2840</v>
      </c>
      <c r="B209" s="46" t="str">
        <f t="shared" ca="1" si="1"/>
        <v>Phone required</v>
      </c>
      <c r="C209" s="46"/>
      <c r="D209" s="46" t="s">
        <v>2840</v>
      </c>
      <c r="E209" s="46"/>
      <c r="F209" s="46"/>
      <c r="G209" s="46"/>
      <c r="H209" s="46"/>
      <c r="I209" s="46"/>
      <c r="J209" s="46"/>
      <c r="K209" s="46"/>
      <c r="L209" s="46"/>
      <c r="M209" s="46"/>
      <c r="N209" s="46"/>
    </row>
    <row r="210" spans="1:14" ht="15" customHeight="1">
      <c r="A210" s="46" t="s">
        <v>813</v>
      </c>
      <c r="B210" s="46" t="str">
        <f t="shared" ca="1" si="1"/>
        <v>Face to face OH Screening Required</v>
      </c>
      <c r="C210" s="46"/>
      <c r="D210" s="46" t="s">
        <v>813</v>
      </c>
      <c r="E210" s="46"/>
      <c r="F210" s="46"/>
      <c r="G210" s="46"/>
      <c r="H210" s="46"/>
      <c r="I210" s="46"/>
      <c r="J210" s="46"/>
      <c r="K210" s="46"/>
      <c r="L210" s="46"/>
      <c r="M210" s="46"/>
      <c r="N210" s="46"/>
    </row>
    <row r="211" spans="1:14" ht="15" customHeight="1">
      <c r="A211" s="46" t="s">
        <v>2728</v>
      </c>
      <c r="B211" s="46" t="str">
        <f t="shared" ca="1" si="1"/>
        <v>Probation/Trial Period</v>
      </c>
      <c r="C211" s="46"/>
      <c r="D211" s="46" t="s">
        <v>2728</v>
      </c>
      <c r="E211" s="46"/>
      <c r="F211" s="46"/>
      <c r="G211" s="46"/>
      <c r="H211" s="46"/>
      <c r="I211" s="46"/>
      <c r="J211" s="46"/>
      <c r="K211" s="46"/>
      <c r="L211" s="46"/>
      <c r="M211" s="46"/>
      <c r="N211" s="46"/>
    </row>
    <row r="212" spans="1:14" ht="15" customHeight="1">
      <c r="A212" s="46" t="s">
        <v>2812</v>
      </c>
      <c r="B212" s="46" t="str">
        <f t="shared" ca="1" si="1"/>
        <v>Probationary Period (Duration)</v>
      </c>
      <c r="C212" s="46"/>
      <c r="D212" s="46" t="s">
        <v>2812</v>
      </c>
      <c r="E212" s="46"/>
      <c r="F212" s="46"/>
      <c r="G212" s="46"/>
      <c r="H212" s="46"/>
      <c r="I212" s="46"/>
      <c r="J212" s="46"/>
      <c r="K212" s="46"/>
      <c r="L212" s="46"/>
      <c r="M212" s="46"/>
      <c r="N212" s="46"/>
    </row>
    <row r="213" spans="1:14" ht="15" customHeight="1">
      <c r="A213" s="46" t="s">
        <v>2813</v>
      </c>
      <c r="B213" s="46" t="str">
        <f t="shared" ca="1" si="1"/>
        <v>Shift</v>
      </c>
      <c r="C213" s="46"/>
      <c r="D213" s="46" t="s">
        <v>2813</v>
      </c>
      <c r="E213" s="46"/>
      <c r="F213" s="46"/>
      <c r="G213" s="46"/>
      <c r="H213" s="46"/>
      <c r="I213" s="46"/>
      <c r="J213" s="46"/>
      <c r="K213" s="46"/>
      <c r="L213" s="46"/>
      <c r="M213" s="46"/>
      <c r="N213" s="46"/>
    </row>
    <row r="214" spans="1:14" ht="15" customHeight="1">
      <c r="A214" s="46" t="s">
        <v>2814</v>
      </c>
      <c r="B214" s="46" t="str">
        <f t="shared" ca="1" si="1"/>
        <v>Unbanded Salary Scale (CLA- blue collar only)</v>
      </c>
      <c r="C214" s="46"/>
      <c r="D214" s="46" t="s">
        <v>2814</v>
      </c>
      <c r="E214" s="46"/>
      <c r="F214" s="46"/>
      <c r="G214" s="46"/>
      <c r="H214" s="46"/>
      <c r="I214" s="46"/>
      <c r="J214" s="46"/>
      <c r="K214" s="46"/>
      <c r="L214" s="46"/>
      <c r="M214" s="46"/>
      <c r="N214" s="46"/>
    </row>
    <row r="215" spans="1:14" ht="15" customHeight="1">
      <c r="A215" s="46" t="s">
        <v>2826</v>
      </c>
      <c r="B215" s="46" t="str">
        <f t="shared" ca="1" si="1"/>
        <v>(for interns only) Travel Allowance needed</v>
      </c>
      <c r="C215" s="46"/>
      <c r="D215" s="46" t="s">
        <v>2826</v>
      </c>
      <c r="E215" s="46"/>
      <c r="F215" s="46"/>
      <c r="G215" s="46"/>
      <c r="H215" s="46"/>
      <c r="I215" s="46"/>
      <c r="J215" s="46"/>
      <c r="K215" s="46"/>
      <c r="L215" s="46"/>
      <c r="M215" s="46"/>
      <c r="N215" s="46"/>
    </row>
    <row r="216" spans="1:14" ht="15" customHeight="1">
      <c r="A216" s="46" t="s">
        <v>2822</v>
      </c>
      <c r="B216" s="46" t="str">
        <f t="shared" ca="1" si="1"/>
        <v>Vacation entitlement</v>
      </c>
      <c r="C216" s="46"/>
      <c r="D216" s="46" t="s">
        <v>2822</v>
      </c>
      <c r="E216" s="46"/>
      <c r="F216" s="46"/>
      <c r="G216" s="46"/>
      <c r="H216" s="46"/>
      <c r="I216" s="46"/>
      <c r="J216" s="46"/>
      <c r="K216" s="46"/>
      <c r="L216" s="46"/>
      <c r="M216" s="46"/>
      <c r="N216" s="46"/>
    </row>
    <row r="217" spans="1:14" ht="15" customHeight="1">
      <c r="A217" s="46" t="s">
        <v>2823</v>
      </c>
      <c r="B217" s="46" t="str">
        <f t="shared" ca="1" si="1"/>
        <v>Immigration support required (Contract Addendum)</v>
      </c>
      <c r="C217" s="46"/>
      <c r="D217" s="46" t="s">
        <v>2823</v>
      </c>
      <c r="E217" s="46"/>
      <c r="F217" s="46"/>
      <c r="G217" s="46"/>
      <c r="H217" s="46"/>
      <c r="I217" s="46"/>
      <c r="J217" s="46"/>
      <c r="K217" s="46"/>
      <c r="L217" s="46"/>
      <c r="M217" s="46"/>
      <c r="N217" s="46"/>
    </row>
    <row r="218" spans="1:14" ht="15" customHeight="1">
      <c r="A218" s="46" t="s">
        <v>2824</v>
      </c>
      <c r="B218" s="46" t="str">
        <f t="shared" ca="1" si="1"/>
        <v>Lunch vouchers</v>
      </c>
      <c r="C218" s="46"/>
      <c r="D218" s="46" t="s">
        <v>2824</v>
      </c>
      <c r="E218" s="46"/>
      <c r="F218" s="46"/>
      <c r="G218" s="46"/>
      <c r="H218" s="46"/>
      <c r="I218" s="46"/>
      <c r="J218" s="46"/>
      <c r="K218" s="46"/>
      <c r="L218" s="46"/>
      <c r="M218" s="46"/>
      <c r="N218" s="46"/>
    </row>
    <row r="219" spans="1:14" ht="15" customHeight="1">
      <c r="A219" s="46" t="s">
        <v>2825</v>
      </c>
      <c r="B219" s="46" t="str">
        <f t="shared" ca="1" si="1"/>
        <v>Labor Contract (CLA, intern, trainee, banding....)</v>
      </c>
      <c r="C219" s="46"/>
      <c r="D219" s="46" t="s">
        <v>2825</v>
      </c>
      <c r="E219" s="46"/>
      <c r="F219" s="46"/>
      <c r="G219" s="46"/>
      <c r="H219" s="46"/>
      <c r="I219" s="46"/>
      <c r="J219" s="46"/>
      <c r="K219" s="46"/>
      <c r="L219" s="46"/>
      <c r="M219" s="46"/>
      <c r="N219" s="46"/>
    </row>
    <row r="220" spans="1:14" ht="15" customHeight="1">
      <c r="A220" s="46" t="s">
        <v>2827</v>
      </c>
      <c r="B220" s="46" t="str">
        <f t="shared" ca="1" si="1"/>
        <v>Product Line</v>
      </c>
      <c r="C220" s="46"/>
      <c r="D220" s="46" t="s">
        <v>2827</v>
      </c>
      <c r="E220" s="46"/>
      <c r="F220" s="46"/>
      <c r="G220" s="46"/>
      <c r="H220" s="46"/>
      <c r="I220" s="46"/>
      <c r="J220" s="46"/>
      <c r="K220" s="46"/>
      <c r="L220" s="46"/>
      <c r="M220" s="46"/>
      <c r="N220" s="46"/>
    </row>
    <row r="221" spans="1:14" ht="15" customHeight="1">
      <c r="A221" s="46" t="s">
        <v>2757</v>
      </c>
      <c r="B221" s="46" t="str">
        <f t="shared" ca="1" si="1"/>
        <v>Section</v>
      </c>
      <c r="C221" s="46"/>
      <c r="D221" s="46" t="s">
        <v>2757</v>
      </c>
      <c r="E221" s="46"/>
      <c r="F221" s="46"/>
      <c r="G221" s="46"/>
      <c r="H221" s="46"/>
      <c r="I221" s="46"/>
      <c r="J221" s="46"/>
      <c r="K221" s="46"/>
      <c r="L221" s="46"/>
      <c r="M221" s="46"/>
      <c r="N221" s="46"/>
    </row>
    <row r="222" spans="1:14" ht="15" customHeight="1">
      <c r="A222" s="46" t="s">
        <v>2828</v>
      </c>
      <c r="B222" s="46" t="str">
        <f t="shared" ca="1" si="1"/>
        <v>Facility</v>
      </c>
      <c r="C222" s="46"/>
      <c r="D222" s="46" t="s">
        <v>2828</v>
      </c>
      <c r="E222" s="46"/>
      <c r="F222" s="46"/>
      <c r="G222" s="46"/>
      <c r="H222" s="46"/>
      <c r="I222" s="46"/>
      <c r="J222" s="46"/>
      <c r="K222" s="46"/>
      <c r="L222" s="46"/>
      <c r="M222" s="46"/>
      <c r="N222" s="46"/>
    </row>
    <row r="223" spans="1:14" ht="15" customHeight="1">
      <c r="A223" s="46" t="s">
        <v>2829</v>
      </c>
      <c r="B223" s="46" t="str">
        <f t="shared" ref="B223:B245" ca="1" si="2">IFERROR(IF(ISBLANK(OFFSET(B223,0,$Q$1-1)),D223,OFFSET(B223,0,$Q$1-1)),"Please select language")</f>
        <v>Kronos Data - various details required</v>
      </c>
      <c r="C223" s="46"/>
      <c r="D223" s="46" t="s">
        <v>2829</v>
      </c>
      <c r="E223" s="46"/>
      <c r="F223" s="46"/>
      <c r="G223" s="46"/>
      <c r="H223" s="46"/>
      <c r="I223" s="46"/>
      <c r="J223" s="46"/>
      <c r="K223" s="46"/>
      <c r="L223" s="46"/>
      <c r="M223" s="46"/>
      <c r="N223" s="46"/>
    </row>
    <row r="224" spans="1:14" ht="15" customHeight="1">
      <c r="A224" s="46" t="s">
        <v>2837</v>
      </c>
      <c r="B224" s="46" t="str">
        <f t="shared" ca="1" si="2"/>
        <v>RCA needed (if yes, please mention which countries)</v>
      </c>
      <c r="C224" s="46"/>
      <c r="D224" s="46" t="s">
        <v>2837</v>
      </c>
      <c r="E224" s="46"/>
      <c r="F224" s="46"/>
      <c r="G224" s="46"/>
      <c r="H224" s="46"/>
      <c r="I224" s="46"/>
      <c r="J224" s="46"/>
      <c r="K224" s="46"/>
      <c r="L224" s="46"/>
      <c r="M224" s="46"/>
      <c r="N224" s="46"/>
    </row>
    <row r="225" spans="1:14" ht="15" customHeight="1">
      <c r="A225" s="46" t="s">
        <v>2830</v>
      </c>
      <c r="B225" s="46" t="str">
        <f t="shared" ca="1" si="2"/>
        <v>Confidentiality Agreement</v>
      </c>
      <c r="C225" s="46"/>
      <c r="D225" s="46" t="s">
        <v>2830</v>
      </c>
      <c r="E225" s="46"/>
      <c r="F225" s="46"/>
      <c r="G225" s="46"/>
      <c r="H225" s="46"/>
      <c r="I225" s="46"/>
      <c r="J225" s="46"/>
      <c r="K225" s="46"/>
      <c r="L225" s="46"/>
      <c r="M225" s="46"/>
      <c r="N225" s="46"/>
    </row>
    <row r="226" spans="1:14" ht="15" customHeight="1">
      <c r="A226" s="46" t="s">
        <v>2838</v>
      </c>
      <c r="B226" s="46" t="str">
        <f t="shared" ca="1" si="2"/>
        <v>Company Car entitlement</v>
      </c>
      <c r="C226" s="46"/>
      <c r="D226" s="46" t="s">
        <v>2838</v>
      </c>
      <c r="E226" s="46"/>
      <c r="F226" s="46"/>
      <c r="G226" s="46"/>
      <c r="H226" s="46"/>
      <c r="I226" s="46"/>
      <c r="J226" s="46"/>
      <c r="K226" s="46"/>
      <c r="L226" s="46"/>
      <c r="M226" s="46"/>
      <c r="N226" s="46"/>
    </row>
    <row r="227" spans="1:14" ht="15" customHeight="1">
      <c r="A227" s="46" t="s">
        <v>2831</v>
      </c>
      <c r="B227" s="46" t="str">
        <f t="shared" ca="1" si="2"/>
        <v>Immigration support required (Addendum)</v>
      </c>
      <c r="C227" s="46"/>
      <c r="D227" s="46" t="s">
        <v>2831</v>
      </c>
      <c r="E227" s="46"/>
      <c r="F227" s="46"/>
      <c r="G227" s="46"/>
      <c r="H227" s="46"/>
      <c r="I227" s="46"/>
      <c r="J227" s="46"/>
      <c r="K227" s="46"/>
      <c r="L227" s="46"/>
      <c r="M227" s="46"/>
      <c r="N227" s="46"/>
    </row>
    <row r="228" spans="1:14" ht="15" customHeight="1">
      <c r="A228" s="46" t="s">
        <v>2832</v>
      </c>
      <c r="B228" s="46" t="str">
        <f t="shared" ca="1" si="2"/>
        <v>Monthly lump-sum (CHF 650/450)</v>
      </c>
      <c r="C228" s="46"/>
      <c r="D228" s="46" t="s">
        <v>2832</v>
      </c>
      <c r="E228" s="46"/>
      <c r="F228" s="46"/>
      <c r="G228" s="46"/>
      <c r="H228" s="46"/>
      <c r="I228" s="46"/>
      <c r="J228" s="46"/>
      <c r="K228" s="46"/>
      <c r="L228" s="46"/>
      <c r="M228" s="46"/>
      <c r="N228" s="46"/>
    </row>
    <row r="229" spans="1:14" ht="15" customHeight="1">
      <c r="A229" s="46" t="s">
        <v>2833</v>
      </c>
      <c r="B229" s="46" t="str">
        <f t="shared" ca="1" si="2"/>
        <v>GO Big Compensation</v>
      </c>
      <c r="C229" s="46"/>
      <c r="D229" s="46" t="s">
        <v>2833</v>
      </c>
      <c r="E229" s="46"/>
      <c r="F229" s="46"/>
      <c r="G229" s="46"/>
      <c r="H229" s="46"/>
      <c r="I229" s="46"/>
      <c r="J229" s="46"/>
      <c r="K229" s="46"/>
      <c r="L229" s="46"/>
      <c r="M229" s="46"/>
      <c r="N229" s="46"/>
    </row>
    <row r="230" spans="1:14" ht="15" customHeight="1">
      <c r="A230" s="46" t="s">
        <v>2834</v>
      </c>
      <c r="B230" s="46" t="str">
        <f t="shared" ca="1" si="2"/>
        <v>Job Level in CNLA</v>
      </c>
      <c r="C230" s="46"/>
      <c r="D230" s="46" t="s">
        <v>2834</v>
      </c>
      <c r="E230" s="46"/>
      <c r="F230" s="46"/>
      <c r="G230" s="46"/>
      <c r="H230" s="46"/>
      <c r="I230" s="46"/>
      <c r="J230" s="46"/>
      <c r="K230" s="46"/>
      <c r="L230" s="46"/>
      <c r="M230" s="46"/>
      <c r="N230" s="46"/>
    </row>
    <row r="231" spans="1:14" ht="15" customHeight="1">
      <c r="A231" s="46" t="s">
        <v>2835</v>
      </c>
      <c r="B231" s="46" t="str">
        <f t="shared" ca="1" si="2"/>
        <v>Local + travel percentage</v>
      </c>
      <c r="C231" s="46"/>
      <c r="D231" s="46" t="s">
        <v>2835</v>
      </c>
      <c r="E231" s="46"/>
      <c r="F231" s="46"/>
      <c r="G231" s="46"/>
      <c r="H231" s="46"/>
      <c r="I231" s="46"/>
      <c r="J231" s="46"/>
      <c r="K231" s="46"/>
      <c r="L231" s="46"/>
      <c r="M231" s="46"/>
      <c r="N231" s="46"/>
    </row>
    <row r="232" spans="1:14" ht="15" customHeight="1">
      <c r="A232" s="46" t="s">
        <v>2836</v>
      </c>
      <c r="B232" s="46" t="str">
        <f t="shared" ca="1" si="2"/>
        <v>Sign on bonus</v>
      </c>
      <c r="C232" s="46"/>
      <c r="D232" s="46" t="s">
        <v>2836</v>
      </c>
      <c r="E232" s="46"/>
      <c r="F232" s="46"/>
      <c r="G232" s="46"/>
      <c r="H232" s="46"/>
      <c r="I232" s="46"/>
      <c r="J232" s="46"/>
      <c r="K232" s="46"/>
      <c r="L232" s="46"/>
      <c r="M232" s="46"/>
      <c r="N232" s="46"/>
    </row>
    <row r="233" spans="1:14" ht="15" customHeight="1">
      <c r="A233" s="46" t="s">
        <v>3302</v>
      </c>
      <c r="B233" s="46" t="str">
        <f t="shared" ca="1" si="2"/>
        <v>Tariff Group</v>
      </c>
      <c r="C233" s="46"/>
      <c r="D233" s="46" t="s">
        <v>3302</v>
      </c>
      <c r="E233" s="46"/>
      <c r="F233" s="46"/>
      <c r="G233" s="46"/>
      <c r="H233" s="46"/>
      <c r="I233" s="46"/>
      <c r="J233" s="46"/>
      <c r="K233" s="46"/>
      <c r="L233" s="46"/>
      <c r="M233" s="46"/>
      <c r="N233" s="46"/>
    </row>
    <row r="234" spans="1:14" ht="15" customHeight="1">
      <c r="A234" s="46" t="s">
        <v>3303</v>
      </c>
      <c r="B234" s="46" t="str">
        <f t="shared" ca="1" si="2"/>
        <v>Travel Activities</v>
      </c>
      <c r="C234" s="46"/>
      <c r="D234" s="46" t="s">
        <v>3303</v>
      </c>
      <c r="E234" s="46"/>
      <c r="F234" s="46"/>
      <c r="G234" s="46"/>
      <c r="H234" s="46"/>
      <c r="I234" s="46"/>
      <c r="J234" s="46"/>
      <c r="K234" s="46"/>
      <c r="L234" s="46"/>
      <c r="M234" s="46"/>
      <c r="N234" s="46"/>
    </row>
    <row r="235" spans="1:14" ht="15" customHeight="1">
      <c r="A235" s="46" t="s">
        <v>3304</v>
      </c>
      <c r="B235" s="46" t="str">
        <f t="shared" ca="1" si="2"/>
        <v xml:space="preserve">Home Office Entitlement </v>
      </c>
      <c r="C235" s="46"/>
      <c r="D235" s="46" t="s">
        <v>3304</v>
      </c>
      <c r="E235" s="46"/>
      <c r="F235" s="46"/>
      <c r="G235" s="46"/>
      <c r="H235" s="46"/>
      <c r="I235" s="46"/>
      <c r="J235" s="46"/>
      <c r="K235" s="46"/>
      <c r="L235" s="46"/>
      <c r="M235" s="46"/>
      <c r="N235" s="46"/>
    </row>
    <row r="236" spans="1:14" ht="15" customHeight="1">
      <c r="A236" s="46" t="s">
        <v>3305</v>
      </c>
      <c r="B236" s="46" t="str">
        <f t="shared" ca="1" si="2"/>
        <v xml:space="preserve">1. Tätigkeitsstätte </v>
      </c>
      <c r="C236" s="46"/>
      <c r="D236" s="46" t="s">
        <v>3305</v>
      </c>
      <c r="E236" s="46"/>
      <c r="F236" s="46"/>
      <c r="G236" s="46"/>
      <c r="H236" s="46"/>
      <c r="I236" s="46"/>
      <c r="J236" s="46"/>
      <c r="K236" s="46"/>
      <c r="L236" s="46"/>
      <c r="M236" s="46"/>
      <c r="N236" s="46"/>
    </row>
    <row r="237" spans="1:14" ht="15" customHeight="1">
      <c r="A237" s="46" t="s">
        <v>3306</v>
      </c>
      <c r="B237" s="46" t="str">
        <f t="shared" ca="1" si="2"/>
        <v>Working hours weekly (only mandatory for part-time)</v>
      </c>
      <c r="C237" s="46"/>
      <c r="D237" s="46" t="s">
        <v>3306</v>
      </c>
      <c r="E237" s="46"/>
      <c r="F237" s="46"/>
      <c r="G237" s="46"/>
      <c r="H237" s="46"/>
      <c r="I237" s="46"/>
      <c r="J237" s="46"/>
      <c r="K237" s="46"/>
      <c r="L237" s="46"/>
      <c r="M237" s="46"/>
      <c r="N237" s="46"/>
    </row>
    <row r="238" spans="1:14" ht="15" customHeight="1">
      <c r="A238" s="46" t="s">
        <v>3307</v>
      </c>
      <c r="B238" s="46" t="str">
        <f t="shared" ca="1" si="2"/>
        <v>Working days weekly (only mandatory for part-time)</v>
      </c>
      <c r="C238" s="46"/>
      <c r="D238" s="46" t="s">
        <v>3307</v>
      </c>
      <c r="E238" s="46"/>
      <c r="F238" s="46"/>
      <c r="G238" s="46"/>
      <c r="H238" s="46"/>
      <c r="I238" s="46"/>
      <c r="J238" s="46"/>
      <c r="K238" s="46"/>
      <c r="L238" s="46"/>
      <c r="M238" s="46"/>
      <c r="N238" s="46"/>
    </row>
    <row r="239" spans="1:14" ht="15" customHeight="1">
      <c r="A239" s="46" t="s">
        <v>3308</v>
      </c>
      <c r="B239" s="46" t="str">
        <f t="shared" ca="1" si="2"/>
        <v>Notice period</v>
      </c>
      <c r="C239" s="46"/>
      <c r="D239" s="46" t="s">
        <v>3308</v>
      </c>
      <c r="E239" s="46"/>
      <c r="F239" s="46"/>
      <c r="G239" s="46"/>
      <c r="H239" s="46"/>
      <c r="I239" s="46"/>
      <c r="J239" s="46"/>
      <c r="K239" s="46"/>
      <c r="L239" s="46"/>
      <c r="M239" s="46"/>
      <c r="N239" s="46"/>
    </row>
    <row r="240" spans="1:14" ht="15" customHeight="1">
      <c r="A240" s="46" t="s">
        <v>4668</v>
      </c>
      <c r="B240" s="46" t="str">
        <f t="shared" ca="1" si="2"/>
        <v>* Religion</v>
      </c>
      <c r="C240" s="46"/>
      <c r="D240" s="46" t="s">
        <v>8629</v>
      </c>
      <c r="E240" s="46"/>
      <c r="F240" s="46"/>
      <c r="G240" s="46"/>
      <c r="H240" s="46"/>
      <c r="I240" s="46"/>
      <c r="J240" s="46"/>
      <c r="K240" s="46"/>
      <c r="L240" s="46"/>
      <c r="M240" s="46"/>
      <c r="N240" s="46"/>
    </row>
    <row r="241" spans="1:14" ht="15" customHeight="1">
      <c r="A241" s="46" t="s">
        <v>4669</v>
      </c>
      <c r="B241" s="46" t="str">
        <f t="shared" ca="1" si="2"/>
        <v>Preferred Language</v>
      </c>
      <c r="C241" s="46"/>
      <c r="D241" s="46" t="s">
        <v>4669</v>
      </c>
      <c r="E241" s="46"/>
      <c r="F241" s="46"/>
      <c r="G241" s="46"/>
      <c r="H241" s="46"/>
      <c r="I241" s="46"/>
      <c r="J241" s="46"/>
      <c r="K241" s="46"/>
      <c r="L241" s="46"/>
      <c r="M241" s="46"/>
      <c r="N241" s="46"/>
    </row>
    <row r="242" spans="1:14" ht="15" customHeight="1">
      <c r="A242" s="46" t="s">
        <v>4670</v>
      </c>
      <c r="B242" s="46" t="str">
        <f t="shared" ca="1" si="2"/>
        <v>Email</v>
      </c>
      <c r="C242" s="46"/>
      <c r="D242" s="46" t="s">
        <v>4670</v>
      </c>
      <c r="E242" s="46"/>
      <c r="F242" s="46"/>
      <c r="G242" s="46"/>
      <c r="H242" s="46"/>
      <c r="I242" s="46"/>
      <c r="J242" s="46"/>
      <c r="K242" s="46"/>
      <c r="L242" s="46"/>
      <c r="M242" s="46"/>
      <c r="N242" s="46"/>
    </row>
    <row r="243" spans="1:14" ht="15" customHeight="1">
      <c r="A243" s="46" t="s">
        <v>4671</v>
      </c>
      <c r="B243" s="46" t="str">
        <f t="shared" ca="1" si="2"/>
        <v>Alt Phone</v>
      </c>
      <c r="C243" s="46"/>
      <c r="D243" s="46" t="s">
        <v>4671</v>
      </c>
      <c r="E243" s="46"/>
      <c r="F243" s="46"/>
      <c r="G243" s="46"/>
      <c r="H243" s="46"/>
      <c r="I243" s="46"/>
      <c r="J243" s="46"/>
      <c r="K243" s="46"/>
      <c r="L243" s="46"/>
      <c r="M243" s="46"/>
      <c r="N243" s="46"/>
    </row>
    <row r="244" spans="1:14" ht="15" customHeight="1">
      <c r="A244" s="46" t="s">
        <v>833</v>
      </c>
      <c r="B244" s="46" t="str">
        <f t="shared" ca="1" si="2"/>
        <v>* Is Primary</v>
      </c>
      <c r="C244" s="46"/>
      <c r="D244" s="46" t="s">
        <v>8627</v>
      </c>
      <c r="E244" s="46"/>
      <c r="F244" s="46"/>
      <c r="G244" s="46"/>
      <c r="H244" s="46"/>
      <c r="I244" s="46"/>
      <c r="J244" s="46"/>
      <c r="K244" s="46"/>
      <c r="L244" s="46"/>
      <c r="M244" s="46"/>
      <c r="N244" s="46"/>
    </row>
    <row r="245" spans="1:14" ht="15" customHeight="1">
      <c r="A245" s="46" t="s">
        <v>4672</v>
      </c>
      <c r="B245" s="46" t="str">
        <f t="shared" ca="1" si="2"/>
        <v>* Probation Status</v>
      </c>
      <c r="C245" s="46"/>
      <c r="D245" s="46" t="s">
        <v>8646</v>
      </c>
      <c r="E245" s="46"/>
      <c r="F245" s="46"/>
      <c r="G245" s="46"/>
      <c r="H245" s="46"/>
      <c r="I245" s="46"/>
      <c r="J245" s="46"/>
      <c r="K245" s="46"/>
      <c r="L245" s="46"/>
      <c r="M245" s="46"/>
      <c r="N245" s="46"/>
    </row>
    <row r="246" spans="1:14" ht="15" customHeight="1">
      <c r="A246" s="46" t="s">
        <v>4673</v>
      </c>
      <c r="B246" s="46" t="str">
        <f t="shared" ref="B246:B309" ca="1" si="3">IFERROR(IF(ISBLANK(OFFSET(B246,0,$Q$1-1)),D246,OFFSET(B246,0,$Q$1-1)),"Please select language")</f>
        <v>Benefits Eligibility Start Date (DD/MM/YYYY)</v>
      </c>
      <c r="C246" s="46"/>
      <c r="D246" s="46" t="s">
        <v>4684</v>
      </c>
      <c r="E246" s="46"/>
      <c r="F246" s="46"/>
      <c r="G246" s="46"/>
      <c r="H246" s="46"/>
      <c r="I246" s="46"/>
      <c r="J246" s="46"/>
      <c r="K246" s="46"/>
      <c r="L246" s="46"/>
      <c r="M246" s="46"/>
      <c r="N246" s="46"/>
    </row>
    <row r="247" spans="1:14" ht="15" customHeight="1">
      <c r="A247" s="46" t="s">
        <v>5007</v>
      </c>
      <c r="B247" s="46" t="str">
        <f t="shared" ca="1" si="3"/>
        <v>Ethnic Origin (Race)</v>
      </c>
      <c r="C247" s="46"/>
      <c r="D247" s="46" t="s">
        <v>5007</v>
      </c>
      <c r="E247" s="46"/>
      <c r="F247" s="46"/>
      <c r="G247" s="46"/>
      <c r="H247" s="46"/>
      <c r="I247" s="46"/>
      <c r="J247" s="46"/>
      <c r="K247" s="46"/>
      <c r="L247" s="46"/>
      <c r="M247" s="46"/>
      <c r="N247" s="46"/>
    </row>
    <row r="248" spans="1:14" ht="15" customHeight="1">
      <c r="A248" s="46" t="s">
        <v>4679</v>
      </c>
      <c r="B248" s="46" t="str">
        <f t="shared" ca="1" si="3"/>
        <v>City of Mandatory Housing</v>
      </c>
      <c r="C248" s="46"/>
      <c r="D248" s="46" t="s">
        <v>4679</v>
      </c>
      <c r="E248" s="46"/>
      <c r="F248" s="46"/>
      <c r="G248" s="46"/>
      <c r="H248" s="46"/>
      <c r="I248" s="46"/>
      <c r="J248" s="46"/>
      <c r="K248" s="46"/>
      <c r="L248" s="46"/>
      <c r="M248" s="46"/>
      <c r="N248" s="46"/>
    </row>
    <row r="249" spans="1:14" ht="15" customHeight="1">
      <c r="A249" s="46" t="s">
        <v>4681</v>
      </c>
      <c r="B249" s="46" t="str">
        <f t="shared" ca="1" si="3"/>
        <v>City of Mandatory Housing Effective Date (DD/MM/YYYY)</v>
      </c>
      <c r="C249" s="46"/>
      <c r="D249" s="46" t="s">
        <v>4683</v>
      </c>
      <c r="E249" s="46"/>
      <c r="F249" s="46"/>
      <c r="G249" s="46"/>
      <c r="H249" s="46"/>
      <c r="I249" s="46"/>
      <c r="J249" s="46"/>
      <c r="K249" s="46"/>
      <c r="L249" s="46"/>
      <c r="M249" s="46"/>
      <c r="N249" s="46"/>
    </row>
    <row r="250" spans="1:14" ht="15" customHeight="1">
      <c r="A250" s="46" t="s">
        <v>4682</v>
      </c>
      <c r="B250" s="46" t="str">
        <f t="shared" ca="1" si="3"/>
        <v>City of Social Benefits</v>
      </c>
      <c r="C250" s="46"/>
      <c r="D250" s="46" t="s">
        <v>4682</v>
      </c>
      <c r="E250" s="46"/>
      <c r="F250" s="46"/>
      <c r="G250" s="46"/>
      <c r="H250" s="46"/>
      <c r="I250" s="46"/>
      <c r="J250" s="46"/>
      <c r="K250" s="46"/>
      <c r="L250" s="46"/>
      <c r="M250" s="46"/>
      <c r="N250" s="46"/>
    </row>
    <row r="251" spans="1:14" ht="15" customHeight="1">
      <c r="A251" s="46" t="s">
        <v>4680</v>
      </c>
      <c r="B251" s="46" t="str">
        <f t="shared" ca="1" si="3"/>
        <v>City of Social Benefits Effective Date (DD/MM/YYYY)</v>
      </c>
      <c r="C251" s="46"/>
      <c r="D251" s="46" t="s">
        <v>4685</v>
      </c>
      <c r="E251" s="46"/>
      <c r="F251" s="46"/>
      <c r="G251" s="46"/>
      <c r="H251" s="46"/>
      <c r="I251" s="46"/>
      <c r="J251" s="46"/>
      <c r="K251" s="46"/>
      <c r="L251" s="46"/>
      <c r="M251" s="46"/>
      <c r="N251" s="46"/>
    </row>
    <row r="252" spans="1:14" ht="15" customHeight="1">
      <c r="A252" s="46" t="s">
        <v>4686</v>
      </c>
      <c r="B252" s="46" t="str">
        <f t="shared" ca="1" si="3"/>
        <v>Working Hour Policy</v>
      </c>
      <c r="C252" s="46"/>
      <c r="D252" s="46" t="s">
        <v>4686</v>
      </c>
      <c r="E252" s="46"/>
      <c r="F252" s="46"/>
      <c r="G252" s="46"/>
      <c r="H252" s="46"/>
      <c r="I252" s="46"/>
      <c r="J252" s="46"/>
      <c r="K252" s="46"/>
      <c r="L252" s="46"/>
      <c r="M252" s="46"/>
      <c r="N252" s="46"/>
    </row>
    <row r="253" spans="1:14" ht="15" customHeight="1">
      <c r="A253" s="46" t="s">
        <v>4687</v>
      </c>
      <c r="B253" s="46" t="str">
        <f t="shared" ca="1" si="3"/>
        <v>Worker Class</v>
      </c>
      <c r="C253" s="46"/>
      <c r="D253" s="46" t="s">
        <v>4687</v>
      </c>
      <c r="E253" s="46"/>
      <c r="F253" s="46"/>
      <c r="G253" s="46"/>
      <c r="H253" s="46"/>
      <c r="I253" s="46"/>
      <c r="J253" s="46"/>
      <c r="K253" s="46"/>
      <c r="L253" s="46"/>
      <c r="M253" s="46"/>
      <c r="N253" s="46"/>
    </row>
    <row r="254" spans="1:14" ht="15" customHeight="1">
      <c r="A254" s="46" t="s">
        <v>4688</v>
      </c>
      <c r="B254" s="46" t="str">
        <f t="shared" ca="1" si="3"/>
        <v>Eligible for Stock Options</v>
      </c>
      <c r="C254" s="46"/>
      <c r="D254" s="46" t="s">
        <v>4688</v>
      </c>
      <c r="E254" s="46"/>
      <c r="F254" s="46"/>
      <c r="G254" s="46"/>
      <c r="H254" s="46"/>
      <c r="I254" s="46"/>
      <c r="J254" s="46"/>
      <c r="K254" s="46"/>
      <c r="L254" s="46"/>
      <c r="M254" s="46"/>
      <c r="N254" s="46"/>
    </row>
    <row r="255" spans="1:14" ht="15" customHeight="1">
      <c r="A255" s="46" t="s">
        <v>4689</v>
      </c>
      <c r="B255" s="46" t="str">
        <f t="shared" ca="1" si="3"/>
        <v>Document Title</v>
      </c>
      <c r="C255" s="46"/>
      <c r="D255" s="46" t="s">
        <v>4689</v>
      </c>
      <c r="E255" s="46"/>
      <c r="F255" s="46"/>
      <c r="G255" s="46"/>
      <c r="H255" s="46"/>
      <c r="I255" s="46"/>
      <c r="J255" s="46"/>
      <c r="K255" s="46"/>
      <c r="L255" s="46"/>
      <c r="M255" s="46"/>
      <c r="N255" s="46"/>
    </row>
    <row r="256" spans="1:14" ht="15" customHeight="1">
      <c r="A256" s="46" t="s">
        <v>4690</v>
      </c>
      <c r="B256" s="46" t="str">
        <f t="shared" ca="1" si="3"/>
        <v>Issuing Authority</v>
      </c>
      <c r="C256" s="46"/>
      <c r="D256" s="46" t="s">
        <v>4690</v>
      </c>
      <c r="E256" s="46"/>
      <c r="F256" s="46"/>
      <c r="G256" s="46"/>
      <c r="H256" s="46"/>
      <c r="I256" s="46"/>
      <c r="J256" s="46"/>
      <c r="K256" s="46"/>
      <c r="L256" s="46"/>
      <c r="M256" s="46"/>
      <c r="N256" s="46"/>
    </row>
    <row r="257" spans="1:14" ht="15" customHeight="1">
      <c r="A257" s="46" t="s">
        <v>4691</v>
      </c>
      <c r="B257" s="46" t="str">
        <f t="shared" ca="1" si="3"/>
        <v>Issue Place</v>
      </c>
      <c r="C257" s="46"/>
      <c r="D257" s="46" t="s">
        <v>4691</v>
      </c>
      <c r="E257" s="46"/>
      <c r="F257" s="46"/>
      <c r="G257" s="46"/>
      <c r="H257" s="46"/>
      <c r="I257" s="46"/>
      <c r="J257" s="46"/>
      <c r="K257" s="46"/>
      <c r="L257" s="46"/>
      <c r="M257" s="46"/>
      <c r="N257" s="46"/>
    </row>
    <row r="258" spans="1:14" ht="15" customHeight="1">
      <c r="A258" s="46" t="s">
        <v>4692</v>
      </c>
      <c r="B258" s="46" t="str">
        <f t="shared" ca="1" si="3"/>
        <v>Validated</v>
      </c>
      <c r="C258" s="46"/>
      <c r="D258" s="46" t="s">
        <v>4692</v>
      </c>
      <c r="E258" s="46"/>
      <c r="F258" s="46"/>
      <c r="G258" s="46"/>
      <c r="H258" s="46"/>
      <c r="I258" s="46"/>
      <c r="J258" s="46"/>
      <c r="K258" s="46"/>
      <c r="L258" s="46"/>
      <c r="M258" s="46"/>
      <c r="N258" s="46"/>
    </row>
    <row r="259" spans="1:14" ht="15" customHeight="1">
      <c r="A259" s="46" t="s">
        <v>4693</v>
      </c>
      <c r="B259" s="46" t="str">
        <f t="shared" ca="1" si="3"/>
        <v>Date Applied for Renewal (DD/MM/YYYY)</v>
      </c>
      <c r="C259" s="46"/>
      <c r="D259" s="46" t="s">
        <v>4694</v>
      </c>
      <c r="E259" s="46"/>
      <c r="F259" s="46"/>
      <c r="G259" s="46"/>
      <c r="H259" s="46"/>
      <c r="I259" s="46"/>
      <c r="J259" s="46"/>
      <c r="K259" s="46"/>
      <c r="L259" s="46"/>
      <c r="M259" s="46"/>
      <c r="N259" s="46"/>
    </row>
    <row r="260" spans="1:14" ht="15" customHeight="1">
      <c r="A260" s="82" t="s">
        <v>4989</v>
      </c>
      <c r="B260" s="82" t="str">
        <f t="shared" ca="1" si="3"/>
        <v>Number of Children</v>
      </c>
      <c r="C260" s="82"/>
      <c r="D260" s="82" t="s">
        <v>4989</v>
      </c>
      <c r="E260" s="82"/>
      <c r="F260" s="82"/>
      <c r="G260" s="82"/>
      <c r="H260" s="82"/>
      <c r="I260" s="82"/>
      <c r="J260" s="82"/>
      <c r="K260" s="82"/>
      <c r="L260" s="82"/>
      <c r="M260" s="82"/>
      <c r="N260" s="82"/>
    </row>
    <row r="261" spans="1:14" ht="15" customHeight="1">
      <c r="A261" s="82" t="s">
        <v>4996</v>
      </c>
      <c r="B261" s="82" t="str">
        <f t="shared" ca="1" si="3"/>
        <v>Provident Fund Membership Date</v>
      </c>
      <c r="C261" s="82"/>
      <c r="D261" s="82" t="s">
        <v>4996</v>
      </c>
      <c r="E261" s="82"/>
      <c r="F261" s="82"/>
      <c r="G261" s="82"/>
      <c r="H261" s="82"/>
      <c r="I261" s="82"/>
      <c r="J261" s="82"/>
      <c r="K261" s="82"/>
      <c r="L261" s="82"/>
      <c r="M261" s="82"/>
      <c r="N261" s="82"/>
    </row>
    <row r="262" spans="1:14" ht="15" customHeight="1">
      <c r="A262" s="82" t="s">
        <v>4998</v>
      </c>
      <c r="B262" s="82" t="str">
        <f t="shared" ca="1" si="3"/>
        <v xml:space="preserve">* Working Days Per Week </v>
      </c>
      <c r="C262" s="82"/>
      <c r="D262" s="82" t="s">
        <v>8650</v>
      </c>
      <c r="E262" s="82"/>
      <c r="F262" s="82"/>
      <c r="G262" s="82"/>
      <c r="H262" s="82"/>
      <c r="I262" s="82"/>
      <c r="J262" s="82"/>
      <c r="K262" s="82"/>
      <c r="L262" s="82"/>
      <c r="M262" s="82"/>
      <c r="N262" s="82"/>
    </row>
    <row r="263" spans="1:14" ht="15" customHeight="1">
      <c r="A263" s="82" t="s">
        <v>4999</v>
      </c>
      <c r="B263" s="82" t="str">
        <f t="shared" ca="1" si="3"/>
        <v>Complete Name</v>
      </c>
      <c r="C263" s="82"/>
      <c r="D263" s="82" t="s">
        <v>4999</v>
      </c>
      <c r="E263" s="82"/>
      <c r="F263" s="82"/>
      <c r="G263" s="82"/>
      <c r="H263" s="82"/>
      <c r="I263" s="82"/>
      <c r="J263" s="82"/>
      <c r="K263" s="82"/>
      <c r="L263" s="82"/>
      <c r="M263" s="82"/>
      <c r="N263" s="82"/>
    </row>
    <row r="264" spans="1:14" ht="15" customHeight="1">
      <c r="A264" s="82" t="s">
        <v>5003</v>
      </c>
      <c r="B264" s="82" t="str">
        <f t="shared" ca="1" si="3"/>
        <v>Date Learned (DD/MM/YYYY)</v>
      </c>
      <c r="C264" s="82"/>
      <c r="D264" s="82" t="s">
        <v>5004</v>
      </c>
      <c r="E264" s="82"/>
      <c r="F264" s="82"/>
      <c r="G264" s="82"/>
      <c r="H264" s="82"/>
      <c r="I264" s="82"/>
      <c r="J264" s="82"/>
      <c r="K264" s="82"/>
      <c r="L264" s="82"/>
      <c r="M264" s="82"/>
      <c r="N264" s="82"/>
    </row>
    <row r="265" spans="1:14" ht="15" customHeight="1">
      <c r="A265" s="82" t="s">
        <v>4690</v>
      </c>
      <c r="B265" s="82" t="str">
        <f t="shared" ca="1" si="3"/>
        <v>Issuing Authority</v>
      </c>
      <c r="C265" s="82"/>
      <c r="D265" s="82" t="s">
        <v>4690</v>
      </c>
      <c r="E265" s="82"/>
      <c r="F265" s="82"/>
      <c r="G265" s="82"/>
      <c r="H265" s="82"/>
      <c r="I265" s="82"/>
      <c r="J265" s="82"/>
      <c r="K265" s="82"/>
      <c r="L265" s="82"/>
      <c r="M265" s="82"/>
      <c r="N265" s="82"/>
    </row>
    <row r="266" spans="1:14" ht="15" customHeight="1">
      <c r="A266" s="82" t="s">
        <v>5005</v>
      </c>
      <c r="B266" s="82" t="str">
        <f t="shared" ca="1" si="3"/>
        <v>Highest Education Attained</v>
      </c>
      <c r="C266" s="82"/>
      <c r="D266" s="82" t="s">
        <v>5005</v>
      </c>
      <c r="E266" s="82"/>
      <c r="F266" s="82"/>
      <c r="G266" s="82"/>
      <c r="H266" s="82"/>
      <c r="I266" s="82"/>
      <c r="J266" s="82"/>
      <c r="K266" s="82"/>
      <c r="L266" s="82"/>
      <c r="M266" s="82"/>
      <c r="N266" s="82"/>
    </row>
    <row r="267" spans="1:14" ht="15" customHeight="1">
      <c r="A267" s="82" t="s">
        <v>5008</v>
      </c>
      <c r="B267" s="82" t="str">
        <f t="shared" ca="1" si="3"/>
        <v>Full Name on Identity Card</v>
      </c>
      <c r="C267" s="82"/>
      <c r="D267" s="82" t="s">
        <v>5008</v>
      </c>
      <c r="E267" s="82"/>
      <c r="F267" s="82"/>
      <c r="G267" s="82"/>
      <c r="H267" s="82"/>
      <c r="I267" s="82"/>
      <c r="J267" s="82"/>
      <c r="K267" s="82"/>
      <c r="L267" s="82"/>
      <c r="M267" s="82"/>
      <c r="N267" s="82"/>
    </row>
    <row r="268" spans="1:14" ht="15" customHeight="1">
      <c r="A268" s="82" t="s">
        <v>5009</v>
      </c>
      <c r="B268" s="82" t="str">
        <f t="shared" ca="1" si="3"/>
        <v>Address1</v>
      </c>
      <c r="C268" s="82"/>
      <c r="D268" s="82" t="s">
        <v>5009</v>
      </c>
      <c r="E268" s="82"/>
      <c r="F268" s="82"/>
      <c r="G268" s="82"/>
      <c r="H268" s="82"/>
      <c r="I268" s="82"/>
      <c r="J268" s="82"/>
      <c r="K268" s="82"/>
      <c r="L268" s="82"/>
      <c r="M268" s="82"/>
      <c r="N268" s="82"/>
    </row>
    <row r="269" spans="1:14" ht="15" customHeight="1">
      <c r="A269" s="82" t="s">
        <v>5010</v>
      </c>
      <c r="B269" s="82" t="str">
        <f t="shared" ca="1" si="3"/>
        <v>Address2</v>
      </c>
      <c r="C269" s="82"/>
      <c r="D269" s="82" t="s">
        <v>5010</v>
      </c>
      <c r="E269" s="82"/>
      <c r="F269" s="82"/>
      <c r="G269" s="82"/>
      <c r="H269" s="82"/>
      <c r="I269" s="82"/>
      <c r="J269" s="82"/>
      <c r="K269" s="82"/>
      <c r="L269" s="82"/>
      <c r="M269" s="82"/>
      <c r="N269" s="82"/>
    </row>
    <row r="270" spans="1:14" ht="15" customHeight="1">
      <c r="A270" s="82" t="s">
        <v>5011</v>
      </c>
      <c r="B270" s="82" t="str">
        <f t="shared" ca="1" si="3"/>
        <v>Confirmed Date (DD/MM/YYYY)</v>
      </c>
      <c r="C270" s="82"/>
      <c r="D270" s="82" t="s">
        <v>5012</v>
      </c>
      <c r="E270" s="82"/>
      <c r="F270" s="82"/>
      <c r="G270" s="82"/>
      <c r="H270" s="82"/>
      <c r="I270" s="82"/>
      <c r="J270" s="82"/>
      <c r="K270" s="82"/>
      <c r="L270" s="82"/>
      <c r="M270" s="82"/>
      <c r="N270" s="82"/>
    </row>
    <row r="271" spans="1:14" ht="15" customHeight="1">
      <c r="A271" s="46" t="s">
        <v>5013</v>
      </c>
      <c r="B271" s="46" t="str">
        <f t="shared" ca="1" si="3"/>
        <v>Probationary Period</v>
      </c>
      <c r="C271" s="46"/>
      <c r="D271" s="46" t="s">
        <v>5013</v>
      </c>
      <c r="E271" s="46"/>
      <c r="F271" s="46"/>
      <c r="G271" s="46"/>
      <c r="H271" s="46"/>
      <c r="I271" s="46"/>
      <c r="J271" s="46"/>
      <c r="K271" s="46"/>
      <c r="L271" s="46"/>
      <c r="M271" s="46"/>
      <c r="N271" s="46"/>
    </row>
    <row r="272" spans="1:14" ht="15" customHeight="1">
      <c r="A272" s="46" t="s">
        <v>5014</v>
      </c>
      <c r="B272" s="46" t="str">
        <f t="shared" ca="1" si="3"/>
        <v>Task Type</v>
      </c>
      <c r="C272" s="46"/>
      <c r="D272" s="46" t="s">
        <v>5014</v>
      </c>
      <c r="E272" s="46"/>
      <c r="F272" s="46"/>
      <c r="G272" s="46"/>
      <c r="H272" s="46"/>
      <c r="I272" s="46"/>
      <c r="J272" s="46"/>
      <c r="K272" s="46"/>
      <c r="L272" s="46"/>
      <c r="M272" s="46"/>
      <c r="N272" s="46"/>
    </row>
    <row r="273" spans="1:14" ht="15" customHeight="1">
      <c r="A273" s="46" t="s">
        <v>5015</v>
      </c>
      <c r="B273" s="46" t="str">
        <f t="shared" ca="1" si="3"/>
        <v>Processing Indicator</v>
      </c>
      <c r="C273" s="46"/>
      <c r="D273" s="46" t="s">
        <v>5015</v>
      </c>
      <c r="E273" s="46"/>
      <c r="F273" s="46"/>
      <c r="G273" s="46"/>
      <c r="H273" s="46"/>
      <c r="I273" s="46"/>
      <c r="J273" s="46"/>
      <c r="K273" s="46"/>
      <c r="L273" s="46"/>
      <c r="M273" s="46"/>
      <c r="N273" s="46"/>
    </row>
    <row r="274" spans="1:14" ht="15" customHeight="1">
      <c r="A274" s="46" t="s">
        <v>5016</v>
      </c>
      <c r="B274" s="46" t="str">
        <f t="shared" ca="1" si="3"/>
        <v>Date of Task (DD/MM/YYYY)</v>
      </c>
      <c r="C274" s="46"/>
      <c r="D274" s="46" t="s">
        <v>5016</v>
      </c>
      <c r="E274" s="46"/>
      <c r="F274" s="46"/>
      <c r="G274" s="46"/>
      <c r="H274" s="46"/>
      <c r="I274" s="46"/>
      <c r="J274" s="46"/>
      <c r="K274" s="46"/>
      <c r="L274" s="46"/>
      <c r="M274" s="46"/>
      <c r="N274" s="46"/>
    </row>
    <row r="275" spans="1:14" ht="15" customHeight="1">
      <c r="A275" s="46" t="s">
        <v>5017</v>
      </c>
      <c r="B275" s="46" t="str">
        <f t="shared" ca="1" si="3"/>
        <v>Reminder Date (DD/MM/YYYY)</v>
      </c>
      <c r="C275" s="46"/>
      <c r="D275" s="46" t="s">
        <v>5017</v>
      </c>
      <c r="E275" s="46"/>
      <c r="F275" s="46"/>
      <c r="G275" s="46"/>
      <c r="H275" s="46"/>
      <c r="I275" s="46"/>
      <c r="J275" s="46"/>
      <c r="K275" s="46"/>
      <c r="L275" s="46"/>
      <c r="M275" s="46"/>
      <c r="N275" s="46"/>
    </row>
    <row r="276" spans="1:14" ht="15" customHeight="1">
      <c r="A276" s="46" t="s">
        <v>5018</v>
      </c>
      <c r="B276" s="46" t="str">
        <f t="shared" ca="1" si="3"/>
        <v>Comments</v>
      </c>
      <c r="C276" s="46"/>
      <c r="D276" s="46" t="s">
        <v>5018</v>
      </c>
      <c r="E276" s="46"/>
      <c r="F276" s="46"/>
      <c r="G276" s="46"/>
      <c r="H276" s="46"/>
      <c r="I276" s="46"/>
      <c r="J276" s="46"/>
      <c r="K276" s="46"/>
      <c r="L276" s="46"/>
      <c r="M276" s="46"/>
      <c r="N276" s="46"/>
    </row>
    <row r="277" spans="1:14" ht="15" customHeight="1">
      <c r="A277" s="46" t="s">
        <v>5019</v>
      </c>
      <c r="B277" s="46" t="str">
        <f t="shared" ca="1" si="3"/>
        <v>Statistics Area1 - Yrs of Exp. Outside Cargill</v>
      </c>
      <c r="C277" s="46"/>
      <c r="D277" s="46" t="s">
        <v>5019</v>
      </c>
      <c r="E277" s="46"/>
      <c r="F277" s="46"/>
      <c r="G277" s="46"/>
      <c r="H277" s="46"/>
      <c r="I277" s="46"/>
      <c r="J277" s="46"/>
      <c r="K277" s="46"/>
      <c r="L277" s="46"/>
      <c r="M277" s="46"/>
      <c r="N277" s="46"/>
    </row>
    <row r="278" spans="1:14" ht="15" customHeight="1">
      <c r="A278" s="46" t="s">
        <v>5040</v>
      </c>
      <c r="B278" s="46" t="str">
        <f t="shared" ca="1" si="3"/>
        <v>Provident Fund Number</v>
      </c>
      <c r="C278" s="46"/>
      <c r="D278" s="46" t="s">
        <v>5040</v>
      </c>
      <c r="E278" s="46"/>
      <c r="F278" s="46"/>
      <c r="G278" s="46"/>
      <c r="H278" s="46"/>
      <c r="I278" s="46"/>
      <c r="J278" s="46"/>
      <c r="K278" s="46"/>
      <c r="L278" s="46"/>
      <c r="M278" s="46"/>
      <c r="N278" s="46"/>
    </row>
    <row r="279" spans="1:14" ht="15" customHeight="1">
      <c r="A279" s="46" t="s">
        <v>1911</v>
      </c>
      <c r="B279" s="46" t="str">
        <f t="shared" ca="1" si="3"/>
        <v>Pension Number</v>
      </c>
      <c r="C279" s="46"/>
      <c r="D279" s="46" t="s">
        <v>1911</v>
      </c>
      <c r="E279" s="46"/>
      <c r="F279" s="46"/>
      <c r="G279" s="46"/>
      <c r="H279" s="46"/>
      <c r="I279" s="46"/>
      <c r="J279" s="46"/>
      <c r="K279" s="46"/>
      <c r="L279" s="46"/>
      <c r="M279" s="46"/>
      <c r="N279" s="46"/>
    </row>
    <row r="280" spans="1:14" ht="15" customHeight="1">
      <c r="A280" s="46" t="s">
        <v>5020</v>
      </c>
      <c r="B280" s="46" t="str">
        <f t="shared" ca="1" si="3"/>
        <v>ESI Number</v>
      </c>
      <c r="C280" s="46"/>
      <c r="D280" s="46" t="s">
        <v>5020</v>
      </c>
      <c r="E280" s="46"/>
      <c r="F280" s="46"/>
      <c r="G280" s="46"/>
      <c r="H280" s="46"/>
      <c r="I280" s="46"/>
      <c r="J280" s="46"/>
      <c r="K280" s="46"/>
      <c r="L280" s="46"/>
      <c r="M280" s="46"/>
      <c r="N280" s="46"/>
    </row>
    <row r="281" spans="1:14" ht="15" customHeight="1">
      <c r="A281" s="46" t="s">
        <v>5027</v>
      </c>
      <c r="B281" s="46" t="str">
        <f t="shared" ca="1" si="3"/>
        <v>Notice Period for Employer</v>
      </c>
      <c r="C281" s="46"/>
      <c r="D281" s="46" t="s">
        <v>5027</v>
      </c>
      <c r="E281" s="46"/>
      <c r="F281" s="46"/>
      <c r="G281" s="46"/>
      <c r="H281" s="46"/>
      <c r="I281" s="46"/>
      <c r="J281" s="46"/>
      <c r="K281" s="46"/>
      <c r="L281" s="46"/>
      <c r="M281" s="46"/>
      <c r="N281" s="46"/>
    </row>
    <row r="282" spans="1:14" ht="15" customHeight="1">
      <c r="A282" s="46" t="s">
        <v>5028</v>
      </c>
      <c r="B282" s="46" t="str">
        <f t="shared" ca="1" si="3"/>
        <v>Notice Period for Employee</v>
      </c>
      <c r="C282" s="46"/>
      <c r="D282" s="46" t="s">
        <v>5028</v>
      </c>
      <c r="E282" s="46"/>
      <c r="F282" s="46"/>
      <c r="G282" s="46"/>
      <c r="H282" s="46"/>
      <c r="I282" s="46"/>
      <c r="J282" s="46"/>
      <c r="K282" s="46"/>
      <c r="L282" s="46"/>
      <c r="M282" s="46"/>
      <c r="N282" s="46"/>
    </row>
    <row r="283" spans="1:14" ht="15" customHeight="1">
      <c r="A283" s="46" t="s">
        <v>5023</v>
      </c>
      <c r="B283" s="46" t="str">
        <f t="shared" ca="1" si="3"/>
        <v>Housing Fund Account</v>
      </c>
      <c r="C283" s="46"/>
      <c r="D283" s="46" t="s">
        <v>5023</v>
      </c>
      <c r="E283" s="46"/>
      <c r="F283" s="46"/>
      <c r="G283" s="46"/>
      <c r="H283" s="46"/>
      <c r="I283" s="46"/>
      <c r="J283" s="46"/>
      <c r="K283" s="46"/>
      <c r="L283" s="46"/>
      <c r="M283" s="46"/>
      <c r="N283" s="46"/>
    </row>
    <row r="284" spans="1:14" ht="15" customHeight="1">
      <c r="A284" s="46" t="s">
        <v>5024</v>
      </c>
      <c r="B284" s="46" t="str">
        <f t="shared" ca="1" si="3"/>
        <v>I affirm that the above information is correct. I understand that any falsified statements on this application can be sufficient cause for dismissal if I am employed.</v>
      </c>
      <c r="C284" s="46"/>
      <c r="D284" s="46" t="s">
        <v>5024</v>
      </c>
      <c r="E284" s="46"/>
      <c r="F284" s="46"/>
      <c r="G284" s="46"/>
      <c r="H284" s="46"/>
      <c r="I284" s="46"/>
      <c r="J284" s="46"/>
      <c r="K284" s="46"/>
      <c r="L284" s="46"/>
      <c r="M284" s="46"/>
      <c r="N284" s="46"/>
    </row>
    <row r="285" spans="1:14" ht="15" customHeight="1">
      <c r="A285" s="46" t="s">
        <v>5025</v>
      </c>
      <c r="B285" s="46" t="str">
        <f t="shared" ca="1" si="3"/>
        <v>Signature</v>
      </c>
      <c r="C285" s="46"/>
      <c r="D285" s="46" t="s">
        <v>5025</v>
      </c>
      <c r="E285" s="46"/>
      <c r="F285" s="46"/>
      <c r="G285" s="46"/>
      <c r="H285" s="46"/>
      <c r="I285" s="46"/>
      <c r="J285" s="46"/>
      <c r="K285" s="46"/>
      <c r="L285" s="46"/>
      <c r="M285" s="46"/>
      <c r="N285" s="46"/>
    </row>
    <row r="286" spans="1:14" ht="15" customHeight="1">
      <c r="A286" s="46" t="s">
        <v>5026</v>
      </c>
      <c r="B286" s="46" t="str">
        <f t="shared" ca="1" si="3"/>
        <v>Date</v>
      </c>
      <c r="C286" s="46"/>
      <c r="D286" s="46" t="s">
        <v>5026</v>
      </c>
      <c r="E286" s="46"/>
      <c r="F286" s="46"/>
      <c r="G286" s="46"/>
      <c r="H286" s="46"/>
      <c r="I286" s="46"/>
      <c r="J286" s="46"/>
      <c r="K286" s="46"/>
      <c r="L286" s="46"/>
      <c r="M286" s="46"/>
      <c r="N286" s="46"/>
    </row>
    <row r="287" spans="1:14" ht="15" customHeight="1">
      <c r="A287" s="46" t="s">
        <v>5029</v>
      </c>
      <c r="B287" s="46" t="str">
        <f t="shared" ca="1" si="3"/>
        <v>Legal Name</v>
      </c>
      <c r="C287" s="46"/>
      <c r="D287" s="46" t="s">
        <v>5029</v>
      </c>
      <c r="E287" s="46"/>
      <c r="F287" s="46"/>
      <c r="G287" s="46"/>
      <c r="H287" s="46"/>
      <c r="I287" s="46"/>
      <c r="J287" s="46"/>
      <c r="K287" s="46"/>
      <c r="L287" s="46"/>
      <c r="M287" s="46"/>
      <c r="N287" s="46"/>
    </row>
    <row r="288" spans="1:14" ht="15" customHeight="1">
      <c r="A288" s="46" t="s">
        <v>5030</v>
      </c>
      <c r="B288" s="46" t="str">
        <f t="shared" ca="1" si="3"/>
        <v>Spouse Employment Status</v>
      </c>
      <c r="C288" s="46"/>
      <c r="D288" s="46" t="s">
        <v>5030</v>
      </c>
      <c r="E288" s="46"/>
      <c r="F288" s="46"/>
      <c r="G288" s="46"/>
      <c r="H288" s="46"/>
      <c r="I288" s="46"/>
      <c r="J288" s="46"/>
      <c r="K288" s="46"/>
      <c r="L288" s="46"/>
      <c r="M288" s="46"/>
      <c r="N288" s="46"/>
    </row>
    <row r="289" spans="1:14" ht="15" customHeight="1">
      <c r="A289" s="46" t="s">
        <v>5031</v>
      </c>
      <c r="B289" s="46" t="str">
        <f t="shared" ca="1" si="3"/>
        <v>Military Status</v>
      </c>
      <c r="C289" s="46"/>
      <c r="D289" s="46" t="s">
        <v>5031</v>
      </c>
      <c r="E289" s="46"/>
      <c r="F289" s="46"/>
      <c r="G289" s="46"/>
      <c r="H289" s="46"/>
      <c r="I289" s="46"/>
      <c r="J289" s="46"/>
      <c r="K289" s="46"/>
      <c r="L289" s="46"/>
      <c r="M289" s="46"/>
      <c r="N289" s="46"/>
    </row>
    <row r="290" spans="1:14" ht="15" customHeight="1">
      <c r="A290" s="46" t="s">
        <v>2772</v>
      </c>
      <c r="B290" s="46" t="str">
        <f t="shared" ca="1" si="3"/>
        <v>Issue Date</v>
      </c>
      <c r="C290" s="46"/>
      <c r="D290" s="46" t="s">
        <v>2772</v>
      </c>
      <c r="E290" s="46"/>
      <c r="F290" s="46"/>
      <c r="G290" s="46"/>
      <c r="H290" s="46"/>
      <c r="I290" s="46"/>
      <c r="J290" s="46"/>
      <c r="K290" s="46"/>
      <c r="L290" s="46"/>
      <c r="M290" s="46"/>
      <c r="N290" s="46"/>
    </row>
    <row r="291" spans="1:14" ht="15" customHeight="1">
      <c r="A291" s="46" t="s">
        <v>2773</v>
      </c>
      <c r="B291" s="46" t="str">
        <f t="shared" ca="1" si="3"/>
        <v>Expiry Date</v>
      </c>
      <c r="C291" s="46"/>
      <c r="D291" s="46" t="s">
        <v>2773</v>
      </c>
      <c r="E291" s="46"/>
      <c r="F291" s="46"/>
      <c r="G291" s="46"/>
      <c r="H291" s="46"/>
      <c r="I291" s="46"/>
      <c r="J291" s="46"/>
      <c r="K291" s="46"/>
      <c r="L291" s="46"/>
      <c r="M291" s="46"/>
      <c r="N291" s="46"/>
    </row>
    <row r="292" spans="1:14" ht="15" customHeight="1">
      <c r="A292" s="46" t="s">
        <v>5032</v>
      </c>
      <c r="B292" s="46" t="str">
        <f t="shared" ca="1" si="3"/>
        <v>Start Date</v>
      </c>
      <c r="C292" s="46"/>
      <c r="D292" s="46" t="s">
        <v>5032</v>
      </c>
      <c r="E292" s="46"/>
      <c r="F292" s="46"/>
      <c r="G292" s="46"/>
      <c r="H292" s="46"/>
      <c r="I292" s="46"/>
      <c r="J292" s="46"/>
      <c r="K292" s="46"/>
      <c r="L292" s="46"/>
      <c r="M292" s="46"/>
      <c r="N292" s="46"/>
    </row>
    <row r="293" spans="1:14" ht="15" customHeight="1">
      <c r="A293" s="46" t="s">
        <v>5033</v>
      </c>
      <c r="B293" s="46" t="str">
        <f t="shared" ca="1" si="3"/>
        <v>Institution Name</v>
      </c>
      <c r="C293" s="46"/>
      <c r="D293" s="46" t="s">
        <v>5033</v>
      </c>
      <c r="E293" s="46"/>
      <c r="F293" s="46"/>
      <c r="G293" s="46"/>
      <c r="H293" s="46"/>
      <c r="I293" s="46"/>
      <c r="J293" s="46"/>
      <c r="K293" s="46"/>
      <c r="L293" s="46"/>
      <c r="M293" s="46"/>
      <c r="N293" s="46"/>
    </row>
    <row r="294" spans="1:14" ht="15" customHeight="1">
      <c r="A294" s="46" t="s">
        <v>5034</v>
      </c>
      <c r="B294" s="46" t="str">
        <f t="shared" ca="1" si="3"/>
        <v>Type of Institution</v>
      </c>
      <c r="C294" s="46"/>
      <c r="D294" s="46" t="s">
        <v>5034</v>
      </c>
      <c r="E294" s="46"/>
      <c r="F294" s="46"/>
      <c r="G294" s="46"/>
      <c r="H294" s="46"/>
      <c r="I294" s="46"/>
      <c r="J294" s="46"/>
      <c r="K294" s="46"/>
      <c r="L294" s="46"/>
      <c r="M294" s="46"/>
      <c r="N294" s="46"/>
    </row>
    <row r="295" spans="1:14" ht="15" customHeight="1">
      <c r="A295" s="46" t="s">
        <v>320</v>
      </c>
      <c r="B295" s="46" t="str">
        <f t="shared" ca="1" si="3"/>
        <v>Country</v>
      </c>
      <c r="C295" s="46"/>
      <c r="D295" s="46" t="s">
        <v>320</v>
      </c>
      <c r="E295" s="46"/>
      <c r="F295" s="46"/>
      <c r="G295" s="46"/>
      <c r="H295" s="46"/>
      <c r="I295" s="46"/>
      <c r="J295" s="46"/>
      <c r="K295" s="46"/>
      <c r="L295" s="46"/>
      <c r="M295" s="46"/>
      <c r="N295" s="46"/>
    </row>
    <row r="296" spans="1:14" ht="15" customHeight="1">
      <c r="A296" s="46" t="s">
        <v>5035</v>
      </c>
      <c r="B296" s="46" t="str">
        <f t="shared" ca="1" si="3"/>
        <v>Type of Degree</v>
      </c>
      <c r="C296" s="46"/>
      <c r="D296" s="46" t="s">
        <v>5035</v>
      </c>
      <c r="E296" s="46"/>
      <c r="F296" s="46"/>
      <c r="G296" s="46"/>
      <c r="H296" s="46"/>
      <c r="I296" s="46"/>
      <c r="J296" s="46"/>
      <c r="K296" s="46"/>
      <c r="L296" s="46"/>
      <c r="M296" s="46"/>
      <c r="N296" s="46"/>
    </row>
    <row r="297" spans="1:14" ht="15" customHeight="1">
      <c r="A297" s="46" t="s">
        <v>5036</v>
      </c>
      <c r="B297" s="46" t="str">
        <f t="shared" ca="1" si="3"/>
        <v>End Date</v>
      </c>
      <c r="C297" s="46"/>
      <c r="D297" s="46" t="s">
        <v>5036</v>
      </c>
      <c r="E297" s="46"/>
      <c r="F297" s="46"/>
      <c r="G297" s="46"/>
      <c r="H297" s="46"/>
      <c r="I297" s="46"/>
      <c r="J297" s="46"/>
      <c r="K297" s="46"/>
      <c r="L297" s="46"/>
      <c r="M297" s="46"/>
      <c r="N297" s="46"/>
    </row>
    <row r="298" spans="1:14" ht="15" customHeight="1">
      <c r="A298" s="46" t="s">
        <v>5037</v>
      </c>
      <c r="B298" s="46" t="str">
        <f t="shared" ca="1" si="3"/>
        <v>Qualificat. Attained1</v>
      </c>
      <c r="C298" s="46"/>
      <c r="D298" s="46" t="s">
        <v>5037</v>
      </c>
      <c r="E298" s="46"/>
      <c r="F298" s="46"/>
      <c r="G298" s="46"/>
      <c r="H298" s="46"/>
      <c r="I298" s="46"/>
      <c r="J298" s="46"/>
      <c r="K298" s="46"/>
      <c r="L298" s="46"/>
      <c r="M298" s="46"/>
      <c r="N298" s="46"/>
    </row>
    <row r="299" spans="1:14" ht="15" customHeight="1">
      <c r="A299" s="46" t="s">
        <v>5038</v>
      </c>
      <c r="B299" s="46" t="str">
        <f t="shared" ca="1" si="3"/>
        <v>Qualificat. Attained2</v>
      </c>
      <c r="C299" s="46"/>
      <c r="D299" s="46" t="s">
        <v>5038</v>
      </c>
      <c r="E299" s="46"/>
      <c r="F299" s="46"/>
      <c r="G299" s="46"/>
      <c r="H299" s="46"/>
      <c r="I299" s="46"/>
      <c r="J299" s="46"/>
      <c r="K299" s="46"/>
      <c r="L299" s="46"/>
      <c r="M299" s="46"/>
      <c r="N299" s="46"/>
    </row>
    <row r="300" spans="1:14" ht="15" customHeight="1">
      <c r="A300" s="46" t="s">
        <v>5039</v>
      </c>
      <c r="B300" s="46" t="str">
        <f t="shared" ca="1" si="3"/>
        <v>Probationary Period (119 days of probation)</v>
      </c>
      <c r="C300" s="46"/>
      <c r="D300" s="46" t="s">
        <v>5039</v>
      </c>
      <c r="E300" s="46"/>
      <c r="F300" s="46"/>
      <c r="G300" s="46"/>
      <c r="H300" s="46"/>
      <c r="I300" s="46"/>
      <c r="J300" s="46"/>
      <c r="K300" s="46"/>
      <c r="L300" s="46"/>
      <c r="M300" s="46"/>
      <c r="N300" s="46"/>
    </row>
    <row r="301" spans="1:14" ht="15" customHeight="1">
      <c r="A301" s="46" t="s">
        <v>5041</v>
      </c>
      <c r="B301" s="46" t="str">
        <f t="shared" ca="1" si="3"/>
        <v>EE Contr No</v>
      </c>
      <c r="C301" s="46"/>
      <c r="D301" s="46" t="s">
        <v>5041</v>
      </c>
      <c r="E301" s="46"/>
      <c r="F301" s="46"/>
      <c r="G301" s="46"/>
      <c r="H301" s="46"/>
      <c r="I301" s="46"/>
      <c r="J301" s="46"/>
      <c r="K301" s="46"/>
      <c r="L301" s="46"/>
      <c r="M301" s="46"/>
      <c r="N301" s="46"/>
    </row>
    <row r="302" spans="1:14" ht="15" customHeight="1">
      <c r="A302" s="46" t="s">
        <v>5042</v>
      </c>
      <c r="B302" s="46" t="str">
        <f t="shared" ca="1" si="3"/>
        <v>PF Employee Contr</v>
      </c>
      <c r="C302" s="46"/>
      <c r="D302" s="46" t="s">
        <v>5042</v>
      </c>
      <c r="E302" s="46"/>
      <c r="F302" s="46"/>
      <c r="G302" s="46"/>
      <c r="H302" s="46"/>
      <c r="I302" s="46"/>
      <c r="J302" s="46"/>
      <c r="K302" s="46"/>
      <c r="L302" s="46"/>
      <c r="M302" s="46"/>
      <c r="N302" s="46"/>
    </row>
    <row r="303" spans="1:14" ht="15" customHeight="1">
      <c r="A303" s="46" t="s">
        <v>5043</v>
      </c>
      <c r="B303" s="46" t="str">
        <f t="shared" ca="1" si="3"/>
        <v>Contribution Category</v>
      </c>
      <c r="C303" s="46"/>
      <c r="D303" s="46" t="s">
        <v>5043</v>
      </c>
      <c r="E303" s="46"/>
      <c r="F303" s="46"/>
      <c r="G303" s="46"/>
      <c r="H303" s="46"/>
      <c r="I303" s="46"/>
      <c r="J303" s="46"/>
      <c r="K303" s="46"/>
      <c r="L303" s="46"/>
      <c r="M303" s="46"/>
      <c r="N303" s="46"/>
    </row>
    <row r="304" spans="1:14" ht="15" customHeight="1">
      <c r="A304" s="46" t="s">
        <v>5044</v>
      </c>
      <c r="B304" s="46" t="str">
        <f t="shared" ca="1" si="3"/>
        <v>Social Security No</v>
      </c>
      <c r="C304" s="46"/>
      <c r="D304" s="46" t="s">
        <v>5044</v>
      </c>
      <c r="E304" s="46"/>
      <c r="F304" s="46"/>
      <c r="G304" s="46"/>
      <c r="H304" s="46"/>
      <c r="I304" s="46"/>
      <c r="J304" s="46"/>
      <c r="K304" s="46"/>
      <c r="L304" s="46"/>
      <c r="M304" s="46"/>
      <c r="N304" s="46"/>
    </row>
    <row r="305" spans="1:14" ht="15" customHeight="1">
      <c r="A305" s="46" t="s">
        <v>5045</v>
      </c>
      <c r="B305" s="46" t="str">
        <f t="shared" ca="1" si="3"/>
        <v>Employee uses ESS Do Not Print Payslip</v>
      </c>
      <c r="C305" s="46"/>
      <c r="D305" s="46" t="s">
        <v>5045</v>
      </c>
      <c r="E305" s="46"/>
      <c r="F305" s="46"/>
      <c r="G305" s="46"/>
      <c r="H305" s="46"/>
      <c r="I305" s="46"/>
      <c r="J305" s="46"/>
      <c r="K305" s="46"/>
      <c r="L305" s="46"/>
      <c r="M305" s="46"/>
      <c r="N305" s="46"/>
    </row>
    <row r="306" spans="1:14" ht="15" customHeight="1">
      <c r="A306" s="46" t="s">
        <v>5046</v>
      </c>
      <c r="B306" s="46" t="str">
        <f t="shared" ca="1" si="3"/>
        <v>EE Tax ID</v>
      </c>
      <c r="C306" s="46"/>
      <c r="D306" s="46" t="s">
        <v>5046</v>
      </c>
      <c r="E306" s="46"/>
      <c r="F306" s="46"/>
      <c r="G306" s="46"/>
      <c r="H306" s="46"/>
      <c r="I306" s="46"/>
      <c r="J306" s="46"/>
      <c r="K306" s="46"/>
      <c r="L306" s="46"/>
      <c r="M306" s="46"/>
      <c r="N306" s="46"/>
    </row>
    <row r="307" spans="1:14" ht="15" customHeight="1">
      <c r="A307" s="46" t="s">
        <v>5047</v>
      </c>
      <c r="B307" s="46" t="str">
        <f t="shared" ca="1" si="3"/>
        <v>Fixed Bonus</v>
      </c>
      <c r="C307" s="46"/>
      <c r="D307" s="46" t="s">
        <v>5047</v>
      </c>
      <c r="E307" s="46"/>
      <c r="F307" s="46"/>
      <c r="G307" s="46"/>
      <c r="H307" s="46"/>
      <c r="I307" s="46"/>
      <c r="J307" s="46"/>
      <c r="K307" s="46"/>
      <c r="L307" s="46"/>
      <c r="M307" s="46"/>
      <c r="N307" s="46"/>
    </row>
    <row r="308" spans="1:14" ht="15" customHeight="1">
      <c r="A308" s="46" t="s">
        <v>5049</v>
      </c>
      <c r="B308" s="46" t="str">
        <f t="shared" ca="1" si="3"/>
        <v>Tax ID Number</v>
      </c>
      <c r="C308" s="46"/>
      <c r="D308" s="46" t="s">
        <v>5049</v>
      </c>
      <c r="E308" s="46"/>
      <c r="F308" s="46"/>
      <c r="G308" s="46"/>
      <c r="H308" s="46"/>
      <c r="I308" s="46"/>
      <c r="J308" s="46"/>
      <c r="K308" s="46"/>
      <c r="L308" s="46"/>
      <c r="M308" s="46"/>
      <c r="N308" s="46"/>
    </row>
    <row r="309" spans="1:14" ht="15" customHeight="1">
      <c r="A309" s="46" t="s">
        <v>5050</v>
      </c>
      <c r="B309" s="46" t="str">
        <f t="shared" ca="1" si="3"/>
        <v>Tax Status</v>
      </c>
      <c r="C309" s="46"/>
      <c r="D309" s="46" t="s">
        <v>5050</v>
      </c>
      <c r="E309" s="46"/>
      <c r="F309" s="46"/>
      <c r="G309" s="46"/>
      <c r="H309" s="46"/>
      <c r="I309" s="46"/>
      <c r="J309" s="46"/>
      <c r="K309" s="46"/>
      <c r="L309" s="46"/>
      <c r="M309" s="46"/>
      <c r="N309" s="46"/>
    </row>
    <row r="310" spans="1:14" ht="15" customHeight="1">
      <c r="A310" s="46" t="s">
        <v>5051</v>
      </c>
      <c r="B310" s="46" t="str">
        <f t="shared" ref="B310:B366" ca="1" si="4">IFERROR(IF(ISBLANK(OFFSET(B310,0,$Q$1-1)),D310,OFFSET(B310,0,$Q$1-1)),"Please select language")</f>
        <v>HDMF Number</v>
      </c>
      <c r="C310" s="46"/>
      <c r="D310" s="46" t="s">
        <v>5051</v>
      </c>
      <c r="E310" s="46"/>
      <c r="F310" s="46"/>
      <c r="G310" s="46"/>
      <c r="H310" s="46"/>
      <c r="I310" s="46"/>
      <c r="J310" s="46"/>
      <c r="K310" s="46"/>
      <c r="L310" s="46"/>
      <c r="M310" s="46"/>
      <c r="N310" s="46"/>
    </row>
    <row r="311" spans="1:14" ht="15" customHeight="1">
      <c r="A311" s="46" t="s">
        <v>5052</v>
      </c>
      <c r="B311" s="46" t="str">
        <f t="shared" ca="1" si="4"/>
        <v>PhilHealth Number</v>
      </c>
      <c r="C311" s="46"/>
      <c r="D311" s="46" t="s">
        <v>5052</v>
      </c>
      <c r="E311" s="46"/>
      <c r="F311" s="46"/>
      <c r="G311" s="46"/>
      <c r="H311" s="46"/>
      <c r="I311" s="46"/>
      <c r="J311" s="46"/>
      <c r="K311" s="46"/>
      <c r="L311" s="46"/>
      <c r="M311" s="46"/>
      <c r="N311" s="46"/>
    </row>
    <row r="312" spans="1:14" ht="15" customHeight="1">
      <c r="A312" s="46" t="s">
        <v>5053</v>
      </c>
      <c r="B312" s="46" t="str">
        <f t="shared" ca="1" si="4"/>
        <v>Name of Employer</v>
      </c>
      <c r="C312" s="46"/>
      <c r="D312" s="46" t="s">
        <v>5053</v>
      </c>
      <c r="E312" s="46"/>
      <c r="F312" s="46"/>
      <c r="G312" s="46"/>
      <c r="H312" s="46"/>
      <c r="I312" s="46"/>
      <c r="J312" s="46"/>
      <c r="K312" s="46"/>
      <c r="L312" s="46"/>
      <c r="M312" s="46"/>
      <c r="N312" s="46"/>
    </row>
    <row r="313" spans="1:14" ht="15" customHeight="1">
      <c r="A313" s="46" t="s">
        <v>5054</v>
      </c>
      <c r="B313" s="46" t="str">
        <f t="shared" ca="1" si="4"/>
        <v>Name ofSupervisor</v>
      </c>
      <c r="C313" s="46"/>
      <c r="D313" s="46" t="s">
        <v>5054</v>
      </c>
      <c r="E313" s="46"/>
      <c r="F313" s="46"/>
      <c r="G313" s="46"/>
      <c r="H313" s="46"/>
      <c r="I313" s="46"/>
      <c r="J313" s="46"/>
      <c r="K313" s="46"/>
      <c r="L313" s="46"/>
      <c r="M313" s="46"/>
      <c r="N313" s="46"/>
    </row>
    <row r="314" spans="1:14" ht="15" customHeight="1">
      <c r="A314" s="46" t="s">
        <v>5055</v>
      </c>
      <c r="B314" s="46" t="str">
        <f t="shared" ca="1" si="4"/>
        <v>Job Title</v>
      </c>
      <c r="C314" s="46"/>
      <c r="D314" s="46" t="s">
        <v>5055</v>
      </c>
      <c r="E314" s="46"/>
      <c r="F314" s="46"/>
      <c r="G314" s="46"/>
      <c r="H314" s="46"/>
      <c r="I314" s="46"/>
      <c r="J314" s="46"/>
      <c r="K314" s="46"/>
      <c r="L314" s="46"/>
      <c r="M314" s="46"/>
      <c r="N314" s="46"/>
    </row>
    <row r="315" spans="1:14" ht="15" customHeight="1">
      <c r="A315" s="46" t="s">
        <v>5056</v>
      </c>
      <c r="B315" s="46" t="str">
        <f t="shared" ca="1" si="4"/>
        <v>Mthly Base Salary</v>
      </c>
      <c r="C315" s="46"/>
      <c r="D315" s="46" t="s">
        <v>5056</v>
      </c>
      <c r="E315" s="46"/>
      <c r="F315" s="46"/>
      <c r="G315" s="46"/>
      <c r="H315" s="46"/>
      <c r="I315" s="46"/>
      <c r="J315" s="46"/>
      <c r="K315" s="46"/>
      <c r="L315" s="46"/>
      <c r="M315" s="46"/>
      <c r="N315" s="46"/>
    </row>
    <row r="316" spans="1:14" ht="15" customHeight="1">
      <c r="A316" s="46" t="s">
        <v>5057</v>
      </c>
      <c r="B316" s="46" t="str">
        <f t="shared" ca="1" si="4"/>
        <v>Fixed Allowances</v>
      </c>
      <c r="C316" s="46"/>
      <c r="D316" s="46" t="s">
        <v>5057</v>
      </c>
      <c r="E316" s="46"/>
      <c r="F316" s="46"/>
      <c r="G316" s="46"/>
      <c r="H316" s="46"/>
      <c r="I316" s="46"/>
      <c r="J316" s="46"/>
      <c r="K316" s="46"/>
      <c r="L316" s="46"/>
      <c r="M316" s="46"/>
      <c r="N316" s="46"/>
    </row>
    <row r="317" spans="1:14" ht="15" customHeight="1">
      <c r="A317" s="46" t="s">
        <v>5058</v>
      </c>
      <c r="B317" s="46" t="str">
        <f t="shared" ca="1" si="4"/>
        <v>Ave Variable Bonus (Mths)</v>
      </c>
      <c r="C317" s="46"/>
      <c r="D317" s="46" t="s">
        <v>5058</v>
      </c>
      <c r="E317" s="46"/>
      <c r="F317" s="46"/>
      <c r="G317" s="46"/>
      <c r="H317" s="46"/>
      <c r="I317" s="46"/>
      <c r="J317" s="46"/>
      <c r="K317" s="46"/>
      <c r="L317" s="46"/>
      <c r="M317" s="46"/>
      <c r="N317" s="46"/>
    </row>
    <row r="318" spans="1:14" ht="15" customHeight="1">
      <c r="A318" s="46" t="s">
        <v>5059</v>
      </c>
      <c r="B318" s="46" t="str">
        <f t="shared" ca="1" si="4"/>
        <v>Employment Type</v>
      </c>
      <c r="C318" s="46"/>
      <c r="D318" s="46" t="s">
        <v>5059</v>
      </c>
      <c r="E318" s="46"/>
      <c r="F318" s="46"/>
      <c r="G318" s="46"/>
      <c r="H318" s="46"/>
      <c r="I318" s="46"/>
      <c r="J318" s="46"/>
      <c r="K318" s="46"/>
      <c r="L318" s="46"/>
      <c r="M318" s="46"/>
      <c r="N318" s="46"/>
    </row>
    <row r="319" spans="1:14" ht="15" customHeight="1">
      <c r="A319" s="46" t="s">
        <v>5060</v>
      </c>
      <c r="B319" s="46" t="str">
        <f t="shared" ca="1" si="4"/>
        <v>AB Number</v>
      </c>
      <c r="C319" s="46"/>
      <c r="D319" s="46" t="s">
        <v>5060</v>
      </c>
      <c r="E319" s="46"/>
      <c r="F319" s="46"/>
      <c r="G319" s="46"/>
      <c r="H319" s="46"/>
      <c r="I319" s="46"/>
      <c r="J319" s="46"/>
      <c r="K319" s="46"/>
      <c r="L319" s="46"/>
      <c r="M319" s="46"/>
      <c r="N319" s="46"/>
    </row>
    <row r="320" spans="1:14" ht="15" customHeight="1">
      <c r="A320" s="46" t="s">
        <v>5071</v>
      </c>
      <c r="B320" s="46" t="str">
        <f t="shared" ca="1" si="4"/>
        <v>Care of Name</v>
      </c>
      <c r="C320" s="46"/>
      <c r="D320" s="46" t="s">
        <v>5071</v>
      </c>
      <c r="E320" s="46"/>
      <c r="F320" s="46"/>
      <c r="G320" s="46"/>
      <c r="H320" s="46"/>
      <c r="I320" s="46"/>
      <c r="J320" s="46"/>
      <c r="K320" s="46"/>
      <c r="L320" s="46"/>
      <c r="M320" s="46"/>
      <c r="N320" s="46"/>
    </row>
    <row r="321" spans="1:14" ht="15" customHeight="1">
      <c r="A321" s="46" t="s">
        <v>5072</v>
      </c>
      <c r="B321" s="46" t="str">
        <f t="shared" ca="1" si="4"/>
        <v>Jamsostek ID No</v>
      </c>
      <c r="C321" s="46"/>
      <c r="D321" s="46" t="s">
        <v>5072</v>
      </c>
      <c r="E321" s="46"/>
      <c r="F321" s="46"/>
      <c r="G321" s="46"/>
      <c r="H321" s="46"/>
      <c r="I321" s="46"/>
      <c r="J321" s="46"/>
      <c r="K321" s="46"/>
      <c r="L321" s="46"/>
      <c r="M321" s="46"/>
      <c r="N321" s="46"/>
    </row>
    <row r="322" spans="1:14" ht="15" customHeight="1">
      <c r="A322" s="46" t="s">
        <v>5073</v>
      </c>
      <c r="B322" s="46" t="str">
        <f t="shared" ca="1" si="4"/>
        <v>Number of Children</v>
      </c>
      <c r="C322" s="46"/>
      <c r="D322" s="46" t="s">
        <v>5073</v>
      </c>
      <c r="E322" s="46"/>
      <c r="F322" s="46"/>
      <c r="G322" s="46"/>
      <c r="H322" s="46"/>
      <c r="I322" s="46"/>
      <c r="J322" s="46"/>
      <c r="K322" s="46"/>
      <c r="L322" s="46"/>
      <c r="M322" s="46"/>
      <c r="N322" s="46"/>
    </row>
    <row r="323" spans="1:14" ht="15" customHeight="1">
      <c r="A323" s="46" t="s">
        <v>5074</v>
      </c>
      <c r="B323" s="46" t="str">
        <f t="shared" ca="1" si="4"/>
        <v>Place of Issue</v>
      </c>
      <c r="C323" s="46"/>
      <c r="D323" s="46" t="s">
        <v>5074</v>
      </c>
      <c r="E323" s="46"/>
      <c r="F323" s="46"/>
      <c r="G323" s="46"/>
      <c r="H323" s="46"/>
      <c r="I323" s="46"/>
      <c r="J323" s="46"/>
      <c r="K323" s="46"/>
      <c r="L323" s="46"/>
      <c r="M323" s="46"/>
      <c r="N323" s="46"/>
    </row>
    <row r="324" spans="1:14" ht="15" customHeight="1">
      <c r="A324" s="46" t="s">
        <v>5075</v>
      </c>
      <c r="B324" s="46" t="str">
        <f t="shared" ca="1" si="4"/>
        <v>Hospital</v>
      </c>
      <c r="C324" s="46"/>
      <c r="D324" s="46" t="s">
        <v>5075</v>
      </c>
      <c r="E324" s="46"/>
      <c r="F324" s="46"/>
      <c r="G324" s="46"/>
      <c r="H324" s="46"/>
      <c r="I324" s="46"/>
      <c r="J324" s="46"/>
      <c r="K324" s="46"/>
      <c r="L324" s="46"/>
      <c r="M324" s="46"/>
      <c r="N324" s="46"/>
    </row>
    <row r="325" spans="1:14" ht="15" customHeight="1">
      <c r="A325" s="46" t="s">
        <v>5076</v>
      </c>
      <c r="B325" s="46" t="str">
        <f t="shared" ca="1" si="4"/>
        <v>Tax Dependent Relief</v>
      </c>
      <c r="C325" s="46"/>
      <c r="D325" s="46" t="s">
        <v>5076</v>
      </c>
      <c r="E325" s="46"/>
      <c r="F325" s="46"/>
      <c r="G325" s="46"/>
      <c r="H325" s="46"/>
      <c r="I325" s="46"/>
      <c r="J325" s="46"/>
      <c r="K325" s="46"/>
      <c r="L325" s="46"/>
      <c r="M325" s="46"/>
      <c r="N325" s="46"/>
    </row>
    <row r="326" spans="1:14" ht="15" customHeight="1">
      <c r="A326" s="46" t="s">
        <v>5077</v>
      </c>
      <c r="B326" s="46" t="str">
        <f t="shared" ca="1" si="4"/>
        <v>Nature of Person</v>
      </c>
      <c r="C326" s="46"/>
      <c r="D326" s="46" t="s">
        <v>5077</v>
      </c>
      <c r="E326" s="46"/>
      <c r="F326" s="46"/>
      <c r="G326" s="46"/>
      <c r="H326" s="46"/>
      <c r="I326" s="46"/>
      <c r="J326" s="46"/>
      <c r="K326" s="46"/>
      <c r="L326" s="46"/>
      <c r="M326" s="46"/>
      <c r="N326" s="46"/>
    </row>
    <row r="327" spans="1:14" ht="15" customHeight="1">
      <c r="A327" s="46" t="s">
        <v>5078</v>
      </c>
      <c r="B327" s="46" t="str">
        <f t="shared" ca="1" si="4"/>
        <v>Nationality</v>
      </c>
      <c r="C327" s="46"/>
      <c r="D327" s="46" t="s">
        <v>5078</v>
      </c>
      <c r="E327" s="46"/>
      <c r="F327" s="46"/>
      <c r="G327" s="46"/>
      <c r="H327" s="46"/>
      <c r="I327" s="46"/>
      <c r="J327" s="46"/>
      <c r="K327" s="46"/>
      <c r="L327" s="46"/>
      <c r="M327" s="46"/>
      <c r="N327" s="46"/>
    </row>
    <row r="328" spans="1:14" ht="15" customHeight="1">
      <c r="A328" s="46" t="s">
        <v>5079</v>
      </c>
      <c r="B328" s="46" t="str">
        <f t="shared" ca="1" si="4"/>
        <v>Employment Category</v>
      </c>
      <c r="C328" s="46"/>
      <c r="D328" s="46" t="s">
        <v>5079</v>
      </c>
      <c r="E328" s="46"/>
      <c r="F328" s="46"/>
      <c r="G328" s="46"/>
      <c r="H328" s="46"/>
      <c r="I328" s="46"/>
      <c r="J328" s="46"/>
      <c r="K328" s="46"/>
      <c r="L328" s="46"/>
      <c r="M328" s="46"/>
      <c r="N328" s="46"/>
    </row>
    <row r="329" spans="1:14" ht="15" customHeight="1">
      <c r="A329" s="46" t="s">
        <v>5080</v>
      </c>
      <c r="B329" s="46" t="str">
        <f t="shared" ca="1" si="4"/>
        <v>Tax Office</v>
      </c>
      <c r="C329" s="46"/>
      <c r="D329" s="46" t="s">
        <v>5080</v>
      </c>
      <c r="E329" s="46"/>
      <c r="F329" s="46"/>
      <c r="G329" s="46"/>
      <c r="H329" s="46"/>
      <c r="I329" s="46"/>
      <c r="J329" s="46"/>
      <c r="K329" s="46"/>
      <c r="L329" s="46"/>
      <c r="M329" s="46"/>
      <c r="N329" s="46"/>
    </row>
    <row r="330" spans="1:14" ht="15" customHeight="1">
      <c r="A330" s="46" t="s">
        <v>5081</v>
      </c>
      <c r="B330" s="46" t="str">
        <f t="shared" ca="1" si="4"/>
        <v>Direct Filling By Employee</v>
      </c>
      <c r="C330" s="46"/>
      <c r="D330" s="46" t="s">
        <v>5081</v>
      </c>
      <c r="E330" s="46"/>
      <c r="F330" s="46"/>
      <c r="G330" s="46"/>
      <c r="H330" s="46"/>
      <c r="I330" s="46"/>
      <c r="J330" s="46"/>
      <c r="K330" s="46"/>
      <c r="L330" s="46"/>
      <c r="M330" s="46"/>
      <c r="N330" s="46"/>
    </row>
    <row r="331" spans="1:14" ht="15" customHeight="1">
      <c r="A331" s="46" t="s">
        <v>5082</v>
      </c>
      <c r="B331" s="46" t="str">
        <f t="shared" ca="1" si="4"/>
        <v>Calculate Contribution</v>
      </c>
      <c r="C331" s="46"/>
      <c r="D331" s="46" t="s">
        <v>5082</v>
      </c>
      <c r="E331" s="46"/>
      <c r="F331" s="46"/>
      <c r="G331" s="46"/>
      <c r="H331" s="46"/>
      <c r="I331" s="46"/>
      <c r="J331" s="46"/>
      <c r="K331" s="46"/>
      <c r="L331" s="46"/>
      <c r="M331" s="46"/>
      <c r="N331" s="46"/>
    </row>
    <row r="332" spans="1:14" ht="15" customHeight="1">
      <c r="A332" s="46" t="s">
        <v>5083</v>
      </c>
      <c r="B332" s="46" t="str">
        <f t="shared" ca="1" si="4"/>
        <v>Employer pays ee contribution</v>
      </c>
      <c r="C332" s="46"/>
      <c r="D332" s="46" t="s">
        <v>5083</v>
      </c>
      <c r="E332" s="46"/>
      <c r="F332" s="46"/>
      <c r="G332" s="46"/>
      <c r="H332" s="46"/>
      <c r="I332" s="46"/>
      <c r="J332" s="46"/>
      <c r="K332" s="46"/>
      <c r="L332" s="46"/>
      <c r="M332" s="46"/>
      <c r="N332" s="46"/>
    </row>
    <row r="333" spans="1:14" ht="15" customHeight="1">
      <c r="A333" s="46" t="s">
        <v>5084</v>
      </c>
      <c r="B333" s="46" t="str">
        <f t="shared" ca="1" si="4"/>
        <v>Complusory SI Fund</v>
      </c>
      <c r="C333" s="46"/>
      <c r="D333" s="46" t="s">
        <v>5084</v>
      </c>
      <c r="E333" s="46"/>
      <c r="F333" s="46"/>
      <c r="G333" s="46"/>
      <c r="H333" s="46"/>
      <c r="I333" s="46"/>
      <c r="J333" s="46"/>
      <c r="K333" s="46"/>
      <c r="L333" s="46"/>
      <c r="M333" s="46"/>
      <c r="N333" s="46"/>
    </row>
    <row r="334" spans="1:14" ht="15" customHeight="1">
      <c r="A334" s="46" t="s">
        <v>5085</v>
      </c>
      <c r="B334" s="46" t="str">
        <f t="shared" ca="1" si="4"/>
        <v>Compulsory SI Scheme</v>
      </c>
      <c r="C334" s="46"/>
      <c r="D334" s="46" t="s">
        <v>5085</v>
      </c>
      <c r="E334" s="46"/>
      <c r="F334" s="46"/>
      <c r="G334" s="46"/>
      <c r="H334" s="46"/>
      <c r="I334" s="46"/>
      <c r="J334" s="46"/>
      <c r="K334" s="46"/>
      <c r="L334" s="46"/>
      <c r="M334" s="46"/>
      <c r="N334" s="46"/>
    </row>
    <row r="335" spans="1:14" ht="15" customHeight="1">
      <c r="A335" s="46" t="s">
        <v>5082</v>
      </c>
      <c r="B335" s="46" t="str">
        <f t="shared" ca="1" si="4"/>
        <v>Calculate Contribution</v>
      </c>
      <c r="C335" s="46"/>
      <c r="D335" s="46" t="s">
        <v>5082</v>
      </c>
      <c r="E335" s="46"/>
      <c r="F335" s="46"/>
      <c r="G335" s="46"/>
      <c r="H335" s="46"/>
      <c r="I335" s="46"/>
      <c r="J335" s="46"/>
      <c r="K335" s="46"/>
      <c r="L335" s="46"/>
      <c r="M335" s="46"/>
      <c r="N335" s="46"/>
    </row>
    <row r="336" spans="1:14" ht="15" customHeight="1">
      <c r="A336" s="46" t="s">
        <v>5083</v>
      </c>
      <c r="B336" s="46" t="str">
        <f t="shared" ca="1" si="4"/>
        <v>Employer pays ee contribution</v>
      </c>
      <c r="C336" s="46"/>
      <c r="D336" s="46" t="s">
        <v>5083</v>
      </c>
      <c r="E336" s="46"/>
      <c r="F336" s="46"/>
      <c r="G336" s="46"/>
      <c r="H336" s="46"/>
      <c r="I336" s="46"/>
      <c r="J336" s="46"/>
      <c r="K336" s="46"/>
      <c r="L336" s="46"/>
      <c r="M336" s="46"/>
      <c r="N336" s="46"/>
    </row>
    <row r="337" spans="1:14" ht="15" customHeight="1">
      <c r="A337" s="46" t="s">
        <v>5086</v>
      </c>
      <c r="B337" s="46" t="str">
        <f t="shared" ca="1" si="4"/>
        <v>Unemployment SI Fund</v>
      </c>
      <c r="C337" s="46"/>
      <c r="D337" s="46" t="s">
        <v>5086</v>
      </c>
      <c r="E337" s="46"/>
      <c r="F337" s="46"/>
      <c r="G337" s="46"/>
      <c r="H337" s="46"/>
      <c r="I337" s="46"/>
      <c r="J337" s="46"/>
      <c r="K337" s="46"/>
      <c r="L337" s="46"/>
      <c r="M337" s="46"/>
      <c r="N337" s="46"/>
    </row>
    <row r="338" spans="1:14" ht="15" customHeight="1">
      <c r="A338" s="46" t="s">
        <v>5087</v>
      </c>
      <c r="B338" s="46" t="str">
        <f t="shared" ca="1" si="4"/>
        <v>Unemployment SI Scheme</v>
      </c>
      <c r="C338" s="46"/>
      <c r="D338" s="46" t="s">
        <v>5087</v>
      </c>
      <c r="E338" s="46"/>
      <c r="F338" s="46"/>
      <c r="G338" s="46"/>
      <c r="H338" s="46"/>
      <c r="I338" s="46"/>
      <c r="J338" s="46"/>
      <c r="K338" s="46"/>
      <c r="L338" s="46"/>
      <c r="M338" s="46"/>
      <c r="N338" s="46"/>
    </row>
    <row r="339" spans="1:14" ht="15" customHeight="1">
      <c r="A339" s="46" t="s">
        <v>5082</v>
      </c>
      <c r="B339" s="46" t="str">
        <f t="shared" ca="1" si="4"/>
        <v>Calculate Contribution</v>
      </c>
      <c r="C339" s="46"/>
      <c r="D339" s="46" t="s">
        <v>5082</v>
      </c>
      <c r="E339" s="46"/>
      <c r="F339" s="46"/>
      <c r="G339" s="46"/>
      <c r="H339" s="46"/>
      <c r="I339" s="46"/>
      <c r="J339" s="46"/>
      <c r="K339" s="46"/>
      <c r="L339" s="46"/>
      <c r="M339" s="46"/>
      <c r="N339" s="46"/>
    </row>
    <row r="340" spans="1:14" ht="15" customHeight="1">
      <c r="A340" s="46" t="s">
        <v>5083</v>
      </c>
      <c r="B340" s="46" t="str">
        <f t="shared" ca="1" si="4"/>
        <v>Employer pays ee contribution</v>
      </c>
      <c r="C340" s="46"/>
      <c r="D340" s="46" t="s">
        <v>5083</v>
      </c>
      <c r="E340" s="46"/>
      <c r="F340" s="46"/>
      <c r="G340" s="46"/>
      <c r="H340" s="46"/>
      <c r="I340" s="46"/>
      <c r="J340" s="46"/>
      <c r="K340" s="46"/>
      <c r="L340" s="46"/>
      <c r="M340" s="46"/>
      <c r="N340" s="46"/>
    </row>
    <row r="341" spans="1:14" ht="15" customHeight="1">
      <c r="A341" s="46" t="s">
        <v>5088</v>
      </c>
      <c r="B341" s="46" t="str">
        <f t="shared" ca="1" si="4"/>
        <v>Health SI Fund</v>
      </c>
      <c r="C341" s="46"/>
      <c r="D341" s="46" t="s">
        <v>5088</v>
      </c>
      <c r="E341" s="46"/>
      <c r="F341" s="46"/>
      <c r="G341" s="46"/>
      <c r="H341" s="46"/>
      <c r="I341" s="46"/>
      <c r="J341" s="46"/>
      <c r="K341" s="46"/>
      <c r="L341" s="46"/>
      <c r="M341" s="46"/>
      <c r="N341" s="46"/>
    </row>
    <row r="342" spans="1:14" ht="15" customHeight="1">
      <c r="A342" s="46" t="s">
        <v>5089</v>
      </c>
      <c r="B342" s="46" t="str">
        <f t="shared" ca="1" si="4"/>
        <v>Health SI Scheme</v>
      </c>
      <c r="C342" s="46"/>
      <c r="D342" s="46" t="s">
        <v>5089</v>
      </c>
      <c r="E342" s="46"/>
      <c r="F342" s="46"/>
      <c r="G342" s="46"/>
      <c r="H342" s="46"/>
      <c r="I342" s="46"/>
      <c r="J342" s="46"/>
      <c r="K342" s="46"/>
      <c r="L342" s="46"/>
      <c r="M342" s="46"/>
      <c r="N342" s="46"/>
    </row>
    <row r="343" spans="1:14" ht="15" customHeight="1">
      <c r="A343" s="46" t="s">
        <v>5090</v>
      </c>
      <c r="B343" s="46" t="str">
        <f t="shared" ca="1" si="4"/>
        <v>Health Insurance Category</v>
      </c>
      <c r="C343" s="46"/>
      <c r="D343" s="46" t="s">
        <v>5090</v>
      </c>
      <c r="E343" s="46"/>
      <c r="F343" s="46"/>
      <c r="G343" s="46"/>
      <c r="H343" s="46"/>
      <c r="I343" s="46"/>
      <c r="J343" s="46"/>
      <c r="K343" s="46"/>
      <c r="L343" s="46"/>
      <c r="M343" s="46"/>
      <c r="N343" s="46"/>
    </row>
    <row r="344" spans="1:14" ht="15" customHeight="1">
      <c r="A344" s="46" t="s">
        <v>5106</v>
      </c>
      <c r="B344" s="46" t="str">
        <f t="shared" ca="1" si="4"/>
        <v>Income Tax Number</v>
      </c>
      <c r="C344" s="46"/>
      <c r="D344" s="46" t="s">
        <v>5106</v>
      </c>
      <c r="E344" s="46"/>
      <c r="F344" s="46"/>
      <c r="G344" s="46"/>
      <c r="H344" s="46"/>
      <c r="I344" s="46"/>
      <c r="J344" s="46"/>
      <c r="K344" s="46"/>
      <c r="L344" s="46"/>
      <c r="M344" s="46"/>
      <c r="N344" s="46"/>
    </row>
    <row r="345" spans="1:14" ht="15" customHeight="1">
      <c r="A345" s="46" t="s">
        <v>5107</v>
      </c>
      <c r="B345" s="46" t="str">
        <f t="shared" ca="1" si="4"/>
        <v>Name of Institution</v>
      </c>
      <c r="C345" s="46"/>
      <c r="D345" s="46" t="s">
        <v>5107</v>
      </c>
      <c r="E345" s="46"/>
      <c r="F345" s="46"/>
      <c r="G345" s="46"/>
      <c r="H345" s="46"/>
      <c r="I345" s="46"/>
      <c r="J345" s="46"/>
      <c r="K345" s="46"/>
      <c r="L345" s="46"/>
      <c r="M345" s="46"/>
      <c r="N345" s="46"/>
    </row>
    <row r="346" spans="1:14" ht="15" customHeight="1">
      <c r="A346" s="46" t="s">
        <v>5108</v>
      </c>
      <c r="B346" s="46" t="str">
        <f t="shared" ca="1" si="4"/>
        <v>Branch of Study 1</v>
      </c>
      <c r="C346" s="46"/>
      <c r="D346" s="46" t="s">
        <v>5108</v>
      </c>
      <c r="E346" s="46"/>
      <c r="F346" s="46"/>
      <c r="G346" s="46"/>
      <c r="H346" s="46"/>
      <c r="I346" s="46"/>
      <c r="J346" s="46"/>
      <c r="K346" s="46"/>
      <c r="L346" s="46"/>
      <c r="M346" s="46"/>
      <c r="N346" s="46"/>
    </row>
    <row r="347" spans="1:14" ht="15" customHeight="1">
      <c r="A347" s="46" t="s">
        <v>5105</v>
      </c>
      <c r="B347" s="46" t="str">
        <f t="shared" ca="1" si="4"/>
        <v>Contributing to EPF?</v>
      </c>
      <c r="C347" s="46"/>
      <c r="D347" s="46" t="s">
        <v>5105</v>
      </c>
      <c r="E347" s="46"/>
      <c r="F347" s="46"/>
      <c r="G347" s="46"/>
      <c r="H347" s="46"/>
      <c r="I347" s="46"/>
      <c r="J347" s="46"/>
      <c r="K347" s="46"/>
      <c r="L347" s="46"/>
      <c r="M347" s="46"/>
      <c r="N347" s="46"/>
    </row>
    <row r="348" spans="1:14" ht="15" customHeight="1">
      <c r="A348" s="46" t="s">
        <v>5109</v>
      </c>
      <c r="B348" s="46" t="str">
        <f t="shared" ca="1" si="4"/>
        <v>Applicable for SOCSO?</v>
      </c>
      <c r="C348" s="46"/>
      <c r="D348" s="46" t="s">
        <v>5109</v>
      </c>
      <c r="E348" s="46"/>
      <c r="F348" s="46"/>
      <c r="G348" s="46"/>
      <c r="H348" s="46"/>
      <c r="I348" s="46"/>
      <c r="J348" s="46"/>
      <c r="K348" s="46"/>
      <c r="L348" s="46"/>
      <c r="M348" s="46"/>
      <c r="N348" s="46"/>
    </row>
    <row r="349" spans="1:14" ht="15" customHeight="1">
      <c r="A349" s="46" t="s">
        <v>5110</v>
      </c>
      <c r="B349" s="46" t="str">
        <f t="shared" ca="1" si="4"/>
        <v>Income Tax Office</v>
      </c>
      <c r="C349" s="46"/>
      <c r="D349" s="46" t="s">
        <v>5110</v>
      </c>
      <c r="E349" s="46"/>
      <c r="F349" s="46"/>
      <c r="G349" s="46"/>
      <c r="H349" s="46"/>
      <c r="I349" s="46"/>
      <c r="J349" s="46"/>
      <c r="K349" s="46"/>
      <c r="L349" s="46"/>
      <c r="M349" s="46"/>
      <c r="N349" s="46"/>
    </row>
    <row r="350" spans="1:14" ht="15" customHeight="1">
      <c r="A350" s="46" t="s">
        <v>5111</v>
      </c>
      <c r="B350" s="46" t="str">
        <f t="shared" ca="1" si="4"/>
        <v>Applicable for Spouse Relief?</v>
      </c>
      <c r="C350" s="46"/>
      <c r="D350" s="46" t="s">
        <v>5111</v>
      </c>
      <c r="E350" s="46"/>
      <c r="F350" s="46"/>
      <c r="G350" s="46"/>
      <c r="H350" s="46"/>
      <c r="I350" s="46"/>
      <c r="J350" s="46"/>
      <c r="K350" s="46"/>
      <c r="L350" s="46"/>
      <c r="M350" s="46"/>
      <c r="N350" s="46"/>
    </row>
    <row r="351" spans="1:14" ht="15" customHeight="1">
      <c r="A351" s="46" t="s">
        <v>5112</v>
      </c>
      <c r="B351" s="46" t="str">
        <f t="shared" ca="1" si="4"/>
        <v>Number of Dependents</v>
      </c>
      <c r="C351" s="46"/>
      <c r="D351" s="46" t="s">
        <v>5112</v>
      </c>
      <c r="E351" s="46"/>
      <c r="F351" s="46"/>
      <c r="G351" s="46"/>
      <c r="H351" s="46"/>
      <c r="I351" s="46"/>
      <c r="J351" s="46"/>
      <c r="K351" s="46"/>
      <c r="L351" s="46"/>
      <c r="M351" s="46"/>
      <c r="N351" s="46"/>
    </row>
    <row r="352" spans="1:14" ht="15" customHeight="1">
      <c r="A352" s="46" t="s">
        <v>7597</v>
      </c>
      <c r="B352" s="46" t="str">
        <f t="shared" ca="1" si="4"/>
        <v>* Ethnicity</v>
      </c>
      <c r="C352" s="46"/>
      <c r="D352" s="46" t="s">
        <v>8630</v>
      </c>
      <c r="E352" s="46"/>
      <c r="F352" s="46"/>
      <c r="G352" s="46"/>
      <c r="H352" s="46"/>
      <c r="I352" s="46"/>
      <c r="J352" s="46"/>
      <c r="K352" s="46"/>
      <c r="L352" s="46"/>
      <c r="M352" s="46"/>
      <c r="N352" s="46"/>
    </row>
    <row r="353" spans="1:14" ht="15" customHeight="1">
      <c r="A353" s="82" t="s">
        <v>3763</v>
      </c>
      <c r="B353" s="82" t="str">
        <f t="shared" ca="1" si="4"/>
        <v>Area</v>
      </c>
      <c r="C353" s="82"/>
      <c r="D353" s="82" t="s">
        <v>3763</v>
      </c>
      <c r="E353" s="82"/>
      <c r="F353" s="82"/>
      <c r="G353" s="82"/>
      <c r="H353" s="82"/>
      <c r="I353" s="82"/>
      <c r="J353" s="82"/>
      <c r="K353" s="82"/>
      <c r="L353" s="82"/>
      <c r="M353" s="82"/>
      <c r="N353" s="82"/>
    </row>
    <row r="354" spans="1:14" ht="15" customHeight="1">
      <c r="A354" s="46" t="s">
        <v>7617</v>
      </c>
      <c r="B354" s="46" t="str">
        <f t="shared" ca="1" si="4"/>
        <v>Pension Type</v>
      </c>
      <c r="C354" s="46"/>
      <c r="D354" s="46" t="s">
        <v>7617</v>
      </c>
      <c r="E354" s="46"/>
      <c r="F354" s="46"/>
      <c r="G354" s="46"/>
      <c r="H354" s="46"/>
      <c r="I354" s="46"/>
      <c r="J354" s="46"/>
      <c r="K354" s="46"/>
      <c r="L354" s="46"/>
      <c r="M354" s="46"/>
      <c r="N354" s="46"/>
    </row>
    <row r="355" spans="1:14" ht="15" customHeight="1">
      <c r="A355" s="46" t="s">
        <v>7619</v>
      </c>
      <c r="B355" s="46" t="str">
        <f t="shared" ca="1" si="4"/>
        <v>DB Reference Date (DD/MM/YYYY)</v>
      </c>
      <c r="C355" s="46"/>
      <c r="D355" s="46" t="s">
        <v>7620</v>
      </c>
      <c r="E355" s="46"/>
      <c r="F355" s="46"/>
      <c r="G355" s="46"/>
      <c r="H355" s="46"/>
      <c r="I355" s="46"/>
      <c r="J355" s="46"/>
      <c r="K355" s="46"/>
      <c r="L355" s="46"/>
      <c r="M355" s="46"/>
      <c r="N355" s="46"/>
    </row>
    <row r="356" spans="1:14" ht="15" customHeight="1">
      <c r="A356" s="46" t="s">
        <v>7623</v>
      </c>
      <c r="B356" s="46" t="str">
        <f t="shared" ca="1" si="4"/>
        <v>Challenge Group</v>
      </c>
      <c r="C356" s="46"/>
      <c r="D356" s="46" t="s">
        <v>7623</v>
      </c>
      <c r="E356" s="46"/>
      <c r="F356" s="46"/>
      <c r="G356" s="46"/>
      <c r="H356" s="46"/>
      <c r="I356" s="46"/>
      <c r="J356" s="46"/>
      <c r="K356" s="46"/>
      <c r="L356" s="46"/>
      <c r="M356" s="46"/>
      <c r="N356" s="46"/>
    </row>
    <row r="357" spans="1:14" ht="15" customHeight="1">
      <c r="A357" s="46" t="s">
        <v>7624</v>
      </c>
      <c r="B357" s="46" t="str">
        <f t="shared" ca="1" si="4"/>
        <v>Type of Challenge</v>
      </c>
      <c r="C357" s="46"/>
      <c r="D357" s="46" t="s">
        <v>7624</v>
      </c>
      <c r="E357" s="46"/>
      <c r="F357" s="46"/>
      <c r="G357" s="46"/>
      <c r="H357" s="46"/>
      <c r="I357" s="46"/>
      <c r="J357" s="46"/>
      <c r="K357" s="46"/>
      <c r="L357" s="46"/>
      <c r="M357" s="46"/>
      <c r="N357" s="46"/>
    </row>
    <row r="358" spans="1:14" ht="15" customHeight="1">
      <c r="A358" s="46" t="s">
        <v>7625</v>
      </c>
      <c r="B358" s="46" t="str">
        <f t="shared" ca="1" si="4"/>
        <v>Date of Birth (Minguo)</v>
      </c>
      <c r="C358" s="46"/>
      <c r="D358" s="46" t="s">
        <v>7625</v>
      </c>
      <c r="E358" s="46"/>
      <c r="F358" s="46"/>
      <c r="G358" s="46"/>
      <c r="H358" s="46"/>
      <c r="I358" s="46"/>
      <c r="J358" s="46"/>
      <c r="K358" s="46"/>
      <c r="L358" s="46"/>
      <c r="M358" s="46"/>
      <c r="N358" s="46"/>
    </row>
    <row r="359" spans="1:14" ht="15" customHeight="1">
      <c r="A359" s="82" t="s">
        <v>7692</v>
      </c>
      <c r="B359" s="82" t="str">
        <f t="shared" ca="1" si="4"/>
        <v>* Detailed Address</v>
      </c>
      <c r="C359" s="82"/>
      <c r="D359" s="82" t="s">
        <v>9019</v>
      </c>
      <c r="E359" s="82"/>
      <c r="F359" s="82"/>
      <c r="G359" s="82"/>
      <c r="H359" s="82"/>
      <c r="I359" s="82"/>
      <c r="J359" s="82"/>
      <c r="K359" s="82"/>
      <c r="L359" s="82"/>
      <c r="M359" s="82"/>
      <c r="N359" s="82"/>
    </row>
    <row r="360" spans="1:14" ht="15" customHeight="1">
      <c r="A360" s="82" t="s">
        <v>7722</v>
      </c>
      <c r="B360" s="82" t="str">
        <f t="shared" ca="1" si="4"/>
        <v>Koseki(English)</v>
      </c>
      <c r="C360" s="82"/>
      <c r="D360" s="82" t="s">
        <v>7722</v>
      </c>
      <c r="E360" s="82"/>
      <c r="F360" s="82"/>
      <c r="G360" s="82"/>
      <c r="H360" s="82"/>
      <c r="I360" s="82"/>
      <c r="J360" s="82"/>
      <c r="K360" s="82"/>
      <c r="L360" s="82"/>
      <c r="M360" s="82"/>
      <c r="N360" s="82"/>
    </row>
    <row r="361" spans="1:14" ht="15" customHeight="1">
      <c r="A361" s="82" t="s">
        <v>7723</v>
      </c>
      <c r="B361" s="82" t="str">
        <f t="shared" ca="1" si="4"/>
        <v>Koseki(Kanji)</v>
      </c>
      <c r="C361" s="82"/>
      <c r="D361" s="82" t="s">
        <v>7723</v>
      </c>
      <c r="E361" s="82"/>
      <c r="F361" s="82"/>
      <c r="G361" s="82"/>
      <c r="H361" s="82"/>
      <c r="I361" s="82"/>
      <c r="J361" s="82"/>
      <c r="K361" s="82"/>
      <c r="L361" s="82"/>
      <c r="M361" s="82"/>
      <c r="N361" s="82"/>
    </row>
    <row r="362" spans="1:14" ht="15" customHeight="1">
      <c r="A362" s="82" t="s">
        <v>7724</v>
      </c>
      <c r="B362" s="82" t="str">
        <f t="shared" ca="1" si="4"/>
        <v>Koseki(Katakana)</v>
      </c>
      <c r="C362" s="82"/>
      <c r="D362" s="82" t="s">
        <v>7724</v>
      </c>
      <c r="E362" s="82"/>
      <c r="F362" s="82"/>
      <c r="G362" s="82"/>
      <c r="H362" s="82"/>
      <c r="I362" s="82"/>
      <c r="J362" s="82"/>
      <c r="K362" s="82"/>
      <c r="L362" s="82"/>
      <c r="M362" s="82"/>
      <c r="N362" s="82"/>
    </row>
    <row r="363" spans="1:14" ht="15" customHeight="1">
      <c r="A363" s="82" t="s">
        <v>7725</v>
      </c>
      <c r="B363" s="82" t="str">
        <f t="shared" ca="1" si="4"/>
        <v>Dependent First Name(Kanji))</v>
      </c>
      <c r="C363" s="82"/>
      <c r="D363" s="82" t="s">
        <v>7725</v>
      </c>
      <c r="E363" s="82"/>
      <c r="F363" s="82"/>
      <c r="G363" s="82"/>
      <c r="H363" s="82"/>
      <c r="I363" s="82"/>
      <c r="J363" s="82"/>
      <c r="K363" s="82"/>
      <c r="L363" s="82"/>
      <c r="M363" s="82"/>
      <c r="N363" s="82"/>
    </row>
    <row r="364" spans="1:14" ht="15" customHeight="1">
      <c r="A364" s="82" t="s">
        <v>7726</v>
      </c>
      <c r="B364" s="82" t="str">
        <f t="shared" ca="1" si="4"/>
        <v>Dependent Last Name(Kanji)</v>
      </c>
      <c r="C364" s="82"/>
      <c r="D364" s="82" t="s">
        <v>7726</v>
      </c>
      <c r="E364" s="82"/>
      <c r="F364" s="82"/>
      <c r="G364" s="82"/>
      <c r="H364" s="82"/>
      <c r="I364" s="82"/>
      <c r="J364" s="82"/>
      <c r="K364" s="82"/>
      <c r="L364" s="82"/>
      <c r="M364" s="82"/>
      <c r="N364" s="82"/>
    </row>
    <row r="365" spans="1:14" ht="15" customHeight="1">
      <c r="A365" s="82" t="s">
        <v>7727</v>
      </c>
      <c r="B365" s="82" t="str">
        <f t="shared" ca="1" si="4"/>
        <v>Dependent First Name(Katakana)</v>
      </c>
      <c r="C365" s="82"/>
      <c r="D365" s="82" t="s">
        <v>7727</v>
      </c>
      <c r="E365" s="82"/>
      <c r="F365" s="82"/>
      <c r="G365" s="82"/>
      <c r="H365" s="82"/>
      <c r="I365" s="82"/>
      <c r="J365" s="82"/>
      <c r="K365" s="82"/>
      <c r="L365" s="82"/>
      <c r="M365" s="82"/>
      <c r="N365" s="82"/>
    </row>
    <row r="366" spans="1:14" ht="15" customHeight="1">
      <c r="A366" s="82" t="s">
        <v>7728</v>
      </c>
      <c r="B366" s="82" t="str">
        <f t="shared" ca="1" si="4"/>
        <v>Dependent Last Name(Katakana)</v>
      </c>
      <c r="C366" s="82"/>
      <c r="D366" s="82" t="s">
        <v>7728</v>
      </c>
      <c r="E366" s="82"/>
      <c r="F366" s="82"/>
      <c r="G366" s="82"/>
      <c r="H366" s="82"/>
      <c r="I366" s="82"/>
      <c r="J366" s="82"/>
      <c r="K366" s="82"/>
      <c r="L366" s="82"/>
      <c r="M366" s="82"/>
      <c r="N366" s="82"/>
    </row>
    <row r="367" spans="1:14" ht="15" customHeight="1">
      <c r="A367" s="94" t="s">
        <v>7729</v>
      </c>
      <c r="B367" s="82" t="str">
        <f t="shared" ref="B367:B430" ca="1" si="5">IFERROR(IF(ISBLANK(OFFSET(B367,0,$Q$1-1)),D367,OFFSET(B367,0,$Q$1-1)),"Please select language")</f>
        <v>Kanji Address Line 1</v>
      </c>
      <c r="C367" s="82"/>
      <c r="D367" s="94" t="s">
        <v>7729</v>
      </c>
      <c r="E367" s="82"/>
      <c r="F367" s="82"/>
      <c r="G367" s="82"/>
      <c r="H367" s="82"/>
      <c r="I367" s="82"/>
      <c r="J367" s="82"/>
      <c r="K367" s="82"/>
      <c r="L367" s="82"/>
      <c r="M367" s="82"/>
      <c r="N367" s="82"/>
    </row>
    <row r="368" spans="1:14" ht="15" customHeight="1">
      <c r="A368" s="94" t="s">
        <v>7730</v>
      </c>
      <c r="B368" s="82" t="str">
        <f t="shared" ca="1" si="5"/>
        <v>Kanji Address Line 2</v>
      </c>
      <c r="C368" s="82"/>
      <c r="D368" s="94" t="s">
        <v>7730</v>
      </c>
      <c r="E368" s="82"/>
      <c r="F368" s="82"/>
      <c r="G368" s="82"/>
      <c r="H368" s="82"/>
      <c r="I368" s="82"/>
      <c r="J368" s="82"/>
      <c r="K368" s="82"/>
      <c r="L368" s="82"/>
      <c r="M368" s="82"/>
      <c r="N368" s="82"/>
    </row>
    <row r="369" spans="1:14" ht="15" customHeight="1">
      <c r="A369" s="94" t="s">
        <v>7731</v>
      </c>
      <c r="B369" s="82" t="str">
        <f t="shared" ca="1" si="5"/>
        <v>Kanji Address Line 3</v>
      </c>
      <c r="C369" s="82"/>
      <c r="D369" s="94" t="s">
        <v>7731</v>
      </c>
      <c r="E369" s="82"/>
      <c r="F369" s="82"/>
      <c r="G369" s="82"/>
      <c r="H369" s="82"/>
      <c r="I369" s="82"/>
      <c r="J369" s="82"/>
      <c r="K369" s="82"/>
      <c r="L369" s="82"/>
      <c r="M369" s="82"/>
      <c r="N369" s="82"/>
    </row>
    <row r="370" spans="1:14" ht="15" customHeight="1">
      <c r="A370" s="94" t="s">
        <v>7732</v>
      </c>
      <c r="B370" s="82" t="str">
        <f t="shared" ca="1" si="5"/>
        <v>Katakana Address Line 1</v>
      </c>
      <c r="C370" s="82"/>
      <c r="D370" s="94" t="s">
        <v>7732</v>
      </c>
      <c r="E370" s="82"/>
      <c r="F370" s="82"/>
      <c r="G370" s="82"/>
      <c r="H370" s="82"/>
      <c r="I370" s="82"/>
      <c r="J370" s="82"/>
      <c r="K370" s="82"/>
      <c r="L370" s="82"/>
      <c r="M370" s="82"/>
      <c r="N370" s="82"/>
    </row>
    <row r="371" spans="1:14" ht="15" customHeight="1">
      <c r="A371" s="94" t="s">
        <v>7733</v>
      </c>
      <c r="B371" s="82" t="str">
        <f t="shared" ca="1" si="5"/>
        <v>Katakana Address Line 2</v>
      </c>
      <c r="C371" s="82"/>
      <c r="D371" s="94" t="s">
        <v>7733</v>
      </c>
      <c r="E371" s="82"/>
      <c r="F371" s="82"/>
      <c r="G371" s="82"/>
      <c r="H371" s="82"/>
      <c r="I371" s="82"/>
      <c r="J371" s="82"/>
      <c r="K371" s="82"/>
      <c r="L371" s="82"/>
      <c r="M371" s="82"/>
      <c r="N371" s="82"/>
    </row>
    <row r="372" spans="1:14" ht="15" customHeight="1">
      <c r="A372" s="94" t="s">
        <v>7734</v>
      </c>
      <c r="B372" s="82" t="str">
        <f t="shared" ca="1" si="5"/>
        <v>Katakana Address Line 3</v>
      </c>
      <c r="C372" s="82"/>
      <c r="D372" s="94" t="s">
        <v>7734</v>
      </c>
      <c r="E372" s="82"/>
      <c r="F372" s="82"/>
      <c r="G372" s="82"/>
      <c r="H372" s="82"/>
      <c r="I372" s="82"/>
      <c r="J372" s="82"/>
      <c r="K372" s="82"/>
      <c r="L372" s="82"/>
      <c r="M372" s="82"/>
      <c r="N372" s="82"/>
    </row>
    <row r="373" spans="1:14" ht="15" customHeight="1">
      <c r="A373" s="46" t="s">
        <v>7745</v>
      </c>
      <c r="B373" s="46" t="str">
        <f t="shared" ca="1" si="5"/>
        <v>Insurance Type (Medical Insurance)</v>
      </c>
      <c r="C373" s="46"/>
      <c r="D373" s="46" t="s">
        <v>7745</v>
      </c>
      <c r="E373" s="46"/>
      <c r="F373" s="46"/>
      <c r="G373" s="46"/>
      <c r="H373" s="46"/>
      <c r="I373" s="46"/>
      <c r="J373" s="46"/>
      <c r="K373" s="46"/>
      <c r="L373" s="46"/>
      <c r="M373" s="46"/>
      <c r="N373" s="46"/>
    </row>
    <row r="374" spans="1:14" ht="15" customHeight="1">
      <c r="A374" s="46" t="s">
        <v>5032</v>
      </c>
      <c r="B374" s="46" t="str">
        <f t="shared" ca="1" si="5"/>
        <v>Start Date</v>
      </c>
      <c r="C374" s="46"/>
      <c r="D374" s="46" t="s">
        <v>5032</v>
      </c>
      <c r="E374" s="46"/>
      <c r="F374" s="46"/>
      <c r="G374" s="46"/>
      <c r="H374" s="46"/>
      <c r="I374" s="46"/>
      <c r="J374" s="46"/>
      <c r="K374" s="46"/>
      <c r="L374" s="46"/>
      <c r="M374" s="46"/>
      <c r="N374" s="46"/>
    </row>
    <row r="375" spans="1:14" ht="15" customHeight="1">
      <c r="A375" s="46" t="s">
        <v>7746</v>
      </c>
      <c r="B375" s="46" t="str">
        <f t="shared" ca="1" si="5"/>
        <v>SI Entitlement Reason</v>
      </c>
      <c r="C375" s="46"/>
      <c r="D375" s="46" t="s">
        <v>7746</v>
      </c>
      <c r="E375" s="46"/>
      <c r="F375" s="46"/>
      <c r="G375" s="46"/>
      <c r="H375" s="46"/>
      <c r="I375" s="46"/>
      <c r="J375" s="46"/>
      <c r="K375" s="46"/>
      <c r="L375" s="46"/>
      <c r="M375" s="46"/>
      <c r="N375" s="46"/>
    </row>
    <row r="376" spans="1:14" ht="15" customHeight="1">
      <c r="A376" s="46" t="s">
        <v>7747</v>
      </c>
      <c r="B376" s="46" t="str">
        <f t="shared" ca="1" si="5"/>
        <v>MI Card Number</v>
      </c>
      <c r="C376" s="46"/>
      <c r="D376" s="46" t="s">
        <v>7747</v>
      </c>
      <c r="E376" s="46"/>
      <c r="F376" s="46"/>
      <c r="G376" s="46"/>
      <c r="H376" s="46"/>
      <c r="I376" s="46"/>
      <c r="J376" s="46"/>
      <c r="K376" s="46"/>
      <c r="L376" s="46"/>
      <c r="M376" s="46"/>
      <c r="N376" s="46"/>
    </row>
    <row r="377" spans="1:14" ht="15" customHeight="1">
      <c r="A377" s="46" t="s">
        <v>7748</v>
      </c>
      <c r="B377" s="46" t="str">
        <f t="shared" ca="1" si="5"/>
        <v>No Premium in the Acquired Month</v>
      </c>
      <c r="C377" s="46"/>
      <c r="D377" s="46" t="s">
        <v>7748</v>
      </c>
      <c r="E377" s="46"/>
      <c r="F377" s="46"/>
      <c r="G377" s="46"/>
      <c r="H377" s="46"/>
      <c r="I377" s="46"/>
      <c r="J377" s="46"/>
      <c r="K377" s="46"/>
      <c r="L377" s="46"/>
      <c r="M377" s="46"/>
      <c r="N377" s="46"/>
    </row>
    <row r="378" spans="1:14" ht="15" customHeight="1">
      <c r="A378" s="46" t="s">
        <v>7749</v>
      </c>
      <c r="B378" s="46" t="str">
        <f t="shared" ca="1" si="5"/>
        <v>Overseas Worker</v>
      </c>
      <c r="C378" s="46"/>
      <c r="D378" s="46" t="s">
        <v>7749</v>
      </c>
      <c r="E378" s="46"/>
      <c r="F378" s="46"/>
      <c r="G378" s="46"/>
      <c r="H378" s="46"/>
      <c r="I378" s="46"/>
      <c r="J378" s="46"/>
      <c r="K378" s="46"/>
      <c r="L378" s="46"/>
      <c r="M378" s="46"/>
      <c r="N378" s="46"/>
    </row>
    <row r="379" spans="1:14" ht="15" customHeight="1">
      <c r="A379" s="46" t="s">
        <v>7750</v>
      </c>
      <c r="B379" s="46" t="str">
        <f t="shared" ca="1" si="5"/>
        <v>EI Entitlement (EE ove65)</v>
      </c>
      <c r="C379" s="46"/>
      <c r="D379" s="46" t="s">
        <v>7750</v>
      </c>
      <c r="E379" s="46"/>
      <c r="F379" s="46"/>
      <c r="G379" s="46"/>
      <c r="H379" s="46"/>
      <c r="I379" s="46"/>
      <c r="J379" s="46"/>
      <c r="K379" s="46"/>
      <c r="L379" s="46"/>
      <c r="M379" s="46"/>
      <c r="N379" s="46"/>
    </row>
    <row r="380" spans="1:14" ht="15" customHeight="1">
      <c r="A380" s="46" t="s">
        <v>7751</v>
      </c>
      <c r="B380" s="46" t="str">
        <f t="shared" ca="1" si="5"/>
        <v>Insurance Type (National Pension)</v>
      </c>
      <c r="C380" s="46"/>
      <c r="D380" s="46" t="s">
        <v>7751</v>
      </c>
      <c r="E380" s="46"/>
      <c r="F380" s="46"/>
      <c r="G380" s="46"/>
      <c r="H380" s="46"/>
      <c r="I380" s="46"/>
      <c r="J380" s="46"/>
      <c r="K380" s="46"/>
      <c r="L380" s="46"/>
      <c r="M380" s="46"/>
      <c r="N380" s="46"/>
    </row>
    <row r="381" spans="1:14" ht="15" customHeight="1">
      <c r="A381" s="46" t="s">
        <v>5032</v>
      </c>
      <c r="B381" s="46" t="str">
        <f t="shared" ca="1" si="5"/>
        <v>Start Date</v>
      </c>
      <c r="C381" s="46"/>
      <c r="D381" s="46" t="s">
        <v>5032</v>
      </c>
      <c r="E381" s="46"/>
      <c r="F381" s="46"/>
      <c r="G381" s="46"/>
      <c r="H381" s="46"/>
      <c r="I381" s="46"/>
      <c r="J381" s="46"/>
      <c r="K381" s="46"/>
      <c r="L381" s="46"/>
      <c r="M381" s="46"/>
      <c r="N381" s="46"/>
    </row>
    <row r="382" spans="1:14" ht="15" customHeight="1">
      <c r="A382" s="46" t="s">
        <v>7746</v>
      </c>
      <c r="B382" s="46" t="str">
        <f t="shared" ca="1" si="5"/>
        <v>SI Entitlement Reason</v>
      </c>
      <c r="C382" s="46"/>
      <c r="D382" s="46" t="s">
        <v>7746</v>
      </c>
      <c r="E382" s="46"/>
      <c r="F382" s="46"/>
      <c r="G382" s="46"/>
      <c r="H382" s="46"/>
      <c r="I382" s="46"/>
      <c r="J382" s="46"/>
      <c r="K382" s="46"/>
      <c r="L382" s="46"/>
      <c r="M382" s="46"/>
      <c r="N382" s="46"/>
    </row>
    <row r="383" spans="1:14" ht="15" customHeight="1">
      <c r="A383" s="46" t="s">
        <v>7748</v>
      </c>
      <c r="B383" s="46" t="str">
        <f t="shared" ca="1" si="5"/>
        <v>No Premium in the Acquired Month</v>
      </c>
      <c r="C383" s="46"/>
      <c r="D383" s="46" t="s">
        <v>7748</v>
      </c>
      <c r="E383" s="46"/>
      <c r="F383" s="46"/>
      <c r="G383" s="46"/>
      <c r="H383" s="46"/>
      <c r="I383" s="46"/>
      <c r="J383" s="46"/>
      <c r="K383" s="46"/>
      <c r="L383" s="46"/>
      <c r="M383" s="46"/>
      <c r="N383" s="46"/>
    </row>
    <row r="384" spans="1:14" ht="15" customHeight="1">
      <c r="A384" s="46" t="s">
        <v>7749</v>
      </c>
      <c r="B384" s="46" t="str">
        <f t="shared" ca="1" si="5"/>
        <v>Overseas Worker</v>
      </c>
      <c r="C384" s="46"/>
      <c r="D384" s="46" t="s">
        <v>7749</v>
      </c>
      <c r="E384" s="46"/>
      <c r="F384" s="46"/>
      <c r="G384" s="46"/>
      <c r="H384" s="46"/>
      <c r="I384" s="46"/>
      <c r="J384" s="46"/>
      <c r="K384" s="46"/>
      <c r="L384" s="46"/>
      <c r="M384" s="46"/>
      <c r="N384" s="46"/>
    </row>
    <row r="385" spans="1:14" ht="15" customHeight="1">
      <c r="A385" s="46" t="s">
        <v>7750</v>
      </c>
      <c r="B385" s="46" t="str">
        <f t="shared" ca="1" si="5"/>
        <v>EI Entitlement (EE ove65)</v>
      </c>
      <c r="C385" s="46"/>
      <c r="D385" s="46" t="s">
        <v>7750</v>
      </c>
      <c r="E385" s="46"/>
      <c r="F385" s="46"/>
      <c r="G385" s="46"/>
      <c r="H385" s="46"/>
      <c r="I385" s="46"/>
      <c r="J385" s="46"/>
      <c r="K385" s="46"/>
      <c r="L385" s="46"/>
      <c r="M385" s="46"/>
      <c r="N385" s="46"/>
    </row>
    <row r="386" spans="1:14" ht="15" customHeight="1">
      <c r="A386" s="46" t="s">
        <v>7752</v>
      </c>
      <c r="B386" s="46" t="str">
        <f t="shared" ca="1" si="5"/>
        <v>Insurance Type (Employment Pension)</v>
      </c>
      <c r="C386" s="46"/>
      <c r="D386" s="46" t="s">
        <v>7752</v>
      </c>
      <c r="E386" s="46"/>
      <c r="F386" s="46"/>
      <c r="G386" s="46"/>
      <c r="H386" s="46"/>
      <c r="I386" s="46"/>
      <c r="J386" s="46"/>
      <c r="K386" s="46"/>
      <c r="L386" s="46"/>
      <c r="M386" s="46"/>
      <c r="N386" s="46"/>
    </row>
    <row r="387" spans="1:14" ht="15" customHeight="1">
      <c r="A387" s="46" t="s">
        <v>5032</v>
      </c>
      <c r="B387" s="46" t="str">
        <f t="shared" ca="1" si="5"/>
        <v>Start Date</v>
      </c>
      <c r="C387" s="46"/>
      <c r="D387" s="46" t="s">
        <v>5032</v>
      </c>
      <c r="E387" s="46"/>
      <c r="F387" s="46"/>
      <c r="G387" s="46"/>
      <c r="H387" s="46"/>
      <c r="I387" s="46"/>
      <c r="J387" s="46"/>
      <c r="K387" s="46"/>
      <c r="L387" s="46"/>
      <c r="M387" s="46"/>
      <c r="N387" s="46"/>
    </row>
    <row r="388" spans="1:14" ht="15" customHeight="1">
      <c r="A388" s="46" t="s">
        <v>7746</v>
      </c>
      <c r="B388" s="46" t="str">
        <f t="shared" ca="1" si="5"/>
        <v>SI Entitlement Reason</v>
      </c>
      <c r="C388" s="46"/>
      <c r="D388" s="46" t="s">
        <v>7746</v>
      </c>
      <c r="E388" s="46"/>
      <c r="F388" s="46"/>
      <c r="G388" s="46"/>
      <c r="H388" s="46"/>
      <c r="I388" s="46"/>
      <c r="J388" s="46"/>
      <c r="K388" s="46"/>
      <c r="L388" s="46"/>
      <c r="M388" s="46"/>
      <c r="N388" s="46"/>
    </row>
    <row r="389" spans="1:14" ht="15" customHeight="1">
      <c r="A389" s="46" t="s">
        <v>7749</v>
      </c>
      <c r="B389" s="46" t="str">
        <f t="shared" ca="1" si="5"/>
        <v>Overseas Worker</v>
      </c>
      <c r="C389" s="46"/>
      <c r="D389" s="46" t="s">
        <v>7749</v>
      </c>
      <c r="E389" s="46"/>
      <c r="F389" s="46"/>
      <c r="G389" s="46"/>
      <c r="H389" s="46"/>
      <c r="I389" s="46"/>
      <c r="J389" s="46"/>
      <c r="K389" s="46"/>
      <c r="L389" s="46"/>
      <c r="M389" s="46"/>
      <c r="N389" s="46"/>
    </row>
    <row r="390" spans="1:14" ht="15" customHeight="1">
      <c r="A390" s="46" t="s">
        <v>7750</v>
      </c>
      <c r="B390" s="46" t="str">
        <f t="shared" ca="1" si="5"/>
        <v>EI Entitlement (EE ove65)</v>
      </c>
      <c r="C390" s="46"/>
      <c r="D390" s="46" t="s">
        <v>7750</v>
      </c>
      <c r="E390" s="46"/>
      <c r="F390" s="46"/>
      <c r="G390" s="46"/>
      <c r="H390" s="46"/>
      <c r="I390" s="46"/>
      <c r="J390" s="46"/>
      <c r="K390" s="46"/>
      <c r="L390" s="46"/>
      <c r="M390" s="46"/>
      <c r="N390" s="46"/>
    </row>
    <row r="391" spans="1:14" ht="15" customHeight="1">
      <c r="A391" s="46" t="s">
        <v>7753</v>
      </c>
      <c r="B391" s="46" t="str">
        <f t="shared" ca="1" si="5"/>
        <v>Insurance Type (Workers' Compensation Insurance)</v>
      </c>
      <c r="C391" s="46"/>
      <c r="D391" s="46" t="s">
        <v>7753</v>
      </c>
      <c r="E391" s="46"/>
      <c r="F391" s="46"/>
      <c r="G391" s="46"/>
      <c r="H391" s="46"/>
      <c r="I391" s="46"/>
      <c r="J391" s="46"/>
      <c r="K391" s="46"/>
      <c r="L391" s="46"/>
      <c r="M391" s="46"/>
      <c r="N391" s="46"/>
    </row>
    <row r="392" spans="1:14" ht="15" customHeight="1">
      <c r="A392" s="46" t="s">
        <v>5032</v>
      </c>
      <c r="B392" s="46" t="str">
        <f t="shared" ca="1" si="5"/>
        <v>Start Date</v>
      </c>
      <c r="C392" s="46"/>
      <c r="D392" s="46" t="s">
        <v>5032</v>
      </c>
      <c r="E392" s="46"/>
      <c r="F392" s="46"/>
      <c r="G392" s="46"/>
      <c r="H392" s="46"/>
      <c r="I392" s="46"/>
      <c r="J392" s="46"/>
      <c r="K392" s="46"/>
      <c r="L392" s="46"/>
      <c r="M392" s="46"/>
      <c r="N392" s="46"/>
    </row>
    <row r="393" spans="1:14" ht="15" customHeight="1">
      <c r="A393" s="46" t="s">
        <v>7746</v>
      </c>
      <c r="B393" s="46" t="str">
        <f t="shared" ca="1" si="5"/>
        <v>SI Entitlement Reason</v>
      </c>
      <c r="C393" s="46"/>
      <c r="D393" s="46" t="s">
        <v>7746</v>
      </c>
      <c r="E393" s="46"/>
      <c r="F393" s="46"/>
      <c r="G393" s="46"/>
      <c r="H393" s="46"/>
      <c r="I393" s="46"/>
      <c r="J393" s="46"/>
      <c r="K393" s="46"/>
      <c r="L393" s="46"/>
      <c r="M393" s="46"/>
      <c r="N393" s="46"/>
    </row>
    <row r="394" spans="1:14" ht="15" customHeight="1">
      <c r="A394" s="46" t="s">
        <v>7749</v>
      </c>
      <c r="B394" s="46" t="str">
        <f t="shared" ca="1" si="5"/>
        <v>Overseas Worker</v>
      </c>
      <c r="C394" s="46"/>
      <c r="D394" s="46" t="s">
        <v>7749</v>
      </c>
      <c r="E394" s="46"/>
      <c r="F394" s="46"/>
      <c r="G394" s="46"/>
      <c r="H394" s="46"/>
      <c r="I394" s="46"/>
      <c r="J394" s="46"/>
      <c r="K394" s="46"/>
      <c r="L394" s="46"/>
      <c r="M394" s="46"/>
      <c r="N394" s="46"/>
    </row>
    <row r="395" spans="1:14" ht="15" customHeight="1">
      <c r="A395" s="46" t="s">
        <v>7754</v>
      </c>
      <c r="B395" s="46" t="str">
        <f t="shared" ca="1" si="5"/>
        <v>Insurance Premium Type (Medical Insurance)</v>
      </c>
      <c r="C395" s="46"/>
      <c r="D395" s="46" t="s">
        <v>7754</v>
      </c>
      <c r="E395" s="46"/>
      <c r="F395" s="46"/>
      <c r="G395" s="46"/>
      <c r="H395" s="46"/>
      <c r="I395" s="46"/>
      <c r="J395" s="46"/>
      <c r="K395" s="46"/>
      <c r="L395" s="46"/>
      <c r="M395" s="46"/>
      <c r="N395" s="46"/>
    </row>
    <row r="396" spans="1:14" ht="15" customHeight="1">
      <c r="A396" s="46" t="s">
        <v>5032</v>
      </c>
      <c r="B396" s="46" t="str">
        <f t="shared" ca="1" si="5"/>
        <v>Start Date</v>
      </c>
      <c r="C396" s="46"/>
      <c r="D396" s="46" t="s">
        <v>5032</v>
      </c>
      <c r="E396" s="46"/>
      <c r="F396" s="46"/>
      <c r="G396" s="46"/>
      <c r="H396" s="46"/>
      <c r="I396" s="46"/>
      <c r="J396" s="46"/>
      <c r="K396" s="46"/>
      <c r="L396" s="46"/>
      <c r="M396" s="46"/>
      <c r="N396" s="46"/>
    </row>
    <row r="397" spans="1:14" ht="15" customHeight="1">
      <c r="A397" s="46" t="s">
        <v>7755</v>
      </c>
      <c r="B397" s="46" t="str">
        <f t="shared" ca="1" si="5"/>
        <v>Monthly Compensation Amount</v>
      </c>
      <c r="C397" s="46"/>
      <c r="D397" s="46" t="s">
        <v>7755</v>
      </c>
      <c r="E397" s="46"/>
      <c r="F397" s="46"/>
      <c r="G397" s="46"/>
      <c r="H397" s="46"/>
      <c r="I397" s="46"/>
      <c r="J397" s="46"/>
      <c r="K397" s="46"/>
      <c r="L397" s="46"/>
      <c r="M397" s="46"/>
      <c r="N397" s="46"/>
    </row>
    <row r="398" spans="1:14" ht="15" customHeight="1">
      <c r="A398" s="46" t="s">
        <v>7756</v>
      </c>
      <c r="B398" s="46" t="str">
        <f t="shared" ca="1" si="5"/>
        <v>Exempted</v>
      </c>
      <c r="C398" s="46"/>
      <c r="D398" s="46" t="s">
        <v>7756</v>
      </c>
      <c r="E398" s="46"/>
      <c r="F398" s="46"/>
      <c r="G398" s="46"/>
      <c r="H398" s="46"/>
      <c r="I398" s="46"/>
      <c r="J398" s="46"/>
      <c r="K398" s="46"/>
      <c r="L398" s="46"/>
      <c r="M398" s="46"/>
      <c r="N398" s="46"/>
    </row>
    <row r="399" spans="1:14" ht="15" customHeight="1">
      <c r="A399" s="46" t="s">
        <v>7757</v>
      </c>
      <c r="B399" s="46" t="str">
        <f t="shared" ca="1" si="5"/>
        <v>Average Premium for Previous Year</v>
      </c>
      <c r="C399" s="46"/>
      <c r="D399" s="46" t="s">
        <v>7757</v>
      </c>
      <c r="E399" s="46"/>
      <c r="F399" s="46"/>
      <c r="G399" s="46"/>
      <c r="H399" s="46"/>
      <c r="I399" s="46"/>
      <c r="J399" s="46"/>
      <c r="K399" s="46"/>
      <c r="L399" s="46"/>
      <c r="M399" s="46"/>
      <c r="N399" s="46"/>
    </row>
    <row r="400" spans="1:14" ht="15" customHeight="1">
      <c r="A400" s="46" t="s">
        <v>7758</v>
      </c>
      <c r="B400" s="46" t="str">
        <f t="shared" ca="1" si="5"/>
        <v>Reason for Change</v>
      </c>
      <c r="C400" s="46"/>
      <c r="D400" s="46" t="s">
        <v>7758</v>
      </c>
      <c r="E400" s="46"/>
      <c r="F400" s="46"/>
      <c r="G400" s="46"/>
      <c r="H400" s="46"/>
      <c r="I400" s="46"/>
      <c r="J400" s="46"/>
      <c r="K400" s="46"/>
      <c r="L400" s="46"/>
      <c r="M400" s="46"/>
      <c r="N400" s="46"/>
    </row>
    <row r="401" spans="1:14" ht="15" customHeight="1">
      <c r="A401" s="46" t="s">
        <v>7759</v>
      </c>
      <c r="B401" s="46" t="str">
        <f t="shared" ca="1" si="5"/>
        <v>Insurance Premium Type (National Pension)</v>
      </c>
      <c r="C401" s="46"/>
      <c r="D401" s="46" t="s">
        <v>7759</v>
      </c>
      <c r="E401" s="46"/>
      <c r="F401" s="46"/>
      <c r="G401" s="46"/>
      <c r="H401" s="46"/>
      <c r="I401" s="46"/>
      <c r="J401" s="46"/>
      <c r="K401" s="46"/>
      <c r="L401" s="46"/>
      <c r="M401" s="46"/>
      <c r="N401" s="46"/>
    </row>
    <row r="402" spans="1:14" ht="15" customHeight="1">
      <c r="A402" s="46" t="s">
        <v>5032</v>
      </c>
      <c r="B402" s="46" t="str">
        <f t="shared" ca="1" si="5"/>
        <v>Start Date</v>
      </c>
      <c r="C402" s="46"/>
      <c r="D402" s="46" t="s">
        <v>5032</v>
      </c>
      <c r="E402" s="46"/>
      <c r="F402" s="46"/>
      <c r="G402" s="46"/>
      <c r="H402" s="46"/>
      <c r="I402" s="46"/>
      <c r="J402" s="46"/>
      <c r="K402" s="46"/>
      <c r="L402" s="46"/>
      <c r="M402" s="46"/>
      <c r="N402" s="46"/>
    </row>
    <row r="403" spans="1:14" ht="15" customHeight="1">
      <c r="A403" s="46" t="s">
        <v>7755</v>
      </c>
      <c r="B403" s="46" t="str">
        <f t="shared" ca="1" si="5"/>
        <v>Monthly Compensation Amount</v>
      </c>
      <c r="C403" s="46"/>
      <c r="D403" s="46" t="s">
        <v>7755</v>
      </c>
      <c r="E403" s="46"/>
      <c r="F403" s="46"/>
      <c r="G403" s="46"/>
      <c r="H403" s="46"/>
      <c r="I403" s="46"/>
      <c r="J403" s="46"/>
      <c r="K403" s="46"/>
      <c r="L403" s="46"/>
      <c r="M403" s="46"/>
      <c r="N403" s="46"/>
    </row>
    <row r="404" spans="1:14" ht="15" customHeight="1">
      <c r="A404" s="46" t="s">
        <v>7756</v>
      </c>
      <c r="B404" s="46" t="str">
        <f t="shared" ca="1" si="5"/>
        <v>Exempted</v>
      </c>
      <c r="C404" s="46"/>
      <c r="D404" s="46" t="s">
        <v>7756</v>
      </c>
      <c r="E404" s="46"/>
      <c r="F404" s="46"/>
      <c r="G404" s="46"/>
      <c r="H404" s="46"/>
      <c r="I404" s="46"/>
      <c r="J404" s="46"/>
      <c r="K404" s="46"/>
      <c r="L404" s="46"/>
      <c r="M404" s="46"/>
      <c r="N404" s="46"/>
    </row>
    <row r="405" spans="1:14" ht="15" customHeight="1">
      <c r="A405" s="46" t="s">
        <v>7757</v>
      </c>
      <c r="B405" s="46" t="str">
        <f t="shared" ca="1" si="5"/>
        <v>Average Premium for Previous Year</v>
      </c>
      <c r="C405" s="46"/>
      <c r="D405" s="46" t="s">
        <v>7757</v>
      </c>
      <c r="E405" s="46"/>
      <c r="F405" s="46"/>
      <c r="G405" s="46"/>
      <c r="H405" s="46"/>
      <c r="I405" s="46"/>
      <c r="J405" s="46"/>
      <c r="K405" s="46"/>
      <c r="L405" s="46"/>
      <c r="M405" s="46"/>
      <c r="N405" s="46"/>
    </row>
    <row r="406" spans="1:14" ht="15" customHeight="1">
      <c r="A406" s="46" t="s">
        <v>7758</v>
      </c>
      <c r="B406" s="46" t="str">
        <f t="shared" ca="1" si="5"/>
        <v>Reason for Change</v>
      </c>
      <c r="C406" s="46"/>
      <c r="D406" s="46" t="s">
        <v>7758</v>
      </c>
      <c r="E406" s="46"/>
      <c r="F406" s="46"/>
      <c r="G406" s="46"/>
      <c r="H406" s="46"/>
      <c r="I406" s="46"/>
      <c r="J406" s="46"/>
      <c r="K406" s="46"/>
      <c r="L406" s="46"/>
      <c r="M406" s="46"/>
      <c r="N406" s="46"/>
    </row>
    <row r="407" spans="1:14" ht="15" customHeight="1">
      <c r="A407" s="46" t="s">
        <v>7760</v>
      </c>
      <c r="B407" s="46" t="str">
        <f t="shared" ca="1" si="5"/>
        <v>Insurance Premium Type (Employment &amp; Workers' Compension Insurance)</v>
      </c>
      <c r="C407" s="46"/>
      <c r="D407" s="46" t="s">
        <v>7760</v>
      </c>
      <c r="E407" s="46"/>
      <c r="F407" s="46"/>
      <c r="G407" s="46"/>
      <c r="H407" s="46"/>
      <c r="I407" s="46"/>
      <c r="J407" s="46"/>
      <c r="K407" s="46"/>
      <c r="L407" s="46"/>
      <c r="M407" s="46"/>
      <c r="N407" s="46"/>
    </row>
    <row r="408" spans="1:14" ht="15" customHeight="1">
      <c r="A408" s="46" t="s">
        <v>5032</v>
      </c>
      <c r="B408" s="46" t="str">
        <f t="shared" ca="1" si="5"/>
        <v>Start Date</v>
      </c>
      <c r="C408" s="46"/>
      <c r="D408" s="46" t="s">
        <v>5032</v>
      </c>
      <c r="E408" s="46"/>
      <c r="F408" s="46"/>
      <c r="G408" s="46"/>
      <c r="H408" s="46"/>
      <c r="I408" s="46"/>
      <c r="J408" s="46"/>
      <c r="K408" s="46"/>
      <c r="L408" s="46"/>
      <c r="M408" s="46"/>
      <c r="N408" s="46"/>
    </row>
    <row r="409" spans="1:14" ht="15" customHeight="1">
      <c r="A409" s="46" t="s">
        <v>7755</v>
      </c>
      <c r="B409" s="46" t="str">
        <f t="shared" ca="1" si="5"/>
        <v>Monthly Compensation Amount</v>
      </c>
      <c r="C409" s="46"/>
      <c r="D409" s="46" t="s">
        <v>7755</v>
      </c>
      <c r="E409" s="46"/>
      <c r="F409" s="46"/>
      <c r="G409" s="46"/>
      <c r="H409" s="46"/>
      <c r="I409" s="46"/>
      <c r="J409" s="46"/>
      <c r="K409" s="46"/>
      <c r="L409" s="46"/>
      <c r="M409" s="46"/>
      <c r="N409" s="46"/>
    </row>
    <row r="410" spans="1:14" ht="15" customHeight="1">
      <c r="A410" s="46" t="s">
        <v>7756</v>
      </c>
      <c r="B410" s="46" t="str">
        <f t="shared" ca="1" si="5"/>
        <v>Exempted</v>
      </c>
      <c r="C410" s="46"/>
      <c r="D410" s="46" t="s">
        <v>7756</v>
      </c>
      <c r="E410" s="46"/>
      <c r="F410" s="46"/>
      <c r="G410" s="46"/>
      <c r="H410" s="46"/>
      <c r="I410" s="46"/>
      <c r="J410" s="46"/>
      <c r="K410" s="46"/>
      <c r="L410" s="46"/>
      <c r="M410" s="46"/>
      <c r="N410" s="46"/>
    </row>
    <row r="411" spans="1:14" ht="15" customHeight="1">
      <c r="A411" s="46" t="s">
        <v>7757</v>
      </c>
      <c r="B411" s="46" t="str">
        <f t="shared" ca="1" si="5"/>
        <v>Average Premium for Previous Year</v>
      </c>
      <c r="C411" s="46"/>
      <c r="D411" s="46" t="s">
        <v>7757</v>
      </c>
      <c r="E411" s="46"/>
      <c r="F411" s="46"/>
      <c r="G411" s="46"/>
      <c r="H411" s="46"/>
      <c r="I411" s="46"/>
      <c r="J411" s="46"/>
      <c r="K411" s="46"/>
      <c r="L411" s="46"/>
      <c r="M411" s="46"/>
      <c r="N411" s="46"/>
    </row>
    <row r="412" spans="1:14" ht="15" customHeight="1">
      <c r="A412" s="46" t="s">
        <v>7758</v>
      </c>
      <c r="B412" s="46" t="str">
        <f t="shared" ca="1" si="5"/>
        <v>Reason for Change</v>
      </c>
      <c r="C412" s="46"/>
      <c r="D412" s="46" t="s">
        <v>7758</v>
      </c>
      <c r="E412" s="46"/>
      <c r="F412" s="46"/>
      <c r="G412" s="46"/>
      <c r="H412" s="46"/>
      <c r="I412" s="46"/>
      <c r="J412" s="46"/>
      <c r="K412" s="46"/>
      <c r="L412" s="46"/>
      <c r="M412" s="46"/>
      <c r="N412" s="46"/>
    </row>
    <row r="413" spans="1:14" ht="15" customHeight="1">
      <c r="A413" s="46" t="s">
        <v>5032</v>
      </c>
      <c r="B413" s="46" t="str">
        <f t="shared" ca="1" si="5"/>
        <v>Start Date</v>
      </c>
      <c r="C413" s="46"/>
      <c r="D413" s="46" t="s">
        <v>5032</v>
      </c>
      <c r="E413" s="46"/>
      <c r="F413" s="46"/>
      <c r="G413" s="46"/>
      <c r="H413" s="46"/>
      <c r="I413" s="46"/>
      <c r="J413" s="46"/>
      <c r="K413" s="46"/>
      <c r="L413" s="46"/>
      <c r="M413" s="46"/>
      <c r="N413" s="46"/>
    </row>
    <row r="414" spans="1:14" ht="15" customHeight="1">
      <c r="A414" s="46" t="s">
        <v>7761</v>
      </c>
      <c r="B414" s="46" t="str">
        <f t="shared" ca="1" si="5"/>
        <v>Handicapped Employee</v>
      </c>
      <c r="C414" s="46"/>
      <c r="D414" s="46" t="s">
        <v>7761</v>
      </c>
      <c r="E414" s="46"/>
      <c r="F414" s="46"/>
      <c r="G414" s="46"/>
      <c r="H414" s="46"/>
      <c r="I414" s="46"/>
      <c r="J414" s="46"/>
      <c r="K414" s="46"/>
      <c r="L414" s="46"/>
      <c r="M414" s="46"/>
      <c r="N414" s="46"/>
    </row>
    <row r="415" spans="1:14" ht="15" customHeight="1">
      <c r="A415" s="46" t="s">
        <v>7762</v>
      </c>
      <c r="B415" s="46" t="str">
        <f t="shared" ca="1" si="5"/>
        <v>Handicapped Code</v>
      </c>
      <c r="C415" s="46"/>
      <c r="D415" s="46" t="s">
        <v>7762</v>
      </c>
      <c r="E415" s="46"/>
      <c r="F415" s="46"/>
      <c r="G415" s="46"/>
      <c r="H415" s="46"/>
      <c r="I415" s="46"/>
      <c r="J415" s="46"/>
      <c r="K415" s="46"/>
      <c r="L415" s="46"/>
      <c r="M415" s="46"/>
      <c r="N415" s="46"/>
    </row>
    <row r="416" spans="1:14" ht="15" customHeight="1">
      <c r="A416" s="46" t="s">
        <v>7763</v>
      </c>
      <c r="B416" s="46" t="str">
        <f t="shared" ca="1" si="5"/>
        <v>Income Tax Percentage</v>
      </c>
      <c r="C416" s="46"/>
      <c r="D416" s="46" t="s">
        <v>7763</v>
      </c>
      <c r="E416" s="46"/>
      <c r="F416" s="46"/>
      <c r="G416" s="46"/>
      <c r="H416" s="46"/>
      <c r="I416" s="46"/>
      <c r="J416" s="46"/>
      <c r="K416" s="46"/>
      <c r="L416" s="46"/>
      <c r="M416" s="46"/>
      <c r="N416" s="46"/>
    </row>
    <row r="417" spans="1:14" ht="15" customHeight="1">
      <c r="A417" s="46" t="s">
        <v>5032</v>
      </c>
      <c r="B417" s="46" t="str">
        <f t="shared" ca="1" si="5"/>
        <v>Start Date</v>
      </c>
      <c r="C417" s="46"/>
      <c r="D417" s="46" t="s">
        <v>5032</v>
      </c>
      <c r="E417" s="46"/>
      <c r="F417" s="46"/>
      <c r="G417" s="46"/>
      <c r="H417" s="46"/>
      <c r="I417" s="46"/>
      <c r="J417" s="46"/>
      <c r="K417" s="46"/>
      <c r="L417" s="46"/>
      <c r="M417" s="46"/>
      <c r="N417" s="46"/>
    </row>
    <row r="418" spans="1:14" ht="15" customHeight="1">
      <c r="A418" s="46" t="s">
        <v>7764</v>
      </c>
      <c r="B418" s="46" t="str">
        <f t="shared" ca="1" si="5"/>
        <v>Pension Plan</v>
      </c>
      <c r="C418" s="46"/>
      <c r="D418" s="46" t="s">
        <v>7764</v>
      </c>
      <c r="E418" s="46"/>
      <c r="F418" s="46"/>
      <c r="G418" s="46"/>
      <c r="H418" s="46"/>
      <c r="I418" s="46"/>
      <c r="J418" s="46"/>
      <c r="K418" s="46"/>
      <c r="L418" s="46"/>
      <c r="M418" s="46"/>
      <c r="N418" s="46"/>
    </row>
    <row r="419" spans="1:14" ht="15" customHeight="1">
      <c r="A419" s="46" t="s">
        <v>7765</v>
      </c>
      <c r="B419" s="46" t="str">
        <f t="shared" ca="1" si="5"/>
        <v>Participant Status</v>
      </c>
      <c r="C419" s="46"/>
      <c r="D419" s="46" t="s">
        <v>7765</v>
      </c>
      <c r="E419" s="46"/>
      <c r="F419" s="46"/>
      <c r="G419" s="46"/>
      <c r="H419" s="46"/>
      <c r="I419" s="46"/>
      <c r="J419" s="46"/>
      <c r="K419" s="46"/>
      <c r="L419" s="46"/>
      <c r="M419" s="46"/>
      <c r="N419" s="46"/>
    </row>
    <row r="420" spans="1:14" ht="15" customHeight="1">
      <c r="A420" s="46" t="s">
        <v>7766</v>
      </c>
      <c r="B420" s="46" t="str">
        <f t="shared" ca="1" si="5"/>
        <v>External Insititution</v>
      </c>
      <c r="C420" s="46"/>
      <c r="D420" s="46" t="s">
        <v>7766</v>
      </c>
      <c r="E420" s="46"/>
      <c r="F420" s="46"/>
      <c r="G420" s="46"/>
      <c r="H420" s="46"/>
      <c r="I420" s="46"/>
      <c r="J420" s="46"/>
      <c r="K420" s="46"/>
      <c r="L420" s="46"/>
      <c r="M420" s="46"/>
      <c r="N420" s="46"/>
    </row>
    <row r="421" spans="1:14" ht="15" customHeight="1">
      <c r="A421" s="46" t="s">
        <v>7767</v>
      </c>
      <c r="B421" s="46" t="str">
        <f t="shared" ca="1" si="5"/>
        <v>Calc. Start Date</v>
      </c>
      <c r="C421" s="46"/>
      <c r="D421" s="46" t="s">
        <v>7767</v>
      </c>
      <c r="E421" s="46"/>
      <c r="F421" s="46"/>
      <c r="G421" s="46"/>
      <c r="H421" s="46"/>
      <c r="I421" s="46"/>
      <c r="J421" s="46"/>
      <c r="K421" s="46"/>
      <c r="L421" s="46"/>
      <c r="M421" s="46"/>
      <c r="N421" s="46"/>
    </row>
    <row r="422" spans="1:14" ht="15" customHeight="1">
      <c r="A422" s="46" t="s">
        <v>7768</v>
      </c>
      <c r="B422" s="46" t="str">
        <f t="shared" ca="1" si="5"/>
        <v>Indicator for dependent family member</v>
      </c>
      <c r="C422" s="46"/>
      <c r="D422" s="46" t="s">
        <v>7768</v>
      </c>
      <c r="E422" s="46"/>
      <c r="F422" s="46"/>
      <c r="G422" s="46"/>
      <c r="H422" s="46"/>
      <c r="I422" s="46"/>
      <c r="J422" s="46"/>
      <c r="K422" s="46"/>
      <c r="L422" s="46"/>
      <c r="M422" s="46"/>
      <c r="N422" s="46"/>
    </row>
    <row r="423" spans="1:14" ht="15" customHeight="1">
      <c r="A423" s="46" t="s">
        <v>5036</v>
      </c>
      <c r="B423" s="46" t="str">
        <f t="shared" ca="1" si="5"/>
        <v>End Date</v>
      </c>
      <c r="C423" s="46"/>
      <c r="D423" s="46" t="s">
        <v>5036</v>
      </c>
      <c r="E423" s="46"/>
      <c r="F423" s="46"/>
      <c r="G423" s="46"/>
      <c r="H423" s="46"/>
      <c r="I423" s="46"/>
      <c r="J423" s="46"/>
      <c r="K423" s="46"/>
      <c r="L423" s="46"/>
      <c r="M423" s="46"/>
      <c r="N423" s="46"/>
    </row>
    <row r="424" spans="1:14" ht="15" customHeight="1">
      <c r="A424" s="46" t="s">
        <v>7775</v>
      </c>
      <c r="B424" s="46" t="str">
        <f t="shared" ca="1" si="5"/>
        <v>Saving Plan Type</v>
      </c>
      <c r="C424" s="46"/>
      <c r="D424" s="46" t="s">
        <v>7775</v>
      </c>
      <c r="E424" s="46"/>
      <c r="F424" s="46"/>
      <c r="G424" s="46"/>
      <c r="H424" s="46"/>
      <c r="I424" s="46"/>
      <c r="J424" s="46"/>
      <c r="K424" s="46"/>
      <c r="L424" s="46"/>
      <c r="M424" s="46"/>
      <c r="N424" s="46"/>
    </row>
    <row r="425" spans="1:14" ht="15" customHeight="1">
      <c r="A425" s="46" t="s">
        <v>5036</v>
      </c>
      <c r="B425" s="46" t="str">
        <f t="shared" ca="1" si="5"/>
        <v>End Date</v>
      </c>
      <c r="C425" s="46"/>
      <c r="D425" s="46" t="s">
        <v>5036</v>
      </c>
      <c r="E425" s="46"/>
      <c r="F425" s="46"/>
      <c r="G425" s="46"/>
      <c r="H425" s="46"/>
      <c r="I425" s="46"/>
      <c r="J425" s="46"/>
      <c r="K425" s="46"/>
      <c r="L425" s="46"/>
      <c r="M425" s="46"/>
      <c r="N425" s="46"/>
    </row>
    <row r="426" spans="1:14" ht="15" customHeight="1">
      <c r="A426" s="46" t="s">
        <v>7776</v>
      </c>
      <c r="B426" s="46" t="str">
        <f t="shared" ca="1" si="5"/>
        <v>Duties</v>
      </c>
      <c r="C426" s="46"/>
      <c r="D426" s="46" t="s">
        <v>7776</v>
      </c>
      <c r="E426" s="46"/>
      <c r="F426" s="46"/>
      <c r="G426" s="46"/>
      <c r="H426" s="46"/>
      <c r="I426" s="46"/>
      <c r="J426" s="46"/>
      <c r="K426" s="46"/>
      <c r="L426" s="46"/>
      <c r="M426" s="46"/>
      <c r="N426" s="46"/>
    </row>
    <row r="427" spans="1:14" ht="15" customHeight="1">
      <c r="A427" s="46" t="s">
        <v>7769</v>
      </c>
      <c r="B427" s="46" t="str">
        <f t="shared" ca="1" si="5"/>
        <v>Have you ever worked at Cargill (ie legal entity / subsidiary) before?</v>
      </c>
      <c r="C427" s="46"/>
      <c r="D427" s="46" t="s">
        <v>7769</v>
      </c>
      <c r="E427" s="46"/>
      <c r="F427" s="46"/>
      <c r="G427" s="46"/>
      <c r="H427" s="46"/>
      <c r="I427" s="46"/>
      <c r="J427" s="46"/>
      <c r="K427" s="46"/>
      <c r="L427" s="46"/>
      <c r="M427" s="46"/>
      <c r="N427" s="46"/>
    </row>
    <row r="428" spans="1:14" ht="15" customHeight="1">
      <c r="A428" s="46" t="s">
        <v>7770</v>
      </c>
      <c r="B428" s="46" t="str">
        <f t="shared" ca="1" si="5"/>
        <v>If "Yes" please give details</v>
      </c>
      <c r="C428" s="46"/>
      <c r="D428" s="46" t="s">
        <v>7770</v>
      </c>
      <c r="E428" s="46"/>
      <c r="F428" s="46"/>
      <c r="G428" s="46"/>
      <c r="H428" s="46"/>
      <c r="I428" s="46"/>
      <c r="J428" s="46"/>
      <c r="K428" s="46"/>
      <c r="L428" s="46"/>
      <c r="M428" s="46"/>
      <c r="N428" s="46"/>
    </row>
    <row r="429" spans="1:14" ht="15" customHeight="1">
      <c r="A429" s="46" t="s">
        <v>7771</v>
      </c>
      <c r="B429" s="46" t="str">
        <f t="shared" ca="1" si="5"/>
        <v>Do you know anybody currently working in Cargill?</v>
      </c>
      <c r="C429" s="46"/>
      <c r="D429" s="46" t="s">
        <v>7771</v>
      </c>
      <c r="E429" s="46"/>
      <c r="F429" s="46"/>
      <c r="G429" s="46"/>
      <c r="H429" s="46"/>
      <c r="I429" s="46"/>
      <c r="J429" s="46"/>
      <c r="K429" s="46"/>
      <c r="L429" s="46"/>
      <c r="M429" s="46"/>
      <c r="N429" s="46"/>
    </row>
    <row r="430" spans="1:14" ht="15" customHeight="1">
      <c r="A430" s="46" t="s">
        <v>7772</v>
      </c>
      <c r="B430" s="46" t="str">
        <f t="shared" ca="1" si="5"/>
        <v>If "Yes" please give details (name / relationship)</v>
      </c>
      <c r="C430" s="46"/>
      <c r="D430" s="46" t="s">
        <v>7772</v>
      </c>
      <c r="E430" s="46"/>
      <c r="F430" s="46"/>
      <c r="G430" s="46"/>
      <c r="H430" s="46"/>
      <c r="I430" s="46"/>
      <c r="J430" s="46"/>
      <c r="K430" s="46"/>
      <c r="L430" s="46"/>
      <c r="M430" s="46"/>
      <c r="N430" s="46"/>
    </row>
    <row r="431" spans="1:14" ht="15" customHeight="1">
      <c r="A431" s="46" t="s">
        <v>7773</v>
      </c>
      <c r="B431" s="46" t="str">
        <f t="shared" ref="B431:B494" ca="1" si="6">IFERROR(IF(ISBLANK(OFFSET(B431,0,$Q$1-1)),D431,OFFSET(B431,0,$Q$1-1)),"Please select language")</f>
        <v>Have you ever been convicted of any crims in any country?</v>
      </c>
      <c r="C431" s="46"/>
      <c r="D431" s="46" t="s">
        <v>7773</v>
      </c>
      <c r="E431" s="46"/>
      <c r="F431" s="46"/>
      <c r="G431" s="46"/>
      <c r="H431" s="46"/>
      <c r="I431" s="46"/>
      <c r="J431" s="46"/>
      <c r="K431" s="46"/>
      <c r="L431" s="46"/>
      <c r="M431" s="46"/>
      <c r="N431" s="46"/>
    </row>
    <row r="432" spans="1:14" ht="15" customHeight="1">
      <c r="A432" s="46" t="s">
        <v>7770</v>
      </c>
      <c r="B432" s="46" t="str">
        <f t="shared" ca="1" si="6"/>
        <v>If "Yes" please give details</v>
      </c>
      <c r="C432" s="46"/>
      <c r="D432" s="46" t="s">
        <v>7770</v>
      </c>
      <c r="E432" s="46"/>
      <c r="F432" s="46"/>
      <c r="G432" s="46"/>
      <c r="H432" s="46"/>
      <c r="I432" s="46"/>
      <c r="J432" s="46"/>
      <c r="K432" s="46"/>
      <c r="L432" s="46"/>
      <c r="M432" s="46"/>
      <c r="N432" s="46"/>
    </row>
    <row r="433" spans="1:14" ht="15" customHeight="1">
      <c r="A433" s="46" t="s">
        <v>7774</v>
      </c>
      <c r="B433" s="46" t="str">
        <f t="shared" ca="1" si="6"/>
        <v>Do you currently have any medical conditions that require pro-longed treatment?</v>
      </c>
      <c r="C433" s="46"/>
      <c r="D433" s="46" t="s">
        <v>7774</v>
      </c>
      <c r="E433" s="46"/>
      <c r="F433" s="46"/>
      <c r="G433" s="46"/>
      <c r="H433" s="46"/>
      <c r="I433" s="46"/>
      <c r="J433" s="46"/>
      <c r="K433" s="46"/>
      <c r="L433" s="46"/>
      <c r="M433" s="46"/>
      <c r="N433" s="46"/>
    </row>
    <row r="434" spans="1:14" ht="15" customHeight="1">
      <c r="A434" s="46" t="s">
        <v>7770</v>
      </c>
      <c r="B434" s="46" t="str">
        <f t="shared" ca="1" si="6"/>
        <v>If "Yes" please give details</v>
      </c>
      <c r="C434" s="46"/>
      <c r="D434" s="46" t="s">
        <v>7770</v>
      </c>
      <c r="E434" s="46"/>
      <c r="F434" s="46"/>
      <c r="G434" s="46"/>
      <c r="H434" s="46"/>
      <c r="I434" s="46"/>
      <c r="J434" s="46"/>
      <c r="K434" s="46"/>
      <c r="L434" s="46"/>
      <c r="M434" s="46"/>
      <c r="N434" s="46"/>
    </row>
    <row r="435" spans="1:14" ht="15" customHeight="1">
      <c r="A435" s="46" t="s">
        <v>7777</v>
      </c>
      <c r="B435" s="46" t="str">
        <f t="shared" ca="1" si="6"/>
        <v>Taxation Type Indicator</v>
      </c>
      <c r="C435" s="46"/>
      <c r="D435" s="46" t="s">
        <v>7777</v>
      </c>
      <c r="E435" s="46"/>
      <c r="F435" s="46"/>
      <c r="G435" s="46"/>
      <c r="H435" s="46"/>
      <c r="I435" s="46"/>
      <c r="J435" s="46"/>
      <c r="K435" s="46"/>
      <c r="L435" s="46"/>
      <c r="M435" s="46"/>
      <c r="N435" s="46"/>
    </row>
    <row r="436" spans="1:14" ht="15" customHeight="1">
      <c r="A436" s="46" t="s">
        <v>7778</v>
      </c>
      <c r="B436" s="46" t="str">
        <f t="shared" ca="1" si="6"/>
        <v>Disaster Victim</v>
      </c>
      <c r="C436" s="46"/>
      <c r="D436" s="46" t="s">
        <v>7778</v>
      </c>
      <c r="E436" s="46"/>
      <c r="F436" s="46"/>
      <c r="G436" s="46"/>
      <c r="H436" s="46"/>
      <c r="I436" s="46"/>
      <c r="J436" s="46"/>
      <c r="K436" s="46"/>
      <c r="L436" s="46"/>
      <c r="M436" s="46"/>
      <c r="N436" s="46"/>
    </row>
    <row r="437" spans="1:14" ht="15" customHeight="1">
      <c r="A437" s="46" t="s">
        <v>7779</v>
      </c>
      <c r="B437" s="46" t="str">
        <f t="shared" ca="1" si="6"/>
        <v>Method of Collection</v>
      </c>
      <c r="C437" s="46"/>
      <c r="D437" s="46" t="s">
        <v>7779</v>
      </c>
      <c r="E437" s="46"/>
      <c r="F437" s="46"/>
      <c r="G437" s="46"/>
      <c r="H437" s="46"/>
      <c r="I437" s="46"/>
      <c r="J437" s="46"/>
      <c r="K437" s="46"/>
      <c r="L437" s="46"/>
      <c r="M437" s="46"/>
      <c r="N437" s="46"/>
    </row>
    <row r="438" spans="1:14" ht="15" customHeight="1">
      <c r="A438" s="46" t="s">
        <v>7780</v>
      </c>
      <c r="B438" s="46" t="str">
        <f t="shared" ca="1" si="6"/>
        <v>Deduction for Disabled</v>
      </c>
      <c r="C438" s="46"/>
      <c r="D438" s="46" t="s">
        <v>7780</v>
      </c>
      <c r="E438" s="46"/>
      <c r="F438" s="46"/>
      <c r="G438" s="46"/>
      <c r="H438" s="46"/>
      <c r="I438" s="46"/>
      <c r="J438" s="46"/>
      <c r="K438" s="46"/>
      <c r="L438" s="46"/>
      <c r="M438" s="46"/>
      <c r="N438" s="46"/>
    </row>
    <row r="439" spans="1:14" ht="15" customHeight="1">
      <c r="A439" s="46" t="s">
        <v>7781</v>
      </c>
      <c r="B439" s="46" t="str">
        <f t="shared" ca="1" si="6"/>
        <v>Deduction for Old Person</v>
      </c>
      <c r="C439" s="46"/>
      <c r="D439" s="46" t="s">
        <v>7781</v>
      </c>
      <c r="E439" s="46"/>
      <c r="F439" s="46"/>
      <c r="G439" s="46"/>
      <c r="H439" s="46"/>
      <c r="I439" s="46"/>
      <c r="J439" s="46"/>
      <c r="K439" s="46"/>
      <c r="L439" s="46"/>
      <c r="M439" s="46"/>
      <c r="N439" s="46"/>
    </row>
    <row r="440" spans="1:14" ht="15" customHeight="1">
      <c r="A440" s="46" t="s">
        <v>7782</v>
      </c>
      <c r="B440" s="46" t="str">
        <f t="shared" ca="1" si="6"/>
        <v>Deduction for Widow</v>
      </c>
      <c r="C440" s="46"/>
      <c r="D440" s="46" t="s">
        <v>7782</v>
      </c>
      <c r="E440" s="46"/>
      <c r="F440" s="46"/>
      <c r="G440" s="46"/>
      <c r="H440" s="46"/>
      <c r="I440" s="46"/>
      <c r="J440" s="46"/>
      <c r="K440" s="46"/>
      <c r="L440" s="46"/>
      <c r="M440" s="46"/>
      <c r="N440" s="46"/>
    </row>
    <row r="441" spans="1:14" ht="15" customHeight="1">
      <c r="A441" s="46" t="s">
        <v>7783</v>
      </c>
      <c r="B441" s="46" t="str">
        <f t="shared" ca="1" si="6"/>
        <v>Deduction for Student Worker</v>
      </c>
      <c r="C441" s="46"/>
      <c r="D441" s="46" t="s">
        <v>7783</v>
      </c>
      <c r="E441" s="46"/>
      <c r="F441" s="46"/>
      <c r="G441" s="46"/>
      <c r="H441" s="46"/>
      <c r="I441" s="46"/>
      <c r="J441" s="46"/>
      <c r="K441" s="46"/>
      <c r="L441" s="46"/>
      <c r="M441" s="46"/>
      <c r="N441" s="46"/>
    </row>
    <row r="442" spans="1:14" ht="15" customHeight="1">
      <c r="A442" s="46" t="s">
        <v>7784</v>
      </c>
      <c r="B442" s="46" t="str">
        <f t="shared" ca="1" si="6"/>
        <v>Deceased</v>
      </c>
      <c r="C442" s="46"/>
      <c r="D442" s="46" t="s">
        <v>7784</v>
      </c>
      <c r="E442" s="46"/>
      <c r="F442" s="46"/>
      <c r="G442" s="46"/>
      <c r="H442" s="46"/>
      <c r="I442" s="46"/>
      <c r="J442" s="46"/>
      <c r="K442" s="46"/>
      <c r="L442" s="46"/>
      <c r="M442" s="46"/>
      <c r="N442" s="46"/>
    </row>
    <row r="443" spans="1:14" ht="15" customHeight="1">
      <c r="A443" s="46" t="s">
        <v>7785</v>
      </c>
      <c r="B443" s="46" t="str">
        <f t="shared" ca="1" si="6"/>
        <v>Handicap</v>
      </c>
      <c r="C443" s="46"/>
      <c r="D443" s="46" t="s">
        <v>7785</v>
      </c>
      <c r="E443" s="46"/>
      <c r="F443" s="46"/>
      <c r="G443" s="46"/>
      <c r="H443" s="46"/>
      <c r="I443" s="46"/>
      <c r="J443" s="46"/>
      <c r="K443" s="46"/>
      <c r="L443" s="46"/>
      <c r="M443" s="46"/>
      <c r="N443" s="46"/>
    </row>
    <row r="444" spans="1:14" ht="15" customHeight="1">
      <c r="A444" s="46" t="s">
        <v>7786</v>
      </c>
      <c r="B444" s="46" t="str">
        <f t="shared" ca="1" si="6"/>
        <v>Reason for Changing Master Data</v>
      </c>
      <c r="C444" s="46"/>
      <c r="D444" s="46" t="s">
        <v>7786</v>
      </c>
      <c r="E444" s="46"/>
      <c r="F444" s="46"/>
      <c r="G444" s="46"/>
      <c r="H444" s="46"/>
      <c r="I444" s="46"/>
      <c r="J444" s="46"/>
      <c r="K444" s="46"/>
      <c r="L444" s="46"/>
      <c r="M444" s="46"/>
      <c r="N444" s="46"/>
    </row>
    <row r="445" spans="1:14" ht="15" customHeight="1">
      <c r="A445" s="46" t="s">
        <v>7787</v>
      </c>
      <c r="B445" s="46" t="str">
        <f t="shared" ca="1" si="6"/>
        <v>Subtype</v>
      </c>
      <c r="C445" s="46"/>
      <c r="D445" s="46" t="s">
        <v>7787</v>
      </c>
      <c r="E445" s="46"/>
      <c r="F445" s="46"/>
      <c r="G445" s="46"/>
      <c r="H445" s="46"/>
      <c r="I445" s="46"/>
      <c r="J445" s="46"/>
      <c r="K445" s="46"/>
      <c r="L445" s="46"/>
      <c r="M445" s="46"/>
      <c r="N445" s="46"/>
    </row>
    <row r="446" spans="1:14" ht="15" customHeight="1">
      <c r="A446" s="46" t="s">
        <v>5032</v>
      </c>
      <c r="B446" s="46" t="str">
        <f t="shared" ca="1" si="6"/>
        <v>Start Date</v>
      </c>
      <c r="C446" s="46"/>
      <c r="D446" s="46" t="s">
        <v>5032</v>
      </c>
      <c r="E446" s="46"/>
      <c r="F446" s="46"/>
      <c r="G446" s="46"/>
      <c r="H446" s="46"/>
      <c r="I446" s="46"/>
      <c r="J446" s="46"/>
      <c r="K446" s="46"/>
      <c r="L446" s="46"/>
      <c r="M446" s="46"/>
      <c r="N446" s="46"/>
    </row>
    <row r="447" spans="1:14" ht="15" customHeight="1">
      <c r="A447" s="46" t="s">
        <v>7788</v>
      </c>
      <c r="B447" s="46" t="str">
        <f t="shared" ca="1" si="6"/>
        <v>Insurance Number</v>
      </c>
      <c r="C447" s="46"/>
      <c r="D447" s="46" t="s">
        <v>7788</v>
      </c>
      <c r="E447" s="46"/>
      <c r="F447" s="46"/>
      <c r="G447" s="46"/>
      <c r="H447" s="46"/>
      <c r="I447" s="46"/>
      <c r="J447" s="46"/>
      <c r="K447" s="46"/>
      <c r="L447" s="46"/>
      <c r="M447" s="46"/>
      <c r="N447" s="46"/>
    </row>
    <row r="448" spans="1:14" ht="15" customHeight="1">
      <c r="A448" s="46" t="s">
        <v>7789</v>
      </c>
      <c r="B448" s="46" t="str">
        <f t="shared" ca="1" si="6"/>
        <v>Social Insurance Deduction</v>
      </c>
      <c r="C448" s="46"/>
      <c r="D448" s="46" t="s">
        <v>7789</v>
      </c>
      <c r="E448" s="46"/>
      <c r="F448" s="46"/>
      <c r="G448" s="46"/>
      <c r="H448" s="46"/>
      <c r="I448" s="46"/>
      <c r="J448" s="46"/>
      <c r="K448" s="46"/>
      <c r="L448" s="46"/>
      <c r="M448" s="46"/>
      <c r="N448" s="46"/>
    </row>
    <row r="449" spans="1:14" ht="15" customHeight="1">
      <c r="A449" s="46" t="s">
        <v>7790</v>
      </c>
      <c r="B449" s="46" t="str">
        <f t="shared" ca="1" si="6"/>
        <v>Acquired/Lost</v>
      </c>
      <c r="C449" s="46"/>
      <c r="D449" s="46" t="s">
        <v>7790</v>
      </c>
      <c r="E449" s="46"/>
      <c r="F449" s="46"/>
      <c r="G449" s="46"/>
      <c r="H449" s="46"/>
      <c r="I449" s="46"/>
      <c r="J449" s="46"/>
      <c r="K449" s="46"/>
      <c r="L449" s="46"/>
      <c r="M449" s="46"/>
      <c r="N449" s="46"/>
    </row>
    <row r="450" spans="1:14" ht="15" customHeight="1">
      <c r="A450" s="46" t="s">
        <v>7791</v>
      </c>
      <c r="B450" s="46" t="str">
        <f t="shared" ca="1" si="6"/>
        <v>Indicator for SI Entitlement</v>
      </c>
      <c r="C450" s="46"/>
      <c r="D450" s="46" t="s">
        <v>7791</v>
      </c>
      <c r="E450" s="46"/>
      <c r="F450" s="46"/>
      <c r="G450" s="46"/>
      <c r="H450" s="46"/>
      <c r="I450" s="46"/>
      <c r="J450" s="46"/>
      <c r="K450" s="46"/>
      <c r="L450" s="46"/>
      <c r="M450" s="46"/>
      <c r="N450" s="46"/>
    </row>
    <row r="451" spans="1:14" ht="15" customHeight="1">
      <c r="A451" s="46" t="s">
        <v>7792</v>
      </c>
      <c r="B451" s="46" t="str">
        <f t="shared" ca="1" si="6"/>
        <v>Health Insurance Indicator</v>
      </c>
      <c r="C451" s="46"/>
      <c r="D451" s="46" t="s">
        <v>7792</v>
      </c>
      <c r="E451" s="46"/>
      <c r="F451" s="46"/>
      <c r="G451" s="46"/>
      <c r="H451" s="46"/>
      <c r="I451" s="46"/>
      <c r="J451" s="46"/>
      <c r="K451" s="46"/>
      <c r="L451" s="46"/>
      <c r="M451" s="46"/>
      <c r="N451" s="46"/>
    </row>
    <row r="452" spans="1:14" ht="15" customHeight="1">
      <c r="A452" s="46" t="s">
        <v>7793</v>
      </c>
      <c r="B452" s="46" t="str">
        <f t="shared" ca="1" si="6"/>
        <v>Aboriginal or Torres Strait Islander</v>
      </c>
      <c r="C452" s="46"/>
      <c r="D452" s="46" t="s">
        <v>7793</v>
      </c>
      <c r="E452" s="46"/>
      <c r="F452" s="46"/>
      <c r="G452" s="46"/>
      <c r="H452" s="46"/>
      <c r="I452" s="46"/>
      <c r="J452" s="46"/>
      <c r="K452" s="46"/>
      <c r="L452" s="46"/>
      <c r="M452" s="46"/>
      <c r="N452" s="46"/>
    </row>
    <row r="453" spans="1:14" ht="15" customHeight="1">
      <c r="A453" s="46" t="s">
        <v>7798</v>
      </c>
      <c r="B453" s="46" t="str">
        <f t="shared" ca="1" si="6"/>
        <v>Employee Declaration Sign Date  (DD/MM/YYYY)</v>
      </c>
      <c r="C453" s="46"/>
      <c r="D453" s="46" t="s">
        <v>7799</v>
      </c>
      <c r="E453" s="46"/>
      <c r="F453" s="46"/>
      <c r="G453" s="46"/>
      <c r="H453" s="46"/>
      <c r="I453" s="46"/>
      <c r="J453" s="46"/>
      <c r="K453" s="46"/>
      <c r="L453" s="46"/>
      <c r="M453" s="46"/>
      <c r="N453" s="46"/>
    </row>
    <row r="454" spans="1:14" ht="15" customHeight="1">
      <c r="A454" s="46" t="s">
        <v>7795</v>
      </c>
      <c r="B454" s="46" t="str">
        <f t="shared" ca="1" si="6"/>
        <v>Employer Declaration Sign Date  (DD/MM/YYYY)</v>
      </c>
      <c r="C454" s="46"/>
      <c r="D454" s="46" t="s">
        <v>7800</v>
      </c>
      <c r="E454" s="46"/>
      <c r="F454" s="46"/>
      <c r="G454" s="46"/>
      <c r="H454" s="46"/>
      <c r="I454" s="46"/>
      <c r="J454" s="46"/>
      <c r="K454" s="46"/>
      <c r="L454" s="46"/>
      <c r="M454" s="46"/>
      <c r="N454" s="46"/>
    </row>
    <row r="455" spans="1:14" ht="15" customHeight="1">
      <c r="A455" s="46" t="s">
        <v>7796</v>
      </c>
      <c r="B455" s="46" t="str">
        <f t="shared" ca="1" si="6"/>
        <v>Annual Leave Anniversary Date  (DD/MM/YYYY)</v>
      </c>
      <c r="C455" s="46"/>
      <c r="D455" s="46" t="s">
        <v>7801</v>
      </c>
      <c r="E455" s="46"/>
      <c r="F455" s="46"/>
      <c r="G455" s="46"/>
      <c r="H455" s="46"/>
      <c r="I455" s="46"/>
      <c r="J455" s="46"/>
      <c r="K455" s="46"/>
      <c r="L455" s="46"/>
      <c r="M455" s="46"/>
      <c r="N455" s="46"/>
    </row>
    <row r="456" spans="1:14" ht="15" customHeight="1">
      <c r="A456" s="46" t="s">
        <v>7797</v>
      </c>
      <c r="B456" s="46" t="str">
        <f t="shared" ca="1" si="6"/>
        <v>Long Service Leave Date  (DD/MM/YYYY)</v>
      </c>
      <c r="C456" s="46"/>
      <c r="D456" s="46" t="s">
        <v>7802</v>
      </c>
      <c r="E456" s="46"/>
      <c r="F456" s="46"/>
      <c r="G456" s="46"/>
      <c r="H456" s="46"/>
      <c r="I456" s="46"/>
      <c r="J456" s="46"/>
      <c r="K456" s="46"/>
      <c r="L456" s="46"/>
      <c r="M456" s="46"/>
      <c r="N456" s="46"/>
    </row>
    <row r="457" spans="1:14" ht="15" customHeight="1">
      <c r="A457" s="46" t="s">
        <v>7803</v>
      </c>
      <c r="B457" s="46" t="str">
        <f t="shared" ca="1" si="6"/>
        <v>Authorised Signatures</v>
      </c>
      <c r="C457" s="46"/>
      <c r="D457" s="46" t="s">
        <v>7803</v>
      </c>
      <c r="E457" s="46"/>
      <c r="F457" s="46"/>
      <c r="G457" s="46"/>
      <c r="H457" s="46"/>
      <c r="I457" s="46"/>
      <c r="J457" s="46"/>
      <c r="K457" s="46"/>
      <c r="L457" s="46"/>
      <c r="M457" s="46"/>
      <c r="N457" s="46"/>
    </row>
    <row r="458" spans="1:14" ht="15" customHeight="1">
      <c r="A458" s="46" t="s">
        <v>7804</v>
      </c>
      <c r="B458" s="46" t="str">
        <f t="shared" ca="1" si="6"/>
        <v>Retirement for INSS  (DD/MM/YYYY)</v>
      </c>
      <c r="C458" s="46"/>
      <c r="D458" s="46" t="s">
        <v>7805</v>
      </c>
      <c r="E458" s="46"/>
      <c r="F458" s="46"/>
      <c r="G458" s="46"/>
      <c r="H458" s="46"/>
      <c r="I458" s="46"/>
      <c r="J458" s="46"/>
      <c r="K458" s="46"/>
      <c r="L458" s="46"/>
      <c r="M458" s="46"/>
      <c r="N458" s="46"/>
    </row>
    <row r="459" spans="1:14" ht="15" customHeight="1">
      <c r="A459" s="46" t="s">
        <v>7806</v>
      </c>
      <c r="B459" s="46" t="str">
        <f t="shared" ca="1" si="6"/>
        <v>Receiving Unemployment Insurance Benefit</v>
      </c>
      <c r="C459" s="46"/>
      <c r="D459" s="46" t="s">
        <v>7806</v>
      </c>
      <c r="E459" s="46"/>
      <c r="F459" s="46"/>
      <c r="G459" s="46"/>
      <c r="H459" s="46"/>
      <c r="I459" s="46"/>
      <c r="J459" s="46"/>
      <c r="K459" s="46"/>
      <c r="L459" s="46"/>
      <c r="M459" s="46"/>
      <c r="N459" s="46"/>
    </row>
    <row r="460" spans="1:14" ht="15" customHeight="1">
      <c r="A460" s="46" t="s">
        <v>7807</v>
      </c>
      <c r="B460" s="46" t="str">
        <f t="shared" ca="1" si="6"/>
        <v>City of Birth</v>
      </c>
      <c r="C460" s="46"/>
      <c r="D460" s="46" t="s">
        <v>7807</v>
      </c>
      <c r="E460" s="46"/>
      <c r="F460" s="46"/>
      <c r="G460" s="46"/>
      <c r="H460" s="46"/>
      <c r="I460" s="46"/>
      <c r="J460" s="46"/>
      <c r="K460" s="46"/>
      <c r="L460" s="46"/>
      <c r="M460" s="46"/>
      <c r="N460" s="46"/>
    </row>
    <row r="461" spans="1:14" ht="15" customHeight="1">
      <c r="A461" s="46" t="s">
        <v>7808</v>
      </c>
      <c r="B461" s="46" t="str">
        <f t="shared" ca="1" si="6"/>
        <v>Número Benefício INSS</v>
      </c>
      <c r="C461" s="46"/>
      <c r="D461" s="46" t="s">
        <v>7808</v>
      </c>
      <c r="E461" s="46"/>
      <c r="F461" s="46"/>
      <c r="G461" s="46"/>
      <c r="H461" s="46"/>
      <c r="I461" s="46"/>
      <c r="J461" s="46"/>
      <c r="K461" s="46"/>
      <c r="L461" s="46"/>
      <c r="M461" s="46"/>
      <c r="N461" s="46"/>
    </row>
    <row r="462" spans="1:14" ht="15" customHeight="1">
      <c r="A462" s="46" t="s">
        <v>7809</v>
      </c>
      <c r="B462" s="46" t="str">
        <f t="shared" ca="1" si="6"/>
        <v>Retirement Type</v>
      </c>
      <c r="C462" s="46"/>
      <c r="D462" s="46" t="s">
        <v>7809</v>
      </c>
      <c r="E462" s="46"/>
      <c r="F462" s="46"/>
      <c r="G462" s="46"/>
      <c r="H462" s="46"/>
      <c r="I462" s="46"/>
      <c r="J462" s="46"/>
      <c r="K462" s="46"/>
      <c r="L462" s="46"/>
      <c r="M462" s="46"/>
      <c r="N462" s="46"/>
    </row>
    <row r="463" spans="1:14" ht="15" customHeight="1">
      <c r="A463" s="46" t="s">
        <v>3777</v>
      </c>
      <c r="B463" s="46" t="str">
        <f t="shared" ca="1" si="6"/>
        <v>Neighborhood</v>
      </c>
      <c r="C463" s="46"/>
      <c r="D463" s="46" t="s">
        <v>3777</v>
      </c>
      <c r="E463" s="46"/>
      <c r="F463" s="46"/>
      <c r="G463" s="46"/>
      <c r="H463" s="46"/>
      <c r="I463" s="46"/>
      <c r="J463" s="46"/>
      <c r="K463" s="46"/>
      <c r="L463" s="46"/>
      <c r="M463" s="46"/>
      <c r="N463" s="46"/>
    </row>
    <row r="464" spans="1:14" ht="15" customHeight="1">
      <c r="A464" s="46" t="s">
        <v>7810</v>
      </c>
      <c r="B464" s="46" t="str">
        <f t="shared" ca="1" si="6"/>
        <v>Tipo Logradouro</v>
      </c>
      <c r="C464" s="46"/>
      <c r="D464" s="46" t="s">
        <v>7810</v>
      </c>
      <c r="E464" s="46"/>
      <c r="F464" s="46"/>
      <c r="G464" s="46"/>
      <c r="H464" s="46"/>
      <c r="I464" s="46"/>
      <c r="J464" s="46"/>
      <c r="K464" s="46"/>
      <c r="L464" s="46"/>
      <c r="M464" s="46"/>
      <c r="N464" s="46"/>
    </row>
    <row r="465" spans="1:16384" s="46" customFormat="1" ht="15" customHeight="1">
      <c r="A465" s="46" t="s">
        <v>7811</v>
      </c>
      <c r="B465" s="46" t="str">
        <f t="shared" ca="1" si="6"/>
        <v>Harmful Agent Exposure Code</v>
      </c>
      <c r="D465" s="46" t="s">
        <v>7811</v>
      </c>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c r="TI465"/>
      <c r="TJ465"/>
      <c r="TK465"/>
      <c r="TL465"/>
      <c r="TM465"/>
      <c r="TN465"/>
      <c r="TO465"/>
      <c r="TP465"/>
      <c r="TQ465"/>
      <c r="TR465"/>
      <c r="TS465"/>
      <c r="TT465"/>
      <c r="TU465"/>
      <c r="TV465"/>
      <c r="TW465"/>
      <c r="TX465"/>
      <c r="TY465"/>
      <c r="TZ465"/>
      <c r="UA465"/>
      <c r="UB465"/>
      <c r="UC465"/>
      <c r="UD465"/>
      <c r="UE465"/>
      <c r="UF465"/>
      <c r="UG465"/>
      <c r="UH465"/>
      <c r="UI465"/>
      <c r="UJ465"/>
      <c r="UK465"/>
      <c r="UL465"/>
      <c r="UM465"/>
      <c r="UN465"/>
      <c r="UO465"/>
      <c r="UP465"/>
      <c r="UQ465"/>
      <c r="UR465"/>
      <c r="US465"/>
      <c r="UT465"/>
      <c r="UU465"/>
      <c r="UV465"/>
      <c r="UW465"/>
      <c r="UX465"/>
      <c r="UY465"/>
      <c r="UZ465"/>
      <c r="VA465"/>
      <c r="VB465"/>
      <c r="VC465"/>
      <c r="VD465"/>
      <c r="VE465"/>
      <c r="VF465"/>
      <c r="VG465"/>
      <c r="VH465"/>
      <c r="VI465"/>
      <c r="VJ465"/>
      <c r="VK465"/>
      <c r="VL465"/>
      <c r="VM465"/>
      <c r="VN465"/>
      <c r="VO465"/>
      <c r="VP465"/>
      <c r="VQ465"/>
      <c r="VR465"/>
      <c r="VS465"/>
      <c r="VT465"/>
      <c r="VU465"/>
      <c r="VV465"/>
      <c r="VW465"/>
      <c r="VX465"/>
      <c r="VY465"/>
      <c r="VZ465"/>
      <c r="WA465"/>
      <c r="WB465"/>
      <c r="WC465"/>
      <c r="WD465"/>
      <c r="WE465"/>
      <c r="WF465"/>
      <c r="WG465"/>
      <c r="WH465"/>
      <c r="WI465"/>
      <c r="WJ465"/>
      <c r="WK465"/>
      <c r="WL465"/>
      <c r="WM465"/>
      <c r="WN465"/>
      <c r="WO465"/>
      <c r="WP465"/>
      <c r="WQ465"/>
      <c r="WR465"/>
      <c r="WS465"/>
      <c r="WT465"/>
      <c r="WU465"/>
      <c r="WV465"/>
      <c r="WW465"/>
      <c r="WX465"/>
      <c r="WY465"/>
      <c r="WZ465"/>
      <c r="XA465"/>
      <c r="XB465"/>
      <c r="XC465"/>
      <c r="XD465"/>
      <c r="XE465"/>
      <c r="XF465"/>
      <c r="XG465"/>
      <c r="XH465"/>
      <c r="XI465"/>
      <c r="XJ465"/>
      <c r="XK465"/>
      <c r="XL465"/>
      <c r="XM465"/>
      <c r="XN465"/>
      <c r="XO465"/>
      <c r="XP465"/>
      <c r="XQ465"/>
      <c r="XR465"/>
      <c r="XS465"/>
      <c r="XT465"/>
      <c r="XU465"/>
      <c r="XV465"/>
      <c r="XW465"/>
      <c r="XX465"/>
      <c r="XY465"/>
      <c r="XZ465"/>
      <c r="YA465"/>
      <c r="YB465"/>
      <c r="YC465"/>
      <c r="YD465"/>
      <c r="YE465"/>
      <c r="YF465"/>
      <c r="YG465"/>
      <c r="YH465"/>
      <c r="YI465"/>
      <c r="YJ465"/>
      <c r="YK465"/>
      <c r="YL465"/>
      <c r="YM465"/>
      <c r="YN465"/>
      <c r="YO465"/>
      <c r="YP465"/>
      <c r="YQ465"/>
      <c r="YR465"/>
      <c r="YS465"/>
      <c r="YT465"/>
      <c r="YU465"/>
      <c r="YV465"/>
      <c r="YW465"/>
      <c r="YX465"/>
      <c r="YY465"/>
      <c r="YZ465"/>
      <c r="ZA465"/>
      <c r="ZB465"/>
      <c r="ZC465"/>
      <c r="ZD465"/>
      <c r="ZE465"/>
      <c r="ZF465"/>
      <c r="ZG465"/>
      <c r="ZH465"/>
      <c r="ZI465"/>
      <c r="ZJ465"/>
      <c r="ZK465"/>
      <c r="ZL465"/>
      <c r="ZM465"/>
      <c r="ZN465"/>
      <c r="ZO465"/>
      <c r="ZP465"/>
      <c r="ZQ465"/>
      <c r="ZR465"/>
      <c r="ZS465"/>
      <c r="ZT465"/>
      <c r="ZU465"/>
      <c r="ZV465"/>
      <c r="ZW465"/>
      <c r="ZX465"/>
      <c r="ZY465"/>
      <c r="ZZ465"/>
      <c r="AAA465"/>
      <c r="AAB465"/>
      <c r="AAC465"/>
      <c r="AAD465"/>
      <c r="AAE465"/>
      <c r="AAF465"/>
      <c r="AAG465"/>
      <c r="AAH465"/>
      <c r="AAI465"/>
      <c r="AAJ465"/>
      <c r="AAK465"/>
      <c r="AAL465"/>
      <c r="AAM465"/>
      <c r="AAN465"/>
      <c r="AAO465"/>
      <c r="AAP465"/>
      <c r="AAQ465"/>
      <c r="AAR465"/>
      <c r="AAS465"/>
      <c r="AAT465"/>
      <c r="AAU465"/>
      <c r="AAV465"/>
      <c r="AAW465"/>
      <c r="AAX465"/>
      <c r="AAY465"/>
      <c r="AAZ465"/>
      <c r="ABA465"/>
      <c r="ABB465"/>
      <c r="ABC465"/>
      <c r="ABD465"/>
      <c r="ABE465"/>
      <c r="ABF465"/>
      <c r="ABG465"/>
      <c r="ABH465"/>
      <c r="ABI465"/>
      <c r="ABJ465"/>
      <c r="ABK465"/>
      <c r="ABL465"/>
      <c r="ABM465"/>
      <c r="ABN465"/>
      <c r="ABO465"/>
      <c r="ABP465"/>
      <c r="ABQ465"/>
      <c r="ABR465"/>
      <c r="ABS465"/>
      <c r="ABT465"/>
      <c r="ABU465"/>
      <c r="ABV465"/>
      <c r="ABW465"/>
      <c r="ABX465"/>
      <c r="ABY465"/>
      <c r="ABZ465"/>
      <c r="ACA465"/>
      <c r="ACB465"/>
      <c r="ACC465"/>
      <c r="ACD465"/>
      <c r="ACE465"/>
      <c r="ACF465"/>
      <c r="ACG465"/>
      <c r="ACH465"/>
      <c r="ACI465"/>
      <c r="ACJ465"/>
      <c r="ACK465"/>
      <c r="ACL465"/>
      <c r="ACM465"/>
      <c r="ACN465"/>
      <c r="ACO465"/>
      <c r="ACP465"/>
      <c r="ACQ465"/>
      <c r="ACR465"/>
      <c r="ACS465"/>
      <c r="ACT465"/>
      <c r="ACU465"/>
      <c r="ACV465"/>
      <c r="ACW465"/>
      <c r="ACX465"/>
      <c r="ACY465"/>
      <c r="ACZ465"/>
      <c r="ADA465"/>
      <c r="ADB465"/>
      <c r="ADC465"/>
      <c r="ADD465"/>
      <c r="ADE465"/>
      <c r="ADF465"/>
      <c r="ADG465"/>
      <c r="ADH465"/>
      <c r="ADI465"/>
      <c r="ADJ465"/>
      <c r="ADK465"/>
      <c r="ADL465"/>
      <c r="ADM465"/>
      <c r="ADN465"/>
      <c r="ADO465"/>
      <c r="ADP465"/>
      <c r="ADQ465"/>
      <c r="ADR465"/>
      <c r="ADS465"/>
      <c r="ADT465"/>
      <c r="ADU465"/>
      <c r="ADV465"/>
      <c r="ADW465"/>
      <c r="ADX465"/>
      <c r="ADY465"/>
      <c r="ADZ465"/>
      <c r="AEA465"/>
      <c r="AEB465"/>
      <c r="AEC465"/>
      <c r="AED465"/>
      <c r="AEE465"/>
      <c r="AEF465"/>
      <c r="AEG465"/>
      <c r="AEH465"/>
      <c r="AEI465"/>
      <c r="AEJ465"/>
      <c r="AEK465"/>
      <c r="AEL465"/>
      <c r="AEM465"/>
      <c r="AEN465"/>
      <c r="AEO465"/>
      <c r="AEP465"/>
      <c r="AEQ465"/>
      <c r="AER465"/>
      <c r="AES465"/>
      <c r="AET465"/>
      <c r="AEU465"/>
      <c r="AEV465"/>
      <c r="AEW465"/>
      <c r="AEX465"/>
      <c r="AEY465"/>
      <c r="AEZ465"/>
      <c r="AFA465"/>
      <c r="AFB465"/>
      <c r="AFC465"/>
      <c r="AFD465"/>
      <c r="AFE465"/>
      <c r="AFF465"/>
      <c r="AFG465"/>
      <c r="AFH465"/>
      <c r="AFI465"/>
      <c r="AFJ465"/>
      <c r="AFK465"/>
      <c r="AFL465"/>
      <c r="AFM465"/>
      <c r="AFN465"/>
      <c r="AFO465"/>
      <c r="AFP465"/>
      <c r="AFQ465"/>
      <c r="AFR465"/>
      <c r="AFS465"/>
      <c r="AFT465"/>
      <c r="AFU465"/>
      <c r="AFV465"/>
      <c r="AFW465"/>
      <c r="AFX465"/>
      <c r="AFY465"/>
      <c r="AFZ465"/>
      <c r="AGA465"/>
      <c r="AGB465"/>
      <c r="AGC465"/>
      <c r="AGD465"/>
      <c r="AGE465"/>
      <c r="AGF465"/>
      <c r="AGG465"/>
      <c r="AGH465"/>
      <c r="AGI465"/>
      <c r="AGJ465"/>
      <c r="AGK465"/>
      <c r="AGL465"/>
      <c r="AGM465"/>
      <c r="AGN465"/>
      <c r="AGO465"/>
      <c r="AGP465"/>
      <c r="AGQ465"/>
      <c r="AGR465"/>
      <c r="AGS465"/>
      <c r="AGT465"/>
      <c r="AGU465"/>
      <c r="AGV465"/>
      <c r="AGW465"/>
      <c r="AGX465"/>
      <c r="AGY465"/>
      <c r="AGZ465"/>
      <c r="AHA465"/>
      <c r="AHB465"/>
      <c r="AHC465"/>
      <c r="AHD465"/>
      <c r="AHE465"/>
      <c r="AHF465"/>
      <c r="AHG465"/>
      <c r="AHH465"/>
      <c r="AHI465"/>
      <c r="AHJ465"/>
      <c r="AHK465"/>
      <c r="AHL465"/>
      <c r="AHM465"/>
      <c r="AHN465"/>
      <c r="AHO465"/>
      <c r="AHP465"/>
      <c r="AHQ465"/>
      <c r="AHR465"/>
      <c r="AHS465"/>
      <c r="AHT465"/>
      <c r="AHU465"/>
      <c r="AHV465"/>
      <c r="AHW465"/>
      <c r="AHX465"/>
      <c r="AHY465"/>
      <c r="AHZ465"/>
      <c r="AIA465"/>
      <c r="AIB465"/>
      <c r="AIC465"/>
      <c r="AID465"/>
      <c r="AIE465"/>
      <c r="AIF465"/>
      <c r="AIG465"/>
      <c r="AIH465"/>
      <c r="AII465"/>
      <c r="AIJ465"/>
      <c r="AIK465"/>
      <c r="AIL465"/>
      <c r="AIM465"/>
      <c r="AIN465"/>
      <c r="AIO465"/>
      <c r="AIP465"/>
      <c r="AIQ465"/>
      <c r="AIR465"/>
      <c r="AIS465"/>
      <c r="AIT465"/>
      <c r="AIU465"/>
      <c r="AIV465"/>
      <c r="AIW465"/>
      <c r="AIX465"/>
      <c r="AIY465"/>
      <c r="AIZ465"/>
      <c r="AJA465"/>
      <c r="AJB465"/>
      <c r="AJC465"/>
      <c r="AJD465"/>
      <c r="AJE465"/>
      <c r="AJF465"/>
      <c r="AJG465"/>
      <c r="AJH465"/>
      <c r="AJI465"/>
      <c r="AJJ465"/>
      <c r="AJK465"/>
      <c r="AJL465"/>
      <c r="AJM465"/>
      <c r="AJN465"/>
      <c r="AJO465"/>
      <c r="AJP465"/>
      <c r="AJQ465"/>
      <c r="AJR465"/>
      <c r="AJS465"/>
      <c r="AJT465"/>
      <c r="AJU465"/>
      <c r="AJV465"/>
      <c r="AJW465"/>
      <c r="AJX465"/>
      <c r="AJY465"/>
      <c r="AJZ465"/>
      <c r="AKA465"/>
      <c r="AKB465"/>
      <c r="AKC465"/>
      <c r="AKD465"/>
      <c r="AKE465"/>
      <c r="AKF465"/>
      <c r="AKG465"/>
      <c r="AKH465"/>
      <c r="AKI465"/>
      <c r="AKJ465"/>
      <c r="AKK465"/>
      <c r="AKL465"/>
      <c r="AKM465"/>
      <c r="AKN465"/>
      <c r="AKO465"/>
      <c r="AKP465"/>
      <c r="AKQ465"/>
      <c r="AKR465"/>
      <c r="AKS465"/>
      <c r="AKT465"/>
      <c r="AKU465"/>
      <c r="AKV465"/>
      <c r="AKW465"/>
      <c r="AKX465"/>
      <c r="AKY465"/>
      <c r="AKZ465"/>
      <c r="ALA465"/>
      <c r="ALB465"/>
      <c r="ALC465"/>
      <c r="ALD465"/>
      <c r="ALE465"/>
      <c r="ALF465"/>
      <c r="ALG465"/>
      <c r="ALH465"/>
      <c r="ALI465"/>
      <c r="ALJ465"/>
      <c r="ALK465"/>
      <c r="ALL465"/>
      <c r="ALM465"/>
      <c r="ALN465"/>
      <c r="ALO465"/>
      <c r="ALP465"/>
      <c r="ALQ465"/>
      <c r="ALR465"/>
      <c r="ALS465"/>
      <c r="ALT465"/>
      <c r="ALU465"/>
      <c r="ALV465"/>
      <c r="ALW465"/>
      <c r="ALX465"/>
      <c r="ALY465"/>
      <c r="ALZ465"/>
      <c r="AMA465"/>
      <c r="AMB465"/>
      <c r="AMC465"/>
      <c r="AMD465"/>
      <c r="AME465"/>
      <c r="AMF465"/>
      <c r="AMG465"/>
      <c r="AMH465"/>
      <c r="AMI465"/>
      <c r="AMJ465"/>
      <c r="AMK465"/>
      <c r="AML465"/>
      <c r="AMM465"/>
      <c r="AMN465"/>
      <c r="AMO465"/>
      <c r="AMP465"/>
      <c r="AMQ465"/>
      <c r="AMR465"/>
      <c r="AMS465"/>
      <c r="AMT465"/>
      <c r="AMU465"/>
      <c r="AMV465"/>
      <c r="AMW465"/>
      <c r="AMX465"/>
      <c r="AMY465"/>
      <c r="AMZ465"/>
      <c r="ANA465"/>
      <c r="ANB465"/>
      <c r="ANC465"/>
      <c r="AND465"/>
      <c r="ANE465"/>
      <c r="ANF465"/>
      <c r="ANG465"/>
      <c r="ANH465"/>
      <c r="ANI465"/>
      <c r="ANJ465"/>
      <c r="ANK465"/>
      <c r="ANL465"/>
      <c r="ANM465"/>
      <c r="ANN465"/>
      <c r="ANO465"/>
      <c r="ANP465"/>
      <c r="ANQ465"/>
      <c r="ANR465"/>
      <c r="ANS465"/>
      <c r="ANT465"/>
      <c r="ANU465"/>
      <c r="ANV465"/>
      <c r="ANW465"/>
      <c r="ANX465"/>
      <c r="ANY465"/>
      <c r="ANZ465"/>
      <c r="AOA465"/>
      <c r="AOB465"/>
      <c r="AOC465"/>
      <c r="AOD465"/>
      <c r="AOE465"/>
      <c r="AOF465"/>
      <c r="AOG465"/>
      <c r="AOH465"/>
      <c r="AOI465"/>
      <c r="AOJ465"/>
      <c r="AOK465"/>
      <c r="AOL465"/>
      <c r="AOM465"/>
      <c r="AON465"/>
      <c r="AOO465"/>
      <c r="AOP465"/>
      <c r="AOQ465"/>
      <c r="AOR465"/>
      <c r="AOS465"/>
      <c r="AOT465"/>
      <c r="AOU465"/>
      <c r="AOV465"/>
      <c r="AOW465"/>
      <c r="AOX465"/>
      <c r="AOY465"/>
      <c r="AOZ465"/>
      <c r="APA465"/>
      <c r="APB465"/>
      <c r="APC465"/>
      <c r="APD465"/>
      <c r="APE465"/>
      <c r="APF465"/>
      <c r="APG465"/>
      <c r="APH465"/>
      <c r="API465"/>
      <c r="APJ465"/>
      <c r="APK465"/>
      <c r="APL465"/>
      <c r="APM465"/>
      <c r="APN465"/>
      <c r="APO465"/>
      <c r="APP465"/>
      <c r="APQ465"/>
      <c r="APR465"/>
      <c r="APS465"/>
      <c r="APT465"/>
      <c r="APU465"/>
      <c r="APV465"/>
      <c r="APW465"/>
      <c r="APX465"/>
      <c r="APY465"/>
      <c r="APZ465"/>
      <c r="AQA465"/>
      <c r="AQB465"/>
      <c r="AQC465"/>
      <c r="AQD465"/>
      <c r="AQE465"/>
      <c r="AQF465"/>
      <c r="AQG465"/>
      <c r="AQH465"/>
      <c r="AQI465"/>
      <c r="AQJ465"/>
      <c r="AQK465"/>
      <c r="AQL465"/>
      <c r="AQM465"/>
      <c r="AQN465"/>
      <c r="AQO465"/>
      <c r="AQP465"/>
      <c r="AQQ465"/>
      <c r="AQR465"/>
      <c r="AQS465"/>
      <c r="AQT465"/>
      <c r="AQU465"/>
      <c r="AQV465"/>
      <c r="AQW465"/>
      <c r="AQX465"/>
      <c r="AQY465"/>
      <c r="AQZ465"/>
      <c r="ARA465"/>
      <c r="ARB465"/>
      <c r="ARC465"/>
      <c r="ARD465"/>
      <c r="ARE465"/>
      <c r="ARF465"/>
      <c r="ARG465"/>
      <c r="ARH465"/>
      <c r="ARI465"/>
      <c r="ARJ465"/>
      <c r="ARK465"/>
      <c r="ARL465"/>
      <c r="ARM465"/>
      <c r="ARN465"/>
      <c r="ARO465"/>
      <c r="ARP465"/>
      <c r="ARQ465"/>
      <c r="ARR465"/>
      <c r="ARS465"/>
      <c r="ART465"/>
      <c r="ARU465"/>
      <c r="ARV465"/>
      <c r="ARW465"/>
      <c r="ARX465"/>
      <c r="ARY465"/>
      <c r="ARZ465"/>
      <c r="ASA465"/>
      <c r="ASB465"/>
      <c r="ASC465"/>
      <c r="ASD465"/>
      <c r="ASE465"/>
      <c r="ASF465"/>
      <c r="ASG465"/>
      <c r="ASH465"/>
      <c r="ASI465"/>
      <c r="ASJ465"/>
      <c r="ASK465"/>
      <c r="ASL465"/>
      <c r="ASM465"/>
      <c r="ASN465"/>
      <c r="ASO465"/>
      <c r="ASP465"/>
      <c r="ASQ465"/>
      <c r="ASR465"/>
      <c r="ASS465"/>
      <c r="AST465"/>
      <c r="ASU465"/>
      <c r="ASV465"/>
      <c r="ASW465"/>
      <c r="ASX465"/>
      <c r="ASY465"/>
      <c r="ASZ465"/>
      <c r="ATA465"/>
      <c r="ATB465"/>
      <c r="ATC465"/>
      <c r="ATD465"/>
      <c r="ATE465"/>
      <c r="ATF465"/>
      <c r="ATG465"/>
      <c r="ATH465"/>
      <c r="ATI465"/>
      <c r="ATJ465"/>
      <c r="ATK465"/>
      <c r="ATL465"/>
      <c r="ATM465"/>
      <c r="ATN465"/>
      <c r="ATO465"/>
      <c r="ATP465"/>
      <c r="ATQ465"/>
      <c r="ATR465"/>
      <c r="ATS465"/>
      <c r="ATT465"/>
      <c r="ATU465"/>
      <c r="ATV465"/>
      <c r="ATW465"/>
      <c r="ATX465"/>
      <c r="ATY465"/>
      <c r="ATZ465"/>
      <c r="AUA465"/>
      <c r="AUB465"/>
      <c r="AUC465"/>
      <c r="AUD465"/>
      <c r="AUE465"/>
      <c r="AUF465"/>
      <c r="AUG465"/>
      <c r="AUH465"/>
      <c r="AUI465"/>
      <c r="AUJ465"/>
      <c r="AUK465"/>
      <c r="AUL465"/>
      <c r="AUM465"/>
      <c r="AUN465"/>
      <c r="AUO465"/>
      <c r="AUP465"/>
      <c r="AUQ465"/>
      <c r="AUR465"/>
      <c r="AUS465"/>
      <c r="AUT465"/>
      <c r="AUU465"/>
      <c r="AUV465"/>
      <c r="AUW465"/>
      <c r="AUX465"/>
      <c r="AUY465"/>
      <c r="AUZ465"/>
      <c r="AVA465"/>
      <c r="AVB465"/>
      <c r="AVC465"/>
      <c r="AVD465"/>
      <c r="AVE465"/>
      <c r="AVF465"/>
      <c r="AVG465"/>
      <c r="AVH465"/>
      <c r="AVI465"/>
      <c r="AVJ465"/>
      <c r="AVK465"/>
      <c r="AVL465"/>
      <c r="AVM465"/>
      <c r="AVN465"/>
      <c r="AVO465"/>
      <c r="AVP465"/>
      <c r="AVQ465"/>
      <c r="AVR465"/>
      <c r="AVS465"/>
      <c r="AVT465"/>
      <c r="AVU465"/>
      <c r="AVV465"/>
      <c r="AVW465"/>
      <c r="AVX465"/>
      <c r="AVY465"/>
      <c r="AVZ465"/>
      <c r="AWA465"/>
      <c r="AWB465"/>
      <c r="AWC465"/>
      <c r="AWD465"/>
      <c r="AWE465"/>
      <c r="AWF465"/>
      <c r="AWG465"/>
      <c r="AWH465"/>
      <c r="AWI465"/>
      <c r="AWJ465"/>
      <c r="AWK465"/>
      <c r="AWL465"/>
      <c r="AWM465"/>
      <c r="AWN465"/>
      <c r="AWO465"/>
      <c r="AWP465"/>
      <c r="AWQ465"/>
      <c r="AWR465"/>
      <c r="AWS465"/>
      <c r="AWT465"/>
      <c r="AWU465"/>
      <c r="AWV465"/>
      <c r="AWW465"/>
      <c r="AWX465"/>
      <c r="AWY465"/>
      <c r="AWZ465"/>
      <c r="AXA465"/>
      <c r="AXB465"/>
      <c r="AXC465"/>
      <c r="AXD465"/>
      <c r="AXE465"/>
      <c r="AXF465"/>
      <c r="AXG465"/>
      <c r="AXH465"/>
      <c r="AXI465"/>
      <c r="AXJ465"/>
      <c r="AXK465"/>
      <c r="AXL465"/>
      <c r="AXM465"/>
      <c r="AXN465"/>
      <c r="AXO465"/>
      <c r="AXP465"/>
      <c r="AXQ465"/>
      <c r="AXR465"/>
      <c r="AXS465"/>
      <c r="AXT465"/>
      <c r="AXU465"/>
      <c r="AXV465"/>
      <c r="AXW465"/>
      <c r="AXX465"/>
      <c r="AXY465"/>
      <c r="AXZ465"/>
      <c r="AYA465"/>
      <c r="AYB465"/>
      <c r="AYC465"/>
      <c r="AYD465"/>
      <c r="AYE465"/>
      <c r="AYF465"/>
      <c r="AYG465"/>
      <c r="AYH465"/>
      <c r="AYI465"/>
      <c r="AYJ465"/>
      <c r="AYK465"/>
      <c r="AYL465"/>
      <c r="AYM465"/>
      <c r="AYN465"/>
      <c r="AYO465"/>
      <c r="AYP465"/>
      <c r="AYQ465"/>
      <c r="AYR465"/>
      <c r="AYS465"/>
      <c r="AYT465"/>
      <c r="AYU465"/>
      <c r="AYV465"/>
      <c r="AYW465"/>
      <c r="AYX465"/>
      <c r="AYY465"/>
      <c r="AYZ465"/>
      <c r="AZA465"/>
      <c r="AZB465"/>
      <c r="AZC465"/>
      <c r="AZD465"/>
      <c r="AZE465"/>
      <c r="AZF465"/>
      <c r="AZG465"/>
      <c r="AZH465"/>
      <c r="AZI465"/>
      <c r="AZJ465"/>
      <c r="AZK465"/>
      <c r="AZL465"/>
      <c r="AZM465"/>
      <c r="AZN465"/>
      <c r="AZO465"/>
      <c r="AZP465"/>
      <c r="AZQ465"/>
      <c r="AZR465"/>
      <c r="AZS465"/>
      <c r="AZT465"/>
      <c r="AZU465"/>
      <c r="AZV465"/>
      <c r="AZW465"/>
      <c r="AZX465"/>
      <c r="AZY465"/>
      <c r="AZZ465"/>
      <c r="BAA465"/>
      <c r="BAB465"/>
      <c r="BAC465"/>
      <c r="BAD465"/>
      <c r="BAE465"/>
      <c r="BAF465"/>
      <c r="BAG465"/>
      <c r="BAH465"/>
      <c r="BAI465"/>
      <c r="BAJ465"/>
      <c r="BAK465"/>
      <c r="BAL465"/>
      <c r="BAM465"/>
      <c r="BAN465"/>
      <c r="BAO465"/>
      <c r="BAP465"/>
      <c r="BAQ465"/>
      <c r="BAR465"/>
      <c r="BAS465"/>
      <c r="BAT465"/>
      <c r="BAU465"/>
      <c r="BAV465"/>
      <c r="BAW465"/>
      <c r="BAX465"/>
      <c r="BAY465"/>
      <c r="BAZ465"/>
      <c r="BBA465"/>
      <c r="BBB465"/>
      <c r="BBC465"/>
      <c r="BBD465"/>
      <c r="BBE465"/>
      <c r="BBF465"/>
      <c r="BBG465"/>
      <c r="BBH465"/>
      <c r="BBI465"/>
      <c r="BBJ465"/>
      <c r="BBK465"/>
      <c r="BBL465"/>
      <c r="BBM465"/>
      <c r="BBN465"/>
      <c r="BBO465"/>
      <c r="BBP465"/>
      <c r="BBQ465"/>
      <c r="BBR465"/>
      <c r="BBS465"/>
      <c r="BBT465"/>
      <c r="BBU465"/>
      <c r="BBV465"/>
      <c r="BBW465"/>
      <c r="BBX465"/>
      <c r="BBY465"/>
      <c r="BBZ465"/>
      <c r="BCA465"/>
      <c r="BCB465"/>
      <c r="BCC465"/>
      <c r="BCD465"/>
      <c r="BCE465"/>
      <c r="BCF465"/>
      <c r="BCG465"/>
      <c r="BCH465"/>
      <c r="BCI465"/>
      <c r="BCJ465"/>
      <c r="BCK465"/>
      <c r="BCL465"/>
      <c r="BCM465"/>
      <c r="BCN465"/>
      <c r="BCO465"/>
      <c r="BCP465"/>
      <c r="BCQ465"/>
      <c r="BCR465"/>
      <c r="BCS465"/>
      <c r="BCT465"/>
      <c r="BCU465"/>
      <c r="BCV465"/>
      <c r="BCW465"/>
      <c r="BCX465"/>
      <c r="BCY465"/>
      <c r="BCZ465"/>
      <c r="BDA465"/>
      <c r="BDB465"/>
      <c r="BDC465"/>
      <c r="BDD465"/>
      <c r="BDE465"/>
      <c r="BDF465"/>
      <c r="BDG465"/>
      <c r="BDH465"/>
      <c r="BDI465"/>
      <c r="BDJ465"/>
      <c r="BDK465"/>
      <c r="BDL465"/>
      <c r="BDM465"/>
      <c r="BDN465"/>
      <c r="BDO465"/>
      <c r="BDP465"/>
      <c r="BDQ465"/>
      <c r="BDR465"/>
      <c r="BDS465"/>
      <c r="BDT465"/>
      <c r="BDU465"/>
      <c r="BDV465"/>
      <c r="BDW465"/>
      <c r="BDX465"/>
      <c r="BDY465"/>
      <c r="BDZ465"/>
      <c r="BEA465"/>
      <c r="BEB465"/>
      <c r="BEC465"/>
      <c r="BED465"/>
      <c r="BEE465"/>
      <c r="BEF465"/>
      <c r="BEG465"/>
      <c r="BEH465"/>
      <c r="BEI465"/>
      <c r="BEJ465"/>
      <c r="BEK465"/>
      <c r="BEL465"/>
      <c r="BEM465"/>
      <c r="BEN465"/>
      <c r="BEO465"/>
      <c r="BEP465"/>
      <c r="BEQ465"/>
      <c r="BER465"/>
      <c r="BES465"/>
      <c r="BET465"/>
      <c r="BEU465"/>
      <c r="BEV465"/>
      <c r="BEW465"/>
      <c r="BEX465"/>
      <c r="BEY465"/>
      <c r="BEZ465"/>
      <c r="BFA465"/>
      <c r="BFB465"/>
      <c r="BFC465"/>
      <c r="BFD465"/>
      <c r="BFE465"/>
      <c r="BFF465"/>
      <c r="BFG465"/>
      <c r="BFH465"/>
      <c r="BFI465"/>
      <c r="BFJ465"/>
      <c r="BFK465"/>
      <c r="BFL465"/>
      <c r="BFM465"/>
      <c r="BFN465"/>
      <c r="BFO465"/>
      <c r="BFP465"/>
      <c r="BFQ465"/>
      <c r="BFR465"/>
      <c r="BFS465"/>
      <c r="BFT465"/>
      <c r="BFU465"/>
      <c r="BFV465"/>
      <c r="BFW465"/>
      <c r="BFX465"/>
      <c r="BFY465"/>
      <c r="BFZ465"/>
      <c r="BGA465"/>
      <c r="BGB465"/>
      <c r="BGC465"/>
      <c r="BGD465"/>
      <c r="BGE465"/>
      <c r="BGF465"/>
      <c r="BGG465"/>
      <c r="BGH465"/>
      <c r="BGI465"/>
      <c r="BGJ465"/>
      <c r="BGK465"/>
      <c r="BGL465"/>
      <c r="BGM465"/>
      <c r="BGN465"/>
      <c r="BGO465"/>
      <c r="BGP465"/>
      <c r="BGQ465"/>
      <c r="BGR465"/>
      <c r="BGS465"/>
      <c r="BGT465"/>
      <c r="BGU465"/>
      <c r="BGV465"/>
      <c r="BGW465"/>
      <c r="BGX465"/>
      <c r="BGY465"/>
      <c r="BGZ465"/>
      <c r="BHA465"/>
      <c r="BHB465"/>
      <c r="BHC465"/>
      <c r="BHD465"/>
      <c r="BHE465"/>
      <c r="BHF465"/>
      <c r="BHG465"/>
      <c r="BHH465"/>
      <c r="BHI465"/>
      <c r="BHJ465"/>
      <c r="BHK465"/>
      <c r="BHL465"/>
      <c r="BHM465"/>
      <c r="BHN465"/>
      <c r="BHO465"/>
      <c r="BHP465"/>
      <c r="BHQ465"/>
      <c r="BHR465"/>
      <c r="BHS465"/>
      <c r="BHT465"/>
      <c r="BHU465"/>
      <c r="BHV465"/>
      <c r="BHW465"/>
      <c r="BHX465"/>
      <c r="BHY465"/>
      <c r="BHZ465"/>
      <c r="BIA465"/>
      <c r="BIB465"/>
      <c r="BIC465"/>
      <c r="BID465"/>
      <c r="BIE465"/>
      <c r="BIF465"/>
      <c r="BIG465"/>
      <c r="BIH465"/>
      <c r="BII465"/>
      <c r="BIJ465"/>
      <c r="BIK465"/>
      <c r="BIL465"/>
      <c r="BIM465"/>
      <c r="BIN465"/>
      <c r="BIO465"/>
      <c r="BIP465"/>
      <c r="BIQ465"/>
      <c r="BIR465"/>
      <c r="BIS465"/>
      <c r="BIT465"/>
      <c r="BIU465"/>
      <c r="BIV465"/>
      <c r="BIW465"/>
      <c r="BIX465"/>
      <c r="BIY465"/>
      <c r="BIZ465"/>
      <c r="BJA465"/>
      <c r="BJB465"/>
      <c r="BJC465"/>
      <c r="BJD465"/>
      <c r="BJE465"/>
      <c r="BJF465"/>
      <c r="BJG465"/>
      <c r="BJH465"/>
      <c r="BJI465"/>
      <c r="BJJ465"/>
      <c r="BJK465"/>
      <c r="BJL465"/>
      <c r="BJM465"/>
      <c r="BJN465"/>
      <c r="BJO465"/>
      <c r="BJP465"/>
      <c r="BJQ465"/>
      <c r="BJR465"/>
      <c r="BJS465"/>
      <c r="BJT465"/>
      <c r="BJU465"/>
      <c r="BJV465"/>
      <c r="BJW465"/>
      <c r="BJX465"/>
      <c r="BJY465"/>
      <c r="BJZ465"/>
      <c r="BKA465"/>
      <c r="BKB465"/>
      <c r="BKC465"/>
      <c r="BKD465"/>
      <c r="BKE465"/>
      <c r="BKF465"/>
      <c r="BKG465"/>
      <c r="BKH465"/>
      <c r="BKI465"/>
      <c r="BKJ465"/>
      <c r="BKK465"/>
      <c r="BKL465"/>
      <c r="BKM465"/>
      <c r="BKN465"/>
      <c r="BKO465"/>
      <c r="BKP465"/>
      <c r="BKQ465"/>
      <c r="BKR465"/>
      <c r="BKS465"/>
      <c r="BKT465"/>
      <c r="BKU465"/>
      <c r="BKV465"/>
      <c r="BKW465"/>
      <c r="BKX465"/>
      <c r="BKY465"/>
      <c r="BKZ465"/>
      <c r="BLA465"/>
      <c r="BLB465"/>
      <c r="BLC465"/>
      <c r="BLD465"/>
      <c r="BLE465"/>
      <c r="BLF465"/>
      <c r="BLG465"/>
      <c r="BLH465"/>
      <c r="BLI465"/>
      <c r="BLJ465"/>
      <c r="BLK465"/>
      <c r="BLL465"/>
      <c r="BLM465"/>
      <c r="BLN465"/>
      <c r="BLO465"/>
      <c r="BLP465"/>
      <c r="BLQ465"/>
      <c r="BLR465"/>
      <c r="BLS465"/>
      <c r="BLT465"/>
      <c r="BLU465"/>
      <c r="BLV465"/>
      <c r="BLW465"/>
      <c r="BLX465"/>
      <c r="BLY465"/>
      <c r="BLZ465"/>
      <c r="BMA465"/>
      <c r="BMB465"/>
      <c r="BMC465"/>
      <c r="BMD465"/>
      <c r="BME465"/>
      <c r="BMF465"/>
      <c r="BMG465"/>
      <c r="BMH465"/>
      <c r="BMI465"/>
      <c r="BMJ465"/>
      <c r="BMK465"/>
      <c r="BML465"/>
      <c r="BMM465"/>
      <c r="BMN465"/>
      <c r="BMO465"/>
      <c r="BMP465"/>
      <c r="BMQ465"/>
      <c r="BMR465"/>
      <c r="BMS465"/>
      <c r="BMT465"/>
      <c r="BMU465"/>
      <c r="BMV465"/>
      <c r="BMW465"/>
      <c r="BMX465"/>
      <c r="BMY465"/>
      <c r="BMZ465"/>
      <c r="BNA465"/>
      <c r="BNB465"/>
      <c r="BNC465"/>
      <c r="BND465"/>
      <c r="BNE465"/>
      <c r="BNF465"/>
      <c r="BNG465"/>
      <c r="BNH465"/>
      <c r="BNI465"/>
      <c r="BNJ465"/>
      <c r="BNK465"/>
      <c r="BNL465"/>
      <c r="BNM465"/>
      <c r="BNN465"/>
      <c r="BNO465"/>
      <c r="BNP465"/>
      <c r="BNQ465"/>
      <c r="BNR465"/>
      <c r="BNS465"/>
      <c r="BNT465"/>
      <c r="BNU465"/>
      <c r="BNV465"/>
      <c r="BNW465"/>
      <c r="BNX465"/>
      <c r="BNY465"/>
      <c r="BNZ465"/>
      <c r="BOA465"/>
      <c r="BOB465"/>
      <c r="BOC465"/>
      <c r="BOD465"/>
      <c r="BOE465"/>
      <c r="BOF465"/>
      <c r="BOG465"/>
      <c r="BOH465"/>
      <c r="BOI465"/>
      <c r="BOJ465"/>
      <c r="BOK465"/>
      <c r="BOL465"/>
      <c r="BOM465"/>
      <c r="BON465"/>
      <c r="BOO465"/>
      <c r="BOP465"/>
      <c r="BOQ465"/>
      <c r="BOR465"/>
      <c r="BOS465"/>
      <c r="BOT465"/>
      <c r="BOU465"/>
      <c r="BOV465"/>
      <c r="BOW465"/>
      <c r="BOX465"/>
      <c r="BOY465"/>
      <c r="BOZ465"/>
      <c r="BPA465"/>
      <c r="BPB465"/>
      <c r="BPC465"/>
      <c r="BPD465"/>
      <c r="BPE465"/>
      <c r="BPF465"/>
      <c r="BPG465"/>
      <c r="BPH465"/>
      <c r="BPI465"/>
      <c r="BPJ465"/>
      <c r="BPK465"/>
      <c r="BPL465"/>
      <c r="BPM465"/>
      <c r="BPN465"/>
      <c r="BPO465"/>
      <c r="BPP465"/>
      <c r="BPQ465"/>
      <c r="BPR465"/>
      <c r="BPS465"/>
      <c r="BPT465"/>
      <c r="BPU465"/>
      <c r="BPV465"/>
      <c r="BPW465"/>
      <c r="BPX465"/>
      <c r="BPY465"/>
      <c r="BPZ465"/>
      <c r="BQA465"/>
      <c r="BQB465"/>
      <c r="BQC465"/>
      <c r="BQD465"/>
      <c r="BQE465"/>
      <c r="BQF465"/>
      <c r="BQG465"/>
      <c r="BQH465"/>
      <c r="BQI465"/>
      <c r="BQJ465"/>
      <c r="BQK465"/>
      <c r="BQL465"/>
      <c r="BQM465"/>
      <c r="BQN465"/>
      <c r="BQO465"/>
      <c r="BQP465"/>
      <c r="BQQ465"/>
      <c r="BQR465"/>
      <c r="BQS465"/>
      <c r="BQT465"/>
      <c r="BQU465"/>
      <c r="BQV465"/>
      <c r="BQW465"/>
      <c r="BQX465"/>
      <c r="BQY465"/>
      <c r="BQZ465"/>
      <c r="BRA465"/>
      <c r="BRB465"/>
      <c r="BRC465"/>
      <c r="BRD465"/>
      <c r="BRE465"/>
      <c r="BRF465"/>
      <c r="BRG465"/>
      <c r="BRH465"/>
      <c r="BRI465"/>
      <c r="BRJ465"/>
      <c r="BRK465"/>
      <c r="BRL465"/>
      <c r="BRM465"/>
      <c r="BRN465"/>
      <c r="BRO465"/>
      <c r="BRP465"/>
      <c r="BRQ465"/>
      <c r="BRR465"/>
      <c r="BRS465"/>
      <c r="BRT465"/>
      <c r="BRU465"/>
      <c r="BRV465"/>
      <c r="BRW465"/>
      <c r="BRX465"/>
      <c r="BRY465"/>
      <c r="BRZ465"/>
      <c r="BSA465"/>
      <c r="BSB465"/>
      <c r="BSC465"/>
      <c r="BSD465"/>
      <c r="BSE465"/>
      <c r="BSF465"/>
      <c r="BSG465"/>
      <c r="BSH465"/>
      <c r="BSI465"/>
      <c r="BSJ465"/>
      <c r="BSK465"/>
      <c r="BSL465"/>
      <c r="BSM465"/>
      <c r="BSN465"/>
      <c r="BSO465"/>
      <c r="BSP465"/>
      <c r="BSQ465"/>
      <c r="BSR465"/>
      <c r="BSS465"/>
      <c r="BST465"/>
      <c r="BSU465"/>
      <c r="BSV465"/>
      <c r="BSW465"/>
      <c r="BSX465"/>
      <c r="BSY465"/>
      <c r="BSZ465"/>
      <c r="BTA465"/>
      <c r="BTB465"/>
      <c r="BTC465"/>
      <c r="BTD465"/>
      <c r="BTE465"/>
      <c r="BTF465"/>
      <c r="BTG465"/>
      <c r="BTH465"/>
      <c r="BTI465"/>
      <c r="BTJ465"/>
      <c r="BTK465"/>
      <c r="BTL465"/>
      <c r="BTM465"/>
      <c r="BTN465"/>
      <c r="BTO465"/>
      <c r="BTP465"/>
      <c r="BTQ465"/>
      <c r="BTR465"/>
      <c r="BTS465"/>
      <c r="BTT465"/>
      <c r="BTU465"/>
      <c r="BTV465"/>
      <c r="BTW465"/>
      <c r="BTX465"/>
      <c r="BTY465"/>
      <c r="BTZ465"/>
      <c r="BUA465"/>
      <c r="BUB465"/>
      <c r="BUC465"/>
      <c r="BUD465"/>
      <c r="BUE465"/>
      <c r="BUF465"/>
      <c r="BUG465"/>
      <c r="BUH465"/>
      <c r="BUI465"/>
      <c r="BUJ465"/>
      <c r="BUK465"/>
      <c r="BUL465"/>
      <c r="BUM465"/>
      <c r="BUN465"/>
      <c r="BUO465"/>
      <c r="BUP465"/>
      <c r="BUQ465"/>
      <c r="BUR465"/>
      <c r="BUS465"/>
      <c r="BUT465"/>
      <c r="BUU465"/>
      <c r="BUV465"/>
      <c r="BUW465"/>
      <c r="BUX465"/>
      <c r="BUY465"/>
      <c r="BUZ465"/>
      <c r="BVA465"/>
      <c r="BVB465"/>
      <c r="BVC465"/>
      <c r="BVD465"/>
      <c r="BVE465"/>
      <c r="BVF465"/>
      <c r="BVG465"/>
      <c r="BVH465"/>
      <c r="BVI465"/>
      <c r="BVJ465"/>
      <c r="BVK465"/>
      <c r="BVL465"/>
      <c r="BVM465"/>
      <c r="BVN465"/>
      <c r="BVO465"/>
      <c r="BVP465"/>
      <c r="BVQ465"/>
      <c r="BVR465"/>
      <c r="BVS465"/>
      <c r="BVT465"/>
      <c r="BVU465"/>
      <c r="BVV465"/>
      <c r="BVW465"/>
      <c r="BVX465"/>
      <c r="BVY465"/>
      <c r="BVZ465"/>
      <c r="BWA465"/>
      <c r="BWB465"/>
      <c r="BWC465"/>
      <c r="BWD465"/>
      <c r="BWE465"/>
      <c r="BWF465"/>
      <c r="BWG465"/>
      <c r="BWH465"/>
      <c r="BWI465"/>
      <c r="BWJ465"/>
      <c r="BWK465"/>
      <c r="BWL465"/>
      <c r="BWM465"/>
      <c r="BWN465"/>
      <c r="BWO465"/>
      <c r="BWP465"/>
      <c r="BWQ465"/>
      <c r="BWR465"/>
      <c r="BWS465"/>
      <c r="BWT465"/>
      <c r="BWU465"/>
      <c r="BWV465"/>
      <c r="BWW465"/>
      <c r="BWX465"/>
      <c r="BWY465"/>
      <c r="BWZ465"/>
      <c r="BXA465"/>
      <c r="BXB465"/>
      <c r="BXC465"/>
      <c r="BXD465"/>
      <c r="BXE465"/>
      <c r="BXF465"/>
      <c r="BXG465"/>
      <c r="BXH465"/>
      <c r="BXI465"/>
      <c r="BXJ465"/>
      <c r="BXK465"/>
      <c r="BXL465"/>
      <c r="BXM465"/>
      <c r="BXN465"/>
      <c r="BXO465"/>
      <c r="BXP465"/>
      <c r="BXQ465"/>
      <c r="BXR465"/>
      <c r="BXS465"/>
      <c r="BXT465"/>
      <c r="BXU465"/>
      <c r="BXV465"/>
      <c r="BXW465"/>
      <c r="BXX465"/>
      <c r="BXY465"/>
      <c r="BXZ465"/>
      <c r="BYA465"/>
      <c r="BYB465"/>
      <c r="BYC465"/>
      <c r="BYD465"/>
      <c r="BYE465"/>
      <c r="BYF465"/>
      <c r="BYG465"/>
      <c r="BYH465"/>
      <c r="BYI465"/>
      <c r="BYJ465"/>
      <c r="BYK465"/>
      <c r="BYL465"/>
      <c r="BYM465"/>
      <c r="BYN465"/>
      <c r="BYO465"/>
      <c r="BYP465"/>
      <c r="BYQ465"/>
      <c r="BYR465"/>
      <c r="BYS465"/>
      <c r="BYT465"/>
      <c r="BYU465"/>
      <c r="BYV465"/>
      <c r="BYW465"/>
      <c r="BYX465"/>
      <c r="BYY465"/>
      <c r="BYZ465"/>
      <c r="BZA465"/>
      <c r="BZB465"/>
      <c r="BZC465"/>
      <c r="BZD465"/>
      <c r="BZE465"/>
      <c r="BZF465"/>
      <c r="BZG465"/>
      <c r="BZH465"/>
      <c r="BZI465"/>
      <c r="BZJ465"/>
      <c r="BZK465"/>
      <c r="BZL465"/>
      <c r="BZM465"/>
      <c r="BZN465"/>
      <c r="BZO465"/>
      <c r="BZP465"/>
      <c r="BZQ465"/>
      <c r="BZR465"/>
      <c r="BZS465"/>
      <c r="BZT465"/>
      <c r="BZU465"/>
      <c r="BZV465"/>
      <c r="BZW465"/>
      <c r="BZX465"/>
      <c r="BZY465"/>
      <c r="BZZ465"/>
      <c r="CAA465"/>
      <c r="CAB465"/>
      <c r="CAC465"/>
      <c r="CAD465"/>
      <c r="CAE465"/>
      <c r="CAF465"/>
      <c r="CAG465"/>
      <c r="CAH465"/>
      <c r="CAI465"/>
      <c r="CAJ465"/>
      <c r="CAK465"/>
      <c r="CAL465"/>
      <c r="CAM465"/>
      <c r="CAN465"/>
      <c r="CAO465"/>
      <c r="CAP465"/>
      <c r="CAQ465"/>
      <c r="CAR465"/>
      <c r="CAS465"/>
      <c r="CAT465"/>
      <c r="CAU465"/>
      <c r="CAV465"/>
      <c r="CAW465"/>
      <c r="CAX465"/>
      <c r="CAY465"/>
      <c r="CAZ465"/>
      <c r="CBA465"/>
      <c r="CBB465"/>
      <c r="CBC465"/>
      <c r="CBD465"/>
      <c r="CBE465"/>
      <c r="CBF465"/>
      <c r="CBG465"/>
      <c r="CBH465"/>
      <c r="CBI465"/>
      <c r="CBJ465"/>
      <c r="CBK465"/>
      <c r="CBL465"/>
      <c r="CBM465"/>
      <c r="CBN465"/>
      <c r="CBO465"/>
      <c r="CBP465"/>
      <c r="CBQ465"/>
      <c r="CBR465"/>
      <c r="CBS465"/>
      <c r="CBT465"/>
      <c r="CBU465"/>
      <c r="CBV465"/>
      <c r="CBW465"/>
      <c r="CBX465"/>
      <c r="CBY465"/>
      <c r="CBZ465"/>
      <c r="CCA465"/>
      <c r="CCB465"/>
      <c r="CCC465"/>
      <c r="CCD465"/>
      <c r="CCE465"/>
      <c r="CCF465"/>
      <c r="CCG465"/>
      <c r="CCH465"/>
      <c r="CCI465"/>
      <c r="CCJ465"/>
      <c r="CCK465"/>
      <c r="CCL465"/>
      <c r="CCM465"/>
      <c r="CCN465"/>
      <c r="CCO465"/>
      <c r="CCP465"/>
      <c r="CCQ465"/>
      <c r="CCR465"/>
      <c r="CCS465"/>
      <c r="CCT465"/>
      <c r="CCU465"/>
      <c r="CCV465"/>
      <c r="CCW465"/>
      <c r="CCX465"/>
      <c r="CCY465"/>
      <c r="CCZ465"/>
      <c r="CDA465"/>
      <c r="CDB465"/>
      <c r="CDC465"/>
      <c r="CDD465"/>
      <c r="CDE465"/>
      <c r="CDF465"/>
      <c r="CDG465"/>
      <c r="CDH465"/>
      <c r="CDI465"/>
      <c r="CDJ465"/>
      <c r="CDK465"/>
      <c r="CDL465"/>
      <c r="CDM465"/>
      <c r="CDN465"/>
      <c r="CDO465"/>
      <c r="CDP465"/>
      <c r="CDQ465"/>
      <c r="CDR465"/>
      <c r="CDS465"/>
      <c r="CDT465"/>
      <c r="CDU465"/>
      <c r="CDV465"/>
      <c r="CDW465"/>
      <c r="CDX465"/>
      <c r="CDY465"/>
      <c r="CDZ465"/>
      <c r="CEA465"/>
      <c r="CEB465"/>
      <c r="CEC465"/>
      <c r="CED465"/>
      <c r="CEE465"/>
      <c r="CEF465"/>
      <c r="CEG465"/>
      <c r="CEH465"/>
      <c r="CEI465"/>
      <c r="CEJ465"/>
      <c r="CEK465"/>
      <c r="CEL465"/>
      <c r="CEM465"/>
      <c r="CEN465"/>
      <c r="CEO465"/>
      <c r="CEP465"/>
      <c r="CEQ465"/>
      <c r="CER465"/>
      <c r="CES465"/>
      <c r="CET465"/>
      <c r="CEU465"/>
      <c r="CEV465"/>
      <c r="CEW465"/>
      <c r="CEX465"/>
      <c r="CEY465"/>
      <c r="CEZ465"/>
      <c r="CFA465"/>
      <c r="CFB465"/>
      <c r="CFC465"/>
      <c r="CFD465"/>
      <c r="CFE465"/>
      <c r="CFF465"/>
      <c r="CFG465"/>
      <c r="CFH465"/>
      <c r="CFI465"/>
      <c r="CFJ465"/>
      <c r="CFK465"/>
      <c r="CFL465"/>
      <c r="CFM465"/>
      <c r="CFN465"/>
      <c r="CFO465"/>
      <c r="CFP465"/>
      <c r="CFQ465"/>
      <c r="CFR465"/>
      <c r="CFS465"/>
      <c r="CFT465"/>
      <c r="CFU465"/>
      <c r="CFV465"/>
      <c r="CFW465"/>
      <c r="CFX465"/>
      <c r="CFY465"/>
      <c r="CFZ465"/>
      <c r="CGA465"/>
      <c r="CGB465"/>
      <c r="CGC465"/>
      <c r="CGD465"/>
      <c r="CGE465"/>
      <c r="CGF465"/>
      <c r="CGG465"/>
      <c r="CGH465"/>
      <c r="CGI465"/>
      <c r="CGJ465"/>
      <c r="CGK465"/>
      <c r="CGL465"/>
      <c r="CGM465"/>
      <c r="CGN465"/>
      <c r="CGO465"/>
      <c r="CGP465"/>
      <c r="CGQ465"/>
      <c r="CGR465"/>
      <c r="CGS465"/>
      <c r="CGT465"/>
      <c r="CGU465"/>
      <c r="CGV465"/>
      <c r="CGW465"/>
      <c r="CGX465"/>
      <c r="CGY465"/>
      <c r="CGZ465"/>
      <c r="CHA465"/>
      <c r="CHB465"/>
      <c r="CHC465"/>
      <c r="CHD465"/>
      <c r="CHE465"/>
      <c r="CHF465"/>
      <c r="CHG465"/>
      <c r="CHH465"/>
      <c r="CHI465"/>
      <c r="CHJ465"/>
      <c r="CHK465"/>
      <c r="CHL465"/>
      <c r="CHM465"/>
      <c r="CHN465"/>
      <c r="CHO465"/>
      <c r="CHP465"/>
      <c r="CHQ465"/>
      <c r="CHR465"/>
      <c r="CHS465"/>
      <c r="CHT465"/>
      <c r="CHU465"/>
      <c r="CHV465"/>
      <c r="CHW465"/>
      <c r="CHX465"/>
      <c r="CHY465"/>
      <c r="CHZ465"/>
      <c r="CIA465"/>
      <c r="CIB465"/>
      <c r="CIC465"/>
      <c r="CID465"/>
      <c r="CIE465"/>
      <c r="CIF465"/>
      <c r="CIG465"/>
      <c r="CIH465"/>
      <c r="CII465"/>
      <c r="CIJ465"/>
      <c r="CIK465"/>
      <c r="CIL465"/>
      <c r="CIM465"/>
      <c r="CIN465"/>
      <c r="CIO465"/>
      <c r="CIP465"/>
      <c r="CIQ465"/>
      <c r="CIR465"/>
      <c r="CIS465"/>
      <c r="CIT465"/>
      <c r="CIU465"/>
      <c r="CIV465"/>
      <c r="CIW465"/>
      <c r="CIX465"/>
      <c r="CIY465"/>
      <c r="CIZ465"/>
      <c r="CJA465"/>
      <c r="CJB465"/>
      <c r="CJC465"/>
      <c r="CJD465"/>
      <c r="CJE465"/>
      <c r="CJF465"/>
      <c r="CJG465"/>
      <c r="CJH465"/>
      <c r="CJI465"/>
      <c r="CJJ465"/>
      <c r="CJK465"/>
      <c r="CJL465"/>
      <c r="CJM465"/>
      <c r="CJN465"/>
      <c r="CJO465"/>
      <c r="CJP465"/>
      <c r="CJQ465"/>
      <c r="CJR465"/>
      <c r="CJS465"/>
      <c r="CJT465"/>
      <c r="CJU465"/>
      <c r="CJV465"/>
      <c r="CJW465"/>
      <c r="CJX465"/>
      <c r="CJY465"/>
      <c r="CJZ465"/>
      <c r="CKA465"/>
      <c r="CKB465"/>
      <c r="CKC465"/>
      <c r="CKD465"/>
      <c r="CKE465"/>
      <c r="CKF465"/>
      <c r="CKG465"/>
      <c r="CKH465"/>
      <c r="CKI465"/>
      <c r="CKJ465"/>
      <c r="CKK465"/>
      <c r="CKL465"/>
      <c r="CKM465"/>
      <c r="CKN465"/>
      <c r="CKO465"/>
      <c r="CKP465"/>
      <c r="CKQ465"/>
      <c r="CKR465"/>
      <c r="CKS465"/>
      <c r="CKT465"/>
      <c r="CKU465"/>
      <c r="CKV465"/>
      <c r="CKW465"/>
      <c r="CKX465"/>
      <c r="CKY465"/>
      <c r="CKZ465"/>
      <c r="CLA465"/>
      <c r="CLB465"/>
      <c r="CLC465"/>
      <c r="CLD465"/>
      <c r="CLE465"/>
      <c r="CLF465"/>
      <c r="CLG465"/>
      <c r="CLH465"/>
      <c r="CLI465"/>
      <c r="CLJ465"/>
      <c r="CLK465"/>
      <c r="CLL465"/>
      <c r="CLM465"/>
      <c r="CLN465"/>
      <c r="CLO465"/>
      <c r="CLP465"/>
      <c r="CLQ465"/>
      <c r="CLR465"/>
      <c r="CLS465"/>
      <c r="CLT465"/>
      <c r="CLU465"/>
      <c r="CLV465"/>
      <c r="CLW465"/>
      <c r="CLX465"/>
      <c r="CLY465"/>
      <c r="CLZ465"/>
      <c r="CMA465"/>
      <c r="CMB465"/>
      <c r="CMC465"/>
      <c r="CMD465"/>
      <c r="CME465"/>
      <c r="CMF465"/>
      <c r="CMG465"/>
      <c r="CMH465"/>
      <c r="CMI465"/>
      <c r="CMJ465"/>
      <c r="CMK465"/>
      <c r="CML465"/>
      <c r="CMM465"/>
      <c r="CMN465"/>
      <c r="CMO465"/>
      <c r="CMP465"/>
      <c r="CMQ465"/>
      <c r="CMR465"/>
      <c r="CMS465"/>
      <c r="CMT465"/>
      <c r="CMU465"/>
      <c r="CMV465"/>
      <c r="CMW465"/>
      <c r="CMX465"/>
      <c r="CMY465"/>
      <c r="CMZ465"/>
      <c r="CNA465"/>
      <c r="CNB465"/>
      <c r="CNC465"/>
      <c r="CND465"/>
      <c r="CNE465"/>
      <c r="CNF465"/>
      <c r="CNG465"/>
      <c r="CNH465"/>
      <c r="CNI465"/>
      <c r="CNJ465"/>
      <c r="CNK465"/>
      <c r="CNL465"/>
      <c r="CNM465"/>
      <c r="CNN465"/>
      <c r="CNO465"/>
      <c r="CNP465"/>
      <c r="CNQ465"/>
      <c r="CNR465"/>
      <c r="CNS465"/>
      <c r="CNT465"/>
      <c r="CNU465"/>
      <c r="CNV465"/>
      <c r="CNW465"/>
      <c r="CNX465"/>
      <c r="CNY465"/>
      <c r="CNZ465"/>
      <c r="COA465"/>
      <c r="COB465"/>
      <c r="COC465"/>
      <c r="COD465"/>
      <c r="COE465"/>
      <c r="COF465"/>
      <c r="COG465"/>
      <c r="COH465"/>
      <c r="COI465"/>
      <c r="COJ465"/>
      <c r="COK465"/>
      <c r="COL465"/>
      <c r="COM465"/>
      <c r="CON465"/>
      <c r="COO465"/>
      <c r="COP465"/>
      <c r="COQ465"/>
      <c r="COR465"/>
      <c r="COS465"/>
      <c r="COT465"/>
      <c r="COU465"/>
      <c r="COV465"/>
      <c r="COW465"/>
      <c r="COX465"/>
      <c r="COY465"/>
      <c r="COZ465"/>
      <c r="CPA465"/>
      <c r="CPB465"/>
      <c r="CPC465"/>
      <c r="CPD465"/>
      <c r="CPE465"/>
      <c r="CPF465"/>
      <c r="CPG465"/>
      <c r="CPH465"/>
      <c r="CPI465"/>
      <c r="CPJ465"/>
      <c r="CPK465"/>
      <c r="CPL465"/>
      <c r="CPM465"/>
      <c r="CPN465"/>
      <c r="CPO465"/>
      <c r="CPP465"/>
      <c r="CPQ465"/>
      <c r="CPR465"/>
      <c r="CPS465"/>
      <c r="CPT465"/>
      <c r="CPU465"/>
      <c r="CPV465"/>
      <c r="CPW465"/>
      <c r="CPX465"/>
      <c r="CPY465"/>
      <c r="CPZ465"/>
      <c r="CQA465"/>
      <c r="CQB465"/>
      <c r="CQC465"/>
      <c r="CQD465"/>
      <c r="CQE465"/>
      <c r="CQF465"/>
      <c r="CQG465"/>
      <c r="CQH465"/>
      <c r="CQI465"/>
      <c r="CQJ465"/>
      <c r="CQK465"/>
      <c r="CQL465"/>
      <c r="CQM465"/>
      <c r="CQN465"/>
      <c r="CQO465"/>
      <c r="CQP465"/>
      <c r="CQQ465"/>
      <c r="CQR465"/>
      <c r="CQS465"/>
      <c r="CQT465"/>
      <c r="CQU465"/>
      <c r="CQV465"/>
      <c r="CQW465"/>
      <c r="CQX465"/>
      <c r="CQY465"/>
      <c r="CQZ465"/>
      <c r="CRA465"/>
      <c r="CRB465"/>
      <c r="CRC465"/>
      <c r="CRD465"/>
      <c r="CRE465"/>
      <c r="CRF465"/>
      <c r="CRG465"/>
      <c r="CRH465"/>
      <c r="CRI465"/>
      <c r="CRJ465"/>
      <c r="CRK465"/>
      <c r="CRL465"/>
      <c r="CRM465"/>
      <c r="CRN465"/>
      <c r="CRO465"/>
      <c r="CRP465"/>
      <c r="CRQ465"/>
      <c r="CRR465"/>
      <c r="CRS465"/>
      <c r="CRT465"/>
      <c r="CRU465"/>
      <c r="CRV465"/>
      <c r="CRW465"/>
      <c r="CRX465"/>
      <c r="CRY465"/>
      <c r="CRZ465"/>
      <c r="CSA465"/>
      <c r="CSB465"/>
      <c r="CSC465"/>
      <c r="CSD465"/>
      <c r="CSE465"/>
      <c r="CSF465"/>
      <c r="CSG465"/>
      <c r="CSH465"/>
      <c r="CSI465"/>
      <c r="CSJ465"/>
      <c r="CSK465"/>
      <c r="CSL465"/>
      <c r="CSM465"/>
      <c r="CSN465"/>
      <c r="CSO465"/>
      <c r="CSP465"/>
      <c r="CSQ465"/>
      <c r="CSR465"/>
      <c r="CSS465"/>
      <c r="CST465"/>
      <c r="CSU465"/>
      <c r="CSV465"/>
      <c r="CSW465"/>
      <c r="CSX465"/>
      <c r="CSY465"/>
      <c r="CSZ465"/>
      <c r="CTA465"/>
      <c r="CTB465"/>
      <c r="CTC465"/>
      <c r="CTD465"/>
      <c r="CTE465"/>
      <c r="CTF465"/>
      <c r="CTG465"/>
      <c r="CTH465"/>
      <c r="CTI465"/>
      <c r="CTJ465"/>
      <c r="CTK465"/>
      <c r="CTL465"/>
      <c r="CTM465"/>
      <c r="CTN465"/>
      <c r="CTO465"/>
      <c r="CTP465"/>
      <c r="CTQ465"/>
      <c r="CTR465"/>
      <c r="CTS465"/>
      <c r="CTT465"/>
      <c r="CTU465"/>
      <c r="CTV465"/>
      <c r="CTW465"/>
      <c r="CTX465"/>
      <c r="CTY465"/>
      <c r="CTZ465"/>
      <c r="CUA465"/>
      <c r="CUB465"/>
      <c r="CUC465"/>
      <c r="CUD465"/>
      <c r="CUE465"/>
      <c r="CUF465"/>
      <c r="CUG465"/>
      <c r="CUH465"/>
      <c r="CUI465"/>
      <c r="CUJ465"/>
      <c r="CUK465"/>
      <c r="CUL465"/>
      <c r="CUM465"/>
      <c r="CUN465"/>
      <c r="CUO465"/>
      <c r="CUP465"/>
      <c r="CUQ465"/>
      <c r="CUR465"/>
      <c r="CUS465"/>
      <c r="CUT465"/>
      <c r="CUU465"/>
      <c r="CUV465"/>
      <c r="CUW465"/>
      <c r="CUX465"/>
      <c r="CUY465"/>
      <c r="CUZ465"/>
      <c r="CVA465"/>
      <c r="CVB465"/>
      <c r="CVC465"/>
      <c r="CVD465"/>
      <c r="CVE465"/>
      <c r="CVF465"/>
      <c r="CVG465"/>
      <c r="CVH465"/>
      <c r="CVI465"/>
      <c r="CVJ465"/>
      <c r="CVK465"/>
      <c r="CVL465"/>
      <c r="CVM465"/>
      <c r="CVN465"/>
      <c r="CVO465"/>
      <c r="CVP465"/>
      <c r="CVQ465"/>
      <c r="CVR465"/>
      <c r="CVS465"/>
      <c r="CVT465"/>
      <c r="CVU465"/>
      <c r="CVV465"/>
      <c r="CVW465"/>
      <c r="CVX465"/>
      <c r="CVY465"/>
      <c r="CVZ465"/>
      <c r="CWA465"/>
      <c r="CWB465"/>
      <c r="CWC465"/>
      <c r="CWD465"/>
      <c r="CWE465"/>
      <c r="CWF465"/>
      <c r="CWG465"/>
      <c r="CWH465"/>
      <c r="CWI465"/>
      <c r="CWJ465"/>
      <c r="CWK465"/>
      <c r="CWL465"/>
      <c r="CWM465"/>
      <c r="CWN465"/>
      <c r="CWO465"/>
      <c r="CWP465"/>
      <c r="CWQ465"/>
      <c r="CWR465"/>
      <c r="CWS465"/>
      <c r="CWT465"/>
      <c r="CWU465"/>
      <c r="CWV465"/>
      <c r="CWW465"/>
      <c r="CWX465"/>
      <c r="CWY465"/>
      <c r="CWZ465"/>
      <c r="CXA465"/>
      <c r="CXB465"/>
      <c r="CXC465"/>
      <c r="CXD465"/>
      <c r="CXE465"/>
      <c r="CXF465"/>
      <c r="CXG465"/>
      <c r="CXH465"/>
      <c r="CXI465"/>
      <c r="CXJ465"/>
      <c r="CXK465"/>
      <c r="CXL465"/>
      <c r="CXM465"/>
      <c r="CXN465"/>
      <c r="CXO465"/>
      <c r="CXP465"/>
      <c r="CXQ465"/>
      <c r="CXR465"/>
      <c r="CXS465"/>
      <c r="CXT465"/>
      <c r="CXU465"/>
      <c r="CXV465"/>
      <c r="CXW465"/>
      <c r="CXX465"/>
      <c r="CXY465"/>
      <c r="CXZ465"/>
      <c r="CYA465"/>
      <c r="CYB465"/>
      <c r="CYC465"/>
      <c r="CYD465"/>
      <c r="CYE465"/>
      <c r="CYF465"/>
      <c r="CYG465"/>
      <c r="CYH465"/>
      <c r="CYI465"/>
      <c r="CYJ465"/>
      <c r="CYK465"/>
      <c r="CYL465"/>
      <c r="CYM465"/>
      <c r="CYN465"/>
      <c r="CYO465"/>
      <c r="CYP465"/>
      <c r="CYQ465"/>
      <c r="CYR465"/>
      <c r="CYS465"/>
      <c r="CYT465"/>
      <c r="CYU465"/>
      <c r="CYV465"/>
      <c r="CYW465"/>
      <c r="CYX465"/>
      <c r="CYY465"/>
      <c r="CYZ465"/>
      <c r="CZA465"/>
      <c r="CZB465"/>
      <c r="CZC465"/>
      <c r="CZD465"/>
      <c r="CZE465"/>
      <c r="CZF465"/>
      <c r="CZG465"/>
      <c r="CZH465"/>
      <c r="CZI465"/>
      <c r="CZJ465"/>
      <c r="CZK465"/>
      <c r="CZL465"/>
      <c r="CZM465"/>
      <c r="CZN465"/>
      <c r="CZO465"/>
      <c r="CZP465"/>
      <c r="CZQ465"/>
      <c r="CZR465"/>
      <c r="CZS465"/>
      <c r="CZT465"/>
      <c r="CZU465"/>
      <c r="CZV465"/>
      <c r="CZW465"/>
      <c r="CZX465"/>
      <c r="CZY465"/>
      <c r="CZZ465"/>
      <c r="DAA465"/>
      <c r="DAB465"/>
      <c r="DAC465"/>
      <c r="DAD465"/>
      <c r="DAE465"/>
      <c r="DAF465"/>
      <c r="DAG465"/>
      <c r="DAH465"/>
      <c r="DAI465"/>
      <c r="DAJ465"/>
      <c r="DAK465"/>
      <c r="DAL465"/>
      <c r="DAM465"/>
      <c r="DAN465"/>
      <c r="DAO465"/>
      <c r="DAP465"/>
      <c r="DAQ465"/>
      <c r="DAR465"/>
      <c r="DAS465"/>
      <c r="DAT465"/>
      <c r="DAU465"/>
      <c r="DAV465"/>
      <c r="DAW465"/>
      <c r="DAX465"/>
      <c r="DAY465"/>
      <c r="DAZ465"/>
      <c r="DBA465"/>
      <c r="DBB465"/>
      <c r="DBC465"/>
      <c r="DBD465"/>
      <c r="DBE465"/>
      <c r="DBF465"/>
      <c r="DBG465"/>
      <c r="DBH465"/>
      <c r="DBI465"/>
      <c r="DBJ465"/>
      <c r="DBK465"/>
      <c r="DBL465"/>
      <c r="DBM465"/>
      <c r="DBN465"/>
      <c r="DBO465"/>
      <c r="DBP465"/>
      <c r="DBQ465"/>
      <c r="DBR465"/>
      <c r="DBS465"/>
      <c r="DBT465"/>
      <c r="DBU465"/>
      <c r="DBV465"/>
      <c r="DBW465"/>
      <c r="DBX465"/>
      <c r="DBY465"/>
      <c r="DBZ465"/>
      <c r="DCA465"/>
      <c r="DCB465"/>
      <c r="DCC465"/>
      <c r="DCD465"/>
      <c r="DCE465"/>
      <c r="DCF465"/>
      <c r="DCG465"/>
      <c r="DCH465"/>
      <c r="DCI465"/>
      <c r="DCJ465"/>
      <c r="DCK465"/>
      <c r="DCL465"/>
      <c r="DCM465"/>
      <c r="DCN465"/>
      <c r="DCO465"/>
      <c r="DCP465"/>
      <c r="DCQ465"/>
      <c r="DCR465"/>
      <c r="DCS465"/>
      <c r="DCT465"/>
      <c r="DCU465"/>
      <c r="DCV465"/>
      <c r="DCW465"/>
      <c r="DCX465"/>
      <c r="DCY465"/>
      <c r="DCZ465"/>
      <c r="DDA465"/>
      <c r="DDB465"/>
      <c r="DDC465"/>
      <c r="DDD465"/>
      <c r="DDE465"/>
      <c r="DDF465"/>
      <c r="DDG465"/>
      <c r="DDH465"/>
      <c r="DDI465"/>
      <c r="DDJ465"/>
      <c r="DDK465"/>
      <c r="DDL465"/>
      <c r="DDM465"/>
      <c r="DDN465"/>
      <c r="DDO465"/>
      <c r="DDP465"/>
      <c r="DDQ465"/>
      <c r="DDR465"/>
      <c r="DDS465"/>
      <c r="DDT465"/>
      <c r="DDU465"/>
      <c r="DDV465"/>
      <c r="DDW465"/>
      <c r="DDX465"/>
      <c r="DDY465"/>
      <c r="DDZ465"/>
      <c r="DEA465"/>
      <c r="DEB465"/>
      <c r="DEC465"/>
      <c r="DED465"/>
      <c r="DEE465"/>
      <c r="DEF465"/>
      <c r="DEG465"/>
      <c r="DEH465"/>
      <c r="DEI465"/>
      <c r="DEJ465"/>
      <c r="DEK465"/>
      <c r="DEL465"/>
      <c r="DEM465"/>
      <c r="DEN465"/>
      <c r="DEO465"/>
      <c r="DEP465"/>
      <c r="DEQ465"/>
      <c r="DER465"/>
      <c r="DES465"/>
      <c r="DET465"/>
      <c r="DEU465"/>
      <c r="DEV465"/>
      <c r="DEW465"/>
      <c r="DEX465"/>
      <c r="DEY465"/>
      <c r="DEZ465"/>
      <c r="DFA465"/>
      <c r="DFB465"/>
      <c r="DFC465"/>
      <c r="DFD465"/>
      <c r="DFE465"/>
      <c r="DFF465"/>
      <c r="DFG465"/>
      <c r="DFH465"/>
      <c r="DFI465"/>
      <c r="DFJ465"/>
      <c r="DFK465"/>
      <c r="DFL465"/>
      <c r="DFM465"/>
      <c r="DFN465"/>
      <c r="DFO465"/>
      <c r="DFP465"/>
      <c r="DFQ465"/>
      <c r="DFR465"/>
      <c r="DFS465"/>
      <c r="DFT465"/>
      <c r="DFU465"/>
      <c r="DFV465"/>
      <c r="DFW465"/>
      <c r="DFX465"/>
      <c r="DFY465"/>
      <c r="DFZ465"/>
      <c r="DGA465"/>
      <c r="DGB465"/>
      <c r="DGC465"/>
      <c r="DGD465"/>
      <c r="DGE465"/>
      <c r="DGF465"/>
      <c r="DGG465"/>
      <c r="DGH465"/>
      <c r="DGI465"/>
      <c r="DGJ465"/>
      <c r="DGK465"/>
      <c r="DGL465"/>
      <c r="DGM465"/>
      <c r="DGN465"/>
      <c r="DGO465"/>
      <c r="DGP465"/>
      <c r="DGQ465"/>
      <c r="DGR465"/>
      <c r="DGS465"/>
      <c r="DGT465"/>
      <c r="DGU465"/>
      <c r="DGV465"/>
      <c r="DGW465"/>
      <c r="DGX465"/>
      <c r="DGY465"/>
      <c r="DGZ465"/>
      <c r="DHA465"/>
      <c r="DHB465"/>
      <c r="DHC465"/>
      <c r="DHD465"/>
      <c r="DHE465"/>
      <c r="DHF465"/>
      <c r="DHG465"/>
      <c r="DHH465"/>
      <c r="DHI465"/>
      <c r="DHJ465"/>
      <c r="DHK465"/>
      <c r="DHL465"/>
      <c r="DHM465"/>
      <c r="DHN465"/>
      <c r="DHO465"/>
      <c r="DHP465"/>
      <c r="DHQ465"/>
      <c r="DHR465"/>
      <c r="DHS465"/>
      <c r="DHT465"/>
      <c r="DHU465"/>
      <c r="DHV465"/>
      <c r="DHW465"/>
      <c r="DHX465"/>
      <c r="DHY465"/>
      <c r="DHZ465"/>
      <c r="DIA465"/>
      <c r="DIB465"/>
      <c r="DIC465"/>
      <c r="DID465"/>
      <c r="DIE465"/>
      <c r="DIF465"/>
      <c r="DIG465"/>
      <c r="DIH465"/>
      <c r="DII465"/>
      <c r="DIJ465"/>
      <c r="DIK465"/>
      <c r="DIL465"/>
      <c r="DIM465"/>
      <c r="DIN465"/>
      <c r="DIO465"/>
      <c r="DIP465"/>
      <c r="DIQ465"/>
      <c r="DIR465"/>
      <c r="DIS465"/>
      <c r="DIT465"/>
      <c r="DIU465"/>
      <c r="DIV465"/>
      <c r="DIW465"/>
      <c r="DIX465"/>
      <c r="DIY465"/>
      <c r="DIZ465"/>
      <c r="DJA465"/>
      <c r="DJB465"/>
      <c r="DJC465"/>
      <c r="DJD465"/>
      <c r="DJE465"/>
      <c r="DJF465"/>
      <c r="DJG465"/>
      <c r="DJH465"/>
      <c r="DJI465"/>
      <c r="DJJ465"/>
      <c r="DJK465"/>
      <c r="DJL465"/>
      <c r="DJM465"/>
      <c r="DJN465"/>
      <c r="DJO465"/>
      <c r="DJP465"/>
      <c r="DJQ465"/>
      <c r="DJR465"/>
      <c r="DJS465"/>
      <c r="DJT465"/>
      <c r="DJU465"/>
      <c r="DJV465"/>
      <c r="DJW465"/>
      <c r="DJX465"/>
      <c r="DJY465"/>
      <c r="DJZ465"/>
      <c r="DKA465"/>
      <c r="DKB465"/>
      <c r="DKC465"/>
      <c r="DKD465"/>
      <c r="DKE465"/>
      <c r="DKF465"/>
      <c r="DKG465"/>
      <c r="DKH465"/>
      <c r="DKI465"/>
      <c r="DKJ465"/>
      <c r="DKK465"/>
      <c r="DKL465"/>
      <c r="DKM465"/>
      <c r="DKN465"/>
      <c r="DKO465"/>
      <c r="DKP465"/>
      <c r="DKQ465"/>
      <c r="DKR465"/>
      <c r="DKS465"/>
      <c r="DKT465"/>
      <c r="DKU465"/>
      <c r="DKV465"/>
      <c r="DKW465"/>
      <c r="DKX465"/>
      <c r="DKY465"/>
      <c r="DKZ465"/>
      <c r="DLA465"/>
      <c r="DLB465"/>
      <c r="DLC465"/>
      <c r="DLD465"/>
      <c r="DLE465"/>
      <c r="DLF465"/>
      <c r="DLG465"/>
      <c r="DLH465"/>
      <c r="DLI465"/>
      <c r="DLJ465"/>
      <c r="DLK465"/>
      <c r="DLL465"/>
      <c r="DLM465"/>
      <c r="DLN465"/>
      <c r="DLO465"/>
      <c r="DLP465"/>
      <c r="DLQ465"/>
      <c r="DLR465"/>
      <c r="DLS465"/>
      <c r="DLT465"/>
      <c r="DLU465"/>
      <c r="DLV465"/>
      <c r="DLW465"/>
      <c r="DLX465"/>
      <c r="DLY465"/>
      <c r="DLZ465"/>
      <c r="DMA465"/>
      <c r="DMB465"/>
      <c r="DMC465"/>
      <c r="DMD465"/>
      <c r="DME465"/>
      <c r="DMF465"/>
      <c r="DMG465"/>
      <c r="DMH465"/>
      <c r="DMI465"/>
      <c r="DMJ465"/>
      <c r="DMK465"/>
      <c r="DML465"/>
      <c r="DMM465"/>
      <c r="DMN465"/>
      <c r="DMO465"/>
      <c r="DMP465"/>
      <c r="DMQ465"/>
      <c r="DMR465"/>
      <c r="DMS465"/>
      <c r="DMT465"/>
      <c r="DMU465"/>
      <c r="DMV465"/>
      <c r="DMW465"/>
      <c r="DMX465"/>
      <c r="DMY465"/>
      <c r="DMZ465"/>
      <c r="DNA465"/>
      <c r="DNB465"/>
      <c r="DNC465"/>
      <c r="DND465"/>
      <c r="DNE465"/>
      <c r="DNF465"/>
      <c r="DNG465"/>
      <c r="DNH465"/>
      <c r="DNI465"/>
      <c r="DNJ465"/>
      <c r="DNK465"/>
      <c r="DNL465"/>
      <c r="DNM465"/>
      <c r="DNN465"/>
      <c r="DNO465"/>
      <c r="DNP465"/>
      <c r="DNQ465"/>
      <c r="DNR465"/>
      <c r="DNS465"/>
      <c r="DNT465"/>
      <c r="DNU465"/>
      <c r="DNV465"/>
      <c r="DNW465"/>
      <c r="DNX465"/>
      <c r="DNY465"/>
      <c r="DNZ465"/>
      <c r="DOA465"/>
      <c r="DOB465"/>
      <c r="DOC465"/>
      <c r="DOD465"/>
      <c r="DOE465"/>
      <c r="DOF465"/>
      <c r="DOG465"/>
      <c r="DOH465"/>
      <c r="DOI465"/>
      <c r="DOJ465"/>
      <c r="DOK465"/>
      <c r="DOL465"/>
      <c r="DOM465"/>
      <c r="DON465"/>
      <c r="DOO465"/>
      <c r="DOP465"/>
      <c r="DOQ465"/>
      <c r="DOR465"/>
      <c r="DOS465"/>
      <c r="DOT465"/>
      <c r="DOU465"/>
      <c r="DOV465"/>
      <c r="DOW465"/>
      <c r="DOX465"/>
      <c r="DOY465"/>
      <c r="DOZ465"/>
      <c r="DPA465"/>
      <c r="DPB465"/>
      <c r="DPC465"/>
      <c r="DPD465"/>
      <c r="DPE465"/>
      <c r="DPF465"/>
      <c r="DPG465"/>
      <c r="DPH465"/>
      <c r="DPI465"/>
      <c r="DPJ465"/>
      <c r="DPK465"/>
      <c r="DPL465"/>
      <c r="DPM465"/>
      <c r="DPN465"/>
      <c r="DPO465"/>
      <c r="DPP465"/>
      <c r="DPQ465"/>
      <c r="DPR465"/>
      <c r="DPS465"/>
      <c r="DPT465"/>
      <c r="DPU465"/>
      <c r="DPV465"/>
      <c r="DPW465"/>
      <c r="DPX465"/>
      <c r="DPY465"/>
      <c r="DPZ465"/>
      <c r="DQA465"/>
      <c r="DQB465"/>
      <c r="DQC465"/>
      <c r="DQD465"/>
      <c r="DQE465"/>
      <c r="DQF465"/>
      <c r="DQG465"/>
      <c r="DQH465"/>
      <c r="DQI465"/>
      <c r="DQJ465"/>
      <c r="DQK465"/>
      <c r="DQL465"/>
      <c r="DQM465"/>
      <c r="DQN465"/>
      <c r="DQO465"/>
      <c r="DQP465"/>
      <c r="DQQ465"/>
      <c r="DQR465"/>
      <c r="DQS465"/>
      <c r="DQT465"/>
      <c r="DQU465"/>
      <c r="DQV465"/>
      <c r="DQW465"/>
      <c r="DQX465"/>
      <c r="DQY465"/>
      <c r="DQZ465"/>
      <c r="DRA465"/>
      <c r="DRB465"/>
      <c r="DRC465"/>
      <c r="DRD465"/>
      <c r="DRE465"/>
      <c r="DRF465"/>
      <c r="DRG465"/>
      <c r="DRH465"/>
      <c r="DRI465"/>
      <c r="DRJ465"/>
      <c r="DRK465"/>
      <c r="DRL465"/>
      <c r="DRM465"/>
      <c r="DRN465"/>
      <c r="DRO465"/>
      <c r="DRP465"/>
      <c r="DRQ465"/>
      <c r="DRR465"/>
      <c r="DRS465"/>
      <c r="DRT465"/>
      <c r="DRU465"/>
      <c r="DRV465"/>
      <c r="DRW465"/>
      <c r="DRX465"/>
      <c r="DRY465"/>
      <c r="DRZ465"/>
      <c r="DSA465"/>
      <c r="DSB465"/>
      <c r="DSC465"/>
      <c r="DSD465"/>
      <c r="DSE465"/>
      <c r="DSF465"/>
      <c r="DSG465"/>
      <c r="DSH465"/>
      <c r="DSI465"/>
      <c r="DSJ465"/>
      <c r="DSK465"/>
      <c r="DSL465"/>
      <c r="DSM465"/>
      <c r="DSN465"/>
      <c r="DSO465"/>
      <c r="DSP465"/>
      <c r="DSQ465"/>
      <c r="DSR465"/>
      <c r="DSS465"/>
      <c r="DST465"/>
      <c r="DSU465"/>
      <c r="DSV465"/>
      <c r="DSW465"/>
      <c r="DSX465"/>
      <c r="DSY465"/>
      <c r="DSZ465"/>
      <c r="DTA465"/>
      <c r="DTB465"/>
      <c r="DTC465"/>
      <c r="DTD465"/>
      <c r="DTE465"/>
      <c r="DTF465"/>
      <c r="DTG465"/>
      <c r="DTH465"/>
      <c r="DTI465"/>
      <c r="DTJ465"/>
      <c r="DTK465"/>
      <c r="DTL465"/>
      <c r="DTM465"/>
      <c r="DTN465"/>
      <c r="DTO465"/>
      <c r="DTP465"/>
      <c r="DTQ465"/>
      <c r="DTR465"/>
      <c r="DTS465"/>
      <c r="DTT465"/>
      <c r="DTU465"/>
      <c r="DTV465"/>
      <c r="DTW465"/>
      <c r="DTX465"/>
      <c r="DTY465"/>
      <c r="DTZ465"/>
      <c r="DUA465"/>
      <c r="DUB465"/>
      <c r="DUC465"/>
      <c r="DUD465"/>
      <c r="DUE465"/>
      <c r="DUF465"/>
      <c r="DUG465"/>
      <c r="DUH465"/>
      <c r="DUI465"/>
      <c r="DUJ465"/>
      <c r="DUK465"/>
      <c r="DUL465"/>
      <c r="DUM465"/>
      <c r="DUN465"/>
      <c r="DUO465"/>
      <c r="DUP465"/>
      <c r="DUQ465"/>
      <c r="DUR465"/>
      <c r="DUS465"/>
      <c r="DUT465"/>
      <c r="DUU465"/>
      <c r="DUV465"/>
      <c r="DUW465"/>
      <c r="DUX465"/>
      <c r="DUY465"/>
      <c r="DUZ465"/>
      <c r="DVA465"/>
      <c r="DVB465"/>
      <c r="DVC465"/>
      <c r="DVD465"/>
      <c r="DVE465"/>
      <c r="DVF465"/>
      <c r="DVG465"/>
      <c r="DVH465"/>
      <c r="DVI465"/>
      <c r="DVJ465"/>
      <c r="DVK465"/>
      <c r="DVL465"/>
      <c r="DVM465"/>
      <c r="DVN465"/>
      <c r="DVO465"/>
      <c r="DVP465"/>
      <c r="DVQ465"/>
      <c r="DVR465"/>
      <c r="DVS465"/>
      <c r="DVT465"/>
      <c r="DVU465"/>
      <c r="DVV465"/>
      <c r="DVW465"/>
      <c r="DVX465"/>
      <c r="DVY465"/>
      <c r="DVZ465"/>
      <c r="DWA465"/>
      <c r="DWB465"/>
      <c r="DWC465"/>
      <c r="DWD465"/>
      <c r="DWE465"/>
      <c r="DWF465"/>
      <c r="DWG465"/>
      <c r="DWH465"/>
      <c r="DWI465"/>
      <c r="DWJ465"/>
      <c r="DWK465"/>
      <c r="DWL465"/>
      <c r="DWM465"/>
      <c r="DWN465"/>
      <c r="DWO465"/>
      <c r="DWP465"/>
      <c r="DWQ465"/>
      <c r="DWR465"/>
      <c r="DWS465"/>
      <c r="DWT465"/>
      <c r="DWU465"/>
      <c r="DWV465"/>
      <c r="DWW465"/>
      <c r="DWX465"/>
      <c r="DWY465"/>
      <c r="DWZ465"/>
      <c r="DXA465"/>
      <c r="DXB465"/>
      <c r="DXC465"/>
      <c r="DXD465"/>
      <c r="DXE465"/>
      <c r="DXF465"/>
      <c r="DXG465"/>
      <c r="DXH465"/>
      <c r="DXI465"/>
      <c r="DXJ465"/>
      <c r="DXK465"/>
      <c r="DXL465"/>
      <c r="DXM465"/>
      <c r="DXN465"/>
      <c r="DXO465"/>
      <c r="DXP465"/>
      <c r="DXQ465"/>
      <c r="DXR465"/>
      <c r="DXS465"/>
      <c r="DXT465"/>
      <c r="DXU465"/>
      <c r="DXV465"/>
      <c r="DXW465"/>
      <c r="DXX465"/>
      <c r="DXY465"/>
      <c r="DXZ465"/>
      <c r="DYA465"/>
      <c r="DYB465"/>
      <c r="DYC465"/>
      <c r="DYD465"/>
      <c r="DYE465"/>
      <c r="DYF465"/>
      <c r="DYG465"/>
      <c r="DYH465"/>
      <c r="DYI465"/>
      <c r="DYJ465"/>
      <c r="DYK465"/>
      <c r="DYL465"/>
      <c r="DYM465"/>
      <c r="DYN465"/>
      <c r="DYO465"/>
      <c r="DYP465"/>
      <c r="DYQ465"/>
      <c r="DYR465"/>
      <c r="DYS465"/>
      <c r="DYT465"/>
      <c r="DYU465"/>
      <c r="DYV465"/>
      <c r="DYW465"/>
      <c r="DYX465"/>
      <c r="DYY465"/>
      <c r="DYZ465"/>
      <c r="DZA465"/>
      <c r="DZB465"/>
      <c r="DZC465"/>
      <c r="DZD465"/>
      <c r="DZE465"/>
      <c r="DZF465"/>
      <c r="DZG465"/>
      <c r="DZH465"/>
      <c r="DZI465"/>
      <c r="DZJ465"/>
      <c r="DZK465"/>
      <c r="DZL465"/>
      <c r="DZM465"/>
      <c r="DZN465"/>
      <c r="DZO465"/>
      <c r="DZP465"/>
      <c r="DZQ465"/>
      <c r="DZR465"/>
      <c r="DZS465"/>
      <c r="DZT465"/>
      <c r="DZU465"/>
      <c r="DZV465"/>
      <c r="DZW465"/>
      <c r="DZX465"/>
      <c r="DZY465"/>
      <c r="DZZ465"/>
      <c r="EAA465"/>
      <c r="EAB465"/>
      <c r="EAC465"/>
      <c r="EAD465"/>
      <c r="EAE465"/>
      <c r="EAF465"/>
      <c r="EAG465"/>
      <c r="EAH465"/>
      <c r="EAI465"/>
      <c r="EAJ465"/>
      <c r="EAK465"/>
      <c r="EAL465"/>
      <c r="EAM465"/>
      <c r="EAN465"/>
      <c r="EAO465"/>
      <c r="EAP465"/>
      <c r="EAQ465"/>
      <c r="EAR465"/>
      <c r="EAS465"/>
      <c r="EAT465"/>
      <c r="EAU465"/>
      <c r="EAV465"/>
      <c r="EAW465"/>
      <c r="EAX465"/>
      <c r="EAY465"/>
      <c r="EAZ465"/>
      <c r="EBA465"/>
      <c r="EBB465"/>
      <c r="EBC465"/>
      <c r="EBD465"/>
      <c r="EBE465"/>
      <c r="EBF465"/>
      <c r="EBG465"/>
      <c r="EBH465"/>
      <c r="EBI465"/>
      <c r="EBJ465"/>
      <c r="EBK465"/>
      <c r="EBL465"/>
      <c r="EBM465"/>
      <c r="EBN465"/>
      <c r="EBO465"/>
      <c r="EBP465"/>
      <c r="EBQ465"/>
      <c r="EBR465"/>
      <c r="EBS465"/>
      <c r="EBT465"/>
      <c r="EBU465"/>
      <c r="EBV465"/>
      <c r="EBW465"/>
      <c r="EBX465"/>
      <c r="EBY465"/>
      <c r="EBZ465"/>
      <c r="ECA465"/>
      <c r="ECB465"/>
      <c r="ECC465"/>
      <c r="ECD465"/>
      <c r="ECE465"/>
      <c r="ECF465"/>
      <c r="ECG465"/>
      <c r="ECH465"/>
      <c r="ECI465"/>
      <c r="ECJ465"/>
      <c r="ECK465"/>
      <c r="ECL465"/>
      <c r="ECM465"/>
      <c r="ECN465"/>
      <c r="ECO465"/>
      <c r="ECP465"/>
      <c r="ECQ465"/>
      <c r="ECR465"/>
      <c r="ECS465"/>
      <c r="ECT465"/>
      <c r="ECU465"/>
      <c r="ECV465"/>
      <c r="ECW465"/>
      <c r="ECX465"/>
      <c r="ECY465"/>
      <c r="ECZ465"/>
      <c r="EDA465"/>
      <c r="EDB465"/>
      <c r="EDC465"/>
      <c r="EDD465"/>
      <c r="EDE465"/>
      <c r="EDF465"/>
      <c r="EDG465"/>
      <c r="EDH465"/>
      <c r="EDI465"/>
      <c r="EDJ465"/>
      <c r="EDK465"/>
      <c r="EDL465"/>
      <c r="EDM465"/>
      <c r="EDN465"/>
      <c r="EDO465"/>
      <c r="EDP465"/>
      <c r="EDQ465"/>
      <c r="EDR465"/>
      <c r="EDS465"/>
      <c r="EDT465"/>
      <c r="EDU465"/>
      <c r="EDV465"/>
      <c r="EDW465"/>
      <c r="EDX465"/>
      <c r="EDY465"/>
      <c r="EDZ465"/>
      <c r="EEA465"/>
      <c r="EEB465"/>
      <c r="EEC465"/>
      <c r="EED465"/>
      <c r="EEE465"/>
      <c r="EEF465"/>
      <c r="EEG465"/>
      <c r="EEH465"/>
      <c r="EEI465"/>
      <c r="EEJ465"/>
      <c r="EEK465"/>
      <c r="EEL465"/>
      <c r="EEM465"/>
      <c r="EEN465"/>
      <c r="EEO465"/>
      <c r="EEP465"/>
      <c r="EEQ465"/>
      <c r="EER465"/>
      <c r="EES465"/>
      <c r="EET465"/>
      <c r="EEU465"/>
      <c r="EEV465"/>
      <c r="EEW465"/>
      <c r="EEX465"/>
      <c r="EEY465"/>
      <c r="EEZ465"/>
      <c r="EFA465"/>
      <c r="EFB465"/>
      <c r="EFC465"/>
      <c r="EFD465"/>
      <c r="EFE465"/>
      <c r="EFF465"/>
      <c r="EFG465"/>
      <c r="EFH465"/>
      <c r="EFI465"/>
      <c r="EFJ465"/>
      <c r="EFK465"/>
      <c r="EFL465"/>
      <c r="EFM465"/>
      <c r="EFN465"/>
      <c r="EFO465"/>
      <c r="EFP465"/>
      <c r="EFQ465"/>
      <c r="EFR465"/>
      <c r="EFS465"/>
      <c r="EFT465"/>
      <c r="EFU465"/>
      <c r="EFV465"/>
      <c r="EFW465"/>
      <c r="EFX465"/>
      <c r="EFY465"/>
      <c r="EFZ465"/>
      <c r="EGA465"/>
      <c r="EGB465"/>
      <c r="EGC465"/>
      <c r="EGD465"/>
      <c r="EGE465"/>
      <c r="EGF465"/>
      <c r="EGG465"/>
      <c r="EGH465"/>
      <c r="EGI465"/>
      <c r="EGJ465"/>
      <c r="EGK465"/>
      <c r="EGL465"/>
      <c r="EGM465"/>
      <c r="EGN465"/>
      <c r="EGO465"/>
      <c r="EGP465"/>
      <c r="EGQ465"/>
      <c r="EGR465"/>
      <c r="EGS465"/>
      <c r="EGT465"/>
      <c r="EGU465"/>
      <c r="EGV465"/>
      <c r="EGW465"/>
      <c r="EGX465"/>
      <c r="EGY465"/>
      <c r="EGZ465"/>
      <c r="EHA465"/>
      <c r="EHB465"/>
      <c r="EHC465"/>
      <c r="EHD465"/>
      <c r="EHE465"/>
      <c r="EHF465"/>
      <c r="EHG465"/>
      <c r="EHH465"/>
      <c r="EHI465"/>
      <c r="EHJ465"/>
      <c r="EHK465"/>
      <c r="EHL465"/>
      <c r="EHM465"/>
      <c r="EHN465"/>
      <c r="EHO465"/>
      <c r="EHP465"/>
      <c r="EHQ465"/>
      <c r="EHR465"/>
      <c r="EHS465"/>
      <c r="EHT465"/>
      <c r="EHU465"/>
      <c r="EHV465"/>
      <c r="EHW465"/>
      <c r="EHX465"/>
      <c r="EHY465"/>
      <c r="EHZ465"/>
      <c r="EIA465"/>
      <c r="EIB465"/>
      <c r="EIC465"/>
      <c r="EID465"/>
      <c r="EIE465"/>
      <c r="EIF465"/>
      <c r="EIG465"/>
      <c r="EIH465"/>
      <c r="EII465"/>
      <c r="EIJ465"/>
      <c r="EIK465"/>
      <c r="EIL465"/>
      <c r="EIM465"/>
      <c r="EIN465"/>
      <c r="EIO465"/>
      <c r="EIP465"/>
      <c r="EIQ465"/>
      <c r="EIR465"/>
      <c r="EIS465"/>
      <c r="EIT465"/>
      <c r="EIU465"/>
      <c r="EIV465"/>
      <c r="EIW465"/>
      <c r="EIX465"/>
      <c r="EIY465"/>
      <c r="EIZ465"/>
      <c r="EJA465"/>
      <c r="EJB465"/>
      <c r="EJC465"/>
      <c r="EJD465"/>
      <c r="EJE465"/>
      <c r="EJF465"/>
      <c r="EJG465"/>
      <c r="EJH465"/>
      <c r="EJI465"/>
      <c r="EJJ465"/>
      <c r="EJK465"/>
      <c r="EJL465"/>
      <c r="EJM465"/>
      <c r="EJN465"/>
      <c r="EJO465"/>
      <c r="EJP465"/>
      <c r="EJQ465"/>
      <c r="EJR465"/>
      <c r="EJS465"/>
      <c r="EJT465"/>
      <c r="EJU465"/>
      <c r="EJV465"/>
      <c r="EJW465"/>
      <c r="EJX465"/>
      <c r="EJY465"/>
      <c r="EJZ465"/>
      <c r="EKA465"/>
      <c r="EKB465"/>
      <c r="EKC465"/>
      <c r="EKD465"/>
      <c r="EKE465"/>
      <c r="EKF465"/>
      <c r="EKG465"/>
      <c r="EKH465"/>
      <c r="EKI465"/>
      <c r="EKJ465"/>
      <c r="EKK465"/>
      <c r="EKL465"/>
      <c r="EKM465"/>
      <c r="EKN465"/>
      <c r="EKO465"/>
      <c r="EKP465"/>
      <c r="EKQ465"/>
      <c r="EKR465"/>
      <c r="EKS465"/>
      <c r="EKT465"/>
      <c r="EKU465"/>
      <c r="EKV465"/>
      <c r="EKW465"/>
      <c r="EKX465"/>
      <c r="EKY465"/>
      <c r="EKZ465"/>
      <c r="ELA465"/>
      <c r="ELB465"/>
      <c r="ELC465"/>
      <c r="ELD465"/>
      <c r="ELE465"/>
      <c r="ELF465"/>
      <c r="ELG465"/>
      <c r="ELH465"/>
      <c r="ELI465"/>
      <c r="ELJ465"/>
      <c r="ELK465"/>
      <c r="ELL465"/>
      <c r="ELM465"/>
      <c r="ELN465"/>
      <c r="ELO465"/>
      <c r="ELP465"/>
      <c r="ELQ465"/>
      <c r="ELR465"/>
      <c r="ELS465"/>
      <c r="ELT465"/>
      <c r="ELU465"/>
      <c r="ELV465"/>
      <c r="ELW465"/>
      <c r="ELX465"/>
      <c r="ELY465"/>
      <c r="ELZ465"/>
      <c r="EMA465"/>
      <c r="EMB465"/>
      <c r="EMC465"/>
      <c r="EMD465"/>
      <c r="EME465"/>
      <c r="EMF465"/>
      <c r="EMG465"/>
      <c r="EMH465"/>
      <c r="EMI465"/>
      <c r="EMJ465"/>
      <c r="EMK465"/>
      <c r="EML465"/>
      <c r="EMM465"/>
      <c r="EMN465"/>
      <c r="EMO465"/>
      <c r="EMP465"/>
      <c r="EMQ465"/>
      <c r="EMR465"/>
      <c r="EMS465"/>
      <c r="EMT465"/>
      <c r="EMU465"/>
      <c r="EMV465"/>
      <c r="EMW465"/>
      <c r="EMX465"/>
      <c r="EMY465"/>
      <c r="EMZ465"/>
      <c r="ENA465"/>
      <c r="ENB465"/>
      <c r="ENC465"/>
      <c r="END465"/>
      <c r="ENE465"/>
      <c r="ENF465"/>
      <c r="ENG465"/>
      <c r="ENH465"/>
      <c r="ENI465"/>
      <c r="ENJ465"/>
      <c r="ENK465"/>
      <c r="ENL465"/>
      <c r="ENM465"/>
      <c r="ENN465"/>
      <c r="ENO465"/>
      <c r="ENP465"/>
      <c r="ENQ465"/>
      <c r="ENR465"/>
      <c r="ENS465"/>
      <c r="ENT465"/>
      <c r="ENU465"/>
      <c r="ENV465"/>
      <c r="ENW465"/>
      <c r="ENX465"/>
      <c r="ENY465"/>
      <c r="ENZ465"/>
      <c r="EOA465"/>
      <c r="EOB465"/>
      <c r="EOC465"/>
      <c r="EOD465"/>
      <c r="EOE465"/>
      <c r="EOF465"/>
      <c r="EOG465"/>
      <c r="EOH465"/>
      <c r="EOI465"/>
      <c r="EOJ465"/>
      <c r="EOK465"/>
      <c r="EOL465"/>
      <c r="EOM465"/>
      <c r="EON465"/>
      <c r="EOO465"/>
      <c r="EOP465"/>
      <c r="EOQ465"/>
      <c r="EOR465"/>
      <c r="EOS465"/>
      <c r="EOT465"/>
      <c r="EOU465"/>
      <c r="EOV465"/>
      <c r="EOW465"/>
      <c r="EOX465"/>
      <c r="EOY465"/>
      <c r="EOZ465"/>
      <c r="EPA465"/>
      <c r="EPB465"/>
      <c r="EPC465"/>
      <c r="EPD465"/>
      <c r="EPE465"/>
      <c r="EPF465"/>
      <c r="EPG465"/>
      <c r="EPH465"/>
      <c r="EPI465"/>
      <c r="EPJ465"/>
      <c r="EPK465"/>
      <c r="EPL465"/>
      <c r="EPM465"/>
      <c r="EPN465"/>
      <c r="EPO465"/>
      <c r="EPP465"/>
      <c r="EPQ465"/>
      <c r="EPR465"/>
      <c r="EPS465"/>
      <c r="EPT465"/>
      <c r="EPU465"/>
      <c r="EPV465"/>
      <c r="EPW465"/>
      <c r="EPX465"/>
      <c r="EPY465"/>
      <c r="EPZ465"/>
      <c r="EQA465"/>
      <c r="EQB465"/>
      <c r="EQC465"/>
      <c r="EQD465"/>
      <c r="EQE465"/>
      <c r="EQF465"/>
      <c r="EQG465"/>
      <c r="EQH465"/>
      <c r="EQI465"/>
      <c r="EQJ465"/>
      <c r="EQK465"/>
      <c r="EQL465"/>
      <c r="EQM465"/>
      <c r="EQN465"/>
      <c r="EQO465"/>
      <c r="EQP465"/>
      <c r="EQQ465"/>
      <c r="EQR465"/>
      <c r="EQS465"/>
      <c r="EQT465"/>
      <c r="EQU465"/>
      <c r="EQV465"/>
      <c r="EQW465"/>
      <c r="EQX465"/>
      <c r="EQY465"/>
      <c r="EQZ465"/>
      <c r="ERA465"/>
      <c r="ERB465"/>
      <c r="ERC465"/>
      <c r="ERD465"/>
      <c r="ERE465"/>
      <c r="ERF465"/>
      <c r="ERG465"/>
      <c r="ERH465"/>
      <c r="ERI465"/>
      <c r="ERJ465"/>
      <c r="ERK465"/>
      <c r="ERL465"/>
      <c r="ERM465"/>
      <c r="ERN465"/>
      <c r="ERO465"/>
      <c r="ERP465"/>
      <c r="ERQ465"/>
      <c r="ERR465"/>
      <c r="ERS465"/>
      <c r="ERT465"/>
      <c r="ERU465"/>
      <c r="ERV465"/>
      <c r="ERW465"/>
      <c r="ERX465"/>
      <c r="ERY465"/>
      <c r="ERZ465"/>
      <c r="ESA465"/>
      <c r="ESB465"/>
      <c r="ESC465"/>
      <c r="ESD465"/>
      <c r="ESE465"/>
      <c r="ESF465"/>
      <c r="ESG465"/>
      <c r="ESH465"/>
      <c r="ESI465"/>
      <c r="ESJ465"/>
      <c r="ESK465"/>
      <c r="ESL465"/>
      <c r="ESM465"/>
      <c r="ESN465"/>
      <c r="ESO465"/>
      <c r="ESP465"/>
      <c r="ESQ465"/>
      <c r="ESR465"/>
      <c r="ESS465"/>
      <c r="EST465"/>
      <c r="ESU465"/>
      <c r="ESV465"/>
      <c r="ESW465"/>
      <c r="ESX465"/>
      <c r="ESY465"/>
      <c r="ESZ465"/>
      <c r="ETA465"/>
      <c r="ETB465"/>
      <c r="ETC465"/>
      <c r="ETD465"/>
      <c r="ETE465"/>
      <c r="ETF465"/>
      <c r="ETG465"/>
      <c r="ETH465"/>
      <c r="ETI465"/>
      <c r="ETJ465"/>
      <c r="ETK465"/>
      <c r="ETL465"/>
      <c r="ETM465"/>
      <c r="ETN465"/>
      <c r="ETO465"/>
      <c r="ETP465"/>
      <c r="ETQ465"/>
      <c r="ETR465"/>
      <c r="ETS465"/>
      <c r="ETT465"/>
      <c r="ETU465"/>
      <c r="ETV465"/>
      <c r="ETW465"/>
      <c r="ETX465"/>
      <c r="ETY465"/>
      <c r="ETZ465"/>
      <c r="EUA465"/>
      <c r="EUB465"/>
      <c r="EUC465"/>
      <c r="EUD465"/>
      <c r="EUE465"/>
      <c r="EUF465"/>
      <c r="EUG465"/>
      <c r="EUH465"/>
      <c r="EUI465"/>
      <c r="EUJ465"/>
      <c r="EUK465"/>
      <c r="EUL465"/>
      <c r="EUM465"/>
      <c r="EUN465"/>
      <c r="EUO465"/>
      <c r="EUP465"/>
      <c r="EUQ465"/>
      <c r="EUR465"/>
      <c r="EUS465"/>
      <c r="EUT465"/>
      <c r="EUU465"/>
      <c r="EUV465"/>
      <c r="EUW465"/>
      <c r="EUX465"/>
      <c r="EUY465"/>
      <c r="EUZ465"/>
      <c r="EVA465"/>
      <c r="EVB465"/>
      <c r="EVC465"/>
      <c r="EVD465"/>
      <c r="EVE465"/>
      <c r="EVF465"/>
      <c r="EVG465"/>
      <c r="EVH465"/>
      <c r="EVI465"/>
      <c r="EVJ465"/>
      <c r="EVK465"/>
      <c r="EVL465"/>
      <c r="EVM465"/>
      <c r="EVN465"/>
      <c r="EVO465"/>
      <c r="EVP465"/>
      <c r="EVQ465"/>
      <c r="EVR465"/>
      <c r="EVS465"/>
      <c r="EVT465"/>
      <c r="EVU465"/>
      <c r="EVV465"/>
      <c r="EVW465"/>
      <c r="EVX465"/>
      <c r="EVY465"/>
      <c r="EVZ465"/>
      <c r="EWA465"/>
      <c r="EWB465"/>
      <c r="EWC465"/>
      <c r="EWD465"/>
      <c r="EWE465"/>
      <c r="EWF465"/>
      <c r="EWG465"/>
      <c r="EWH465"/>
      <c r="EWI465"/>
      <c r="EWJ465"/>
      <c r="EWK465"/>
      <c r="EWL465"/>
      <c r="EWM465"/>
      <c r="EWN465"/>
      <c r="EWO465"/>
      <c r="EWP465"/>
      <c r="EWQ465"/>
      <c r="EWR465"/>
      <c r="EWS465"/>
      <c r="EWT465"/>
      <c r="EWU465"/>
      <c r="EWV465"/>
      <c r="EWW465"/>
      <c r="EWX465"/>
      <c r="EWY465"/>
      <c r="EWZ465"/>
      <c r="EXA465"/>
      <c r="EXB465"/>
      <c r="EXC465"/>
      <c r="EXD465"/>
      <c r="EXE465"/>
      <c r="EXF465"/>
      <c r="EXG465"/>
      <c r="EXH465"/>
      <c r="EXI465"/>
      <c r="EXJ465"/>
      <c r="EXK465"/>
      <c r="EXL465"/>
      <c r="EXM465"/>
      <c r="EXN465"/>
      <c r="EXO465"/>
      <c r="EXP465"/>
      <c r="EXQ465"/>
      <c r="EXR465"/>
      <c r="EXS465"/>
      <c r="EXT465"/>
      <c r="EXU465"/>
      <c r="EXV465"/>
      <c r="EXW465"/>
      <c r="EXX465"/>
      <c r="EXY465"/>
      <c r="EXZ465"/>
      <c r="EYA465"/>
      <c r="EYB465"/>
      <c r="EYC465"/>
      <c r="EYD465"/>
      <c r="EYE465"/>
      <c r="EYF465"/>
      <c r="EYG465"/>
      <c r="EYH465"/>
      <c r="EYI465"/>
      <c r="EYJ465"/>
      <c r="EYK465"/>
      <c r="EYL465"/>
      <c r="EYM465"/>
      <c r="EYN465"/>
      <c r="EYO465"/>
      <c r="EYP465"/>
      <c r="EYQ465"/>
      <c r="EYR465"/>
      <c r="EYS465"/>
      <c r="EYT465"/>
      <c r="EYU465"/>
      <c r="EYV465"/>
      <c r="EYW465"/>
      <c r="EYX465"/>
      <c r="EYY465"/>
      <c r="EYZ465"/>
      <c r="EZA465"/>
      <c r="EZB465"/>
      <c r="EZC465"/>
      <c r="EZD465"/>
      <c r="EZE465"/>
      <c r="EZF465"/>
      <c r="EZG465"/>
      <c r="EZH465"/>
      <c r="EZI465"/>
      <c r="EZJ465"/>
      <c r="EZK465"/>
      <c r="EZL465"/>
      <c r="EZM465"/>
      <c r="EZN465"/>
      <c r="EZO465"/>
      <c r="EZP465"/>
      <c r="EZQ465"/>
      <c r="EZR465"/>
      <c r="EZS465"/>
      <c r="EZT465"/>
      <c r="EZU465"/>
      <c r="EZV465"/>
      <c r="EZW465"/>
      <c r="EZX465"/>
      <c r="EZY465"/>
      <c r="EZZ465"/>
      <c r="FAA465"/>
      <c r="FAB465"/>
      <c r="FAC465"/>
      <c r="FAD465"/>
      <c r="FAE465"/>
      <c r="FAF465"/>
      <c r="FAG465"/>
      <c r="FAH465"/>
      <c r="FAI465"/>
      <c r="FAJ465"/>
      <c r="FAK465"/>
      <c r="FAL465"/>
      <c r="FAM465"/>
      <c r="FAN465"/>
      <c r="FAO465"/>
      <c r="FAP465"/>
      <c r="FAQ465"/>
      <c r="FAR465"/>
      <c r="FAS465"/>
      <c r="FAT465"/>
      <c r="FAU465"/>
      <c r="FAV465"/>
      <c r="FAW465"/>
      <c r="FAX465"/>
      <c r="FAY465"/>
      <c r="FAZ465"/>
      <c r="FBA465"/>
      <c r="FBB465"/>
      <c r="FBC465"/>
      <c r="FBD465"/>
      <c r="FBE465"/>
      <c r="FBF465"/>
      <c r="FBG465"/>
      <c r="FBH465"/>
      <c r="FBI465"/>
      <c r="FBJ465"/>
      <c r="FBK465"/>
      <c r="FBL465"/>
      <c r="FBM465"/>
      <c r="FBN465"/>
      <c r="FBO465"/>
      <c r="FBP465"/>
      <c r="FBQ465"/>
      <c r="FBR465"/>
      <c r="FBS465"/>
      <c r="FBT465"/>
      <c r="FBU465"/>
      <c r="FBV465"/>
      <c r="FBW465"/>
      <c r="FBX465"/>
      <c r="FBY465"/>
      <c r="FBZ465"/>
      <c r="FCA465"/>
      <c r="FCB465"/>
      <c r="FCC465"/>
      <c r="FCD465"/>
      <c r="FCE465"/>
      <c r="FCF465"/>
      <c r="FCG465"/>
      <c r="FCH465"/>
      <c r="FCI465"/>
      <c r="FCJ465"/>
      <c r="FCK465"/>
      <c r="FCL465"/>
      <c r="FCM465"/>
      <c r="FCN465"/>
      <c r="FCO465"/>
      <c r="FCP465"/>
      <c r="FCQ465"/>
      <c r="FCR465"/>
      <c r="FCS465"/>
      <c r="FCT465"/>
      <c r="FCU465"/>
      <c r="FCV465"/>
      <c r="FCW465"/>
      <c r="FCX465"/>
      <c r="FCY465"/>
      <c r="FCZ465"/>
      <c r="FDA465"/>
      <c r="FDB465"/>
      <c r="FDC465"/>
      <c r="FDD465"/>
      <c r="FDE465"/>
      <c r="FDF465"/>
      <c r="FDG465"/>
      <c r="FDH465"/>
      <c r="FDI465"/>
      <c r="FDJ465"/>
      <c r="FDK465"/>
      <c r="FDL465"/>
      <c r="FDM465"/>
      <c r="FDN465"/>
      <c r="FDO465"/>
      <c r="FDP465"/>
      <c r="FDQ465"/>
      <c r="FDR465"/>
      <c r="FDS465"/>
      <c r="FDT465"/>
      <c r="FDU465"/>
      <c r="FDV465"/>
      <c r="FDW465"/>
      <c r="FDX465"/>
      <c r="FDY465"/>
      <c r="FDZ465"/>
      <c r="FEA465"/>
      <c r="FEB465"/>
      <c r="FEC465"/>
      <c r="FED465"/>
      <c r="FEE465"/>
      <c r="FEF465"/>
      <c r="FEG465"/>
      <c r="FEH465"/>
      <c r="FEI465"/>
      <c r="FEJ465"/>
      <c r="FEK465"/>
      <c r="FEL465"/>
      <c r="FEM465"/>
      <c r="FEN465"/>
      <c r="FEO465"/>
      <c r="FEP465"/>
      <c r="FEQ465"/>
      <c r="FER465"/>
      <c r="FES465"/>
      <c r="FET465"/>
      <c r="FEU465"/>
      <c r="FEV465"/>
      <c r="FEW465"/>
      <c r="FEX465"/>
      <c r="FEY465"/>
      <c r="FEZ465"/>
      <c r="FFA465"/>
      <c r="FFB465"/>
      <c r="FFC465"/>
      <c r="FFD465"/>
      <c r="FFE465"/>
      <c r="FFF465"/>
      <c r="FFG465"/>
      <c r="FFH465"/>
      <c r="FFI465"/>
      <c r="FFJ465"/>
      <c r="FFK465"/>
      <c r="FFL465"/>
      <c r="FFM465"/>
      <c r="FFN465"/>
      <c r="FFO465"/>
      <c r="FFP465"/>
      <c r="FFQ465"/>
      <c r="FFR465"/>
      <c r="FFS465"/>
      <c r="FFT465"/>
      <c r="FFU465"/>
      <c r="FFV465"/>
      <c r="FFW465"/>
      <c r="FFX465"/>
      <c r="FFY465"/>
      <c r="FFZ465"/>
      <c r="FGA465"/>
      <c r="FGB465"/>
      <c r="FGC465"/>
      <c r="FGD465"/>
      <c r="FGE465"/>
      <c r="FGF465"/>
      <c r="FGG465"/>
      <c r="FGH465"/>
      <c r="FGI465"/>
      <c r="FGJ465"/>
      <c r="FGK465"/>
      <c r="FGL465"/>
      <c r="FGM465"/>
      <c r="FGN465"/>
      <c r="FGO465"/>
      <c r="FGP465"/>
      <c r="FGQ465"/>
      <c r="FGR465"/>
      <c r="FGS465"/>
      <c r="FGT465"/>
      <c r="FGU465"/>
      <c r="FGV465"/>
      <c r="FGW465"/>
      <c r="FGX465"/>
      <c r="FGY465"/>
      <c r="FGZ465"/>
      <c r="FHA465"/>
      <c r="FHB465"/>
      <c r="FHC465"/>
      <c r="FHD465"/>
      <c r="FHE465"/>
      <c r="FHF465"/>
      <c r="FHG465"/>
      <c r="FHH465"/>
      <c r="FHI465"/>
      <c r="FHJ465"/>
      <c r="FHK465"/>
      <c r="FHL465"/>
      <c r="FHM465"/>
      <c r="FHN465"/>
      <c r="FHO465"/>
      <c r="FHP465"/>
      <c r="FHQ465"/>
      <c r="FHR465"/>
      <c r="FHS465"/>
      <c r="FHT465"/>
      <c r="FHU465"/>
      <c r="FHV465"/>
      <c r="FHW465"/>
      <c r="FHX465"/>
      <c r="FHY465"/>
      <c r="FHZ465"/>
      <c r="FIA465"/>
      <c r="FIB465"/>
      <c r="FIC465"/>
      <c r="FID465"/>
      <c r="FIE465"/>
      <c r="FIF465"/>
      <c r="FIG465"/>
      <c r="FIH465"/>
      <c r="FII465"/>
      <c r="FIJ465"/>
      <c r="FIK465"/>
      <c r="FIL465"/>
      <c r="FIM465"/>
      <c r="FIN465"/>
      <c r="FIO465"/>
      <c r="FIP465"/>
      <c r="FIQ465"/>
      <c r="FIR465"/>
      <c r="FIS465"/>
      <c r="FIT465"/>
      <c r="FIU465"/>
      <c r="FIV465"/>
      <c r="FIW465"/>
      <c r="FIX465"/>
      <c r="FIY465"/>
      <c r="FIZ465"/>
      <c r="FJA465"/>
      <c r="FJB465"/>
      <c r="FJC465"/>
      <c r="FJD465"/>
      <c r="FJE465"/>
      <c r="FJF465"/>
      <c r="FJG465"/>
      <c r="FJH465"/>
      <c r="FJI465"/>
      <c r="FJJ465"/>
      <c r="FJK465"/>
      <c r="FJL465"/>
      <c r="FJM465"/>
      <c r="FJN465"/>
      <c r="FJO465"/>
      <c r="FJP465"/>
      <c r="FJQ465"/>
      <c r="FJR465"/>
      <c r="FJS465"/>
      <c r="FJT465"/>
      <c r="FJU465"/>
      <c r="FJV465"/>
      <c r="FJW465"/>
      <c r="FJX465"/>
      <c r="FJY465"/>
      <c r="FJZ465"/>
      <c r="FKA465"/>
      <c r="FKB465"/>
      <c r="FKC465"/>
      <c r="FKD465"/>
      <c r="FKE465"/>
      <c r="FKF465"/>
      <c r="FKG465"/>
      <c r="FKH465"/>
      <c r="FKI465"/>
      <c r="FKJ465"/>
      <c r="FKK465"/>
      <c r="FKL465"/>
      <c r="FKM465"/>
      <c r="FKN465"/>
      <c r="FKO465"/>
      <c r="FKP465"/>
      <c r="FKQ465"/>
      <c r="FKR465"/>
      <c r="FKS465"/>
      <c r="FKT465"/>
      <c r="FKU465"/>
      <c r="FKV465"/>
      <c r="FKW465"/>
      <c r="FKX465"/>
      <c r="FKY465"/>
      <c r="FKZ465"/>
      <c r="FLA465"/>
      <c r="FLB465"/>
      <c r="FLC465"/>
      <c r="FLD465"/>
      <c r="FLE465"/>
      <c r="FLF465"/>
      <c r="FLG465"/>
      <c r="FLH465"/>
      <c r="FLI465"/>
      <c r="FLJ465"/>
      <c r="FLK465"/>
      <c r="FLL465"/>
      <c r="FLM465"/>
      <c r="FLN465"/>
      <c r="FLO465"/>
      <c r="FLP465"/>
      <c r="FLQ465"/>
      <c r="FLR465"/>
      <c r="FLS465"/>
      <c r="FLT465"/>
      <c r="FLU465"/>
      <c r="FLV465"/>
      <c r="FLW465"/>
      <c r="FLX465"/>
      <c r="FLY465"/>
      <c r="FLZ465"/>
      <c r="FMA465"/>
      <c r="FMB465"/>
      <c r="FMC465"/>
      <c r="FMD465"/>
      <c r="FME465"/>
      <c r="FMF465"/>
      <c r="FMG465"/>
      <c r="FMH465"/>
      <c r="FMI465"/>
      <c r="FMJ465"/>
      <c r="FMK465"/>
      <c r="FML465"/>
      <c r="FMM465"/>
      <c r="FMN465"/>
      <c r="FMO465"/>
      <c r="FMP465"/>
      <c r="FMQ465"/>
      <c r="FMR465"/>
      <c r="FMS465"/>
      <c r="FMT465"/>
      <c r="FMU465"/>
      <c r="FMV465"/>
      <c r="FMW465"/>
      <c r="FMX465"/>
      <c r="FMY465"/>
      <c r="FMZ465"/>
      <c r="FNA465"/>
      <c r="FNB465"/>
      <c r="FNC465"/>
      <c r="FND465"/>
      <c r="FNE465"/>
      <c r="FNF465"/>
      <c r="FNG465"/>
      <c r="FNH465"/>
      <c r="FNI465"/>
      <c r="FNJ465"/>
      <c r="FNK465"/>
      <c r="FNL465"/>
      <c r="FNM465"/>
      <c r="FNN465"/>
      <c r="FNO465"/>
      <c r="FNP465"/>
      <c r="FNQ465"/>
      <c r="FNR465"/>
      <c r="FNS465"/>
      <c r="FNT465"/>
      <c r="FNU465"/>
      <c r="FNV465"/>
      <c r="FNW465"/>
      <c r="FNX465"/>
      <c r="FNY465"/>
      <c r="FNZ465"/>
      <c r="FOA465"/>
      <c r="FOB465"/>
      <c r="FOC465"/>
      <c r="FOD465"/>
      <c r="FOE465"/>
      <c r="FOF465"/>
      <c r="FOG465"/>
      <c r="FOH465"/>
      <c r="FOI465"/>
      <c r="FOJ465"/>
      <c r="FOK465"/>
      <c r="FOL465"/>
      <c r="FOM465"/>
      <c r="FON465"/>
      <c r="FOO465"/>
      <c r="FOP465"/>
      <c r="FOQ465"/>
      <c r="FOR465"/>
      <c r="FOS465"/>
      <c r="FOT465"/>
      <c r="FOU465"/>
      <c r="FOV465"/>
      <c r="FOW465"/>
      <c r="FOX465"/>
      <c r="FOY465"/>
      <c r="FOZ465"/>
      <c r="FPA465"/>
      <c r="FPB465"/>
      <c r="FPC465"/>
      <c r="FPD465"/>
      <c r="FPE465"/>
      <c r="FPF465"/>
      <c r="FPG465"/>
      <c r="FPH465"/>
      <c r="FPI465"/>
      <c r="FPJ465"/>
      <c r="FPK465"/>
      <c r="FPL465"/>
      <c r="FPM465"/>
      <c r="FPN465"/>
      <c r="FPO465"/>
      <c r="FPP465"/>
      <c r="FPQ465"/>
      <c r="FPR465"/>
      <c r="FPS465"/>
      <c r="FPT465"/>
      <c r="FPU465"/>
      <c r="FPV465"/>
      <c r="FPW465"/>
      <c r="FPX465"/>
      <c r="FPY465"/>
      <c r="FPZ465"/>
      <c r="FQA465"/>
      <c r="FQB465"/>
      <c r="FQC465"/>
      <c r="FQD465"/>
      <c r="FQE465"/>
      <c r="FQF465"/>
      <c r="FQG465"/>
      <c r="FQH465"/>
      <c r="FQI465"/>
      <c r="FQJ465"/>
      <c r="FQK465"/>
      <c r="FQL465"/>
      <c r="FQM465"/>
      <c r="FQN465"/>
      <c r="FQO465"/>
      <c r="FQP465"/>
      <c r="FQQ465"/>
      <c r="FQR465"/>
      <c r="FQS465"/>
      <c r="FQT465"/>
      <c r="FQU465"/>
      <c r="FQV465"/>
      <c r="FQW465"/>
      <c r="FQX465"/>
      <c r="FQY465"/>
      <c r="FQZ465"/>
      <c r="FRA465"/>
      <c r="FRB465"/>
      <c r="FRC465"/>
      <c r="FRD465"/>
      <c r="FRE465"/>
      <c r="FRF465"/>
      <c r="FRG465"/>
      <c r="FRH465"/>
      <c r="FRI465"/>
      <c r="FRJ465"/>
      <c r="FRK465"/>
      <c r="FRL465"/>
      <c r="FRM465"/>
      <c r="FRN465"/>
      <c r="FRO465"/>
      <c r="FRP465"/>
      <c r="FRQ465"/>
      <c r="FRR465"/>
      <c r="FRS465"/>
      <c r="FRT465"/>
      <c r="FRU465"/>
      <c r="FRV465"/>
      <c r="FRW465"/>
      <c r="FRX465"/>
      <c r="FRY465"/>
      <c r="FRZ465"/>
      <c r="FSA465"/>
      <c r="FSB465"/>
      <c r="FSC465"/>
      <c r="FSD465"/>
      <c r="FSE465"/>
      <c r="FSF465"/>
      <c r="FSG465"/>
      <c r="FSH465"/>
      <c r="FSI465"/>
      <c r="FSJ465"/>
      <c r="FSK465"/>
      <c r="FSL465"/>
      <c r="FSM465"/>
      <c r="FSN465"/>
      <c r="FSO465"/>
      <c r="FSP465"/>
      <c r="FSQ465"/>
      <c r="FSR465"/>
      <c r="FSS465"/>
      <c r="FST465"/>
      <c r="FSU465"/>
      <c r="FSV465"/>
      <c r="FSW465"/>
      <c r="FSX465"/>
      <c r="FSY465"/>
      <c r="FSZ465"/>
      <c r="FTA465"/>
      <c r="FTB465"/>
      <c r="FTC465"/>
      <c r="FTD465"/>
      <c r="FTE465"/>
      <c r="FTF465"/>
      <c r="FTG465"/>
      <c r="FTH465"/>
      <c r="FTI465"/>
      <c r="FTJ465"/>
      <c r="FTK465"/>
      <c r="FTL465"/>
      <c r="FTM465"/>
      <c r="FTN465"/>
      <c r="FTO465"/>
      <c r="FTP465"/>
      <c r="FTQ465"/>
      <c r="FTR465"/>
      <c r="FTS465"/>
      <c r="FTT465"/>
      <c r="FTU465"/>
      <c r="FTV465"/>
      <c r="FTW465"/>
      <c r="FTX465"/>
      <c r="FTY465"/>
      <c r="FTZ465"/>
      <c r="FUA465"/>
      <c r="FUB465"/>
      <c r="FUC465"/>
      <c r="FUD465"/>
      <c r="FUE465"/>
      <c r="FUF465"/>
      <c r="FUG465"/>
      <c r="FUH465"/>
      <c r="FUI465"/>
      <c r="FUJ465"/>
      <c r="FUK465"/>
      <c r="FUL465"/>
      <c r="FUM465"/>
      <c r="FUN465"/>
      <c r="FUO465"/>
      <c r="FUP465"/>
      <c r="FUQ465"/>
      <c r="FUR465"/>
      <c r="FUS465"/>
      <c r="FUT465"/>
      <c r="FUU465"/>
      <c r="FUV465"/>
      <c r="FUW465"/>
      <c r="FUX465"/>
      <c r="FUY465"/>
      <c r="FUZ465"/>
      <c r="FVA465"/>
      <c r="FVB465"/>
      <c r="FVC465"/>
      <c r="FVD465"/>
      <c r="FVE465"/>
      <c r="FVF465"/>
      <c r="FVG465"/>
      <c r="FVH465"/>
      <c r="FVI465"/>
      <c r="FVJ465"/>
      <c r="FVK465"/>
      <c r="FVL465"/>
      <c r="FVM465"/>
      <c r="FVN465"/>
      <c r="FVO465"/>
      <c r="FVP465"/>
      <c r="FVQ465"/>
      <c r="FVR465"/>
      <c r="FVS465"/>
      <c r="FVT465"/>
      <c r="FVU465"/>
      <c r="FVV465"/>
      <c r="FVW465"/>
      <c r="FVX465"/>
      <c r="FVY465"/>
      <c r="FVZ465"/>
      <c r="FWA465"/>
      <c r="FWB465"/>
      <c r="FWC465"/>
      <c r="FWD465"/>
      <c r="FWE465"/>
      <c r="FWF465"/>
      <c r="FWG465"/>
      <c r="FWH465"/>
      <c r="FWI465"/>
      <c r="FWJ465"/>
      <c r="FWK465"/>
      <c r="FWL465"/>
      <c r="FWM465"/>
      <c r="FWN465"/>
      <c r="FWO465"/>
      <c r="FWP465"/>
      <c r="FWQ465"/>
      <c r="FWR465"/>
      <c r="FWS465"/>
      <c r="FWT465"/>
      <c r="FWU465"/>
      <c r="FWV465"/>
      <c r="FWW465"/>
      <c r="FWX465"/>
      <c r="FWY465"/>
      <c r="FWZ465"/>
      <c r="FXA465"/>
      <c r="FXB465"/>
      <c r="FXC465"/>
      <c r="FXD465"/>
      <c r="FXE465"/>
      <c r="FXF465"/>
      <c r="FXG465"/>
      <c r="FXH465"/>
      <c r="FXI465"/>
      <c r="FXJ465"/>
      <c r="FXK465"/>
      <c r="FXL465"/>
      <c r="FXM465"/>
      <c r="FXN465"/>
      <c r="FXO465"/>
      <c r="FXP465"/>
      <c r="FXQ465"/>
      <c r="FXR465"/>
      <c r="FXS465"/>
      <c r="FXT465"/>
      <c r="FXU465"/>
      <c r="FXV465"/>
      <c r="FXW465"/>
      <c r="FXX465"/>
      <c r="FXY465"/>
      <c r="FXZ465"/>
      <c r="FYA465"/>
      <c r="FYB465"/>
      <c r="FYC465"/>
      <c r="FYD465"/>
      <c r="FYE465"/>
      <c r="FYF465"/>
      <c r="FYG465"/>
      <c r="FYH465"/>
      <c r="FYI465"/>
      <c r="FYJ465"/>
      <c r="FYK465"/>
      <c r="FYL465"/>
      <c r="FYM465"/>
      <c r="FYN465"/>
      <c r="FYO465"/>
      <c r="FYP465"/>
      <c r="FYQ465"/>
      <c r="FYR465"/>
      <c r="FYS465"/>
      <c r="FYT465"/>
      <c r="FYU465"/>
      <c r="FYV465"/>
      <c r="FYW465"/>
      <c r="FYX465"/>
      <c r="FYY465"/>
      <c r="FYZ465"/>
      <c r="FZA465"/>
      <c r="FZB465"/>
      <c r="FZC465"/>
      <c r="FZD465"/>
      <c r="FZE465"/>
      <c r="FZF465"/>
      <c r="FZG465"/>
      <c r="FZH465"/>
      <c r="FZI465"/>
      <c r="FZJ465"/>
      <c r="FZK465"/>
      <c r="FZL465"/>
      <c r="FZM465"/>
      <c r="FZN465"/>
      <c r="FZO465"/>
      <c r="FZP465"/>
      <c r="FZQ465"/>
      <c r="FZR465"/>
      <c r="FZS465"/>
      <c r="FZT465"/>
      <c r="FZU465"/>
      <c r="FZV465"/>
      <c r="FZW465"/>
      <c r="FZX465"/>
      <c r="FZY465"/>
      <c r="FZZ465"/>
      <c r="GAA465"/>
      <c r="GAB465"/>
      <c r="GAC465"/>
      <c r="GAD465"/>
      <c r="GAE465"/>
      <c r="GAF465"/>
      <c r="GAG465"/>
      <c r="GAH465"/>
      <c r="GAI465"/>
      <c r="GAJ465"/>
      <c r="GAK465"/>
      <c r="GAL465"/>
      <c r="GAM465"/>
      <c r="GAN465"/>
      <c r="GAO465"/>
      <c r="GAP465"/>
      <c r="GAQ465"/>
      <c r="GAR465"/>
      <c r="GAS465"/>
      <c r="GAT465"/>
      <c r="GAU465"/>
      <c r="GAV465"/>
      <c r="GAW465"/>
      <c r="GAX465"/>
      <c r="GAY465"/>
      <c r="GAZ465"/>
      <c r="GBA465"/>
      <c r="GBB465"/>
      <c r="GBC465"/>
      <c r="GBD465"/>
      <c r="GBE465"/>
      <c r="GBF465"/>
      <c r="GBG465"/>
      <c r="GBH465"/>
      <c r="GBI465"/>
      <c r="GBJ465"/>
      <c r="GBK465"/>
      <c r="GBL465"/>
      <c r="GBM465"/>
      <c r="GBN465"/>
      <c r="GBO465"/>
      <c r="GBP465"/>
      <c r="GBQ465"/>
      <c r="GBR465"/>
      <c r="GBS465"/>
      <c r="GBT465"/>
      <c r="GBU465"/>
      <c r="GBV465"/>
      <c r="GBW465"/>
      <c r="GBX465"/>
      <c r="GBY465"/>
      <c r="GBZ465"/>
      <c r="GCA465"/>
      <c r="GCB465"/>
      <c r="GCC465"/>
      <c r="GCD465"/>
      <c r="GCE465"/>
      <c r="GCF465"/>
      <c r="GCG465"/>
      <c r="GCH465"/>
      <c r="GCI465"/>
      <c r="GCJ465"/>
      <c r="GCK465"/>
      <c r="GCL465"/>
      <c r="GCM465"/>
      <c r="GCN465"/>
      <c r="GCO465"/>
      <c r="GCP465"/>
      <c r="GCQ465"/>
      <c r="GCR465"/>
      <c r="GCS465"/>
      <c r="GCT465"/>
      <c r="GCU465"/>
      <c r="GCV465"/>
      <c r="GCW465"/>
      <c r="GCX465"/>
      <c r="GCY465"/>
      <c r="GCZ465"/>
      <c r="GDA465"/>
      <c r="GDB465"/>
      <c r="GDC465"/>
      <c r="GDD465"/>
      <c r="GDE465"/>
      <c r="GDF465"/>
      <c r="GDG465"/>
      <c r="GDH465"/>
      <c r="GDI465"/>
      <c r="GDJ465"/>
      <c r="GDK465"/>
      <c r="GDL465"/>
      <c r="GDM465"/>
      <c r="GDN465"/>
      <c r="GDO465"/>
      <c r="GDP465"/>
      <c r="GDQ465"/>
      <c r="GDR465"/>
      <c r="GDS465"/>
      <c r="GDT465"/>
      <c r="GDU465"/>
      <c r="GDV465"/>
      <c r="GDW465"/>
      <c r="GDX465"/>
      <c r="GDY465"/>
      <c r="GDZ465"/>
      <c r="GEA465"/>
      <c r="GEB465"/>
      <c r="GEC465"/>
      <c r="GED465"/>
      <c r="GEE465"/>
      <c r="GEF465"/>
      <c r="GEG465"/>
      <c r="GEH465"/>
      <c r="GEI465"/>
      <c r="GEJ465"/>
      <c r="GEK465"/>
      <c r="GEL465"/>
      <c r="GEM465"/>
      <c r="GEN465"/>
      <c r="GEO465"/>
      <c r="GEP465"/>
      <c r="GEQ465"/>
      <c r="GER465"/>
      <c r="GES465"/>
      <c r="GET465"/>
      <c r="GEU465"/>
      <c r="GEV465"/>
      <c r="GEW465"/>
      <c r="GEX465"/>
      <c r="GEY465"/>
      <c r="GEZ465"/>
      <c r="GFA465"/>
      <c r="GFB465"/>
      <c r="GFC465"/>
      <c r="GFD465"/>
      <c r="GFE465"/>
      <c r="GFF465"/>
      <c r="GFG465"/>
      <c r="GFH465"/>
      <c r="GFI465"/>
      <c r="GFJ465"/>
      <c r="GFK465"/>
      <c r="GFL465"/>
      <c r="GFM465"/>
      <c r="GFN465"/>
      <c r="GFO465"/>
      <c r="GFP465"/>
      <c r="GFQ465"/>
      <c r="GFR465"/>
      <c r="GFS465"/>
      <c r="GFT465"/>
      <c r="GFU465"/>
      <c r="GFV465"/>
      <c r="GFW465"/>
      <c r="GFX465"/>
      <c r="GFY465"/>
      <c r="GFZ465"/>
      <c r="GGA465"/>
      <c r="GGB465"/>
      <c r="GGC465"/>
      <c r="GGD465"/>
      <c r="GGE465"/>
      <c r="GGF465"/>
      <c r="GGG465"/>
      <c r="GGH465"/>
      <c r="GGI465"/>
      <c r="GGJ465"/>
      <c r="GGK465"/>
      <c r="GGL465"/>
      <c r="GGM465"/>
      <c r="GGN465"/>
      <c r="GGO465"/>
      <c r="GGP465"/>
      <c r="GGQ465"/>
      <c r="GGR465"/>
      <c r="GGS465"/>
      <c r="GGT465"/>
      <c r="GGU465"/>
      <c r="GGV465"/>
      <c r="GGW465"/>
      <c r="GGX465"/>
      <c r="GGY465"/>
      <c r="GGZ465"/>
      <c r="GHA465"/>
      <c r="GHB465"/>
      <c r="GHC465"/>
      <c r="GHD465"/>
      <c r="GHE465"/>
      <c r="GHF465"/>
      <c r="GHG465"/>
      <c r="GHH465"/>
      <c r="GHI465"/>
      <c r="GHJ465"/>
      <c r="GHK465"/>
      <c r="GHL465"/>
      <c r="GHM465"/>
      <c r="GHN465"/>
      <c r="GHO465"/>
      <c r="GHP465"/>
      <c r="GHQ465"/>
      <c r="GHR465"/>
      <c r="GHS465"/>
      <c r="GHT465"/>
      <c r="GHU465"/>
      <c r="GHV465"/>
      <c r="GHW465"/>
      <c r="GHX465"/>
      <c r="GHY465"/>
      <c r="GHZ465"/>
      <c r="GIA465"/>
      <c r="GIB465"/>
      <c r="GIC465"/>
      <c r="GID465"/>
      <c r="GIE465"/>
      <c r="GIF465"/>
      <c r="GIG465"/>
      <c r="GIH465"/>
      <c r="GII465"/>
      <c r="GIJ465"/>
      <c r="GIK465"/>
      <c r="GIL465"/>
      <c r="GIM465"/>
      <c r="GIN465"/>
      <c r="GIO465"/>
      <c r="GIP465"/>
      <c r="GIQ465"/>
      <c r="GIR465"/>
      <c r="GIS465"/>
      <c r="GIT465"/>
      <c r="GIU465"/>
      <c r="GIV465"/>
      <c r="GIW465"/>
      <c r="GIX465"/>
      <c r="GIY465"/>
      <c r="GIZ465"/>
      <c r="GJA465"/>
      <c r="GJB465"/>
      <c r="GJC465"/>
      <c r="GJD465"/>
      <c r="GJE465"/>
      <c r="GJF465"/>
      <c r="GJG465"/>
      <c r="GJH465"/>
      <c r="GJI465"/>
      <c r="GJJ465"/>
      <c r="GJK465"/>
      <c r="GJL465"/>
      <c r="GJM465"/>
      <c r="GJN465"/>
      <c r="GJO465"/>
      <c r="GJP465"/>
      <c r="GJQ465"/>
      <c r="GJR465"/>
      <c r="GJS465"/>
      <c r="GJT465"/>
      <c r="GJU465"/>
      <c r="GJV465"/>
      <c r="GJW465"/>
      <c r="GJX465"/>
      <c r="GJY465"/>
      <c r="GJZ465"/>
      <c r="GKA465"/>
      <c r="GKB465"/>
      <c r="GKC465"/>
      <c r="GKD465"/>
      <c r="GKE465"/>
      <c r="GKF465"/>
      <c r="GKG465"/>
      <c r="GKH465"/>
      <c r="GKI465"/>
      <c r="GKJ465"/>
      <c r="GKK465"/>
      <c r="GKL465"/>
      <c r="GKM465"/>
      <c r="GKN465"/>
      <c r="GKO465"/>
      <c r="GKP465"/>
      <c r="GKQ465"/>
      <c r="GKR465"/>
      <c r="GKS465"/>
      <c r="GKT465"/>
      <c r="GKU465"/>
      <c r="GKV465"/>
      <c r="GKW465"/>
      <c r="GKX465"/>
      <c r="GKY465"/>
      <c r="GKZ465"/>
      <c r="GLA465"/>
      <c r="GLB465"/>
      <c r="GLC465"/>
      <c r="GLD465"/>
      <c r="GLE465"/>
      <c r="GLF465"/>
      <c r="GLG465"/>
      <c r="GLH465"/>
      <c r="GLI465"/>
      <c r="GLJ465"/>
      <c r="GLK465"/>
      <c r="GLL465"/>
      <c r="GLM465"/>
      <c r="GLN465"/>
      <c r="GLO465"/>
      <c r="GLP465"/>
      <c r="GLQ465"/>
      <c r="GLR465"/>
      <c r="GLS465"/>
      <c r="GLT465"/>
      <c r="GLU465"/>
      <c r="GLV465"/>
      <c r="GLW465"/>
      <c r="GLX465"/>
      <c r="GLY465"/>
      <c r="GLZ465"/>
      <c r="GMA465"/>
      <c r="GMB465"/>
      <c r="GMC465"/>
      <c r="GMD465"/>
      <c r="GME465"/>
      <c r="GMF465"/>
      <c r="GMG465"/>
      <c r="GMH465"/>
      <c r="GMI465"/>
      <c r="GMJ465"/>
      <c r="GMK465"/>
      <c r="GML465"/>
      <c r="GMM465"/>
      <c r="GMN465"/>
      <c r="GMO465"/>
      <c r="GMP465"/>
      <c r="GMQ465"/>
      <c r="GMR465"/>
      <c r="GMS465"/>
      <c r="GMT465"/>
      <c r="GMU465"/>
      <c r="GMV465"/>
      <c r="GMW465"/>
      <c r="GMX465"/>
      <c r="GMY465"/>
      <c r="GMZ465"/>
      <c r="GNA465"/>
      <c r="GNB465"/>
      <c r="GNC465"/>
      <c r="GND465"/>
      <c r="GNE465"/>
      <c r="GNF465"/>
      <c r="GNG465"/>
      <c r="GNH465"/>
      <c r="GNI465"/>
      <c r="GNJ465"/>
      <c r="GNK465"/>
      <c r="GNL465"/>
      <c r="GNM465"/>
      <c r="GNN465"/>
      <c r="GNO465"/>
      <c r="GNP465"/>
      <c r="GNQ465"/>
      <c r="GNR465"/>
      <c r="GNS465"/>
      <c r="GNT465"/>
      <c r="GNU465"/>
      <c r="GNV465"/>
      <c r="GNW465"/>
      <c r="GNX465"/>
      <c r="GNY465"/>
      <c r="GNZ465"/>
      <c r="GOA465"/>
      <c r="GOB465"/>
      <c r="GOC465"/>
      <c r="GOD465"/>
      <c r="GOE465"/>
      <c r="GOF465"/>
      <c r="GOG465"/>
      <c r="GOH465"/>
      <c r="GOI465"/>
      <c r="GOJ465"/>
      <c r="GOK465"/>
      <c r="GOL465"/>
      <c r="GOM465"/>
      <c r="GON465"/>
      <c r="GOO465"/>
      <c r="GOP465"/>
      <c r="GOQ465"/>
      <c r="GOR465"/>
      <c r="GOS465"/>
      <c r="GOT465"/>
      <c r="GOU465"/>
      <c r="GOV465"/>
      <c r="GOW465"/>
      <c r="GOX465"/>
      <c r="GOY465"/>
      <c r="GOZ465"/>
      <c r="GPA465"/>
      <c r="GPB465"/>
      <c r="GPC465"/>
      <c r="GPD465"/>
      <c r="GPE465"/>
      <c r="GPF465"/>
      <c r="GPG465"/>
      <c r="GPH465"/>
      <c r="GPI465"/>
      <c r="GPJ465"/>
      <c r="GPK465"/>
      <c r="GPL465"/>
      <c r="GPM465"/>
      <c r="GPN465"/>
      <c r="GPO465"/>
      <c r="GPP465"/>
      <c r="GPQ465"/>
      <c r="GPR465"/>
      <c r="GPS465"/>
      <c r="GPT465"/>
      <c r="GPU465"/>
      <c r="GPV465"/>
      <c r="GPW465"/>
      <c r="GPX465"/>
      <c r="GPY465"/>
      <c r="GPZ465"/>
      <c r="GQA465"/>
      <c r="GQB465"/>
      <c r="GQC465"/>
      <c r="GQD465"/>
      <c r="GQE465"/>
      <c r="GQF465"/>
      <c r="GQG465"/>
      <c r="GQH465"/>
      <c r="GQI465"/>
      <c r="GQJ465"/>
      <c r="GQK465"/>
      <c r="GQL465"/>
      <c r="GQM465"/>
      <c r="GQN465"/>
      <c r="GQO465"/>
      <c r="GQP465"/>
      <c r="GQQ465"/>
      <c r="GQR465"/>
      <c r="GQS465"/>
      <c r="GQT465"/>
      <c r="GQU465"/>
      <c r="GQV465"/>
      <c r="GQW465"/>
      <c r="GQX465"/>
      <c r="GQY465"/>
      <c r="GQZ465"/>
      <c r="GRA465"/>
      <c r="GRB465"/>
      <c r="GRC465"/>
      <c r="GRD465"/>
      <c r="GRE465"/>
      <c r="GRF465"/>
      <c r="GRG465"/>
      <c r="GRH465"/>
      <c r="GRI465"/>
      <c r="GRJ465"/>
      <c r="GRK465"/>
      <c r="GRL465"/>
      <c r="GRM465"/>
      <c r="GRN465"/>
      <c r="GRO465"/>
      <c r="GRP465"/>
      <c r="GRQ465"/>
      <c r="GRR465"/>
      <c r="GRS465"/>
      <c r="GRT465"/>
      <c r="GRU465"/>
      <c r="GRV465"/>
      <c r="GRW465"/>
      <c r="GRX465"/>
      <c r="GRY465"/>
      <c r="GRZ465"/>
      <c r="GSA465"/>
      <c r="GSB465"/>
      <c r="GSC465"/>
      <c r="GSD465"/>
      <c r="GSE465"/>
      <c r="GSF465"/>
      <c r="GSG465"/>
      <c r="GSH465"/>
      <c r="GSI465"/>
      <c r="GSJ465"/>
      <c r="GSK465"/>
      <c r="GSL465"/>
      <c r="GSM465"/>
      <c r="GSN465"/>
      <c r="GSO465"/>
      <c r="GSP465"/>
      <c r="GSQ465"/>
      <c r="GSR465"/>
      <c r="GSS465"/>
      <c r="GST465"/>
      <c r="GSU465"/>
      <c r="GSV465"/>
      <c r="GSW465"/>
      <c r="GSX465"/>
      <c r="GSY465"/>
      <c r="GSZ465"/>
      <c r="GTA465"/>
      <c r="GTB465"/>
      <c r="GTC465"/>
      <c r="GTD465"/>
      <c r="GTE465"/>
      <c r="GTF465"/>
      <c r="GTG465"/>
      <c r="GTH465"/>
      <c r="GTI465"/>
      <c r="GTJ465"/>
      <c r="GTK465"/>
      <c r="GTL465"/>
      <c r="GTM465"/>
      <c r="GTN465"/>
      <c r="GTO465"/>
      <c r="GTP465"/>
      <c r="GTQ465"/>
      <c r="GTR465"/>
      <c r="GTS465"/>
      <c r="GTT465"/>
      <c r="GTU465"/>
      <c r="GTV465"/>
      <c r="GTW465"/>
      <c r="GTX465"/>
      <c r="GTY465"/>
      <c r="GTZ465"/>
      <c r="GUA465"/>
      <c r="GUB465"/>
      <c r="GUC465"/>
      <c r="GUD465"/>
      <c r="GUE465"/>
      <c r="GUF465"/>
      <c r="GUG465"/>
      <c r="GUH465"/>
      <c r="GUI465"/>
      <c r="GUJ465"/>
      <c r="GUK465"/>
      <c r="GUL465"/>
      <c r="GUM465"/>
      <c r="GUN465"/>
      <c r="GUO465"/>
      <c r="GUP465"/>
      <c r="GUQ465"/>
      <c r="GUR465"/>
      <c r="GUS465"/>
      <c r="GUT465"/>
      <c r="GUU465"/>
      <c r="GUV465"/>
      <c r="GUW465"/>
      <c r="GUX465"/>
      <c r="GUY465"/>
      <c r="GUZ465"/>
      <c r="GVA465"/>
      <c r="GVB465"/>
      <c r="GVC465"/>
      <c r="GVD465"/>
      <c r="GVE465"/>
      <c r="GVF465"/>
      <c r="GVG465"/>
      <c r="GVH465"/>
      <c r="GVI465"/>
      <c r="GVJ465"/>
      <c r="GVK465"/>
      <c r="GVL465"/>
      <c r="GVM465"/>
      <c r="GVN465"/>
      <c r="GVO465"/>
      <c r="GVP465"/>
      <c r="GVQ465"/>
      <c r="GVR465"/>
      <c r="GVS465"/>
      <c r="GVT465"/>
      <c r="GVU465"/>
      <c r="GVV465"/>
      <c r="GVW465"/>
      <c r="GVX465"/>
      <c r="GVY465"/>
      <c r="GVZ465"/>
      <c r="GWA465"/>
      <c r="GWB465"/>
      <c r="GWC465"/>
      <c r="GWD465"/>
      <c r="GWE465"/>
      <c r="GWF465"/>
      <c r="GWG465"/>
      <c r="GWH465"/>
      <c r="GWI465"/>
      <c r="GWJ465"/>
      <c r="GWK465"/>
      <c r="GWL465"/>
      <c r="GWM465"/>
      <c r="GWN465"/>
      <c r="GWO465"/>
      <c r="GWP465"/>
      <c r="GWQ465"/>
      <c r="GWR465"/>
      <c r="GWS465"/>
      <c r="GWT465"/>
      <c r="GWU465"/>
      <c r="GWV465"/>
      <c r="GWW465"/>
      <c r="GWX465"/>
      <c r="GWY465"/>
      <c r="GWZ465"/>
      <c r="GXA465"/>
      <c r="GXB465"/>
      <c r="GXC465"/>
      <c r="GXD465"/>
      <c r="GXE465"/>
      <c r="GXF465"/>
      <c r="GXG465"/>
      <c r="GXH465"/>
      <c r="GXI465"/>
      <c r="GXJ465"/>
      <c r="GXK465"/>
      <c r="GXL465"/>
      <c r="GXM465"/>
      <c r="GXN465"/>
      <c r="GXO465"/>
      <c r="GXP465"/>
      <c r="GXQ465"/>
      <c r="GXR465"/>
      <c r="GXS465"/>
      <c r="GXT465"/>
      <c r="GXU465"/>
      <c r="GXV465"/>
      <c r="GXW465"/>
      <c r="GXX465"/>
      <c r="GXY465"/>
      <c r="GXZ465"/>
      <c r="GYA465"/>
      <c r="GYB465"/>
      <c r="GYC465"/>
      <c r="GYD465"/>
      <c r="GYE465"/>
      <c r="GYF465"/>
      <c r="GYG465"/>
      <c r="GYH465"/>
      <c r="GYI465"/>
      <c r="GYJ465"/>
      <c r="GYK465"/>
      <c r="GYL465"/>
      <c r="GYM465"/>
      <c r="GYN465"/>
      <c r="GYO465"/>
      <c r="GYP465"/>
      <c r="GYQ465"/>
      <c r="GYR465"/>
      <c r="GYS465"/>
      <c r="GYT465"/>
      <c r="GYU465"/>
      <c r="GYV465"/>
      <c r="GYW465"/>
      <c r="GYX465"/>
      <c r="GYY465"/>
      <c r="GYZ465"/>
      <c r="GZA465"/>
      <c r="GZB465"/>
      <c r="GZC465"/>
      <c r="GZD465"/>
      <c r="GZE465"/>
      <c r="GZF465"/>
      <c r="GZG465"/>
      <c r="GZH465"/>
      <c r="GZI465"/>
      <c r="GZJ465"/>
      <c r="GZK465"/>
      <c r="GZL465"/>
      <c r="GZM465"/>
      <c r="GZN465"/>
      <c r="GZO465"/>
      <c r="GZP465"/>
      <c r="GZQ465"/>
      <c r="GZR465"/>
      <c r="GZS465"/>
      <c r="GZT465"/>
      <c r="GZU465"/>
      <c r="GZV465"/>
      <c r="GZW465"/>
      <c r="GZX465"/>
      <c r="GZY465"/>
      <c r="GZZ465"/>
      <c r="HAA465"/>
      <c r="HAB465"/>
      <c r="HAC465"/>
      <c r="HAD465"/>
      <c r="HAE465"/>
      <c r="HAF465"/>
      <c r="HAG465"/>
      <c r="HAH465"/>
      <c r="HAI465"/>
      <c r="HAJ465"/>
      <c r="HAK465"/>
      <c r="HAL465"/>
      <c r="HAM465"/>
      <c r="HAN465"/>
      <c r="HAO465"/>
      <c r="HAP465"/>
      <c r="HAQ465"/>
      <c r="HAR465"/>
      <c r="HAS465"/>
      <c r="HAT465"/>
      <c r="HAU465"/>
      <c r="HAV465"/>
      <c r="HAW465"/>
      <c r="HAX465"/>
      <c r="HAY465"/>
      <c r="HAZ465"/>
      <c r="HBA465"/>
      <c r="HBB465"/>
      <c r="HBC465"/>
      <c r="HBD465"/>
      <c r="HBE465"/>
      <c r="HBF465"/>
      <c r="HBG465"/>
      <c r="HBH465"/>
      <c r="HBI465"/>
      <c r="HBJ465"/>
      <c r="HBK465"/>
      <c r="HBL465"/>
      <c r="HBM465"/>
      <c r="HBN465"/>
      <c r="HBO465"/>
      <c r="HBP465"/>
      <c r="HBQ465"/>
      <c r="HBR465"/>
      <c r="HBS465"/>
      <c r="HBT465"/>
      <c r="HBU465"/>
      <c r="HBV465"/>
      <c r="HBW465"/>
      <c r="HBX465"/>
      <c r="HBY465"/>
      <c r="HBZ465"/>
      <c r="HCA465"/>
      <c r="HCB465"/>
      <c r="HCC465"/>
      <c r="HCD465"/>
      <c r="HCE465"/>
      <c r="HCF465"/>
      <c r="HCG465"/>
      <c r="HCH465"/>
      <c r="HCI465"/>
      <c r="HCJ465"/>
      <c r="HCK465"/>
      <c r="HCL465"/>
      <c r="HCM465"/>
      <c r="HCN465"/>
      <c r="HCO465"/>
      <c r="HCP465"/>
      <c r="HCQ465"/>
      <c r="HCR465"/>
      <c r="HCS465"/>
      <c r="HCT465"/>
      <c r="HCU465"/>
      <c r="HCV465"/>
      <c r="HCW465"/>
      <c r="HCX465"/>
      <c r="HCY465"/>
      <c r="HCZ465"/>
      <c r="HDA465"/>
      <c r="HDB465"/>
      <c r="HDC465"/>
      <c r="HDD465"/>
      <c r="HDE465"/>
      <c r="HDF465"/>
      <c r="HDG465"/>
      <c r="HDH465"/>
      <c r="HDI465"/>
      <c r="HDJ465"/>
      <c r="HDK465"/>
      <c r="HDL465"/>
      <c r="HDM465"/>
      <c r="HDN465"/>
      <c r="HDO465"/>
      <c r="HDP465"/>
      <c r="HDQ465"/>
      <c r="HDR465"/>
      <c r="HDS465"/>
      <c r="HDT465"/>
      <c r="HDU465"/>
      <c r="HDV465"/>
      <c r="HDW465"/>
      <c r="HDX465"/>
      <c r="HDY465"/>
      <c r="HDZ465"/>
      <c r="HEA465"/>
      <c r="HEB465"/>
      <c r="HEC465"/>
      <c r="HED465"/>
      <c r="HEE465"/>
      <c r="HEF465"/>
      <c r="HEG465"/>
      <c r="HEH465"/>
      <c r="HEI465"/>
      <c r="HEJ465"/>
      <c r="HEK465"/>
      <c r="HEL465"/>
      <c r="HEM465"/>
      <c r="HEN465"/>
      <c r="HEO465"/>
      <c r="HEP465"/>
      <c r="HEQ465"/>
      <c r="HER465"/>
      <c r="HES465"/>
      <c r="HET465"/>
      <c r="HEU465"/>
      <c r="HEV465"/>
      <c r="HEW465"/>
      <c r="HEX465"/>
      <c r="HEY465"/>
      <c r="HEZ465"/>
      <c r="HFA465"/>
      <c r="HFB465"/>
      <c r="HFC465"/>
      <c r="HFD465"/>
      <c r="HFE465"/>
      <c r="HFF465"/>
      <c r="HFG465"/>
      <c r="HFH465"/>
      <c r="HFI465"/>
      <c r="HFJ465"/>
      <c r="HFK465"/>
      <c r="HFL465"/>
      <c r="HFM465"/>
      <c r="HFN465"/>
      <c r="HFO465"/>
      <c r="HFP465"/>
      <c r="HFQ465"/>
      <c r="HFR465"/>
      <c r="HFS465"/>
      <c r="HFT465"/>
      <c r="HFU465"/>
      <c r="HFV465"/>
      <c r="HFW465"/>
      <c r="HFX465"/>
      <c r="HFY465"/>
      <c r="HFZ465"/>
      <c r="HGA465"/>
      <c r="HGB465"/>
      <c r="HGC465"/>
      <c r="HGD465"/>
      <c r="HGE465"/>
      <c r="HGF465"/>
      <c r="HGG465"/>
      <c r="HGH465"/>
      <c r="HGI465"/>
      <c r="HGJ465"/>
      <c r="HGK465"/>
      <c r="HGL465"/>
      <c r="HGM465"/>
      <c r="HGN465"/>
      <c r="HGO465"/>
      <c r="HGP465"/>
      <c r="HGQ465"/>
      <c r="HGR465"/>
      <c r="HGS465"/>
      <c r="HGT465"/>
      <c r="HGU465"/>
      <c r="HGV465"/>
      <c r="HGW465"/>
      <c r="HGX465"/>
      <c r="HGY465"/>
      <c r="HGZ465"/>
      <c r="HHA465"/>
      <c r="HHB465"/>
      <c r="HHC465"/>
      <c r="HHD465"/>
      <c r="HHE465"/>
      <c r="HHF465"/>
      <c r="HHG465"/>
      <c r="HHH465"/>
      <c r="HHI465"/>
      <c r="HHJ465"/>
      <c r="HHK465"/>
      <c r="HHL465"/>
      <c r="HHM465"/>
      <c r="HHN465"/>
      <c r="HHO465"/>
      <c r="HHP465"/>
      <c r="HHQ465"/>
      <c r="HHR465"/>
      <c r="HHS465"/>
      <c r="HHT465"/>
      <c r="HHU465"/>
      <c r="HHV465"/>
      <c r="HHW465"/>
      <c r="HHX465"/>
      <c r="HHY465"/>
      <c r="HHZ465"/>
      <c r="HIA465"/>
      <c r="HIB465"/>
      <c r="HIC465"/>
      <c r="HID465"/>
      <c r="HIE465"/>
      <c r="HIF465"/>
      <c r="HIG465"/>
      <c r="HIH465"/>
      <c r="HII465"/>
      <c r="HIJ465"/>
      <c r="HIK465"/>
      <c r="HIL465"/>
      <c r="HIM465"/>
      <c r="HIN465"/>
      <c r="HIO465"/>
      <c r="HIP465"/>
      <c r="HIQ465"/>
      <c r="HIR465"/>
      <c r="HIS465"/>
      <c r="HIT465"/>
      <c r="HIU465"/>
      <c r="HIV465"/>
      <c r="HIW465"/>
      <c r="HIX465"/>
      <c r="HIY465"/>
      <c r="HIZ465"/>
      <c r="HJA465"/>
      <c r="HJB465"/>
      <c r="HJC465"/>
      <c r="HJD465"/>
      <c r="HJE465"/>
      <c r="HJF465"/>
      <c r="HJG465"/>
      <c r="HJH465"/>
      <c r="HJI465"/>
      <c r="HJJ465"/>
      <c r="HJK465"/>
      <c r="HJL465"/>
      <c r="HJM465"/>
      <c r="HJN465"/>
      <c r="HJO465"/>
      <c r="HJP465"/>
      <c r="HJQ465"/>
      <c r="HJR465"/>
      <c r="HJS465"/>
      <c r="HJT465"/>
      <c r="HJU465"/>
      <c r="HJV465"/>
      <c r="HJW465"/>
      <c r="HJX465"/>
      <c r="HJY465"/>
      <c r="HJZ465"/>
      <c r="HKA465"/>
      <c r="HKB465"/>
      <c r="HKC465"/>
      <c r="HKD465"/>
      <c r="HKE465"/>
      <c r="HKF465"/>
      <c r="HKG465"/>
      <c r="HKH465"/>
      <c r="HKI465"/>
      <c r="HKJ465"/>
      <c r="HKK465"/>
      <c r="HKL465"/>
      <c r="HKM465"/>
      <c r="HKN465"/>
      <c r="HKO465"/>
      <c r="HKP465"/>
      <c r="HKQ465"/>
      <c r="HKR465"/>
      <c r="HKS465"/>
      <c r="HKT465"/>
      <c r="HKU465"/>
      <c r="HKV465"/>
      <c r="HKW465"/>
      <c r="HKX465"/>
      <c r="HKY465"/>
      <c r="HKZ465"/>
      <c r="HLA465"/>
      <c r="HLB465"/>
      <c r="HLC465"/>
      <c r="HLD465"/>
      <c r="HLE465"/>
      <c r="HLF465"/>
      <c r="HLG465"/>
      <c r="HLH465"/>
      <c r="HLI465"/>
      <c r="HLJ465"/>
      <c r="HLK465"/>
      <c r="HLL465"/>
      <c r="HLM465"/>
      <c r="HLN465"/>
      <c r="HLO465"/>
      <c r="HLP465"/>
      <c r="HLQ465"/>
      <c r="HLR465"/>
      <c r="HLS465"/>
      <c r="HLT465"/>
      <c r="HLU465"/>
      <c r="HLV465"/>
      <c r="HLW465"/>
      <c r="HLX465"/>
      <c r="HLY465"/>
      <c r="HLZ465"/>
      <c r="HMA465"/>
      <c r="HMB465"/>
      <c r="HMC465"/>
      <c r="HMD465"/>
      <c r="HME465"/>
      <c r="HMF465"/>
      <c r="HMG465"/>
      <c r="HMH465"/>
      <c r="HMI465"/>
      <c r="HMJ465"/>
      <c r="HMK465"/>
      <c r="HML465"/>
      <c r="HMM465"/>
      <c r="HMN465"/>
      <c r="HMO465"/>
      <c r="HMP465"/>
      <c r="HMQ465"/>
      <c r="HMR465"/>
      <c r="HMS465"/>
      <c r="HMT465"/>
      <c r="HMU465"/>
      <c r="HMV465"/>
      <c r="HMW465"/>
      <c r="HMX465"/>
      <c r="HMY465"/>
      <c r="HMZ465"/>
      <c r="HNA465"/>
      <c r="HNB465"/>
      <c r="HNC465"/>
      <c r="HND465"/>
      <c r="HNE465"/>
      <c r="HNF465"/>
      <c r="HNG465"/>
      <c r="HNH465"/>
      <c r="HNI465"/>
      <c r="HNJ465"/>
      <c r="HNK465"/>
      <c r="HNL465"/>
      <c r="HNM465"/>
      <c r="HNN465"/>
      <c r="HNO465"/>
      <c r="HNP465"/>
      <c r="HNQ465"/>
      <c r="HNR465"/>
      <c r="HNS465"/>
      <c r="HNT465"/>
      <c r="HNU465"/>
      <c r="HNV465"/>
      <c r="HNW465"/>
      <c r="HNX465"/>
      <c r="HNY465"/>
      <c r="HNZ465"/>
      <c r="HOA465"/>
      <c r="HOB465"/>
      <c r="HOC465"/>
      <c r="HOD465"/>
      <c r="HOE465"/>
      <c r="HOF465"/>
      <c r="HOG465"/>
      <c r="HOH465"/>
      <c r="HOI465"/>
      <c r="HOJ465"/>
      <c r="HOK465"/>
      <c r="HOL465"/>
      <c r="HOM465"/>
      <c r="HON465"/>
      <c r="HOO465"/>
      <c r="HOP465"/>
      <c r="HOQ465"/>
      <c r="HOR465"/>
      <c r="HOS465"/>
      <c r="HOT465"/>
      <c r="HOU465"/>
      <c r="HOV465"/>
      <c r="HOW465"/>
      <c r="HOX465"/>
      <c r="HOY465"/>
      <c r="HOZ465"/>
      <c r="HPA465"/>
      <c r="HPB465"/>
      <c r="HPC465"/>
      <c r="HPD465"/>
      <c r="HPE465"/>
      <c r="HPF465"/>
      <c r="HPG465"/>
      <c r="HPH465"/>
      <c r="HPI465"/>
      <c r="HPJ465"/>
      <c r="HPK465"/>
      <c r="HPL465"/>
      <c r="HPM465"/>
      <c r="HPN465"/>
      <c r="HPO465"/>
      <c r="HPP465"/>
      <c r="HPQ465"/>
      <c r="HPR465"/>
      <c r="HPS465"/>
      <c r="HPT465"/>
      <c r="HPU465"/>
      <c r="HPV465"/>
      <c r="HPW465"/>
      <c r="HPX465"/>
      <c r="HPY465"/>
      <c r="HPZ465"/>
      <c r="HQA465"/>
      <c r="HQB465"/>
      <c r="HQC465"/>
      <c r="HQD465"/>
      <c r="HQE465"/>
      <c r="HQF465"/>
      <c r="HQG465"/>
      <c r="HQH465"/>
      <c r="HQI465"/>
      <c r="HQJ465"/>
      <c r="HQK465"/>
      <c r="HQL465"/>
      <c r="HQM465"/>
      <c r="HQN465"/>
      <c r="HQO465"/>
      <c r="HQP465"/>
      <c r="HQQ465"/>
      <c r="HQR465"/>
      <c r="HQS465"/>
      <c r="HQT465"/>
      <c r="HQU465"/>
      <c r="HQV465"/>
      <c r="HQW465"/>
      <c r="HQX465"/>
      <c r="HQY465"/>
      <c r="HQZ465"/>
      <c r="HRA465"/>
      <c r="HRB465"/>
      <c r="HRC465"/>
      <c r="HRD465"/>
      <c r="HRE465"/>
      <c r="HRF465"/>
      <c r="HRG465"/>
      <c r="HRH465"/>
      <c r="HRI465"/>
      <c r="HRJ465"/>
      <c r="HRK465"/>
      <c r="HRL465"/>
      <c r="HRM465"/>
      <c r="HRN465"/>
      <c r="HRO465"/>
      <c r="HRP465"/>
      <c r="HRQ465"/>
      <c r="HRR465"/>
      <c r="HRS465"/>
      <c r="HRT465"/>
      <c r="HRU465"/>
      <c r="HRV465"/>
      <c r="HRW465"/>
      <c r="HRX465"/>
      <c r="HRY465"/>
      <c r="HRZ465"/>
      <c r="HSA465"/>
      <c r="HSB465"/>
      <c r="HSC465"/>
      <c r="HSD465"/>
      <c r="HSE465"/>
      <c r="HSF465"/>
      <c r="HSG465"/>
      <c r="HSH465"/>
      <c r="HSI465"/>
      <c r="HSJ465"/>
      <c r="HSK465"/>
      <c r="HSL465"/>
      <c r="HSM465"/>
      <c r="HSN465"/>
      <c r="HSO465"/>
      <c r="HSP465"/>
      <c r="HSQ465"/>
      <c r="HSR465"/>
      <c r="HSS465"/>
      <c r="HST465"/>
      <c r="HSU465"/>
      <c r="HSV465"/>
      <c r="HSW465"/>
      <c r="HSX465"/>
      <c r="HSY465"/>
      <c r="HSZ465"/>
      <c r="HTA465"/>
      <c r="HTB465"/>
      <c r="HTC465"/>
      <c r="HTD465"/>
      <c r="HTE465"/>
      <c r="HTF465"/>
      <c r="HTG465"/>
      <c r="HTH465"/>
      <c r="HTI465"/>
      <c r="HTJ465"/>
      <c r="HTK465"/>
      <c r="HTL465"/>
      <c r="HTM465"/>
      <c r="HTN465"/>
      <c r="HTO465"/>
      <c r="HTP465"/>
      <c r="HTQ465"/>
      <c r="HTR465"/>
      <c r="HTS465"/>
      <c r="HTT465"/>
      <c r="HTU465"/>
      <c r="HTV465"/>
      <c r="HTW465"/>
      <c r="HTX465"/>
      <c r="HTY465"/>
      <c r="HTZ465"/>
      <c r="HUA465"/>
      <c r="HUB465"/>
      <c r="HUC465"/>
      <c r="HUD465"/>
      <c r="HUE465"/>
      <c r="HUF465"/>
      <c r="HUG465"/>
      <c r="HUH465"/>
      <c r="HUI465"/>
      <c r="HUJ465"/>
      <c r="HUK465"/>
      <c r="HUL465"/>
      <c r="HUM465"/>
      <c r="HUN465"/>
      <c r="HUO465"/>
      <c r="HUP465"/>
      <c r="HUQ465"/>
      <c r="HUR465"/>
      <c r="HUS465"/>
      <c r="HUT465"/>
      <c r="HUU465"/>
      <c r="HUV465"/>
      <c r="HUW465"/>
      <c r="HUX465"/>
      <c r="HUY465"/>
      <c r="HUZ465"/>
      <c r="HVA465"/>
      <c r="HVB465"/>
      <c r="HVC465"/>
      <c r="HVD465"/>
      <c r="HVE465"/>
      <c r="HVF465"/>
      <c r="HVG465"/>
      <c r="HVH465"/>
      <c r="HVI465"/>
      <c r="HVJ465"/>
      <c r="HVK465"/>
      <c r="HVL465"/>
      <c r="HVM465"/>
      <c r="HVN465"/>
      <c r="HVO465"/>
      <c r="HVP465"/>
      <c r="HVQ465"/>
      <c r="HVR465"/>
      <c r="HVS465"/>
      <c r="HVT465"/>
      <c r="HVU465"/>
      <c r="HVV465"/>
      <c r="HVW465"/>
      <c r="HVX465"/>
      <c r="HVY465"/>
      <c r="HVZ465"/>
      <c r="HWA465"/>
      <c r="HWB465"/>
      <c r="HWC465"/>
      <c r="HWD465"/>
      <c r="HWE465"/>
      <c r="HWF465"/>
      <c r="HWG465"/>
      <c r="HWH465"/>
      <c r="HWI465"/>
      <c r="HWJ465"/>
      <c r="HWK465"/>
      <c r="HWL465"/>
      <c r="HWM465"/>
      <c r="HWN465"/>
      <c r="HWO465"/>
      <c r="HWP465"/>
      <c r="HWQ465"/>
      <c r="HWR465"/>
      <c r="HWS465"/>
      <c r="HWT465"/>
      <c r="HWU465"/>
      <c r="HWV465"/>
      <c r="HWW465"/>
      <c r="HWX465"/>
      <c r="HWY465"/>
      <c r="HWZ465"/>
      <c r="HXA465"/>
      <c r="HXB465"/>
      <c r="HXC465"/>
      <c r="HXD465"/>
      <c r="HXE465"/>
      <c r="HXF465"/>
      <c r="HXG465"/>
      <c r="HXH465"/>
      <c r="HXI465"/>
      <c r="HXJ465"/>
      <c r="HXK465"/>
      <c r="HXL465"/>
      <c r="HXM465"/>
      <c r="HXN465"/>
      <c r="HXO465"/>
      <c r="HXP465"/>
      <c r="HXQ465"/>
      <c r="HXR465"/>
      <c r="HXS465"/>
      <c r="HXT465"/>
      <c r="HXU465"/>
      <c r="HXV465"/>
      <c r="HXW465"/>
      <c r="HXX465"/>
      <c r="HXY465"/>
      <c r="HXZ465"/>
      <c r="HYA465"/>
      <c r="HYB465"/>
      <c r="HYC465"/>
      <c r="HYD465"/>
      <c r="HYE465"/>
      <c r="HYF465"/>
      <c r="HYG465"/>
      <c r="HYH465"/>
      <c r="HYI465"/>
      <c r="HYJ465"/>
      <c r="HYK465"/>
      <c r="HYL465"/>
      <c r="HYM465"/>
      <c r="HYN465"/>
      <c r="HYO465"/>
      <c r="HYP465"/>
      <c r="HYQ465"/>
      <c r="HYR465"/>
      <c r="HYS465"/>
      <c r="HYT465"/>
      <c r="HYU465"/>
      <c r="HYV465"/>
      <c r="HYW465"/>
      <c r="HYX465"/>
      <c r="HYY465"/>
      <c r="HYZ465"/>
      <c r="HZA465"/>
      <c r="HZB465"/>
      <c r="HZC465"/>
      <c r="HZD465"/>
      <c r="HZE465"/>
      <c r="HZF465"/>
      <c r="HZG465"/>
      <c r="HZH465"/>
      <c r="HZI465"/>
      <c r="HZJ465"/>
      <c r="HZK465"/>
      <c r="HZL465"/>
      <c r="HZM465"/>
      <c r="HZN465"/>
      <c r="HZO465"/>
      <c r="HZP465"/>
      <c r="HZQ465"/>
      <c r="HZR465"/>
      <c r="HZS465"/>
      <c r="HZT465"/>
      <c r="HZU465"/>
      <c r="HZV465"/>
      <c r="HZW465"/>
      <c r="HZX465"/>
      <c r="HZY465"/>
      <c r="HZZ465"/>
      <c r="IAA465"/>
      <c r="IAB465"/>
      <c r="IAC465"/>
      <c r="IAD465"/>
      <c r="IAE465"/>
      <c r="IAF465"/>
      <c r="IAG465"/>
      <c r="IAH465"/>
      <c r="IAI465"/>
      <c r="IAJ465"/>
      <c r="IAK465"/>
      <c r="IAL465"/>
      <c r="IAM465"/>
      <c r="IAN465"/>
      <c r="IAO465"/>
      <c r="IAP465"/>
      <c r="IAQ465"/>
      <c r="IAR465"/>
      <c r="IAS465"/>
      <c r="IAT465"/>
      <c r="IAU465"/>
      <c r="IAV465"/>
      <c r="IAW465"/>
      <c r="IAX465"/>
      <c r="IAY465"/>
      <c r="IAZ465"/>
      <c r="IBA465"/>
      <c r="IBB465"/>
      <c r="IBC465"/>
      <c r="IBD465"/>
      <c r="IBE465"/>
      <c r="IBF465"/>
      <c r="IBG465"/>
      <c r="IBH465"/>
      <c r="IBI465"/>
      <c r="IBJ465"/>
      <c r="IBK465"/>
      <c r="IBL465"/>
      <c r="IBM465"/>
      <c r="IBN465"/>
      <c r="IBO465"/>
      <c r="IBP465"/>
      <c r="IBQ465"/>
      <c r="IBR465"/>
      <c r="IBS465"/>
      <c r="IBT465"/>
      <c r="IBU465"/>
      <c r="IBV465"/>
      <c r="IBW465"/>
      <c r="IBX465"/>
      <c r="IBY465"/>
      <c r="IBZ465"/>
      <c r="ICA465"/>
      <c r="ICB465"/>
      <c r="ICC465"/>
      <c r="ICD465"/>
      <c r="ICE465"/>
      <c r="ICF465"/>
      <c r="ICG465"/>
      <c r="ICH465"/>
      <c r="ICI465"/>
      <c r="ICJ465"/>
      <c r="ICK465"/>
      <c r="ICL465"/>
      <c r="ICM465"/>
      <c r="ICN465"/>
      <c r="ICO465"/>
      <c r="ICP465"/>
      <c r="ICQ465"/>
      <c r="ICR465"/>
      <c r="ICS465"/>
      <c r="ICT465"/>
      <c r="ICU465"/>
      <c r="ICV465"/>
      <c r="ICW465"/>
      <c r="ICX465"/>
      <c r="ICY465"/>
      <c r="ICZ465"/>
      <c r="IDA465"/>
      <c r="IDB465"/>
      <c r="IDC465"/>
      <c r="IDD465"/>
      <c r="IDE465"/>
      <c r="IDF465"/>
      <c r="IDG465"/>
      <c r="IDH465"/>
      <c r="IDI465"/>
      <c r="IDJ465"/>
      <c r="IDK465"/>
      <c r="IDL465"/>
      <c r="IDM465"/>
      <c r="IDN465"/>
      <c r="IDO465"/>
      <c r="IDP465"/>
      <c r="IDQ465"/>
      <c r="IDR465"/>
      <c r="IDS465"/>
      <c r="IDT465"/>
      <c r="IDU465"/>
      <c r="IDV465"/>
      <c r="IDW465"/>
      <c r="IDX465"/>
      <c r="IDY465"/>
      <c r="IDZ465"/>
      <c r="IEA465"/>
      <c r="IEB465"/>
      <c r="IEC465"/>
      <c r="IED465"/>
      <c r="IEE465"/>
      <c r="IEF465"/>
      <c r="IEG465"/>
      <c r="IEH465"/>
      <c r="IEI465"/>
      <c r="IEJ465"/>
      <c r="IEK465"/>
      <c r="IEL465"/>
      <c r="IEM465"/>
      <c r="IEN465"/>
      <c r="IEO465"/>
      <c r="IEP465"/>
      <c r="IEQ465"/>
      <c r="IER465"/>
      <c r="IES465"/>
      <c r="IET465"/>
      <c r="IEU465"/>
      <c r="IEV465"/>
      <c r="IEW465"/>
      <c r="IEX465"/>
      <c r="IEY465"/>
      <c r="IEZ465"/>
      <c r="IFA465"/>
      <c r="IFB465"/>
      <c r="IFC465"/>
      <c r="IFD465"/>
      <c r="IFE465"/>
      <c r="IFF465"/>
      <c r="IFG465"/>
      <c r="IFH465"/>
      <c r="IFI465"/>
      <c r="IFJ465"/>
      <c r="IFK465"/>
      <c r="IFL465"/>
      <c r="IFM465"/>
      <c r="IFN465"/>
      <c r="IFO465"/>
      <c r="IFP465"/>
      <c r="IFQ465"/>
      <c r="IFR465"/>
      <c r="IFS465"/>
      <c r="IFT465"/>
      <c r="IFU465"/>
      <c r="IFV465"/>
      <c r="IFW465"/>
      <c r="IFX465"/>
      <c r="IFY465"/>
      <c r="IFZ465"/>
      <c r="IGA465"/>
      <c r="IGB465"/>
      <c r="IGC465"/>
      <c r="IGD465"/>
      <c r="IGE465"/>
      <c r="IGF465"/>
      <c r="IGG465"/>
      <c r="IGH465"/>
      <c r="IGI465"/>
      <c r="IGJ465"/>
      <c r="IGK465"/>
      <c r="IGL465"/>
      <c r="IGM465"/>
      <c r="IGN465"/>
      <c r="IGO465"/>
      <c r="IGP465"/>
      <c r="IGQ465"/>
      <c r="IGR465"/>
      <c r="IGS465"/>
      <c r="IGT465"/>
      <c r="IGU465"/>
      <c r="IGV465"/>
      <c r="IGW465"/>
      <c r="IGX465"/>
      <c r="IGY465"/>
      <c r="IGZ465"/>
      <c r="IHA465"/>
      <c r="IHB465"/>
      <c r="IHC465"/>
      <c r="IHD465"/>
      <c r="IHE465"/>
      <c r="IHF465"/>
      <c r="IHG465"/>
      <c r="IHH465"/>
      <c r="IHI465"/>
      <c r="IHJ465"/>
      <c r="IHK465"/>
      <c r="IHL465"/>
      <c r="IHM465"/>
      <c r="IHN465"/>
      <c r="IHO465"/>
      <c r="IHP465"/>
      <c r="IHQ465"/>
      <c r="IHR465"/>
      <c r="IHS465"/>
      <c r="IHT465"/>
      <c r="IHU465"/>
      <c r="IHV465"/>
      <c r="IHW465"/>
      <c r="IHX465"/>
      <c r="IHY465"/>
      <c r="IHZ465"/>
      <c r="IIA465"/>
      <c r="IIB465"/>
      <c r="IIC465"/>
      <c r="IID465"/>
      <c r="IIE465"/>
      <c r="IIF465"/>
      <c r="IIG465"/>
      <c r="IIH465"/>
      <c r="III465"/>
      <c r="IIJ465"/>
      <c r="IIK465"/>
      <c r="IIL465"/>
      <c r="IIM465"/>
      <c r="IIN465"/>
      <c r="IIO465"/>
      <c r="IIP465"/>
      <c r="IIQ465"/>
      <c r="IIR465"/>
      <c r="IIS465"/>
      <c r="IIT465"/>
      <c r="IIU465"/>
      <c r="IIV465"/>
      <c r="IIW465"/>
      <c r="IIX465"/>
      <c r="IIY465"/>
      <c r="IIZ465"/>
      <c r="IJA465"/>
      <c r="IJB465"/>
      <c r="IJC465"/>
      <c r="IJD465"/>
      <c r="IJE465"/>
      <c r="IJF465"/>
      <c r="IJG465"/>
      <c r="IJH465"/>
      <c r="IJI465"/>
      <c r="IJJ465"/>
      <c r="IJK465"/>
      <c r="IJL465"/>
      <c r="IJM465"/>
      <c r="IJN465"/>
      <c r="IJO465"/>
      <c r="IJP465"/>
      <c r="IJQ465"/>
      <c r="IJR465"/>
      <c r="IJS465"/>
      <c r="IJT465"/>
      <c r="IJU465"/>
      <c r="IJV465"/>
      <c r="IJW465"/>
      <c r="IJX465"/>
      <c r="IJY465"/>
      <c r="IJZ465"/>
      <c r="IKA465"/>
      <c r="IKB465"/>
      <c r="IKC465"/>
      <c r="IKD465"/>
      <c r="IKE465"/>
      <c r="IKF465"/>
      <c r="IKG465"/>
      <c r="IKH465"/>
      <c r="IKI465"/>
      <c r="IKJ465"/>
      <c r="IKK465"/>
      <c r="IKL465"/>
      <c r="IKM465"/>
      <c r="IKN465"/>
      <c r="IKO465"/>
      <c r="IKP465"/>
      <c r="IKQ465"/>
      <c r="IKR465"/>
      <c r="IKS465"/>
      <c r="IKT465"/>
      <c r="IKU465"/>
      <c r="IKV465"/>
      <c r="IKW465"/>
      <c r="IKX465"/>
      <c r="IKY465"/>
      <c r="IKZ465"/>
      <c r="ILA465"/>
      <c r="ILB465"/>
      <c r="ILC465"/>
      <c r="ILD465"/>
      <c r="ILE465"/>
      <c r="ILF465"/>
      <c r="ILG465"/>
      <c r="ILH465"/>
      <c r="ILI465"/>
      <c r="ILJ465"/>
      <c r="ILK465"/>
      <c r="ILL465"/>
      <c r="ILM465"/>
      <c r="ILN465"/>
      <c r="ILO465"/>
      <c r="ILP465"/>
      <c r="ILQ465"/>
      <c r="ILR465"/>
      <c r="ILS465"/>
      <c r="ILT465"/>
      <c r="ILU465"/>
      <c r="ILV465"/>
      <c r="ILW465"/>
      <c r="ILX465"/>
      <c r="ILY465"/>
      <c r="ILZ465"/>
      <c r="IMA465"/>
      <c r="IMB465"/>
      <c r="IMC465"/>
      <c r="IMD465"/>
      <c r="IME465"/>
      <c r="IMF465"/>
      <c r="IMG465"/>
      <c r="IMH465"/>
      <c r="IMI465"/>
      <c r="IMJ465"/>
      <c r="IMK465"/>
      <c r="IML465"/>
      <c r="IMM465"/>
      <c r="IMN465"/>
      <c r="IMO465"/>
      <c r="IMP465"/>
      <c r="IMQ465"/>
      <c r="IMR465"/>
      <c r="IMS465"/>
      <c r="IMT465"/>
      <c r="IMU465"/>
      <c r="IMV465"/>
      <c r="IMW465"/>
      <c r="IMX465"/>
      <c r="IMY465"/>
      <c r="IMZ465"/>
      <c r="INA465"/>
      <c r="INB465"/>
      <c r="INC465"/>
      <c r="IND465"/>
      <c r="INE465"/>
      <c r="INF465"/>
      <c r="ING465"/>
      <c r="INH465"/>
      <c r="INI465"/>
      <c r="INJ465"/>
      <c r="INK465"/>
      <c r="INL465"/>
      <c r="INM465"/>
      <c r="INN465"/>
      <c r="INO465"/>
      <c r="INP465"/>
      <c r="INQ465"/>
      <c r="INR465"/>
      <c r="INS465"/>
      <c r="INT465"/>
      <c r="INU465"/>
      <c r="INV465"/>
      <c r="INW465"/>
      <c r="INX465"/>
      <c r="INY465"/>
      <c r="INZ465"/>
      <c r="IOA465"/>
      <c r="IOB465"/>
      <c r="IOC465"/>
      <c r="IOD465"/>
      <c r="IOE465"/>
      <c r="IOF465"/>
      <c r="IOG465"/>
      <c r="IOH465"/>
      <c r="IOI465"/>
      <c r="IOJ465"/>
      <c r="IOK465"/>
      <c r="IOL465"/>
      <c r="IOM465"/>
      <c r="ION465"/>
      <c r="IOO465"/>
      <c r="IOP465"/>
      <c r="IOQ465"/>
      <c r="IOR465"/>
      <c r="IOS465"/>
      <c r="IOT465"/>
      <c r="IOU465"/>
      <c r="IOV465"/>
      <c r="IOW465"/>
      <c r="IOX465"/>
      <c r="IOY465"/>
      <c r="IOZ465"/>
      <c r="IPA465"/>
      <c r="IPB465"/>
      <c r="IPC465"/>
      <c r="IPD465"/>
      <c r="IPE465"/>
      <c r="IPF465"/>
      <c r="IPG465"/>
      <c r="IPH465"/>
      <c r="IPI465"/>
      <c r="IPJ465"/>
      <c r="IPK465"/>
      <c r="IPL465"/>
      <c r="IPM465"/>
      <c r="IPN465"/>
      <c r="IPO465"/>
      <c r="IPP465"/>
      <c r="IPQ465"/>
      <c r="IPR465"/>
      <c r="IPS465"/>
      <c r="IPT465"/>
      <c r="IPU465"/>
      <c r="IPV465"/>
      <c r="IPW465"/>
      <c r="IPX465"/>
      <c r="IPY465"/>
      <c r="IPZ465"/>
      <c r="IQA465"/>
      <c r="IQB465"/>
      <c r="IQC465"/>
      <c r="IQD465"/>
      <c r="IQE465"/>
      <c r="IQF465"/>
      <c r="IQG465"/>
      <c r="IQH465"/>
      <c r="IQI465"/>
      <c r="IQJ465"/>
      <c r="IQK465"/>
      <c r="IQL465"/>
      <c r="IQM465"/>
      <c r="IQN465"/>
      <c r="IQO465"/>
      <c r="IQP465"/>
      <c r="IQQ465"/>
      <c r="IQR465"/>
      <c r="IQS465"/>
      <c r="IQT465"/>
      <c r="IQU465"/>
      <c r="IQV465"/>
      <c r="IQW465"/>
      <c r="IQX465"/>
      <c r="IQY465"/>
      <c r="IQZ465"/>
      <c r="IRA465"/>
      <c r="IRB465"/>
      <c r="IRC465"/>
      <c r="IRD465"/>
      <c r="IRE465"/>
      <c r="IRF465"/>
      <c r="IRG465"/>
      <c r="IRH465"/>
      <c r="IRI465"/>
      <c r="IRJ465"/>
      <c r="IRK465"/>
      <c r="IRL465"/>
      <c r="IRM465"/>
      <c r="IRN465"/>
      <c r="IRO465"/>
      <c r="IRP465"/>
      <c r="IRQ465"/>
      <c r="IRR465"/>
      <c r="IRS465"/>
      <c r="IRT465"/>
      <c r="IRU465"/>
      <c r="IRV465"/>
      <c r="IRW465"/>
      <c r="IRX465"/>
      <c r="IRY465"/>
      <c r="IRZ465"/>
      <c r="ISA465"/>
      <c r="ISB465"/>
      <c r="ISC465"/>
      <c r="ISD465"/>
      <c r="ISE465"/>
      <c r="ISF465"/>
      <c r="ISG465"/>
      <c r="ISH465"/>
      <c r="ISI465"/>
      <c r="ISJ465"/>
      <c r="ISK465"/>
      <c r="ISL465"/>
      <c r="ISM465"/>
      <c r="ISN465"/>
      <c r="ISO465"/>
      <c r="ISP465"/>
      <c r="ISQ465"/>
      <c r="ISR465"/>
      <c r="ISS465"/>
      <c r="IST465"/>
      <c r="ISU465"/>
      <c r="ISV465"/>
      <c r="ISW465"/>
      <c r="ISX465"/>
      <c r="ISY465"/>
      <c r="ISZ465"/>
      <c r="ITA465"/>
      <c r="ITB465"/>
      <c r="ITC465"/>
      <c r="ITD465"/>
      <c r="ITE465"/>
      <c r="ITF465"/>
      <c r="ITG465"/>
      <c r="ITH465"/>
      <c r="ITI465"/>
      <c r="ITJ465"/>
      <c r="ITK465"/>
      <c r="ITL465"/>
      <c r="ITM465"/>
      <c r="ITN465"/>
      <c r="ITO465"/>
      <c r="ITP465"/>
      <c r="ITQ465"/>
      <c r="ITR465"/>
      <c r="ITS465"/>
      <c r="ITT465"/>
      <c r="ITU465"/>
      <c r="ITV465"/>
      <c r="ITW465"/>
      <c r="ITX465"/>
      <c r="ITY465"/>
      <c r="ITZ465"/>
      <c r="IUA465"/>
      <c r="IUB465"/>
      <c r="IUC465"/>
      <c r="IUD465"/>
      <c r="IUE465"/>
      <c r="IUF465"/>
      <c r="IUG465"/>
      <c r="IUH465"/>
      <c r="IUI465"/>
      <c r="IUJ465"/>
      <c r="IUK465"/>
      <c r="IUL465"/>
      <c r="IUM465"/>
      <c r="IUN465"/>
      <c r="IUO465"/>
      <c r="IUP465"/>
      <c r="IUQ465"/>
      <c r="IUR465"/>
      <c r="IUS465"/>
      <c r="IUT465"/>
      <c r="IUU465"/>
      <c r="IUV465"/>
      <c r="IUW465"/>
      <c r="IUX465"/>
      <c r="IUY465"/>
      <c r="IUZ465"/>
      <c r="IVA465"/>
      <c r="IVB465"/>
      <c r="IVC465"/>
      <c r="IVD465"/>
      <c r="IVE465"/>
      <c r="IVF465"/>
      <c r="IVG465"/>
      <c r="IVH465"/>
      <c r="IVI465"/>
      <c r="IVJ465"/>
      <c r="IVK465"/>
      <c r="IVL465"/>
      <c r="IVM465"/>
      <c r="IVN465"/>
      <c r="IVO465"/>
      <c r="IVP465"/>
      <c r="IVQ465"/>
      <c r="IVR465"/>
      <c r="IVS465"/>
      <c r="IVT465"/>
      <c r="IVU465"/>
      <c r="IVV465"/>
      <c r="IVW465"/>
      <c r="IVX465"/>
      <c r="IVY465"/>
      <c r="IVZ465"/>
      <c r="IWA465"/>
      <c r="IWB465"/>
      <c r="IWC465"/>
      <c r="IWD465"/>
      <c r="IWE465"/>
      <c r="IWF465"/>
      <c r="IWG465"/>
      <c r="IWH465"/>
      <c r="IWI465"/>
      <c r="IWJ465"/>
      <c r="IWK465"/>
      <c r="IWL465"/>
      <c r="IWM465"/>
      <c r="IWN465"/>
      <c r="IWO465"/>
      <c r="IWP465"/>
      <c r="IWQ465"/>
      <c r="IWR465"/>
      <c r="IWS465"/>
      <c r="IWT465"/>
      <c r="IWU465"/>
      <c r="IWV465"/>
      <c r="IWW465"/>
      <c r="IWX465"/>
      <c r="IWY465"/>
      <c r="IWZ465"/>
      <c r="IXA465"/>
      <c r="IXB465"/>
      <c r="IXC465"/>
      <c r="IXD465"/>
      <c r="IXE465"/>
      <c r="IXF465"/>
      <c r="IXG465"/>
      <c r="IXH465"/>
      <c r="IXI465"/>
      <c r="IXJ465"/>
      <c r="IXK465"/>
      <c r="IXL465"/>
      <c r="IXM465"/>
      <c r="IXN465"/>
      <c r="IXO465"/>
      <c r="IXP465"/>
      <c r="IXQ465"/>
      <c r="IXR465"/>
      <c r="IXS465"/>
      <c r="IXT465"/>
      <c r="IXU465"/>
      <c r="IXV465"/>
      <c r="IXW465"/>
      <c r="IXX465"/>
      <c r="IXY465"/>
      <c r="IXZ465"/>
      <c r="IYA465"/>
      <c r="IYB465"/>
      <c r="IYC465"/>
      <c r="IYD465"/>
      <c r="IYE465"/>
      <c r="IYF465"/>
      <c r="IYG465"/>
      <c r="IYH465"/>
      <c r="IYI465"/>
      <c r="IYJ465"/>
      <c r="IYK465"/>
      <c r="IYL465"/>
      <c r="IYM465"/>
      <c r="IYN465"/>
      <c r="IYO465"/>
      <c r="IYP465"/>
      <c r="IYQ465"/>
      <c r="IYR465"/>
      <c r="IYS465"/>
      <c r="IYT465"/>
      <c r="IYU465"/>
      <c r="IYV465"/>
      <c r="IYW465"/>
      <c r="IYX465"/>
      <c r="IYY465"/>
      <c r="IYZ465"/>
      <c r="IZA465"/>
      <c r="IZB465"/>
      <c r="IZC465"/>
      <c r="IZD465"/>
      <c r="IZE465"/>
      <c r="IZF465"/>
      <c r="IZG465"/>
      <c r="IZH465"/>
      <c r="IZI465"/>
      <c r="IZJ465"/>
      <c r="IZK465"/>
      <c r="IZL465"/>
      <c r="IZM465"/>
      <c r="IZN465"/>
      <c r="IZO465"/>
      <c r="IZP465"/>
      <c r="IZQ465"/>
      <c r="IZR465"/>
      <c r="IZS465"/>
      <c r="IZT465"/>
      <c r="IZU465"/>
      <c r="IZV465"/>
      <c r="IZW465"/>
      <c r="IZX465"/>
      <c r="IZY465"/>
      <c r="IZZ465"/>
      <c r="JAA465"/>
      <c r="JAB465"/>
      <c r="JAC465"/>
      <c r="JAD465"/>
      <c r="JAE465"/>
      <c r="JAF465"/>
      <c r="JAG465"/>
      <c r="JAH465"/>
      <c r="JAI465"/>
      <c r="JAJ465"/>
      <c r="JAK465"/>
      <c r="JAL465"/>
      <c r="JAM465"/>
      <c r="JAN465"/>
      <c r="JAO465"/>
      <c r="JAP465"/>
      <c r="JAQ465"/>
      <c r="JAR465"/>
      <c r="JAS465"/>
      <c r="JAT465"/>
      <c r="JAU465"/>
      <c r="JAV465"/>
      <c r="JAW465"/>
      <c r="JAX465"/>
      <c r="JAY465"/>
      <c r="JAZ465"/>
      <c r="JBA465"/>
      <c r="JBB465"/>
      <c r="JBC465"/>
      <c r="JBD465"/>
      <c r="JBE465"/>
      <c r="JBF465"/>
      <c r="JBG465"/>
      <c r="JBH465"/>
      <c r="JBI465"/>
      <c r="JBJ465"/>
      <c r="JBK465"/>
      <c r="JBL465"/>
      <c r="JBM465"/>
      <c r="JBN465"/>
      <c r="JBO465"/>
      <c r="JBP465"/>
      <c r="JBQ465"/>
      <c r="JBR465"/>
      <c r="JBS465"/>
      <c r="JBT465"/>
      <c r="JBU465"/>
      <c r="JBV465"/>
      <c r="JBW465"/>
      <c r="JBX465"/>
      <c r="JBY465"/>
      <c r="JBZ465"/>
      <c r="JCA465"/>
      <c r="JCB465"/>
      <c r="JCC465"/>
      <c r="JCD465"/>
      <c r="JCE465"/>
      <c r="JCF465"/>
      <c r="JCG465"/>
      <c r="JCH465"/>
      <c r="JCI465"/>
      <c r="JCJ465"/>
      <c r="JCK465"/>
      <c r="JCL465"/>
      <c r="JCM465"/>
      <c r="JCN465"/>
      <c r="JCO465"/>
      <c r="JCP465"/>
      <c r="JCQ465"/>
      <c r="JCR465"/>
      <c r="JCS465"/>
      <c r="JCT465"/>
      <c r="JCU465"/>
      <c r="JCV465"/>
      <c r="JCW465"/>
      <c r="JCX465"/>
      <c r="JCY465"/>
      <c r="JCZ465"/>
      <c r="JDA465"/>
      <c r="JDB465"/>
      <c r="JDC465"/>
      <c r="JDD465"/>
      <c r="JDE465"/>
      <c r="JDF465"/>
      <c r="JDG465"/>
      <c r="JDH465"/>
      <c r="JDI465"/>
      <c r="JDJ465"/>
      <c r="JDK465"/>
      <c r="JDL465"/>
      <c r="JDM465"/>
      <c r="JDN465"/>
      <c r="JDO465"/>
      <c r="JDP465"/>
      <c r="JDQ465"/>
      <c r="JDR465"/>
      <c r="JDS465"/>
      <c r="JDT465"/>
      <c r="JDU465"/>
      <c r="JDV465"/>
      <c r="JDW465"/>
      <c r="JDX465"/>
      <c r="JDY465"/>
      <c r="JDZ465"/>
      <c r="JEA465"/>
      <c r="JEB465"/>
      <c r="JEC465"/>
      <c r="JED465"/>
      <c r="JEE465"/>
      <c r="JEF465"/>
      <c r="JEG465"/>
      <c r="JEH465"/>
      <c r="JEI465"/>
      <c r="JEJ465"/>
      <c r="JEK465"/>
      <c r="JEL465"/>
      <c r="JEM465"/>
      <c r="JEN465"/>
      <c r="JEO465"/>
      <c r="JEP465"/>
      <c r="JEQ465"/>
      <c r="JER465"/>
      <c r="JES465"/>
      <c r="JET465"/>
      <c r="JEU465"/>
      <c r="JEV465"/>
      <c r="JEW465"/>
      <c r="JEX465"/>
      <c r="JEY465"/>
      <c r="JEZ465"/>
      <c r="JFA465"/>
      <c r="JFB465"/>
      <c r="JFC465"/>
      <c r="JFD465"/>
      <c r="JFE465"/>
      <c r="JFF465"/>
      <c r="JFG465"/>
      <c r="JFH465"/>
      <c r="JFI465"/>
      <c r="JFJ465"/>
      <c r="JFK465"/>
      <c r="JFL465"/>
      <c r="JFM465"/>
      <c r="JFN465"/>
      <c r="JFO465"/>
      <c r="JFP465"/>
      <c r="JFQ465"/>
      <c r="JFR465"/>
      <c r="JFS465"/>
      <c r="JFT465"/>
      <c r="JFU465"/>
      <c r="JFV465"/>
      <c r="JFW465"/>
      <c r="JFX465"/>
      <c r="JFY465"/>
      <c r="JFZ465"/>
      <c r="JGA465"/>
      <c r="JGB465"/>
      <c r="JGC465"/>
      <c r="JGD465"/>
      <c r="JGE465"/>
      <c r="JGF465"/>
      <c r="JGG465"/>
      <c r="JGH465"/>
      <c r="JGI465"/>
      <c r="JGJ465"/>
      <c r="JGK465"/>
      <c r="JGL465"/>
      <c r="JGM465"/>
      <c r="JGN465"/>
      <c r="JGO465"/>
      <c r="JGP465"/>
      <c r="JGQ465"/>
      <c r="JGR465"/>
      <c r="JGS465"/>
      <c r="JGT465"/>
      <c r="JGU465"/>
      <c r="JGV465"/>
      <c r="JGW465"/>
      <c r="JGX465"/>
      <c r="JGY465"/>
      <c r="JGZ465"/>
      <c r="JHA465"/>
      <c r="JHB465"/>
      <c r="JHC465"/>
      <c r="JHD465"/>
      <c r="JHE465"/>
      <c r="JHF465"/>
      <c r="JHG465"/>
      <c r="JHH465"/>
      <c r="JHI465"/>
      <c r="JHJ465"/>
      <c r="JHK465"/>
      <c r="JHL465"/>
      <c r="JHM465"/>
      <c r="JHN465"/>
      <c r="JHO465"/>
      <c r="JHP465"/>
      <c r="JHQ465"/>
      <c r="JHR465"/>
      <c r="JHS465"/>
      <c r="JHT465"/>
      <c r="JHU465"/>
      <c r="JHV465"/>
      <c r="JHW465"/>
      <c r="JHX465"/>
      <c r="JHY465"/>
      <c r="JHZ465"/>
      <c r="JIA465"/>
      <c r="JIB465"/>
      <c r="JIC465"/>
      <c r="JID465"/>
      <c r="JIE465"/>
      <c r="JIF465"/>
      <c r="JIG465"/>
      <c r="JIH465"/>
      <c r="JII465"/>
      <c r="JIJ465"/>
      <c r="JIK465"/>
      <c r="JIL465"/>
      <c r="JIM465"/>
      <c r="JIN465"/>
      <c r="JIO465"/>
      <c r="JIP465"/>
      <c r="JIQ465"/>
      <c r="JIR465"/>
      <c r="JIS465"/>
      <c r="JIT465"/>
      <c r="JIU465"/>
      <c r="JIV465"/>
      <c r="JIW465"/>
      <c r="JIX465"/>
      <c r="JIY465"/>
      <c r="JIZ465"/>
      <c r="JJA465"/>
      <c r="JJB465"/>
      <c r="JJC465"/>
      <c r="JJD465"/>
      <c r="JJE465"/>
      <c r="JJF465"/>
      <c r="JJG465"/>
      <c r="JJH465"/>
      <c r="JJI465"/>
      <c r="JJJ465"/>
      <c r="JJK465"/>
      <c r="JJL465"/>
      <c r="JJM465"/>
      <c r="JJN465"/>
      <c r="JJO465"/>
      <c r="JJP465"/>
      <c r="JJQ465"/>
      <c r="JJR465"/>
      <c r="JJS465"/>
      <c r="JJT465"/>
      <c r="JJU465"/>
      <c r="JJV465"/>
      <c r="JJW465"/>
      <c r="JJX465"/>
      <c r="JJY465"/>
      <c r="JJZ465"/>
      <c r="JKA465"/>
      <c r="JKB465"/>
      <c r="JKC465"/>
      <c r="JKD465"/>
      <c r="JKE465"/>
      <c r="JKF465"/>
      <c r="JKG465"/>
      <c r="JKH465"/>
      <c r="JKI465"/>
      <c r="JKJ465"/>
      <c r="JKK465"/>
      <c r="JKL465"/>
      <c r="JKM465"/>
      <c r="JKN465"/>
      <c r="JKO465"/>
      <c r="JKP465"/>
      <c r="JKQ465"/>
      <c r="JKR465"/>
      <c r="JKS465"/>
      <c r="JKT465"/>
      <c r="JKU465"/>
      <c r="JKV465"/>
      <c r="JKW465"/>
      <c r="JKX465"/>
      <c r="JKY465"/>
      <c r="JKZ465"/>
      <c r="JLA465"/>
      <c r="JLB465"/>
      <c r="JLC465"/>
      <c r="JLD465"/>
      <c r="JLE465"/>
      <c r="JLF465"/>
      <c r="JLG465"/>
      <c r="JLH465"/>
      <c r="JLI465"/>
      <c r="JLJ465"/>
      <c r="JLK465"/>
      <c r="JLL465"/>
      <c r="JLM465"/>
      <c r="JLN465"/>
      <c r="JLO465"/>
      <c r="JLP465"/>
      <c r="JLQ465"/>
      <c r="JLR465"/>
      <c r="JLS465"/>
      <c r="JLT465"/>
      <c r="JLU465"/>
      <c r="JLV465"/>
      <c r="JLW465"/>
      <c r="JLX465"/>
      <c r="JLY465"/>
      <c r="JLZ465"/>
      <c r="JMA465"/>
      <c r="JMB465"/>
      <c r="JMC465"/>
      <c r="JMD465"/>
      <c r="JME465"/>
      <c r="JMF465"/>
      <c r="JMG465"/>
      <c r="JMH465"/>
      <c r="JMI465"/>
      <c r="JMJ465"/>
      <c r="JMK465"/>
      <c r="JML465"/>
      <c r="JMM465"/>
      <c r="JMN465"/>
      <c r="JMO465"/>
      <c r="JMP465"/>
      <c r="JMQ465"/>
      <c r="JMR465"/>
      <c r="JMS465"/>
      <c r="JMT465"/>
      <c r="JMU465"/>
      <c r="JMV465"/>
      <c r="JMW465"/>
      <c r="JMX465"/>
      <c r="JMY465"/>
      <c r="JMZ465"/>
      <c r="JNA465"/>
      <c r="JNB465"/>
      <c r="JNC465"/>
      <c r="JND465"/>
      <c r="JNE465"/>
      <c r="JNF465"/>
      <c r="JNG465"/>
      <c r="JNH465"/>
      <c r="JNI465"/>
      <c r="JNJ465"/>
      <c r="JNK465"/>
      <c r="JNL465"/>
      <c r="JNM465"/>
      <c r="JNN465"/>
      <c r="JNO465"/>
      <c r="JNP465"/>
      <c r="JNQ465"/>
      <c r="JNR465"/>
      <c r="JNS465"/>
      <c r="JNT465"/>
      <c r="JNU465"/>
      <c r="JNV465"/>
      <c r="JNW465"/>
      <c r="JNX465"/>
      <c r="JNY465"/>
      <c r="JNZ465"/>
      <c r="JOA465"/>
      <c r="JOB465"/>
      <c r="JOC465"/>
      <c r="JOD465"/>
      <c r="JOE465"/>
      <c r="JOF465"/>
      <c r="JOG465"/>
      <c r="JOH465"/>
      <c r="JOI465"/>
      <c r="JOJ465"/>
      <c r="JOK465"/>
      <c r="JOL465"/>
      <c r="JOM465"/>
      <c r="JON465"/>
      <c r="JOO465"/>
      <c r="JOP465"/>
      <c r="JOQ465"/>
      <c r="JOR465"/>
      <c r="JOS465"/>
      <c r="JOT465"/>
      <c r="JOU465"/>
      <c r="JOV465"/>
      <c r="JOW465"/>
      <c r="JOX465"/>
      <c r="JOY465"/>
      <c r="JOZ465"/>
      <c r="JPA465"/>
      <c r="JPB465"/>
      <c r="JPC465"/>
      <c r="JPD465"/>
      <c r="JPE465"/>
      <c r="JPF465"/>
      <c r="JPG465"/>
      <c r="JPH465"/>
      <c r="JPI465"/>
      <c r="JPJ465"/>
      <c r="JPK465"/>
      <c r="JPL465"/>
      <c r="JPM465"/>
      <c r="JPN465"/>
      <c r="JPO465"/>
      <c r="JPP465"/>
      <c r="JPQ465"/>
      <c r="JPR465"/>
      <c r="JPS465"/>
      <c r="JPT465"/>
      <c r="JPU465"/>
      <c r="JPV465"/>
      <c r="JPW465"/>
      <c r="JPX465"/>
      <c r="JPY465"/>
      <c r="JPZ465"/>
      <c r="JQA465"/>
      <c r="JQB465"/>
      <c r="JQC465"/>
      <c r="JQD465"/>
      <c r="JQE465"/>
      <c r="JQF465"/>
      <c r="JQG465"/>
      <c r="JQH465"/>
      <c r="JQI465"/>
      <c r="JQJ465"/>
      <c r="JQK465"/>
      <c r="JQL465"/>
      <c r="JQM465"/>
      <c r="JQN465"/>
      <c r="JQO465"/>
      <c r="JQP465"/>
      <c r="JQQ465"/>
      <c r="JQR465"/>
      <c r="JQS465"/>
      <c r="JQT465"/>
      <c r="JQU465"/>
      <c r="JQV465"/>
      <c r="JQW465"/>
      <c r="JQX465"/>
      <c r="JQY465"/>
      <c r="JQZ465"/>
      <c r="JRA465"/>
      <c r="JRB465"/>
      <c r="JRC465"/>
      <c r="JRD465"/>
      <c r="JRE465"/>
      <c r="JRF465"/>
      <c r="JRG465"/>
      <c r="JRH465"/>
      <c r="JRI465"/>
      <c r="JRJ465"/>
      <c r="JRK465"/>
      <c r="JRL465"/>
      <c r="JRM465"/>
      <c r="JRN465"/>
      <c r="JRO465"/>
      <c r="JRP465"/>
      <c r="JRQ465"/>
      <c r="JRR465"/>
      <c r="JRS465"/>
      <c r="JRT465"/>
      <c r="JRU465"/>
      <c r="JRV465"/>
      <c r="JRW465"/>
      <c r="JRX465"/>
      <c r="JRY465"/>
      <c r="JRZ465"/>
      <c r="JSA465"/>
      <c r="JSB465"/>
      <c r="JSC465"/>
      <c r="JSD465"/>
      <c r="JSE465"/>
      <c r="JSF465"/>
      <c r="JSG465"/>
      <c r="JSH465"/>
      <c r="JSI465"/>
      <c r="JSJ465"/>
      <c r="JSK465"/>
      <c r="JSL465"/>
      <c r="JSM465"/>
      <c r="JSN465"/>
      <c r="JSO465"/>
      <c r="JSP465"/>
      <c r="JSQ465"/>
      <c r="JSR465"/>
      <c r="JSS465"/>
      <c r="JST465"/>
      <c r="JSU465"/>
      <c r="JSV465"/>
      <c r="JSW465"/>
      <c r="JSX465"/>
      <c r="JSY465"/>
      <c r="JSZ465"/>
      <c r="JTA465"/>
      <c r="JTB465"/>
      <c r="JTC465"/>
      <c r="JTD465"/>
      <c r="JTE465"/>
      <c r="JTF465"/>
      <c r="JTG465"/>
      <c r="JTH465"/>
      <c r="JTI465"/>
      <c r="JTJ465"/>
      <c r="JTK465"/>
      <c r="JTL465"/>
      <c r="JTM465"/>
      <c r="JTN465"/>
      <c r="JTO465"/>
      <c r="JTP465"/>
      <c r="JTQ465"/>
      <c r="JTR465"/>
      <c r="JTS465"/>
      <c r="JTT465"/>
      <c r="JTU465"/>
      <c r="JTV465"/>
      <c r="JTW465"/>
      <c r="JTX465"/>
      <c r="JTY465"/>
      <c r="JTZ465"/>
      <c r="JUA465"/>
      <c r="JUB465"/>
      <c r="JUC465"/>
      <c r="JUD465"/>
      <c r="JUE465"/>
      <c r="JUF465"/>
      <c r="JUG465"/>
      <c r="JUH465"/>
      <c r="JUI465"/>
      <c r="JUJ465"/>
      <c r="JUK465"/>
      <c r="JUL465"/>
      <c r="JUM465"/>
      <c r="JUN465"/>
      <c r="JUO465"/>
      <c r="JUP465"/>
      <c r="JUQ465"/>
      <c r="JUR465"/>
      <c r="JUS465"/>
      <c r="JUT465"/>
      <c r="JUU465"/>
      <c r="JUV465"/>
      <c r="JUW465"/>
      <c r="JUX465"/>
      <c r="JUY465"/>
      <c r="JUZ465"/>
      <c r="JVA465"/>
      <c r="JVB465"/>
      <c r="JVC465"/>
      <c r="JVD465"/>
      <c r="JVE465"/>
      <c r="JVF465"/>
      <c r="JVG465"/>
      <c r="JVH465"/>
      <c r="JVI465"/>
      <c r="JVJ465"/>
      <c r="JVK465"/>
      <c r="JVL465"/>
      <c r="JVM465"/>
      <c r="JVN465"/>
      <c r="JVO465"/>
      <c r="JVP465"/>
      <c r="JVQ465"/>
      <c r="JVR465"/>
      <c r="JVS465"/>
      <c r="JVT465"/>
      <c r="JVU465"/>
      <c r="JVV465"/>
      <c r="JVW465"/>
      <c r="JVX465"/>
      <c r="JVY465"/>
      <c r="JVZ465"/>
      <c r="JWA465"/>
      <c r="JWB465"/>
      <c r="JWC465"/>
      <c r="JWD465"/>
      <c r="JWE465"/>
      <c r="JWF465"/>
      <c r="JWG465"/>
      <c r="JWH465"/>
      <c r="JWI465"/>
      <c r="JWJ465"/>
      <c r="JWK465"/>
      <c r="JWL465"/>
      <c r="JWM465"/>
      <c r="JWN465"/>
      <c r="JWO465"/>
      <c r="JWP465"/>
      <c r="JWQ465"/>
      <c r="JWR465"/>
      <c r="JWS465"/>
      <c r="JWT465"/>
      <c r="JWU465"/>
      <c r="JWV465"/>
      <c r="JWW465"/>
      <c r="JWX465"/>
      <c r="JWY465"/>
      <c r="JWZ465"/>
      <c r="JXA465"/>
      <c r="JXB465"/>
      <c r="JXC465"/>
      <c r="JXD465"/>
      <c r="JXE465"/>
      <c r="JXF465"/>
      <c r="JXG465"/>
      <c r="JXH465"/>
      <c r="JXI465"/>
      <c r="JXJ465"/>
      <c r="JXK465"/>
      <c r="JXL465"/>
      <c r="JXM465"/>
      <c r="JXN465"/>
      <c r="JXO465"/>
      <c r="JXP465"/>
      <c r="JXQ465"/>
      <c r="JXR465"/>
      <c r="JXS465"/>
      <c r="JXT465"/>
      <c r="JXU465"/>
      <c r="JXV465"/>
      <c r="JXW465"/>
      <c r="JXX465"/>
      <c r="JXY465"/>
      <c r="JXZ465"/>
      <c r="JYA465"/>
      <c r="JYB465"/>
      <c r="JYC465"/>
      <c r="JYD465"/>
      <c r="JYE465"/>
      <c r="JYF465"/>
      <c r="JYG465"/>
      <c r="JYH465"/>
      <c r="JYI465"/>
      <c r="JYJ465"/>
      <c r="JYK465"/>
      <c r="JYL465"/>
      <c r="JYM465"/>
      <c r="JYN465"/>
      <c r="JYO465"/>
      <c r="JYP465"/>
      <c r="JYQ465"/>
      <c r="JYR465"/>
      <c r="JYS465"/>
      <c r="JYT465"/>
      <c r="JYU465"/>
      <c r="JYV465"/>
      <c r="JYW465"/>
      <c r="JYX465"/>
      <c r="JYY465"/>
      <c r="JYZ465"/>
      <c r="JZA465"/>
      <c r="JZB465"/>
      <c r="JZC465"/>
      <c r="JZD465"/>
      <c r="JZE465"/>
      <c r="JZF465"/>
      <c r="JZG465"/>
      <c r="JZH465"/>
      <c r="JZI465"/>
      <c r="JZJ465"/>
      <c r="JZK465"/>
      <c r="JZL465"/>
      <c r="JZM465"/>
      <c r="JZN465"/>
      <c r="JZO465"/>
      <c r="JZP465"/>
      <c r="JZQ465"/>
      <c r="JZR465"/>
      <c r="JZS465"/>
      <c r="JZT465"/>
      <c r="JZU465"/>
      <c r="JZV465"/>
      <c r="JZW465"/>
      <c r="JZX465"/>
      <c r="JZY465"/>
      <c r="JZZ465"/>
      <c r="KAA465"/>
      <c r="KAB465"/>
      <c r="KAC465"/>
      <c r="KAD465"/>
      <c r="KAE465"/>
      <c r="KAF465"/>
      <c r="KAG465"/>
      <c r="KAH465"/>
      <c r="KAI465"/>
      <c r="KAJ465"/>
      <c r="KAK465"/>
      <c r="KAL465"/>
      <c r="KAM465"/>
      <c r="KAN465"/>
      <c r="KAO465"/>
      <c r="KAP465"/>
      <c r="KAQ465"/>
      <c r="KAR465"/>
      <c r="KAS465"/>
      <c r="KAT465"/>
      <c r="KAU465"/>
      <c r="KAV465"/>
      <c r="KAW465"/>
      <c r="KAX465"/>
      <c r="KAY465"/>
      <c r="KAZ465"/>
      <c r="KBA465"/>
      <c r="KBB465"/>
      <c r="KBC465"/>
      <c r="KBD465"/>
      <c r="KBE465"/>
      <c r="KBF465"/>
      <c r="KBG465"/>
      <c r="KBH465"/>
      <c r="KBI465"/>
      <c r="KBJ465"/>
      <c r="KBK465"/>
      <c r="KBL465"/>
      <c r="KBM465"/>
      <c r="KBN465"/>
      <c r="KBO465"/>
      <c r="KBP465"/>
      <c r="KBQ465"/>
      <c r="KBR465"/>
      <c r="KBS465"/>
      <c r="KBT465"/>
      <c r="KBU465"/>
      <c r="KBV465"/>
      <c r="KBW465"/>
      <c r="KBX465"/>
      <c r="KBY465"/>
      <c r="KBZ465"/>
      <c r="KCA465"/>
      <c r="KCB465"/>
      <c r="KCC465"/>
      <c r="KCD465"/>
      <c r="KCE465"/>
      <c r="KCF465"/>
      <c r="KCG465"/>
      <c r="KCH465"/>
      <c r="KCI465"/>
      <c r="KCJ465"/>
      <c r="KCK465"/>
      <c r="KCL465"/>
      <c r="KCM465"/>
      <c r="KCN465"/>
      <c r="KCO465"/>
      <c r="KCP465"/>
      <c r="KCQ465"/>
      <c r="KCR465"/>
      <c r="KCS465"/>
      <c r="KCT465"/>
      <c r="KCU465"/>
      <c r="KCV465"/>
      <c r="KCW465"/>
      <c r="KCX465"/>
      <c r="KCY465"/>
      <c r="KCZ465"/>
      <c r="KDA465"/>
      <c r="KDB465"/>
      <c r="KDC465"/>
      <c r="KDD465"/>
      <c r="KDE465"/>
      <c r="KDF465"/>
      <c r="KDG465"/>
      <c r="KDH465"/>
      <c r="KDI465"/>
      <c r="KDJ465"/>
      <c r="KDK465"/>
      <c r="KDL465"/>
      <c r="KDM465"/>
      <c r="KDN465"/>
      <c r="KDO465"/>
      <c r="KDP465"/>
      <c r="KDQ465"/>
      <c r="KDR465"/>
      <c r="KDS465"/>
      <c r="KDT465"/>
      <c r="KDU465"/>
      <c r="KDV465"/>
      <c r="KDW465"/>
      <c r="KDX465"/>
      <c r="KDY465"/>
      <c r="KDZ465"/>
      <c r="KEA465"/>
      <c r="KEB465"/>
      <c r="KEC465"/>
      <c r="KED465"/>
      <c r="KEE465"/>
      <c r="KEF465"/>
      <c r="KEG465"/>
      <c r="KEH465"/>
      <c r="KEI465"/>
      <c r="KEJ465"/>
      <c r="KEK465"/>
      <c r="KEL465"/>
      <c r="KEM465"/>
      <c r="KEN465"/>
      <c r="KEO465"/>
      <c r="KEP465"/>
      <c r="KEQ465"/>
      <c r="KER465"/>
      <c r="KES465"/>
      <c r="KET465"/>
      <c r="KEU465"/>
      <c r="KEV465"/>
      <c r="KEW465"/>
      <c r="KEX465"/>
      <c r="KEY465"/>
      <c r="KEZ465"/>
      <c r="KFA465"/>
      <c r="KFB465"/>
      <c r="KFC465"/>
      <c r="KFD465"/>
      <c r="KFE465"/>
      <c r="KFF465"/>
      <c r="KFG465"/>
      <c r="KFH465"/>
      <c r="KFI465"/>
      <c r="KFJ465"/>
      <c r="KFK465"/>
      <c r="KFL465"/>
      <c r="KFM465"/>
      <c r="KFN465"/>
      <c r="KFO465"/>
      <c r="KFP465"/>
      <c r="KFQ465"/>
      <c r="KFR465"/>
      <c r="KFS465"/>
      <c r="KFT465"/>
      <c r="KFU465"/>
      <c r="KFV465"/>
      <c r="KFW465"/>
      <c r="KFX465"/>
      <c r="KFY465"/>
      <c r="KFZ465"/>
      <c r="KGA465"/>
      <c r="KGB465"/>
      <c r="KGC465"/>
      <c r="KGD465"/>
      <c r="KGE465"/>
      <c r="KGF465"/>
      <c r="KGG465"/>
      <c r="KGH465"/>
      <c r="KGI465"/>
      <c r="KGJ465"/>
      <c r="KGK465"/>
      <c r="KGL465"/>
      <c r="KGM465"/>
      <c r="KGN465"/>
      <c r="KGO465"/>
      <c r="KGP465"/>
      <c r="KGQ465"/>
      <c r="KGR465"/>
      <c r="KGS465"/>
      <c r="KGT465"/>
      <c r="KGU465"/>
      <c r="KGV465"/>
      <c r="KGW465"/>
      <c r="KGX465"/>
      <c r="KGY465"/>
      <c r="KGZ465"/>
      <c r="KHA465"/>
      <c r="KHB465"/>
      <c r="KHC465"/>
      <c r="KHD465"/>
      <c r="KHE465"/>
      <c r="KHF465"/>
      <c r="KHG465"/>
      <c r="KHH465"/>
      <c r="KHI465"/>
      <c r="KHJ465"/>
      <c r="KHK465"/>
      <c r="KHL465"/>
      <c r="KHM465"/>
      <c r="KHN465"/>
      <c r="KHO465"/>
      <c r="KHP465"/>
      <c r="KHQ465"/>
      <c r="KHR465"/>
      <c r="KHS465"/>
      <c r="KHT465"/>
      <c r="KHU465"/>
      <c r="KHV465"/>
      <c r="KHW465"/>
      <c r="KHX465"/>
      <c r="KHY465"/>
      <c r="KHZ465"/>
      <c r="KIA465"/>
      <c r="KIB465"/>
      <c r="KIC465"/>
      <c r="KID465"/>
      <c r="KIE465"/>
      <c r="KIF465"/>
      <c r="KIG465"/>
      <c r="KIH465"/>
      <c r="KII465"/>
      <c r="KIJ465"/>
      <c r="KIK465"/>
      <c r="KIL465"/>
      <c r="KIM465"/>
      <c r="KIN465"/>
      <c r="KIO465"/>
      <c r="KIP465"/>
      <c r="KIQ465"/>
      <c r="KIR465"/>
      <c r="KIS465"/>
      <c r="KIT465"/>
      <c r="KIU465"/>
      <c r="KIV465"/>
      <c r="KIW465"/>
      <c r="KIX465"/>
      <c r="KIY465"/>
      <c r="KIZ465"/>
      <c r="KJA465"/>
      <c r="KJB465"/>
      <c r="KJC465"/>
      <c r="KJD465"/>
      <c r="KJE465"/>
      <c r="KJF465"/>
      <c r="KJG465"/>
      <c r="KJH465"/>
      <c r="KJI465"/>
      <c r="KJJ465"/>
      <c r="KJK465"/>
      <c r="KJL465"/>
      <c r="KJM465"/>
      <c r="KJN465"/>
      <c r="KJO465"/>
      <c r="KJP465"/>
      <c r="KJQ465"/>
      <c r="KJR465"/>
      <c r="KJS465"/>
      <c r="KJT465"/>
      <c r="KJU465"/>
      <c r="KJV465"/>
      <c r="KJW465"/>
      <c r="KJX465"/>
      <c r="KJY465"/>
      <c r="KJZ465"/>
      <c r="KKA465"/>
      <c r="KKB465"/>
      <c r="KKC465"/>
      <c r="KKD465"/>
      <c r="KKE465"/>
      <c r="KKF465"/>
      <c r="KKG465"/>
      <c r="KKH465"/>
      <c r="KKI465"/>
      <c r="KKJ465"/>
      <c r="KKK465"/>
      <c r="KKL465"/>
      <c r="KKM465"/>
      <c r="KKN465"/>
      <c r="KKO465"/>
      <c r="KKP465"/>
      <c r="KKQ465"/>
      <c r="KKR465"/>
      <c r="KKS465"/>
      <c r="KKT465"/>
      <c r="KKU465"/>
      <c r="KKV465"/>
      <c r="KKW465"/>
      <c r="KKX465"/>
      <c r="KKY465"/>
      <c r="KKZ465"/>
      <c r="KLA465"/>
      <c r="KLB465"/>
      <c r="KLC465"/>
      <c r="KLD465"/>
      <c r="KLE465"/>
      <c r="KLF465"/>
      <c r="KLG465"/>
      <c r="KLH465"/>
      <c r="KLI465"/>
      <c r="KLJ465"/>
      <c r="KLK465"/>
      <c r="KLL465"/>
      <c r="KLM465"/>
      <c r="KLN465"/>
      <c r="KLO465"/>
      <c r="KLP465"/>
      <c r="KLQ465"/>
      <c r="KLR465"/>
      <c r="KLS465"/>
      <c r="KLT465"/>
      <c r="KLU465"/>
      <c r="KLV465"/>
      <c r="KLW465"/>
      <c r="KLX465"/>
      <c r="KLY465"/>
      <c r="KLZ465"/>
      <c r="KMA465"/>
      <c r="KMB465"/>
      <c r="KMC465"/>
      <c r="KMD465"/>
      <c r="KME465"/>
      <c r="KMF465"/>
      <c r="KMG465"/>
      <c r="KMH465"/>
      <c r="KMI465"/>
      <c r="KMJ465"/>
      <c r="KMK465"/>
      <c r="KML465"/>
      <c r="KMM465"/>
      <c r="KMN465"/>
      <c r="KMO465"/>
      <c r="KMP465"/>
      <c r="KMQ465"/>
      <c r="KMR465"/>
      <c r="KMS465"/>
      <c r="KMT465"/>
      <c r="KMU465"/>
      <c r="KMV465"/>
      <c r="KMW465"/>
      <c r="KMX465"/>
      <c r="KMY465"/>
      <c r="KMZ465"/>
      <c r="KNA465"/>
      <c r="KNB465"/>
      <c r="KNC465"/>
      <c r="KND465"/>
      <c r="KNE465"/>
      <c r="KNF465"/>
      <c r="KNG465"/>
      <c r="KNH465"/>
      <c r="KNI465"/>
      <c r="KNJ465"/>
      <c r="KNK465"/>
      <c r="KNL465"/>
      <c r="KNM465"/>
      <c r="KNN465"/>
      <c r="KNO465"/>
      <c r="KNP465"/>
      <c r="KNQ465"/>
      <c r="KNR465"/>
      <c r="KNS465"/>
      <c r="KNT465"/>
      <c r="KNU465"/>
      <c r="KNV465"/>
      <c r="KNW465"/>
      <c r="KNX465"/>
      <c r="KNY465"/>
      <c r="KNZ465"/>
      <c r="KOA465"/>
      <c r="KOB465"/>
      <c r="KOC465"/>
      <c r="KOD465"/>
      <c r="KOE465"/>
      <c r="KOF465"/>
      <c r="KOG465"/>
      <c r="KOH465"/>
      <c r="KOI465"/>
      <c r="KOJ465"/>
      <c r="KOK465"/>
      <c r="KOL465"/>
      <c r="KOM465"/>
      <c r="KON465"/>
      <c r="KOO465"/>
      <c r="KOP465"/>
      <c r="KOQ465"/>
      <c r="KOR465"/>
      <c r="KOS465"/>
      <c r="KOT465"/>
      <c r="KOU465"/>
      <c r="KOV465"/>
      <c r="KOW465"/>
      <c r="KOX465"/>
      <c r="KOY465"/>
      <c r="KOZ465"/>
      <c r="KPA465"/>
      <c r="KPB465"/>
      <c r="KPC465"/>
      <c r="KPD465"/>
      <c r="KPE465"/>
      <c r="KPF465"/>
      <c r="KPG465"/>
      <c r="KPH465"/>
      <c r="KPI465"/>
      <c r="KPJ465"/>
      <c r="KPK465"/>
      <c r="KPL465"/>
      <c r="KPM465"/>
      <c r="KPN465"/>
      <c r="KPO465"/>
      <c r="KPP465"/>
      <c r="KPQ465"/>
      <c r="KPR465"/>
      <c r="KPS465"/>
      <c r="KPT465"/>
      <c r="KPU465"/>
      <c r="KPV465"/>
      <c r="KPW465"/>
      <c r="KPX465"/>
      <c r="KPY465"/>
      <c r="KPZ465"/>
      <c r="KQA465"/>
      <c r="KQB465"/>
      <c r="KQC465"/>
      <c r="KQD465"/>
      <c r="KQE465"/>
      <c r="KQF465"/>
      <c r="KQG465"/>
      <c r="KQH465"/>
      <c r="KQI465"/>
      <c r="KQJ465"/>
      <c r="KQK465"/>
      <c r="KQL465"/>
      <c r="KQM465"/>
      <c r="KQN465"/>
      <c r="KQO465"/>
      <c r="KQP465"/>
      <c r="KQQ465"/>
      <c r="KQR465"/>
      <c r="KQS465"/>
      <c r="KQT465"/>
      <c r="KQU465"/>
      <c r="KQV465"/>
      <c r="KQW465"/>
      <c r="KQX465"/>
      <c r="KQY465"/>
      <c r="KQZ465"/>
      <c r="KRA465"/>
      <c r="KRB465"/>
      <c r="KRC465"/>
      <c r="KRD465"/>
      <c r="KRE465"/>
      <c r="KRF465"/>
      <c r="KRG465"/>
      <c r="KRH465"/>
      <c r="KRI465"/>
      <c r="KRJ465"/>
      <c r="KRK465"/>
      <c r="KRL465"/>
      <c r="KRM465"/>
      <c r="KRN465"/>
      <c r="KRO465"/>
      <c r="KRP465"/>
      <c r="KRQ465"/>
      <c r="KRR465"/>
      <c r="KRS465"/>
      <c r="KRT465"/>
      <c r="KRU465"/>
      <c r="KRV465"/>
      <c r="KRW465"/>
      <c r="KRX465"/>
      <c r="KRY465"/>
      <c r="KRZ465"/>
      <c r="KSA465"/>
      <c r="KSB465"/>
      <c r="KSC465"/>
      <c r="KSD465"/>
      <c r="KSE465"/>
      <c r="KSF465"/>
      <c r="KSG465"/>
      <c r="KSH465"/>
      <c r="KSI465"/>
      <c r="KSJ465"/>
      <c r="KSK465"/>
      <c r="KSL465"/>
      <c r="KSM465"/>
      <c r="KSN465"/>
      <c r="KSO465"/>
      <c r="KSP465"/>
      <c r="KSQ465"/>
      <c r="KSR465"/>
      <c r="KSS465"/>
      <c r="KST465"/>
      <c r="KSU465"/>
      <c r="KSV465"/>
      <c r="KSW465"/>
      <c r="KSX465"/>
      <c r="KSY465"/>
      <c r="KSZ465"/>
      <c r="KTA465"/>
      <c r="KTB465"/>
      <c r="KTC465"/>
      <c r="KTD465"/>
      <c r="KTE465"/>
      <c r="KTF465"/>
      <c r="KTG465"/>
      <c r="KTH465"/>
      <c r="KTI465"/>
      <c r="KTJ465"/>
      <c r="KTK465"/>
      <c r="KTL465"/>
      <c r="KTM465"/>
      <c r="KTN465"/>
      <c r="KTO465"/>
      <c r="KTP465"/>
      <c r="KTQ465"/>
      <c r="KTR465"/>
      <c r="KTS465"/>
      <c r="KTT465"/>
      <c r="KTU465"/>
      <c r="KTV465"/>
      <c r="KTW465"/>
      <c r="KTX465"/>
      <c r="KTY465"/>
      <c r="KTZ465"/>
      <c r="KUA465"/>
      <c r="KUB465"/>
      <c r="KUC465"/>
      <c r="KUD465"/>
      <c r="KUE465"/>
      <c r="KUF465"/>
      <c r="KUG465"/>
      <c r="KUH465"/>
      <c r="KUI465"/>
      <c r="KUJ465"/>
      <c r="KUK465"/>
      <c r="KUL465"/>
      <c r="KUM465"/>
      <c r="KUN465"/>
      <c r="KUO465"/>
      <c r="KUP465"/>
      <c r="KUQ465"/>
      <c r="KUR465"/>
      <c r="KUS465"/>
      <c r="KUT465"/>
      <c r="KUU465"/>
      <c r="KUV465"/>
      <c r="KUW465"/>
      <c r="KUX465"/>
      <c r="KUY465"/>
      <c r="KUZ465"/>
      <c r="KVA465"/>
      <c r="KVB465"/>
      <c r="KVC465"/>
      <c r="KVD465"/>
      <c r="KVE465"/>
      <c r="KVF465"/>
      <c r="KVG465"/>
      <c r="KVH465"/>
      <c r="KVI465"/>
      <c r="KVJ465"/>
      <c r="KVK465"/>
      <c r="KVL465"/>
      <c r="KVM465"/>
      <c r="KVN465"/>
      <c r="KVO465"/>
      <c r="KVP465"/>
      <c r="KVQ465"/>
      <c r="KVR465"/>
      <c r="KVS465"/>
      <c r="KVT465"/>
      <c r="KVU465"/>
      <c r="KVV465"/>
      <c r="KVW465"/>
      <c r="KVX465"/>
      <c r="KVY465"/>
      <c r="KVZ465"/>
      <c r="KWA465"/>
      <c r="KWB465"/>
      <c r="KWC465"/>
      <c r="KWD465"/>
      <c r="KWE465"/>
      <c r="KWF465"/>
      <c r="KWG465"/>
      <c r="KWH465"/>
      <c r="KWI465"/>
      <c r="KWJ465"/>
      <c r="KWK465"/>
      <c r="KWL465"/>
      <c r="KWM465"/>
      <c r="KWN465"/>
      <c r="KWO465"/>
      <c r="KWP465"/>
      <c r="KWQ465"/>
      <c r="KWR465"/>
      <c r="KWS465"/>
      <c r="KWT465"/>
      <c r="KWU465"/>
      <c r="KWV465"/>
      <c r="KWW465"/>
      <c r="KWX465"/>
      <c r="KWY465"/>
      <c r="KWZ465"/>
      <c r="KXA465"/>
      <c r="KXB465"/>
      <c r="KXC465"/>
      <c r="KXD465"/>
      <c r="KXE465"/>
      <c r="KXF465"/>
      <c r="KXG465"/>
      <c r="KXH465"/>
      <c r="KXI465"/>
      <c r="KXJ465"/>
      <c r="KXK465"/>
      <c r="KXL465"/>
      <c r="KXM465"/>
      <c r="KXN465"/>
      <c r="KXO465"/>
      <c r="KXP465"/>
      <c r="KXQ465"/>
      <c r="KXR465"/>
      <c r="KXS465"/>
      <c r="KXT465"/>
      <c r="KXU465"/>
      <c r="KXV465"/>
      <c r="KXW465"/>
      <c r="KXX465"/>
      <c r="KXY465"/>
      <c r="KXZ465"/>
      <c r="KYA465"/>
      <c r="KYB465"/>
      <c r="KYC465"/>
      <c r="KYD465"/>
      <c r="KYE465"/>
      <c r="KYF465"/>
      <c r="KYG465"/>
      <c r="KYH465"/>
      <c r="KYI465"/>
      <c r="KYJ465"/>
      <c r="KYK465"/>
      <c r="KYL465"/>
      <c r="KYM465"/>
      <c r="KYN465"/>
      <c r="KYO465"/>
      <c r="KYP465"/>
      <c r="KYQ465"/>
      <c r="KYR465"/>
      <c r="KYS465"/>
      <c r="KYT465"/>
      <c r="KYU465"/>
      <c r="KYV465"/>
      <c r="KYW465"/>
      <c r="KYX465"/>
      <c r="KYY465"/>
      <c r="KYZ465"/>
      <c r="KZA465"/>
      <c r="KZB465"/>
      <c r="KZC465"/>
      <c r="KZD465"/>
      <c r="KZE465"/>
      <c r="KZF465"/>
      <c r="KZG465"/>
      <c r="KZH465"/>
      <c r="KZI465"/>
      <c r="KZJ465"/>
      <c r="KZK465"/>
      <c r="KZL465"/>
      <c r="KZM465"/>
      <c r="KZN465"/>
      <c r="KZO465"/>
      <c r="KZP465"/>
      <c r="KZQ465"/>
      <c r="KZR465"/>
      <c r="KZS465"/>
      <c r="KZT465"/>
      <c r="KZU465"/>
      <c r="KZV465"/>
      <c r="KZW465"/>
      <c r="KZX465"/>
      <c r="KZY465"/>
      <c r="KZZ465"/>
      <c r="LAA465"/>
      <c r="LAB465"/>
      <c r="LAC465"/>
      <c r="LAD465"/>
      <c r="LAE465"/>
      <c r="LAF465"/>
      <c r="LAG465"/>
      <c r="LAH465"/>
      <c r="LAI465"/>
      <c r="LAJ465"/>
      <c r="LAK465"/>
      <c r="LAL465"/>
      <c r="LAM465"/>
      <c r="LAN465"/>
      <c r="LAO465"/>
      <c r="LAP465"/>
      <c r="LAQ465"/>
      <c r="LAR465"/>
      <c r="LAS465"/>
      <c r="LAT465"/>
      <c r="LAU465"/>
      <c r="LAV465"/>
      <c r="LAW465"/>
      <c r="LAX465"/>
      <c r="LAY465"/>
      <c r="LAZ465"/>
      <c r="LBA465"/>
      <c r="LBB465"/>
      <c r="LBC465"/>
      <c r="LBD465"/>
      <c r="LBE465"/>
      <c r="LBF465"/>
      <c r="LBG465"/>
      <c r="LBH465"/>
      <c r="LBI465"/>
      <c r="LBJ465"/>
      <c r="LBK465"/>
      <c r="LBL465"/>
      <c r="LBM465"/>
      <c r="LBN465"/>
      <c r="LBO465"/>
      <c r="LBP465"/>
      <c r="LBQ465"/>
      <c r="LBR465"/>
      <c r="LBS465"/>
      <c r="LBT465"/>
      <c r="LBU465"/>
      <c r="LBV465"/>
      <c r="LBW465"/>
      <c r="LBX465"/>
      <c r="LBY465"/>
      <c r="LBZ465"/>
      <c r="LCA465"/>
      <c r="LCB465"/>
      <c r="LCC465"/>
      <c r="LCD465"/>
      <c r="LCE465"/>
      <c r="LCF465"/>
      <c r="LCG465"/>
      <c r="LCH465"/>
      <c r="LCI465"/>
      <c r="LCJ465"/>
      <c r="LCK465"/>
      <c r="LCL465"/>
      <c r="LCM465"/>
      <c r="LCN465"/>
      <c r="LCO465"/>
      <c r="LCP465"/>
      <c r="LCQ465"/>
      <c r="LCR465"/>
      <c r="LCS465"/>
      <c r="LCT465"/>
      <c r="LCU465"/>
      <c r="LCV465"/>
      <c r="LCW465"/>
      <c r="LCX465"/>
      <c r="LCY465"/>
      <c r="LCZ465"/>
      <c r="LDA465"/>
      <c r="LDB465"/>
      <c r="LDC465"/>
      <c r="LDD465"/>
      <c r="LDE465"/>
      <c r="LDF465"/>
      <c r="LDG465"/>
      <c r="LDH465"/>
      <c r="LDI465"/>
      <c r="LDJ465"/>
      <c r="LDK465"/>
      <c r="LDL465"/>
      <c r="LDM465"/>
      <c r="LDN465"/>
      <c r="LDO465"/>
      <c r="LDP465"/>
      <c r="LDQ465"/>
      <c r="LDR465"/>
      <c r="LDS465"/>
      <c r="LDT465"/>
      <c r="LDU465"/>
      <c r="LDV465"/>
      <c r="LDW465"/>
      <c r="LDX465"/>
      <c r="LDY465"/>
      <c r="LDZ465"/>
      <c r="LEA465"/>
      <c r="LEB465"/>
      <c r="LEC465"/>
      <c r="LED465"/>
      <c r="LEE465"/>
      <c r="LEF465"/>
      <c r="LEG465"/>
      <c r="LEH465"/>
      <c r="LEI465"/>
      <c r="LEJ465"/>
      <c r="LEK465"/>
      <c r="LEL465"/>
      <c r="LEM465"/>
      <c r="LEN465"/>
      <c r="LEO465"/>
      <c r="LEP465"/>
      <c r="LEQ465"/>
      <c r="LER465"/>
      <c r="LES465"/>
      <c r="LET465"/>
      <c r="LEU465"/>
      <c r="LEV465"/>
      <c r="LEW465"/>
      <c r="LEX465"/>
      <c r="LEY465"/>
      <c r="LEZ465"/>
      <c r="LFA465"/>
      <c r="LFB465"/>
      <c r="LFC465"/>
      <c r="LFD465"/>
      <c r="LFE465"/>
      <c r="LFF465"/>
      <c r="LFG465"/>
      <c r="LFH465"/>
      <c r="LFI465"/>
      <c r="LFJ465"/>
      <c r="LFK465"/>
      <c r="LFL465"/>
      <c r="LFM465"/>
      <c r="LFN465"/>
      <c r="LFO465"/>
      <c r="LFP465"/>
      <c r="LFQ465"/>
      <c r="LFR465"/>
      <c r="LFS465"/>
      <c r="LFT465"/>
      <c r="LFU465"/>
      <c r="LFV465"/>
      <c r="LFW465"/>
      <c r="LFX465"/>
      <c r="LFY465"/>
      <c r="LFZ465"/>
      <c r="LGA465"/>
      <c r="LGB465"/>
      <c r="LGC465"/>
      <c r="LGD465"/>
      <c r="LGE465"/>
      <c r="LGF465"/>
      <c r="LGG465"/>
      <c r="LGH465"/>
      <c r="LGI465"/>
      <c r="LGJ465"/>
      <c r="LGK465"/>
      <c r="LGL465"/>
      <c r="LGM465"/>
      <c r="LGN465"/>
      <c r="LGO465"/>
      <c r="LGP465"/>
      <c r="LGQ465"/>
      <c r="LGR465"/>
      <c r="LGS465"/>
      <c r="LGT465"/>
      <c r="LGU465"/>
      <c r="LGV465"/>
      <c r="LGW465"/>
      <c r="LGX465"/>
      <c r="LGY465"/>
      <c r="LGZ465"/>
      <c r="LHA465"/>
      <c r="LHB465"/>
      <c r="LHC465"/>
      <c r="LHD465"/>
      <c r="LHE465"/>
      <c r="LHF465"/>
      <c r="LHG465"/>
      <c r="LHH465"/>
      <c r="LHI465"/>
      <c r="LHJ465"/>
      <c r="LHK465"/>
      <c r="LHL465"/>
      <c r="LHM465"/>
      <c r="LHN465"/>
      <c r="LHO465"/>
      <c r="LHP465"/>
      <c r="LHQ465"/>
      <c r="LHR465"/>
      <c r="LHS465"/>
      <c r="LHT465"/>
      <c r="LHU465"/>
      <c r="LHV465"/>
      <c r="LHW465"/>
      <c r="LHX465"/>
      <c r="LHY465"/>
      <c r="LHZ465"/>
      <c r="LIA465"/>
      <c r="LIB465"/>
      <c r="LIC465"/>
      <c r="LID465"/>
      <c r="LIE465"/>
      <c r="LIF465"/>
      <c r="LIG465"/>
      <c r="LIH465"/>
      <c r="LII465"/>
      <c r="LIJ465"/>
      <c r="LIK465"/>
      <c r="LIL465"/>
      <c r="LIM465"/>
      <c r="LIN465"/>
      <c r="LIO465"/>
      <c r="LIP465"/>
      <c r="LIQ465"/>
      <c r="LIR465"/>
      <c r="LIS465"/>
      <c r="LIT465"/>
      <c r="LIU465"/>
      <c r="LIV465"/>
      <c r="LIW465"/>
      <c r="LIX465"/>
      <c r="LIY465"/>
      <c r="LIZ465"/>
      <c r="LJA465"/>
      <c r="LJB465"/>
      <c r="LJC465"/>
      <c r="LJD465"/>
      <c r="LJE465"/>
      <c r="LJF465"/>
      <c r="LJG465"/>
      <c r="LJH465"/>
      <c r="LJI465"/>
      <c r="LJJ465"/>
      <c r="LJK465"/>
      <c r="LJL465"/>
      <c r="LJM465"/>
      <c r="LJN465"/>
      <c r="LJO465"/>
      <c r="LJP465"/>
      <c r="LJQ465"/>
      <c r="LJR465"/>
      <c r="LJS465"/>
      <c r="LJT465"/>
      <c r="LJU465"/>
      <c r="LJV465"/>
      <c r="LJW465"/>
      <c r="LJX465"/>
      <c r="LJY465"/>
      <c r="LJZ465"/>
      <c r="LKA465"/>
      <c r="LKB465"/>
      <c r="LKC465"/>
      <c r="LKD465"/>
      <c r="LKE465"/>
      <c r="LKF465"/>
      <c r="LKG465"/>
      <c r="LKH465"/>
      <c r="LKI465"/>
      <c r="LKJ465"/>
      <c r="LKK465"/>
      <c r="LKL465"/>
      <c r="LKM465"/>
      <c r="LKN465"/>
      <c r="LKO465"/>
      <c r="LKP465"/>
      <c r="LKQ465"/>
      <c r="LKR465"/>
      <c r="LKS465"/>
      <c r="LKT465"/>
      <c r="LKU465"/>
      <c r="LKV465"/>
      <c r="LKW465"/>
      <c r="LKX465"/>
      <c r="LKY465"/>
      <c r="LKZ465"/>
      <c r="LLA465"/>
      <c r="LLB465"/>
      <c r="LLC465"/>
      <c r="LLD465"/>
      <c r="LLE465"/>
      <c r="LLF465"/>
      <c r="LLG465"/>
      <c r="LLH465"/>
      <c r="LLI465"/>
      <c r="LLJ465"/>
      <c r="LLK465"/>
      <c r="LLL465"/>
      <c r="LLM465"/>
      <c r="LLN465"/>
      <c r="LLO465"/>
      <c r="LLP465"/>
      <c r="LLQ465"/>
      <c r="LLR465"/>
      <c r="LLS465"/>
      <c r="LLT465"/>
      <c r="LLU465"/>
      <c r="LLV465"/>
      <c r="LLW465"/>
      <c r="LLX465"/>
      <c r="LLY465"/>
      <c r="LLZ465"/>
      <c r="LMA465"/>
      <c r="LMB465"/>
      <c r="LMC465"/>
      <c r="LMD465"/>
      <c r="LME465"/>
      <c r="LMF465"/>
      <c r="LMG465"/>
      <c r="LMH465"/>
      <c r="LMI465"/>
      <c r="LMJ465"/>
      <c r="LMK465"/>
      <c r="LML465"/>
      <c r="LMM465"/>
      <c r="LMN465"/>
      <c r="LMO465"/>
      <c r="LMP465"/>
      <c r="LMQ465"/>
      <c r="LMR465"/>
      <c r="LMS465"/>
      <c r="LMT465"/>
      <c r="LMU465"/>
      <c r="LMV465"/>
      <c r="LMW465"/>
      <c r="LMX465"/>
      <c r="LMY465"/>
      <c r="LMZ465"/>
      <c r="LNA465"/>
      <c r="LNB465"/>
      <c r="LNC465"/>
      <c r="LND465"/>
      <c r="LNE465"/>
      <c r="LNF465"/>
      <c r="LNG465"/>
      <c r="LNH465"/>
      <c r="LNI465"/>
      <c r="LNJ465"/>
      <c r="LNK465"/>
      <c r="LNL465"/>
      <c r="LNM465"/>
      <c r="LNN465"/>
      <c r="LNO465"/>
      <c r="LNP465"/>
      <c r="LNQ465"/>
      <c r="LNR465"/>
      <c r="LNS465"/>
      <c r="LNT465"/>
      <c r="LNU465"/>
      <c r="LNV465"/>
      <c r="LNW465"/>
      <c r="LNX465"/>
      <c r="LNY465"/>
      <c r="LNZ465"/>
      <c r="LOA465"/>
      <c r="LOB465"/>
      <c r="LOC465"/>
      <c r="LOD465"/>
      <c r="LOE465"/>
      <c r="LOF465"/>
      <c r="LOG465"/>
      <c r="LOH465"/>
      <c r="LOI465"/>
      <c r="LOJ465"/>
      <c r="LOK465"/>
      <c r="LOL465"/>
      <c r="LOM465"/>
      <c r="LON465"/>
      <c r="LOO465"/>
      <c r="LOP465"/>
      <c r="LOQ465"/>
      <c r="LOR465"/>
      <c r="LOS465"/>
      <c r="LOT465"/>
      <c r="LOU465"/>
      <c r="LOV465"/>
      <c r="LOW465"/>
      <c r="LOX465"/>
      <c r="LOY465"/>
      <c r="LOZ465"/>
      <c r="LPA465"/>
      <c r="LPB465"/>
      <c r="LPC465"/>
      <c r="LPD465"/>
      <c r="LPE465"/>
      <c r="LPF465"/>
      <c r="LPG465"/>
      <c r="LPH465"/>
      <c r="LPI465"/>
      <c r="LPJ465"/>
      <c r="LPK465"/>
      <c r="LPL465"/>
      <c r="LPM465"/>
      <c r="LPN465"/>
      <c r="LPO465"/>
      <c r="LPP465"/>
      <c r="LPQ465"/>
      <c r="LPR465"/>
      <c r="LPS465"/>
      <c r="LPT465"/>
      <c r="LPU465"/>
      <c r="LPV465"/>
      <c r="LPW465"/>
      <c r="LPX465"/>
      <c r="LPY465"/>
      <c r="LPZ465"/>
      <c r="LQA465"/>
      <c r="LQB465"/>
      <c r="LQC465"/>
      <c r="LQD465"/>
      <c r="LQE465"/>
      <c r="LQF465"/>
      <c r="LQG465"/>
      <c r="LQH465"/>
      <c r="LQI465"/>
      <c r="LQJ465"/>
      <c r="LQK465"/>
      <c r="LQL465"/>
      <c r="LQM465"/>
      <c r="LQN465"/>
      <c r="LQO465"/>
      <c r="LQP465"/>
      <c r="LQQ465"/>
      <c r="LQR465"/>
      <c r="LQS465"/>
      <c r="LQT465"/>
      <c r="LQU465"/>
      <c r="LQV465"/>
      <c r="LQW465"/>
      <c r="LQX465"/>
      <c r="LQY465"/>
      <c r="LQZ465"/>
      <c r="LRA465"/>
      <c r="LRB465"/>
      <c r="LRC465"/>
      <c r="LRD465"/>
      <c r="LRE465"/>
      <c r="LRF465"/>
      <c r="LRG465"/>
      <c r="LRH465"/>
      <c r="LRI465"/>
      <c r="LRJ465"/>
      <c r="LRK465"/>
      <c r="LRL465"/>
      <c r="LRM465"/>
      <c r="LRN465"/>
      <c r="LRO465"/>
      <c r="LRP465"/>
      <c r="LRQ465"/>
      <c r="LRR465"/>
      <c r="LRS465"/>
      <c r="LRT465"/>
      <c r="LRU465"/>
      <c r="LRV465"/>
      <c r="LRW465"/>
      <c r="LRX465"/>
      <c r="LRY465"/>
      <c r="LRZ465"/>
      <c r="LSA465"/>
      <c r="LSB465"/>
      <c r="LSC465"/>
      <c r="LSD465"/>
      <c r="LSE465"/>
      <c r="LSF465"/>
      <c r="LSG465"/>
      <c r="LSH465"/>
      <c r="LSI465"/>
      <c r="LSJ465"/>
      <c r="LSK465"/>
      <c r="LSL465"/>
      <c r="LSM465"/>
      <c r="LSN465"/>
      <c r="LSO465"/>
      <c r="LSP465"/>
      <c r="LSQ465"/>
      <c r="LSR465"/>
      <c r="LSS465"/>
      <c r="LST465"/>
      <c r="LSU465"/>
      <c r="LSV465"/>
      <c r="LSW465"/>
      <c r="LSX465"/>
      <c r="LSY465"/>
      <c r="LSZ465"/>
      <c r="LTA465"/>
      <c r="LTB465"/>
      <c r="LTC465"/>
      <c r="LTD465"/>
      <c r="LTE465"/>
      <c r="LTF465"/>
      <c r="LTG465"/>
      <c r="LTH465"/>
      <c r="LTI465"/>
      <c r="LTJ465"/>
      <c r="LTK465"/>
      <c r="LTL465"/>
      <c r="LTM465"/>
      <c r="LTN465"/>
      <c r="LTO465"/>
      <c r="LTP465"/>
      <c r="LTQ465"/>
      <c r="LTR465"/>
      <c r="LTS465"/>
      <c r="LTT465"/>
      <c r="LTU465"/>
      <c r="LTV465"/>
      <c r="LTW465"/>
      <c r="LTX465"/>
      <c r="LTY465"/>
      <c r="LTZ465"/>
      <c r="LUA465"/>
      <c r="LUB465"/>
      <c r="LUC465"/>
      <c r="LUD465"/>
      <c r="LUE465"/>
      <c r="LUF465"/>
      <c r="LUG465"/>
      <c r="LUH465"/>
      <c r="LUI465"/>
      <c r="LUJ465"/>
      <c r="LUK465"/>
      <c r="LUL465"/>
      <c r="LUM465"/>
      <c r="LUN465"/>
      <c r="LUO465"/>
      <c r="LUP465"/>
      <c r="LUQ465"/>
      <c r="LUR465"/>
      <c r="LUS465"/>
      <c r="LUT465"/>
      <c r="LUU465"/>
      <c r="LUV465"/>
      <c r="LUW465"/>
      <c r="LUX465"/>
      <c r="LUY465"/>
      <c r="LUZ465"/>
      <c r="LVA465"/>
      <c r="LVB465"/>
      <c r="LVC465"/>
      <c r="LVD465"/>
      <c r="LVE465"/>
      <c r="LVF465"/>
      <c r="LVG465"/>
      <c r="LVH465"/>
      <c r="LVI465"/>
      <c r="LVJ465"/>
      <c r="LVK465"/>
      <c r="LVL465"/>
      <c r="LVM465"/>
      <c r="LVN465"/>
      <c r="LVO465"/>
      <c r="LVP465"/>
      <c r="LVQ465"/>
      <c r="LVR465"/>
      <c r="LVS465"/>
      <c r="LVT465"/>
      <c r="LVU465"/>
      <c r="LVV465"/>
      <c r="LVW465"/>
      <c r="LVX465"/>
      <c r="LVY465"/>
      <c r="LVZ465"/>
      <c r="LWA465"/>
      <c r="LWB465"/>
      <c r="LWC465"/>
      <c r="LWD465"/>
      <c r="LWE465"/>
      <c r="LWF465"/>
      <c r="LWG465"/>
      <c r="LWH465"/>
      <c r="LWI465"/>
      <c r="LWJ465"/>
      <c r="LWK465"/>
      <c r="LWL465"/>
      <c r="LWM465"/>
      <c r="LWN465"/>
      <c r="LWO465"/>
      <c r="LWP465"/>
      <c r="LWQ465"/>
      <c r="LWR465"/>
      <c r="LWS465"/>
      <c r="LWT465"/>
      <c r="LWU465"/>
      <c r="LWV465"/>
      <c r="LWW465"/>
      <c r="LWX465"/>
      <c r="LWY465"/>
      <c r="LWZ465"/>
      <c r="LXA465"/>
      <c r="LXB465"/>
      <c r="LXC465"/>
      <c r="LXD465"/>
      <c r="LXE465"/>
      <c r="LXF465"/>
      <c r="LXG465"/>
      <c r="LXH465"/>
      <c r="LXI465"/>
      <c r="LXJ465"/>
      <c r="LXK465"/>
      <c r="LXL465"/>
      <c r="LXM465"/>
      <c r="LXN465"/>
      <c r="LXO465"/>
      <c r="LXP465"/>
      <c r="LXQ465"/>
      <c r="LXR465"/>
      <c r="LXS465"/>
      <c r="LXT465"/>
      <c r="LXU465"/>
      <c r="LXV465"/>
      <c r="LXW465"/>
      <c r="LXX465"/>
      <c r="LXY465"/>
      <c r="LXZ465"/>
      <c r="LYA465"/>
      <c r="LYB465"/>
      <c r="LYC465"/>
      <c r="LYD465"/>
      <c r="LYE465"/>
      <c r="LYF465"/>
      <c r="LYG465"/>
      <c r="LYH465"/>
      <c r="LYI465"/>
      <c r="LYJ465"/>
      <c r="LYK465"/>
      <c r="LYL465"/>
      <c r="LYM465"/>
      <c r="LYN465"/>
      <c r="LYO465"/>
      <c r="LYP465"/>
      <c r="LYQ465"/>
      <c r="LYR465"/>
      <c r="LYS465"/>
      <c r="LYT465"/>
      <c r="LYU465"/>
      <c r="LYV465"/>
      <c r="LYW465"/>
      <c r="LYX465"/>
      <c r="LYY465"/>
      <c r="LYZ465"/>
      <c r="LZA465"/>
      <c r="LZB465"/>
      <c r="LZC465"/>
      <c r="LZD465"/>
      <c r="LZE465"/>
      <c r="LZF465"/>
      <c r="LZG465"/>
      <c r="LZH465"/>
      <c r="LZI465"/>
      <c r="LZJ465"/>
      <c r="LZK465"/>
      <c r="LZL465"/>
      <c r="LZM465"/>
      <c r="LZN465"/>
      <c r="LZO465"/>
      <c r="LZP465"/>
      <c r="LZQ465"/>
      <c r="LZR465"/>
      <c r="LZS465"/>
      <c r="LZT465"/>
      <c r="LZU465"/>
      <c r="LZV465"/>
      <c r="LZW465"/>
      <c r="LZX465"/>
      <c r="LZY465"/>
      <c r="LZZ465"/>
      <c r="MAA465"/>
      <c r="MAB465"/>
      <c r="MAC465"/>
      <c r="MAD465"/>
      <c r="MAE465"/>
      <c r="MAF465"/>
      <c r="MAG465"/>
      <c r="MAH465"/>
      <c r="MAI465"/>
      <c r="MAJ465"/>
      <c r="MAK465"/>
      <c r="MAL465"/>
      <c r="MAM465"/>
      <c r="MAN465"/>
      <c r="MAO465"/>
      <c r="MAP465"/>
      <c r="MAQ465"/>
      <c r="MAR465"/>
      <c r="MAS465"/>
      <c r="MAT465"/>
      <c r="MAU465"/>
      <c r="MAV465"/>
      <c r="MAW465"/>
      <c r="MAX465"/>
      <c r="MAY465"/>
      <c r="MAZ465"/>
      <c r="MBA465"/>
      <c r="MBB465"/>
      <c r="MBC465"/>
      <c r="MBD465"/>
      <c r="MBE465"/>
      <c r="MBF465"/>
      <c r="MBG465"/>
      <c r="MBH465"/>
      <c r="MBI465"/>
      <c r="MBJ465"/>
      <c r="MBK465"/>
      <c r="MBL465"/>
      <c r="MBM465"/>
      <c r="MBN465"/>
      <c r="MBO465"/>
      <c r="MBP465"/>
      <c r="MBQ465"/>
      <c r="MBR465"/>
      <c r="MBS465"/>
      <c r="MBT465"/>
      <c r="MBU465"/>
      <c r="MBV465"/>
      <c r="MBW465"/>
      <c r="MBX465"/>
      <c r="MBY465"/>
      <c r="MBZ465"/>
      <c r="MCA465"/>
      <c r="MCB465"/>
      <c r="MCC465"/>
      <c r="MCD465"/>
      <c r="MCE465"/>
      <c r="MCF465"/>
      <c r="MCG465"/>
      <c r="MCH465"/>
      <c r="MCI465"/>
      <c r="MCJ465"/>
      <c r="MCK465"/>
      <c r="MCL465"/>
      <c r="MCM465"/>
      <c r="MCN465"/>
      <c r="MCO465"/>
      <c r="MCP465"/>
      <c r="MCQ465"/>
      <c r="MCR465"/>
      <c r="MCS465"/>
      <c r="MCT465"/>
      <c r="MCU465"/>
      <c r="MCV465"/>
      <c r="MCW465"/>
      <c r="MCX465"/>
      <c r="MCY465"/>
      <c r="MCZ465"/>
      <c r="MDA465"/>
      <c r="MDB465"/>
      <c r="MDC465"/>
      <c r="MDD465"/>
      <c r="MDE465"/>
      <c r="MDF465"/>
      <c r="MDG465"/>
      <c r="MDH465"/>
      <c r="MDI465"/>
      <c r="MDJ465"/>
      <c r="MDK465"/>
      <c r="MDL465"/>
      <c r="MDM465"/>
      <c r="MDN465"/>
      <c r="MDO465"/>
      <c r="MDP465"/>
      <c r="MDQ465"/>
      <c r="MDR465"/>
      <c r="MDS465"/>
      <c r="MDT465"/>
      <c r="MDU465"/>
      <c r="MDV465"/>
      <c r="MDW465"/>
      <c r="MDX465"/>
      <c r="MDY465"/>
      <c r="MDZ465"/>
      <c r="MEA465"/>
      <c r="MEB465"/>
      <c r="MEC465"/>
      <c r="MED465"/>
      <c r="MEE465"/>
      <c r="MEF465"/>
      <c r="MEG465"/>
      <c r="MEH465"/>
      <c r="MEI465"/>
      <c r="MEJ465"/>
      <c r="MEK465"/>
      <c r="MEL465"/>
      <c r="MEM465"/>
      <c r="MEN465"/>
      <c r="MEO465"/>
      <c r="MEP465"/>
      <c r="MEQ465"/>
      <c r="MER465"/>
      <c r="MES465"/>
      <c r="MET465"/>
      <c r="MEU465"/>
      <c r="MEV465"/>
      <c r="MEW465"/>
      <c r="MEX465"/>
      <c r="MEY465"/>
      <c r="MEZ465"/>
      <c r="MFA465"/>
      <c r="MFB465"/>
      <c r="MFC465"/>
      <c r="MFD465"/>
      <c r="MFE465"/>
      <c r="MFF465"/>
      <c r="MFG465"/>
      <c r="MFH465"/>
      <c r="MFI465"/>
      <c r="MFJ465"/>
      <c r="MFK465"/>
      <c r="MFL465"/>
      <c r="MFM465"/>
      <c r="MFN465"/>
      <c r="MFO465"/>
      <c r="MFP465"/>
      <c r="MFQ465"/>
      <c r="MFR465"/>
      <c r="MFS465"/>
      <c r="MFT465"/>
      <c r="MFU465"/>
      <c r="MFV465"/>
      <c r="MFW465"/>
      <c r="MFX465"/>
      <c r="MFY465"/>
      <c r="MFZ465"/>
      <c r="MGA465"/>
      <c r="MGB465"/>
      <c r="MGC465"/>
      <c r="MGD465"/>
      <c r="MGE465"/>
      <c r="MGF465"/>
      <c r="MGG465"/>
      <c r="MGH465"/>
      <c r="MGI465"/>
      <c r="MGJ465"/>
      <c r="MGK465"/>
      <c r="MGL465"/>
      <c r="MGM465"/>
      <c r="MGN465"/>
      <c r="MGO465"/>
      <c r="MGP465"/>
      <c r="MGQ465"/>
      <c r="MGR465"/>
      <c r="MGS465"/>
      <c r="MGT465"/>
      <c r="MGU465"/>
      <c r="MGV465"/>
      <c r="MGW465"/>
      <c r="MGX465"/>
      <c r="MGY465"/>
      <c r="MGZ465"/>
      <c r="MHA465"/>
      <c r="MHB465"/>
      <c r="MHC465"/>
      <c r="MHD465"/>
      <c r="MHE465"/>
      <c r="MHF465"/>
      <c r="MHG465"/>
      <c r="MHH465"/>
      <c r="MHI465"/>
      <c r="MHJ465"/>
      <c r="MHK465"/>
      <c r="MHL465"/>
      <c r="MHM465"/>
      <c r="MHN465"/>
      <c r="MHO465"/>
      <c r="MHP465"/>
      <c r="MHQ465"/>
      <c r="MHR465"/>
      <c r="MHS465"/>
      <c r="MHT465"/>
      <c r="MHU465"/>
      <c r="MHV465"/>
      <c r="MHW465"/>
      <c r="MHX465"/>
      <c r="MHY465"/>
      <c r="MHZ465"/>
      <c r="MIA465"/>
      <c r="MIB465"/>
      <c r="MIC465"/>
      <c r="MID465"/>
      <c r="MIE465"/>
      <c r="MIF465"/>
      <c r="MIG465"/>
      <c r="MIH465"/>
      <c r="MII465"/>
      <c r="MIJ465"/>
      <c r="MIK465"/>
      <c r="MIL465"/>
      <c r="MIM465"/>
      <c r="MIN465"/>
      <c r="MIO465"/>
      <c r="MIP465"/>
      <c r="MIQ465"/>
      <c r="MIR465"/>
      <c r="MIS465"/>
      <c r="MIT465"/>
      <c r="MIU465"/>
      <c r="MIV465"/>
      <c r="MIW465"/>
      <c r="MIX465"/>
      <c r="MIY465"/>
      <c r="MIZ465"/>
      <c r="MJA465"/>
      <c r="MJB465"/>
      <c r="MJC465"/>
      <c r="MJD465"/>
      <c r="MJE465"/>
      <c r="MJF465"/>
      <c r="MJG465"/>
      <c r="MJH465"/>
      <c r="MJI465"/>
      <c r="MJJ465"/>
      <c r="MJK465"/>
      <c r="MJL465"/>
      <c r="MJM465"/>
      <c r="MJN465"/>
      <c r="MJO465"/>
      <c r="MJP465"/>
      <c r="MJQ465"/>
      <c r="MJR465"/>
      <c r="MJS465"/>
      <c r="MJT465"/>
      <c r="MJU465"/>
      <c r="MJV465"/>
      <c r="MJW465"/>
      <c r="MJX465"/>
      <c r="MJY465"/>
      <c r="MJZ465"/>
      <c r="MKA465"/>
      <c r="MKB465"/>
      <c r="MKC465"/>
      <c r="MKD465"/>
      <c r="MKE465"/>
      <c r="MKF465"/>
      <c r="MKG465"/>
      <c r="MKH465"/>
      <c r="MKI465"/>
      <c r="MKJ465"/>
      <c r="MKK465"/>
      <c r="MKL465"/>
      <c r="MKM465"/>
      <c r="MKN465"/>
      <c r="MKO465"/>
      <c r="MKP465"/>
      <c r="MKQ465"/>
      <c r="MKR465"/>
      <c r="MKS465"/>
      <c r="MKT465"/>
      <c r="MKU465"/>
      <c r="MKV465"/>
      <c r="MKW465"/>
      <c r="MKX465"/>
      <c r="MKY465"/>
      <c r="MKZ465"/>
      <c r="MLA465"/>
      <c r="MLB465"/>
      <c r="MLC465"/>
      <c r="MLD465"/>
      <c r="MLE465"/>
      <c r="MLF465"/>
      <c r="MLG465"/>
      <c r="MLH465"/>
      <c r="MLI465"/>
      <c r="MLJ465"/>
      <c r="MLK465"/>
      <c r="MLL465"/>
      <c r="MLM465"/>
      <c r="MLN465"/>
      <c r="MLO465"/>
      <c r="MLP465"/>
      <c r="MLQ465"/>
      <c r="MLR465"/>
      <c r="MLS465"/>
      <c r="MLT465"/>
      <c r="MLU465"/>
      <c r="MLV465"/>
      <c r="MLW465"/>
      <c r="MLX465"/>
      <c r="MLY465"/>
      <c r="MLZ465"/>
      <c r="MMA465"/>
      <c r="MMB465"/>
      <c r="MMC465"/>
      <c r="MMD465"/>
      <c r="MME465"/>
      <c r="MMF465"/>
      <c r="MMG465"/>
      <c r="MMH465"/>
      <c r="MMI465"/>
      <c r="MMJ465"/>
      <c r="MMK465"/>
      <c r="MML465"/>
      <c r="MMM465"/>
      <c r="MMN465"/>
      <c r="MMO465"/>
      <c r="MMP465"/>
      <c r="MMQ465"/>
      <c r="MMR465"/>
      <c r="MMS465"/>
      <c r="MMT465"/>
      <c r="MMU465"/>
      <c r="MMV465"/>
      <c r="MMW465"/>
      <c r="MMX465"/>
      <c r="MMY465"/>
      <c r="MMZ465"/>
      <c r="MNA465"/>
      <c r="MNB465"/>
      <c r="MNC465"/>
      <c r="MND465"/>
      <c r="MNE465"/>
      <c r="MNF465"/>
      <c r="MNG465"/>
      <c r="MNH465"/>
      <c r="MNI465"/>
      <c r="MNJ465"/>
      <c r="MNK465"/>
      <c r="MNL465"/>
      <c r="MNM465"/>
      <c r="MNN465"/>
      <c r="MNO465"/>
      <c r="MNP465"/>
      <c r="MNQ465"/>
      <c r="MNR465"/>
      <c r="MNS465"/>
      <c r="MNT465"/>
      <c r="MNU465"/>
      <c r="MNV465"/>
      <c r="MNW465"/>
      <c r="MNX465"/>
      <c r="MNY465"/>
      <c r="MNZ465"/>
      <c r="MOA465"/>
      <c r="MOB465"/>
      <c r="MOC465"/>
      <c r="MOD465"/>
      <c r="MOE465"/>
      <c r="MOF465"/>
      <c r="MOG465"/>
      <c r="MOH465"/>
      <c r="MOI465"/>
      <c r="MOJ465"/>
      <c r="MOK465"/>
      <c r="MOL465"/>
      <c r="MOM465"/>
      <c r="MON465"/>
      <c r="MOO465"/>
      <c r="MOP465"/>
      <c r="MOQ465"/>
      <c r="MOR465"/>
      <c r="MOS465"/>
      <c r="MOT465"/>
      <c r="MOU465"/>
      <c r="MOV465"/>
      <c r="MOW465"/>
      <c r="MOX465"/>
      <c r="MOY465"/>
      <c r="MOZ465"/>
      <c r="MPA465"/>
      <c r="MPB465"/>
      <c r="MPC465"/>
      <c r="MPD465"/>
      <c r="MPE465"/>
      <c r="MPF465"/>
      <c r="MPG465"/>
      <c r="MPH465"/>
      <c r="MPI465"/>
      <c r="MPJ465"/>
      <c r="MPK465"/>
      <c r="MPL465"/>
      <c r="MPM465"/>
      <c r="MPN465"/>
      <c r="MPO465"/>
      <c r="MPP465"/>
      <c r="MPQ465"/>
      <c r="MPR465"/>
      <c r="MPS465"/>
      <c r="MPT465"/>
      <c r="MPU465"/>
      <c r="MPV465"/>
      <c r="MPW465"/>
      <c r="MPX465"/>
      <c r="MPY465"/>
      <c r="MPZ465"/>
      <c r="MQA465"/>
      <c r="MQB465"/>
      <c r="MQC465"/>
      <c r="MQD465"/>
      <c r="MQE465"/>
      <c r="MQF465"/>
      <c r="MQG465"/>
      <c r="MQH465"/>
      <c r="MQI465"/>
      <c r="MQJ465"/>
      <c r="MQK465"/>
      <c r="MQL465"/>
      <c r="MQM465"/>
      <c r="MQN465"/>
      <c r="MQO465"/>
      <c r="MQP465"/>
      <c r="MQQ465"/>
      <c r="MQR465"/>
      <c r="MQS465"/>
      <c r="MQT465"/>
      <c r="MQU465"/>
      <c r="MQV465"/>
      <c r="MQW465"/>
      <c r="MQX465"/>
      <c r="MQY465"/>
      <c r="MQZ465"/>
      <c r="MRA465"/>
      <c r="MRB465"/>
      <c r="MRC465"/>
      <c r="MRD465"/>
      <c r="MRE465"/>
      <c r="MRF465"/>
      <c r="MRG465"/>
      <c r="MRH465"/>
      <c r="MRI465"/>
      <c r="MRJ465"/>
      <c r="MRK465"/>
      <c r="MRL465"/>
      <c r="MRM465"/>
      <c r="MRN465"/>
      <c r="MRO465"/>
      <c r="MRP465"/>
      <c r="MRQ465"/>
      <c r="MRR465"/>
      <c r="MRS465"/>
      <c r="MRT465"/>
      <c r="MRU465"/>
      <c r="MRV465"/>
      <c r="MRW465"/>
      <c r="MRX465"/>
      <c r="MRY465"/>
      <c r="MRZ465"/>
      <c r="MSA465"/>
      <c r="MSB465"/>
      <c r="MSC465"/>
      <c r="MSD465"/>
      <c r="MSE465"/>
      <c r="MSF465"/>
      <c r="MSG465"/>
      <c r="MSH465"/>
      <c r="MSI465"/>
      <c r="MSJ465"/>
      <c r="MSK465"/>
      <c r="MSL465"/>
      <c r="MSM465"/>
      <c r="MSN465"/>
      <c r="MSO465"/>
      <c r="MSP465"/>
      <c r="MSQ465"/>
      <c r="MSR465"/>
      <c r="MSS465"/>
      <c r="MST465"/>
      <c r="MSU465"/>
      <c r="MSV465"/>
      <c r="MSW465"/>
      <c r="MSX465"/>
      <c r="MSY465"/>
      <c r="MSZ465"/>
      <c r="MTA465"/>
      <c r="MTB465"/>
      <c r="MTC465"/>
      <c r="MTD465"/>
      <c r="MTE465"/>
      <c r="MTF465"/>
      <c r="MTG465"/>
      <c r="MTH465"/>
      <c r="MTI465"/>
      <c r="MTJ465"/>
      <c r="MTK465"/>
      <c r="MTL465"/>
      <c r="MTM465"/>
      <c r="MTN465"/>
      <c r="MTO465"/>
      <c r="MTP465"/>
      <c r="MTQ465"/>
      <c r="MTR465"/>
      <c r="MTS465"/>
      <c r="MTT465"/>
      <c r="MTU465"/>
      <c r="MTV465"/>
      <c r="MTW465"/>
      <c r="MTX465"/>
      <c r="MTY465"/>
      <c r="MTZ465"/>
      <c r="MUA465"/>
      <c r="MUB465"/>
      <c r="MUC465"/>
      <c r="MUD465"/>
      <c r="MUE465"/>
      <c r="MUF465"/>
      <c r="MUG465"/>
      <c r="MUH465"/>
      <c r="MUI465"/>
      <c r="MUJ465"/>
      <c r="MUK465"/>
      <c r="MUL465"/>
      <c r="MUM465"/>
      <c r="MUN465"/>
      <c r="MUO465"/>
      <c r="MUP465"/>
      <c r="MUQ465"/>
      <c r="MUR465"/>
      <c r="MUS465"/>
      <c r="MUT465"/>
      <c r="MUU465"/>
      <c r="MUV465"/>
      <c r="MUW465"/>
      <c r="MUX465"/>
      <c r="MUY465"/>
      <c r="MUZ465"/>
      <c r="MVA465"/>
      <c r="MVB465"/>
      <c r="MVC465"/>
      <c r="MVD465"/>
      <c r="MVE465"/>
      <c r="MVF465"/>
      <c r="MVG465"/>
      <c r="MVH465"/>
      <c r="MVI465"/>
      <c r="MVJ465"/>
      <c r="MVK465"/>
      <c r="MVL465"/>
      <c r="MVM465"/>
      <c r="MVN465"/>
      <c r="MVO465"/>
      <c r="MVP465"/>
      <c r="MVQ465"/>
      <c r="MVR465"/>
      <c r="MVS465"/>
      <c r="MVT465"/>
      <c r="MVU465"/>
      <c r="MVV465"/>
      <c r="MVW465"/>
      <c r="MVX465"/>
      <c r="MVY465"/>
      <c r="MVZ465"/>
      <c r="MWA465"/>
      <c r="MWB465"/>
      <c r="MWC465"/>
      <c r="MWD465"/>
      <c r="MWE465"/>
      <c r="MWF465"/>
      <c r="MWG465"/>
      <c r="MWH465"/>
      <c r="MWI465"/>
      <c r="MWJ465"/>
      <c r="MWK465"/>
      <c r="MWL465"/>
      <c r="MWM465"/>
      <c r="MWN465"/>
      <c r="MWO465"/>
      <c r="MWP465"/>
      <c r="MWQ465"/>
      <c r="MWR465"/>
      <c r="MWS465"/>
      <c r="MWT465"/>
      <c r="MWU465"/>
      <c r="MWV465"/>
      <c r="MWW465"/>
      <c r="MWX465"/>
      <c r="MWY465"/>
      <c r="MWZ465"/>
      <c r="MXA465"/>
      <c r="MXB465"/>
      <c r="MXC465"/>
      <c r="MXD465"/>
      <c r="MXE465"/>
      <c r="MXF465"/>
      <c r="MXG465"/>
      <c r="MXH465"/>
      <c r="MXI465"/>
      <c r="MXJ465"/>
      <c r="MXK465"/>
      <c r="MXL465"/>
      <c r="MXM465"/>
      <c r="MXN465"/>
      <c r="MXO465"/>
      <c r="MXP465"/>
      <c r="MXQ465"/>
      <c r="MXR465"/>
      <c r="MXS465"/>
      <c r="MXT465"/>
      <c r="MXU465"/>
      <c r="MXV465"/>
      <c r="MXW465"/>
      <c r="MXX465"/>
      <c r="MXY465"/>
      <c r="MXZ465"/>
      <c r="MYA465"/>
      <c r="MYB465"/>
      <c r="MYC465"/>
      <c r="MYD465"/>
      <c r="MYE465"/>
      <c r="MYF465"/>
      <c r="MYG465"/>
      <c r="MYH465"/>
      <c r="MYI465"/>
      <c r="MYJ465"/>
      <c r="MYK465"/>
      <c r="MYL465"/>
      <c r="MYM465"/>
      <c r="MYN465"/>
      <c r="MYO465"/>
      <c r="MYP465"/>
      <c r="MYQ465"/>
      <c r="MYR465"/>
      <c r="MYS465"/>
      <c r="MYT465"/>
      <c r="MYU465"/>
      <c r="MYV465"/>
      <c r="MYW465"/>
      <c r="MYX465"/>
      <c r="MYY465"/>
      <c r="MYZ465"/>
      <c r="MZA465"/>
      <c r="MZB465"/>
      <c r="MZC465"/>
      <c r="MZD465"/>
      <c r="MZE465"/>
      <c r="MZF465"/>
      <c r="MZG465"/>
      <c r="MZH465"/>
      <c r="MZI465"/>
      <c r="MZJ465"/>
      <c r="MZK465"/>
      <c r="MZL465"/>
      <c r="MZM465"/>
      <c r="MZN465"/>
      <c r="MZO465"/>
      <c r="MZP465"/>
      <c r="MZQ465"/>
      <c r="MZR465"/>
      <c r="MZS465"/>
      <c r="MZT465"/>
      <c r="MZU465"/>
      <c r="MZV465"/>
      <c r="MZW465"/>
      <c r="MZX465"/>
      <c r="MZY465"/>
      <c r="MZZ465"/>
      <c r="NAA465"/>
      <c r="NAB465"/>
      <c r="NAC465"/>
      <c r="NAD465"/>
      <c r="NAE465"/>
      <c r="NAF465"/>
      <c r="NAG465"/>
      <c r="NAH465"/>
      <c r="NAI465"/>
      <c r="NAJ465"/>
      <c r="NAK465"/>
      <c r="NAL465"/>
      <c r="NAM465"/>
      <c r="NAN465"/>
      <c r="NAO465"/>
      <c r="NAP465"/>
      <c r="NAQ465"/>
      <c r="NAR465"/>
      <c r="NAS465"/>
      <c r="NAT465"/>
      <c r="NAU465"/>
      <c r="NAV465"/>
      <c r="NAW465"/>
      <c r="NAX465"/>
      <c r="NAY465"/>
      <c r="NAZ465"/>
      <c r="NBA465"/>
      <c r="NBB465"/>
      <c r="NBC465"/>
      <c r="NBD465"/>
      <c r="NBE465"/>
      <c r="NBF465"/>
      <c r="NBG465"/>
      <c r="NBH465"/>
      <c r="NBI465"/>
      <c r="NBJ465"/>
      <c r="NBK465"/>
      <c r="NBL465"/>
      <c r="NBM465"/>
      <c r="NBN465"/>
      <c r="NBO465"/>
      <c r="NBP465"/>
      <c r="NBQ465"/>
      <c r="NBR465"/>
      <c r="NBS465"/>
      <c r="NBT465"/>
      <c r="NBU465"/>
      <c r="NBV465"/>
      <c r="NBW465"/>
      <c r="NBX465"/>
      <c r="NBY465"/>
      <c r="NBZ465"/>
      <c r="NCA465"/>
      <c r="NCB465"/>
      <c r="NCC465"/>
      <c r="NCD465"/>
      <c r="NCE465"/>
      <c r="NCF465"/>
      <c r="NCG465"/>
      <c r="NCH465"/>
      <c r="NCI465"/>
      <c r="NCJ465"/>
      <c r="NCK465"/>
      <c r="NCL465"/>
      <c r="NCM465"/>
      <c r="NCN465"/>
      <c r="NCO465"/>
      <c r="NCP465"/>
      <c r="NCQ465"/>
      <c r="NCR465"/>
      <c r="NCS465"/>
      <c r="NCT465"/>
      <c r="NCU465"/>
      <c r="NCV465"/>
      <c r="NCW465"/>
      <c r="NCX465"/>
      <c r="NCY465"/>
      <c r="NCZ465"/>
      <c r="NDA465"/>
      <c r="NDB465"/>
      <c r="NDC465"/>
      <c r="NDD465"/>
      <c r="NDE465"/>
      <c r="NDF465"/>
      <c r="NDG465"/>
      <c r="NDH465"/>
      <c r="NDI465"/>
      <c r="NDJ465"/>
      <c r="NDK465"/>
      <c r="NDL465"/>
      <c r="NDM465"/>
      <c r="NDN465"/>
      <c r="NDO465"/>
      <c r="NDP465"/>
      <c r="NDQ465"/>
      <c r="NDR465"/>
      <c r="NDS465"/>
      <c r="NDT465"/>
      <c r="NDU465"/>
      <c r="NDV465"/>
      <c r="NDW465"/>
      <c r="NDX465"/>
      <c r="NDY465"/>
      <c r="NDZ465"/>
      <c r="NEA465"/>
      <c r="NEB465"/>
      <c r="NEC465"/>
      <c r="NED465"/>
      <c r="NEE465"/>
      <c r="NEF465"/>
      <c r="NEG465"/>
      <c r="NEH465"/>
      <c r="NEI465"/>
      <c r="NEJ465"/>
      <c r="NEK465"/>
      <c r="NEL465"/>
      <c r="NEM465"/>
      <c r="NEN465"/>
      <c r="NEO465"/>
      <c r="NEP465"/>
      <c r="NEQ465"/>
      <c r="NER465"/>
      <c r="NES465"/>
      <c r="NET465"/>
      <c r="NEU465"/>
      <c r="NEV465"/>
      <c r="NEW465"/>
      <c r="NEX465"/>
      <c r="NEY465"/>
      <c r="NEZ465"/>
      <c r="NFA465"/>
      <c r="NFB465"/>
      <c r="NFC465"/>
      <c r="NFD465"/>
      <c r="NFE465"/>
      <c r="NFF465"/>
      <c r="NFG465"/>
      <c r="NFH465"/>
      <c r="NFI465"/>
      <c r="NFJ465"/>
      <c r="NFK465"/>
      <c r="NFL465"/>
      <c r="NFM465"/>
      <c r="NFN465"/>
      <c r="NFO465"/>
      <c r="NFP465"/>
      <c r="NFQ465"/>
      <c r="NFR465"/>
      <c r="NFS465"/>
      <c r="NFT465"/>
      <c r="NFU465"/>
      <c r="NFV465"/>
      <c r="NFW465"/>
      <c r="NFX465"/>
      <c r="NFY465"/>
      <c r="NFZ465"/>
      <c r="NGA465"/>
      <c r="NGB465"/>
      <c r="NGC465"/>
      <c r="NGD465"/>
      <c r="NGE465"/>
      <c r="NGF465"/>
      <c r="NGG465"/>
      <c r="NGH465"/>
      <c r="NGI465"/>
      <c r="NGJ465"/>
      <c r="NGK465"/>
      <c r="NGL465"/>
      <c r="NGM465"/>
      <c r="NGN465"/>
      <c r="NGO465"/>
      <c r="NGP465"/>
      <c r="NGQ465"/>
      <c r="NGR465"/>
      <c r="NGS465"/>
      <c r="NGT465"/>
      <c r="NGU465"/>
      <c r="NGV465"/>
      <c r="NGW465"/>
      <c r="NGX465"/>
      <c r="NGY465"/>
      <c r="NGZ465"/>
      <c r="NHA465"/>
      <c r="NHB465"/>
      <c r="NHC465"/>
      <c r="NHD465"/>
      <c r="NHE465"/>
      <c r="NHF465"/>
      <c r="NHG465"/>
      <c r="NHH465"/>
      <c r="NHI465"/>
      <c r="NHJ465"/>
      <c r="NHK465"/>
      <c r="NHL465"/>
      <c r="NHM465"/>
      <c r="NHN465"/>
      <c r="NHO465"/>
      <c r="NHP465"/>
      <c r="NHQ465"/>
      <c r="NHR465"/>
      <c r="NHS465"/>
      <c r="NHT465"/>
      <c r="NHU465"/>
      <c r="NHV465"/>
      <c r="NHW465"/>
      <c r="NHX465"/>
      <c r="NHY465"/>
      <c r="NHZ465"/>
      <c r="NIA465"/>
      <c r="NIB465"/>
      <c r="NIC465"/>
      <c r="NID465"/>
      <c r="NIE465"/>
      <c r="NIF465"/>
      <c r="NIG465"/>
      <c r="NIH465"/>
      <c r="NII465"/>
      <c r="NIJ465"/>
      <c r="NIK465"/>
      <c r="NIL465"/>
      <c r="NIM465"/>
      <c r="NIN465"/>
      <c r="NIO465"/>
      <c r="NIP465"/>
      <c r="NIQ465"/>
      <c r="NIR465"/>
      <c r="NIS465"/>
      <c r="NIT465"/>
      <c r="NIU465"/>
      <c r="NIV465"/>
      <c r="NIW465"/>
      <c r="NIX465"/>
      <c r="NIY465"/>
      <c r="NIZ465"/>
      <c r="NJA465"/>
      <c r="NJB465"/>
      <c r="NJC465"/>
      <c r="NJD465"/>
      <c r="NJE465"/>
      <c r="NJF465"/>
      <c r="NJG465"/>
      <c r="NJH465"/>
      <c r="NJI465"/>
      <c r="NJJ465"/>
      <c r="NJK465"/>
      <c r="NJL465"/>
      <c r="NJM465"/>
      <c r="NJN465"/>
      <c r="NJO465"/>
      <c r="NJP465"/>
      <c r="NJQ465"/>
      <c r="NJR465"/>
      <c r="NJS465"/>
      <c r="NJT465"/>
      <c r="NJU465"/>
      <c r="NJV465"/>
      <c r="NJW465"/>
      <c r="NJX465"/>
      <c r="NJY465"/>
      <c r="NJZ465"/>
      <c r="NKA465"/>
      <c r="NKB465"/>
      <c r="NKC465"/>
      <c r="NKD465"/>
      <c r="NKE465"/>
      <c r="NKF465"/>
      <c r="NKG465"/>
      <c r="NKH465"/>
      <c r="NKI465"/>
      <c r="NKJ465"/>
      <c r="NKK465"/>
      <c r="NKL465"/>
      <c r="NKM465"/>
      <c r="NKN465"/>
      <c r="NKO465"/>
      <c r="NKP465"/>
      <c r="NKQ465"/>
      <c r="NKR465"/>
      <c r="NKS465"/>
      <c r="NKT465"/>
      <c r="NKU465"/>
      <c r="NKV465"/>
      <c r="NKW465"/>
      <c r="NKX465"/>
      <c r="NKY465"/>
      <c r="NKZ465"/>
      <c r="NLA465"/>
      <c r="NLB465"/>
      <c r="NLC465"/>
      <c r="NLD465"/>
      <c r="NLE465"/>
      <c r="NLF465"/>
      <c r="NLG465"/>
      <c r="NLH465"/>
      <c r="NLI465"/>
      <c r="NLJ465"/>
      <c r="NLK465"/>
      <c r="NLL465"/>
      <c r="NLM465"/>
      <c r="NLN465"/>
      <c r="NLO465"/>
      <c r="NLP465"/>
      <c r="NLQ465"/>
      <c r="NLR465"/>
      <c r="NLS465"/>
      <c r="NLT465"/>
      <c r="NLU465"/>
      <c r="NLV465"/>
      <c r="NLW465"/>
      <c r="NLX465"/>
      <c r="NLY465"/>
      <c r="NLZ465"/>
      <c r="NMA465"/>
      <c r="NMB465"/>
      <c r="NMC465"/>
      <c r="NMD465"/>
      <c r="NME465"/>
      <c r="NMF465"/>
      <c r="NMG465"/>
      <c r="NMH465"/>
      <c r="NMI465"/>
      <c r="NMJ465"/>
      <c r="NMK465"/>
      <c r="NML465"/>
      <c r="NMM465"/>
      <c r="NMN465"/>
      <c r="NMO465"/>
      <c r="NMP465"/>
      <c r="NMQ465"/>
      <c r="NMR465"/>
      <c r="NMS465"/>
      <c r="NMT465"/>
      <c r="NMU465"/>
      <c r="NMV465"/>
      <c r="NMW465"/>
      <c r="NMX465"/>
      <c r="NMY465"/>
      <c r="NMZ465"/>
      <c r="NNA465"/>
      <c r="NNB465"/>
      <c r="NNC465"/>
      <c r="NND465"/>
      <c r="NNE465"/>
      <c r="NNF465"/>
      <c r="NNG465"/>
      <c r="NNH465"/>
      <c r="NNI465"/>
      <c r="NNJ465"/>
      <c r="NNK465"/>
      <c r="NNL465"/>
      <c r="NNM465"/>
      <c r="NNN465"/>
      <c r="NNO465"/>
      <c r="NNP465"/>
      <c r="NNQ465"/>
      <c r="NNR465"/>
      <c r="NNS465"/>
      <c r="NNT465"/>
      <c r="NNU465"/>
      <c r="NNV465"/>
      <c r="NNW465"/>
      <c r="NNX465"/>
      <c r="NNY465"/>
      <c r="NNZ465"/>
      <c r="NOA465"/>
      <c r="NOB465"/>
      <c r="NOC465"/>
      <c r="NOD465"/>
      <c r="NOE465"/>
      <c r="NOF465"/>
      <c r="NOG465"/>
      <c r="NOH465"/>
      <c r="NOI465"/>
      <c r="NOJ465"/>
      <c r="NOK465"/>
      <c r="NOL465"/>
      <c r="NOM465"/>
      <c r="NON465"/>
      <c r="NOO465"/>
      <c r="NOP465"/>
      <c r="NOQ465"/>
      <c r="NOR465"/>
      <c r="NOS465"/>
      <c r="NOT465"/>
      <c r="NOU465"/>
      <c r="NOV465"/>
      <c r="NOW465"/>
      <c r="NOX465"/>
      <c r="NOY465"/>
      <c r="NOZ465"/>
      <c r="NPA465"/>
      <c r="NPB465"/>
      <c r="NPC465"/>
      <c r="NPD465"/>
      <c r="NPE465"/>
      <c r="NPF465"/>
      <c r="NPG465"/>
      <c r="NPH465"/>
      <c r="NPI465"/>
      <c r="NPJ465"/>
      <c r="NPK465"/>
      <c r="NPL465"/>
      <c r="NPM465"/>
      <c r="NPN465"/>
      <c r="NPO465"/>
      <c r="NPP465"/>
      <c r="NPQ465"/>
      <c r="NPR465"/>
      <c r="NPS465"/>
      <c r="NPT465"/>
      <c r="NPU465"/>
      <c r="NPV465"/>
      <c r="NPW465"/>
      <c r="NPX465"/>
      <c r="NPY465"/>
      <c r="NPZ465"/>
      <c r="NQA465"/>
      <c r="NQB465"/>
      <c r="NQC465"/>
      <c r="NQD465"/>
      <c r="NQE465"/>
      <c r="NQF465"/>
      <c r="NQG465"/>
      <c r="NQH465"/>
      <c r="NQI465"/>
      <c r="NQJ465"/>
      <c r="NQK465"/>
      <c r="NQL465"/>
      <c r="NQM465"/>
      <c r="NQN465"/>
      <c r="NQO465"/>
      <c r="NQP465"/>
      <c r="NQQ465"/>
      <c r="NQR465"/>
      <c r="NQS465"/>
      <c r="NQT465"/>
      <c r="NQU465"/>
      <c r="NQV465"/>
      <c r="NQW465"/>
      <c r="NQX465"/>
      <c r="NQY465"/>
      <c r="NQZ465"/>
      <c r="NRA465"/>
      <c r="NRB465"/>
      <c r="NRC465"/>
      <c r="NRD465"/>
      <c r="NRE465"/>
      <c r="NRF465"/>
      <c r="NRG465"/>
      <c r="NRH465"/>
      <c r="NRI465"/>
      <c r="NRJ465"/>
      <c r="NRK465"/>
      <c r="NRL465"/>
      <c r="NRM465"/>
      <c r="NRN465"/>
      <c r="NRO465"/>
      <c r="NRP465"/>
      <c r="NRQ465"/>
      <c r="NRR465"/>
      <c r="NRS465"/>
      <c r="NRT465"/>
      <c r="NRU465"/>
      <c r="NRV465"/>
      <c r="NRW465"/>
      <c r="NRX465"/>
      <c r="NRY465"/>
      <c r="NRZ465"/>
      <c r="NSA465"/>
      <c r="NSB465"/>
      <c r="NSC465"/>
      <c r="NSD465"/>
      <c r="NSE465"/>
      <c r="NSF465"/>
      <c r="NSG465"/>
      <c r="NSH465"/>
      <c r="NSI465"/>
      <c r="NSJ465"/>
      <c r="NSK465"/>
      <c r="NSL465"/>
      <c r="NSM465"/>
      <c r="NSN465"/>
      <c r="NSO465"/>
      <c r="NSP465"/>
      <c r="NSQ465"/>
      <c r="NSR465"/>
      <c r="NSS465"/>
      <c r="NST465"/>
      <c r="NSU465"/>
      <c r="NSV465"/>
      <c r="NSW465"/>
      <c r="NSX465"/>
      <c r="NSY465"/>
      <c r="NSZ465"/>
      <c r="NTA465"/>
      <c r="NTB465"/>
      <c r="NTC465"/>
      <c r="NTD465"/>
      <c r="NTE465"/>
      <c r="NTF465"/>
      <c r="NTG465"/>
      <c r="NTH465"/>
      <c r="NTI465"/>
      <c r="NTJ465"/>
      <c r="NTK465"/>
      <c r="NTL465"/>
      <c r="NTM465"/>
      <c r="NTN465"/>
      <c r="NTO465"/>
      <c r="NTP465"/>
      <c r="NTQ465"/>
      <c r="NTR465"/>
      <c r="NTS465"/>
      <c r="NTT465"/>
      <c r="NTU465"/>
      <c r="NTV465"/>
      <c r="NTW465"/>
      <c r="NTX465"/>
      <c r="NTY465"/>
      <c r="NTZ465"/>
      <c r="NUA465"/>
      <c r="NUB465"/>
      <c r="NUC465"/>
      <c r="NUD465"/>
      <c r="NUE465"/>
      <c r="NUF465"/>
      <c r="NUG465"/>
      <c r="NUH465"/>
      <c r="NUI465"/>
      <c r="NUJ465"/>
      <c r="NUK465"/>
      <c r="NUL465"/>
      <c r="NUM465"/>
      <c r="NUN465"/>
      <c r="NUO465"/>
      <c r="NUP465"/>
      <c r="NUQ465"/>
      <c r="NUR465"/>
      <c r="NUS465"/>
      <c r="NUT465"/>
      <c r="NUU465"/>
      <c r="NUV465"/>
      <c r="NUW465"/>
      <c r="NUX465"/>
      <c r="NUY465"/>
      <c r="NUZ465"/>
      <c r="NVA465"/>
      <c r="NVB465"/>
      <c r="NVC465"/>
      <c r="NVD465"/>
      <c r="NVE465"/>
      <c r="NVF465"/>
      <c r="NVG465"/>
      <c r="NVH465"/>
      <c r="NVI465"/>
      <c r="NVJ465"/>
      <c r="NVK465"/>
      <c r="NVL465"/>
      <c r="NVM465"/>
      <c r="NVN465"/>
      <c r="NVO465"/>
      <c r="NVP465"/>
      <c r="NVQ465"/>
      <c r="NVR465"/>
      <c r="NVS465"/>
      <c r="NVT465"/>
      <c r="NVU465"/>
      <c r="NVV465"/>
      <c r="NVW465"/>
      <c r="NVX465"/>
      <c r="NVY465"/>
      <c r="NVZ465"/>
      <c r="NWA465"/>
      <c r="NWB465"/>
      <c r="NWC465"/>
      <c r="NWD465"/>
      <c r="NWE465"/>
      <c r="NWF465"/>
      <c r="NWG465"/>
      <c r="NWH465"/>
      <c r="NWI465"/>
      <c r="NWJ465"/>
      <c r="NWK465"/>
      <c r="NWL465"/>
      <c r="NWM465"/>
      <c r="NWN465"/>
      <c r="NWO465"/>
      <c r="NWP465"/>
      <c r="NWQ465"/>
      <c r="NWR465"/>
      <c r="NWS465"/>
      <c r="NWT465"/>
      <c r="NWU465"/>
      <c r="NWV465"/>
      <c r="NWW465"/>
      <c r="NWX465"/>
      <c r="NWY465"/>
      <c r="NWZ465"/>
      <c r="NXA465"/>
      <c r="NXB465"/>
      <c r="NXC465"/>
      <c r="NXD465"/>
      <c r="NXE465"/>
      <c r="NXF465"/>
      <c r="NXG465"/>
      <c r="NXH465"/>
      <c r="NXI465"/>
      <c r="NXJ465"/>
      <c r="NXK465"/>
      <c r="NXL465"/>
      <c r="NXM465"/>
      <c r="NXN465"/>
      <c r="NXO465"/>
      <c r="NXP465"/>
      <c r="NXQ465"/>
      <c r="NXR465"/>
      <c r="NXS465"/>
      <c r="NXT465"/>
      <c r="NXU465"/>
      <c r="NXV465"/>
      <c r="NXW465"/>
      <c r="NXX465"/>
      <c r="NXY465"/>
      <c r="NXZ465"/>
      <c r="NYA465"/>
      <c r="NYB465"/>
      <c r="NYC465"/>
      <c r="NYD465"/>
      <c r="NYE465"/>
      <c r="NYF465"/>
      <c r="NYG465"/>
      <c r="NYH465"/>
      <c r="NYI465"/>
      <c r="NYJ465"/>
      <c r="NYK465"/>
      <c r="NYL465"/>
      <c r="NYM465"/>
      <c r="NYN465"/>
      <c r="NYO465"/>
      <c r="NYP465"/>
      <c r="NYQ465"/>
      <c r="NYR465"/>
      <c r="NYS465"/>
      <c r="NYT465"/>
      <c r="NYU465"/>
      <c r="NYV465"/>
      <c r="NYW465"/>
      <c r="NYX465"/>
      <c r="NYY465"/>
      <c r="NYZ465"/>
      <c r="NZA465"/>
      <c r="NZB465"/>
      <c r="NZC465"/>
      <c r="NZD465"/>
      <c r="NZE465"/>
      <c r="NZF465"/>
      <c r="NZG465"/>
      <c r="NZH465"/>
      <c r="NZI465"/>
      <c r="NZJ465"/>
      <c r="NZK465"/>
      <c r="NZL465"/>
      <c r="NZM465"/>
      <c r="NZN465"/>
      <c r="NZO465"/>
      <c r="NZP465"/>
      <c r="NZQ465"/>
      <c r="NZR465"/>
      <c r="NZS465"/>
      <c r="NZT465"/>
      <c r="NZU465"/>
      <c r="NZV465"/>
      <c r="NZW465"/>
      <c r="NZX465"/>
      <c r="NZY465"/>
      <c r="NZZ465"/>
      <c r="OAA465"/>
      <c r="OAB465"/>
      <c r="OAC465"/>
      <c r="OAD465"/>
      <c r="OAE465"/>
      <c r="OAF465"/>
      <c r="OAG465"/>
      <c r="OAH465"/>
      <c r="OAI465"/>
      <c r="OAJ465"/>
      <c r="OAK465"/>
      <c r="OAL465"/>
      <c r="OAM465"/>
      <c r="OAN465"/>
      <c r="OAO465"/>
      <c r="OAP465"/>
      <c r="OAQ465"/>
      <c r="OAR465"/>
      <c r="OAS465"/>
      <c r="OAT465"/>
      <c r="OAU465"/>
      <c r="OAV465"/>
      <c r="OAW465"/>
      <c r="OAX465"/>
      <c r="OAY465"/>
      <c r="OAZ465"/>
      <c r="OBA465"/>
      <c r="OBB465"/>
      <c r="OBC465"/>
      <c r="OBD465"/>
      <c r="OBE465"/>
      <c r="OBF465"/>
      <c r="OBG465"/>
      <c r="OBH465"/>
      <c r="OBI465"/>
      <c r="OBJ465"/>
      <c r="OBK465"/>
      <c r="OBL465"/>
      <c r="OBM465"/>
      <c r="OBN465"/>
      <c r="OBO465"/>
      <c r="OBP465"/>
      <c r="OBQ465"/>
      <c r="OBR465"/>
      <c r="OBS465"/>
      <c r="OBT465"/>
      <c r="OBU465"/>
      <c r="OBV465"/>
      <c r="OBW465"/>
      <c r="OBX465"/>
      <c r="OBY465"/>
      <c r="OBZ465"/>
      <c r="OCA465"/>
      <c r="OCB465"/>
      <c r="OCC465"/>
      <c r="OCD465"/>
      <c r="OCE465"/>
      <c r="OCF465"/>
      <c r="OCG465"/>
      <c r="OCH465"/>
      <c r="OCI465"/>
      <c r="OCJ465"/>
      <c r="OCK465"/>
      <c r="OCL465"/>
      <c r="OCM465"/>
      <c r="OCN465"/>
      <c r="OCO465"/>
      <c r="OCP465"/>
      <c r="OCQ465"/>
      <c r="OCR465"/>
      <c r="OCS465"/>
      <c r="OCT465"/>
      <c r="OCU465"/>
      <c r="OCV465"/>
      <c r="OCW465"/>
      <c r="OCX465"/>
      <c r="OCY465"/>
      <c r="OCZ465"/>
      <c r="ODA465"/>
      <c r="ODB465"/>
      <c r="ODC465"/>
      <c r="ODD465"/>
      <c r="ODE465"/>
      <c r="ODF465"/>
      <c r="ODG465"/>
      <c r="ODH465"/>
      <c r="ODI465"/>
      <c r="ODJ465"/>
      <c r="ODK465"/>
      <c r="ODL465"/>
      <c r="ODM465"/>
      <c r="ODN465"/>
      <c r="ODO465"/>
      <c r="ODP465"/>
      <c r="ODQ465"/>
      <c r="ODR465"/>
      <c r="ODS465"/>
      <c r="ODT465"/>
      <c r="ODU465"/>
      <c r="ODV465"/>
      <c r="ODW465"/>
      <c r="ODX465"/>
      <c r="ODY465"/>
      <c r="ODZ465"/>
      <c r="OEA465"/>
      <c r="OEB465"/>
      <c r="OEC465"/>
      <c r="OED465"/>
      <c r="OEE465"/>
      <c r="OEF465"/>
      <c r="OEG465"/>
      <c r="OEH465"/>
      <c r="OEI465"/>
      <c r="OEJ465"/>
      <c r="OEK465"/>
      <c r="OEL465"/>
      <c r="OEM465"/>
      <c r="OEN465"/>
      <c r="OEO465"/>
      <c r="OEP465"/>
      <c r="OEQ465"/>
      <c r="OER465"/>
      <c r="OES465"/>
      <c r="OET465"/>
      <c r="OEU465"/>
      <c r="OEV465"/>
      <c r="OEW465"/>
      <c r="OEX465"/>
      <c r="OEY465"/>
      <c r="OEZ465"/>
      <c r="OFA465"/>
      <c r="OFB465"/>
      <c r="OFC465"/>
      <c r="OFD465"/>
      <c r="OFE465"/>
      <c r="OFF465"/>
      <c r="OFG465"/>
      <c r="OFH465"/>
      <c r="OFI465"/>
      <c r="OFJ465"/>
      <c r="OFK465"/>
      <c r="OFL465"/>
      <c r="OFM465"/>
      <c r="OFN465"/>
      <c r="OFO465"/>
      <c r="OFP465"/>
      <c r="OFQ465"/>
      <c r="OFR465"/>
      <c r="OFS465"/>
      <c r="OFT465"/>
      <c r="OFU465"/>
      <c r="OFV465"/>
      <c r="OFW465"/>
      <c r="OFX465"/>
      <c r="OFY465"/>
      <c r="OFZ465"/>
      <c r="OGA465"/>
      <c r="OGB465"/>
      <c r="OGC465"/>
      <c r="OGD465"/>
      <c r="OGE465"/>
      <c r="OGF465"/>
      <c r="OGG465"/>
      <c r="OGH465"/>
      <c r="OGI465"/>
      <c r="OGJ465"/>
      <c r="OGK465"/>
      <c r="OGL465"/>
      <c r="OGM465"/>
      <c r="OGN465"/>
      <c r="OGO465"/>
      <c r="OGP465"/>
      <c r="OGQ465"/>
      <c r="OGR465"/>
      <c r="OGS465"/>
      <c r="OGT465"/>
      <c r="OGU465"/>
      <c r="OGV465"/>
      <c r="OGW465"/>
      <c r="OGX465"/>
      <c r="OGY465"/>
      <c r="OGZ465"/>
      <c r="OHA465"/>
      <c r="OHB465"/>
      <c r="OHC465"/>
      <c r="OHD465"/>
      <c r="OHE465"/>
      <c r="OHF465"/>
      <c r="OHG465"/>
      <c r="OHH465"/>
      <c r="OHI465"/>
      <c r="OHJ465"/>
      <c r="OHK465"/>
      <c r="OHL465"/>
      <c r="OHM465"/>
      <c r="OHN465"/>
      <c r="OHO465"/>
      <c r="OHP465"/>
      <c r="OHQ465"/>
      <c r="OHR465"/>
      <c r="OHS465"/>
      <c r="OHT465"/>
      <c r="OHU465"/>
      <c r="OHV465"/>
      <c r="OHW465"/>
      <c r="OHX465"/>
      <c r="OHY465"/>
      <c r="OHZ465"/>
      <c r="OIA465"/>
      <c r="OIB465"/>
      <c r="OIC465"/>
      <c r="OID465"/>
      <c r="OIE465"/>
      <c r="OIF465"/>
      <c r="OIG465"/>
      <c r="OIH465"/>
      <c r="OII465"/>
      <c r="OIJ465"/>
      <c r="OIK465"/>
      <c r="OIL465"/>
      <c r="OIM465"/>
      <c r="OIN465"/>
      <c r="OIO465"/>
      <c r="OIP465"/>
      <c r="OIQ465"/>
      <c r="OIR465"/>
      <c r="OIS465"/>
      <c r="OIT465"/>
      <c r="OIU465"/>
      <c r="OIV465"/>
      <c r="OIW465"/>
      <c r="OIX465"/>
      <c r="OIY465"/>
      <c r="OIZ465"/>
      <c r="OJA465"/>
      <c r="OJB465"/>
      <c r="OJC465"/>
      <c r="OJD465"/>
      <c r="OJE465"/>
      <c r="OJF465"/>
      <c r="OJG465"/>
      <c r="OJH465"/>
      <c r="OJI465"/>
      <c r="OJJ465"/>
      <c r="OJK465"/>
      <c r="OJL465"/>
      <c r="OJM465"/>
      <c r="OJN465"/>
      <c r="OJO465"/>
      <c r="OJP465"/>
      <c r="OJQ465"/>
      <c r="OJR465"/>
      <c r="OJS465"/>
      <c r="OJT465"/>
      <c r="OJU465"/>
      <c r="OJV465"/>
      <c r="OJW465"/>
      <c r="OJX465"/>
      <c r="OJY465"/>
      <c r="OJZ465"/>
      <c r="OKA465"/>
      <c r="OKB465"/>
      <c r="OKC465"/>
      <c r="OKD465"/>
      <c r="OKE465"/>
      <c r="OKF465"/>
      <c r="OKG465"/>
      <c r="OKH465"/>
      <c r="OKI465"/>
      <c r="OKJ465"/>
      <c r="OKK465"/>
      <c r="OKL465"/>
      <c r="OKM465"/>
      <c r="OKN465"/>
      <c r="OKO465"/>
      <c r="OKP465"/>
      <c r="OKQ465"/>
      <c r="OKR465"/>
      <c r="OKS465"/>
      <c r="OKT465"/>
      <c r="OKU465"/>
      <c r="OKV465"/>
      <c r="OKW465"/>
      <c r="OKX465"/>
      <c r="OKY465"/>
      <c r="OKZ465"/>
      <c r="OLA465"/>
      <c r="OLB465"/>
      <c r="OLC465"/>
      <c r="OLD465"/>
      <c r="OLE465"/>
      <c r="OLF465"/>
      <c r="OLG465"/>
      <c r="OLH465"/>
      <c r="OLI465"/>
      <c r="OLJ465"/>
      <c r="OLK465"/>
      <c r="OLL465"/>
      <c r="OLM465"/>
      <c r="OLN465"/>
      <c r="OLO465"/>
      <c r="OLP465"/>
      <c r="OLQ465"/>
      <c r="OLR465"/>
      <c r="OLS465"/>
      <c r="OLT465"/>
      <c r="OLU465"/>
      <c r="OLV465"/>
      <c r="OLW465"/>
      <c r="OLX465"/>
      <c r="OLY465"/>
      <c r="OLZ465"/>
      <c r="OMA465"/>
      <c r="OMB465"/>
      <c r="OMC465"/>
      <c r="OMD465"/>
      <c r="OME465"/>
      <c r="OMF465"/>
      <c r="OMG465"/>
      <c r="OMH465"/>
      <c r="OMI465"/>
      <c r="OMJ465"/>
      <c r="OMK465"/>
      <c r="OML465"/>
      <c r="OMM465"/>
      <c r="OMN465"/>
      <c r="OMO465"/>
      <c r="OMP465"/>
      <c r="OMQ465"/>
      <c r="OMR465"/>
      <c r="OMS465"/>
      <c r="OMT465"/>
      <c r="OMU465"/>
      <c r="OMV465"/>
      <c r="OMW465"/>
      <c r="OMX465"/>
      <c r="OMY465"/>
      <c r="OMZ465"/>
      <c r="ONA465"/>
      <c r="ONB465"/>
      <c r="ONC465"/>
      <c r="OND465"/>
      <c r="ONE465"/>
      <c r="ONF465"/>
      <c r="ONG465"/>
      <c r="ONH465"/>
      <c r="ONI465"/>
      <c r="ONJ465"/>
      <c r="ONK465"/>
      <c r="ONL465"/>
      <c r="ONM465"/>
      <c r="ONN465"/>
      <c r="ONO465"/>
      <c r="ONP465"/>
      <c r="ONQ465"/>
      <c r="ONR465"/>
      <c r="ONS465"/>
      <c r="ONT465"/>
      <c r="ONU465"/>
      <c r="ONV465"/>
      <c r="ONW465"/>
      <c r="ONX465"/>
      <c r="ONY465"/>
      <c r="ONZ465"/>
      <c r="OOA465"/>
      <c r="OOB465"/>
      <c r="OOC465"/>
      <c r="OOD465"/>
      <c r="OOE465"/>
      <c r="OOF465"/>
      <c r="OOG465"/>
      <c r="OOH465"/>
      <c r="OOI465"/>
      <c r="OOJ465"/>
      <c r="OOK465"/>
      <c r="OOL465"/>
      <c r="OOM465"/>
      <c r="OON465"/>
      <c r="OOO465"/>
      <c r="OOP465"/>
      <c r="OOQ465"/>
      <c r="OOR465"/>
      <c r="OOS465"/>
      <c r="OOT465"/>
      <c r="OOU465"/>
      <c r="OOV465"/>
      <c r="OOW465"/>
      <c r="OOX465"/>
      <c r="OOY465"/>
      <c r="OOZ465"/>
      <c r="OPA465"/>
      <c r="OPB465"/>
      <c r="OPC465"/>
      <c r="OPD465"/>
      <c r="OPE465"/>
      <c r="OPF465"/>
      <c r="OPG465"/>
      <c r="OPH465"/>
      <c r="OPI465"/>
      <c r="OPJ465"/>
      <c r="OPK465"/>
      <c r="OPL465"/>
      <c r="OPM465"/>
      <c r="OPN465"/>
      <c r="OPO465"/>
      <c r="OPP465"/>
      <c r="OPQ465"/>
      <c r="OPR465"/>
      <c r="OPS465"/>
      <c r="OPT465"/>
      <c r="OPU465"/>
      <c r="OPV465"/>
      <c r="OPW465"/>
      <c r="OPX465"/>
      <c r="OPY465"/>
      <c r="OPZ465"/>
      <c r="OQA465"/>
      <c r="OQB465"/>
      <c r="OQC465"/>
      <c r="OQD465"/>
      <c r="OQE465"/>
      <c r="OQF465"/>
      <c r="OQG465"/>
      <c r="OQH465"/>
      <c r="OQI465"/>
      <c r="OQJ465"/>
      <c r="OQK465"/>
      <c r="OQL465"/>
      <c r="OQM465"/>
      <c r="OQN465"/>
      <c r="OQO465"/>
      <c r="OQP465"/>
      <c r="OQQ465"/>
      <c r="OQR465"/>
      <c r="OQS465"/>
      <c r="OQT465"/>
      <c r="OQU465"/>
      <c r="OQV465"/>
      <c r="OQW465"/>
      <c r="OQX465"/>
      <c r="OQY465"/>
      <c r="OQZ465"/>
      <c r="ORA465"/>
      <c r="ORB465"/>
      <c r="ORC465"/>
      <c r="ORD465"/>
      <c r="ORE465"/>
      <c r="ORF465"/>
      <c r="ORG465"/>
      <c r="ORH465"/>
      <c r="ORI465"/>
      <c r="ORJ465"/>
      <c r="ORK465"/>
      <c r="ORL465"/>
      <c r="ORM465"/>
      <c r="ORN465"/>
      <c r="ORO465"/>
      <c r="ORP465"/>
      <c r="ORQ465"/>
      <c r="ORR465"/>
      <c r="ORS465"/>
      <c r="ORT465"/>
      <c r="ORU465"/>
      <c r="ORV465"/>
      <c r="ORW465"/>
      <c r="ORX465"/>
      <c r="ORY465"/>
      <c r="ORZ465"/>
      <c r="OSA465"/>
      <c r="OSB465"/>
      <c r="OSC465"/>
      <c r="OSD465"/>
      <c r="OSE465"/>
      <c r="OSF465"/>
      <c r="OSG465"/>
      <c r="OSH465"/>
      <c r="OSI465"/>
      <c r="OSJ465"/>
      <c r="OSK465"/>
      <c r="OSL465"/>
      <c r="OSM465"/>
      <c r="OSN465"/>
      <c r="OSO465"/>
      <c r="OSP465"/>
      <c r="OSQ465"/>
      <c r="OSR465"/>
      <c r="OSS465"/>
      <c r="OST465"/>
      <c r="OSU465"/>
      <c r="OSV465"/>
      <c r="OSW465"/>
      <c r="OSX465"/>
      <c r="OSY465"/>
      <c r="OSZ465"/>
      <c r="OTA465"/>
      <c r="OTB465"/>
      <c r="OTC465"/>
      <c r="OTD465"/>
      <c r="OTE465"/>
      <c r="OTF465"/>
      <c r="OTG465"/>
      <c r="OTH465"/>
      <c r="OTI465"/>
      <c r="OTJ465"/>
      <c r="OTK465"/>
      <c r="OTL465"/>
      <c r="OTM465"/>
      <c r="OTN465"/>
      <c r="OTO465"/>
      <c r="OTP465"/>
      <c r="OTQ465"/>
      <c r="OTR465"/>
      <c r="OTS465"/>
      <c r="OTT465"/>
      <c r="OTU465"/>
      <c r="OTV465"/>
      <c r="OTW465"/>
      <c r="OTX465"/>
      <c r="OTY465"/>
      <c r="OTZ465"/>
      <c r="OUA465"/>
      <c r="OUB465"/>
      <c r="OUC465"/>
      <c r="OUD465"/>
      <c r="OUE465"/>
      <c r="OUF465"/>
      <c r="OUG465"/>
      <c r="OUH465"/>
      <c r="OUI465"/>
      <c r="OUJ465"/>
      <c r="OUK465"/>
      <c r="OUL465"/>
      <c r="OUM465"/>
      <c r="OUN465"/>
      <c r="OUO465"/>
      <c r="OUP465"/>
      <c r="OUQ465"/>
      <c r="OUR465"/>
      <c r="OUS465"/>
      <c r="OUT465"/>
      <c r="OUU465"/>
      <c r="OUV465"/>
      <c r="OUW465"/>
      <c r="OUX465"/>
      <c r="OUY465"/>
      <c r="OUZ465"/>
      <c r="OVA465"/>
      <c r="OVB465"/>
      <c r="OVC465"/>
      <c r="OVD465"/>
      <c r="OVE465"/>
      <c r="OVF465"/>
      <c r="OVG465"/>
      <c r="OVH465"/>
      <c r="OVI465"/>
      <c r="OVJ465"/>
      <c r="OVK465"/>
      <c r="OVL465"/>
      <c r="OVM465"/>
      <c r="OVN465"/>
      <c r="OVO465"/>
      <c r="OVP465"/>
      <c r="OVQ465"/>
      <c r="OVR465"/>
      <c r="OVS465"/>
      <c r="OVT465"/>
      <c r="OVU465"/>
      <c r="OVV465"/>
      <c r="OVW465"/>
      <c r="OVX465"/>
      <c r="OVY465"/>
      <c r="OVZ465"/>
      <c r="OWA465"/>
      <c r="OWB465"/>
      <c r="OWC465"/>
      <c r="OWD465"/>
      <c r="OWE465"/>
      <c r="OWF465"/>
      <c r="OWG465"/>
      <c r="OWH465"/>
      <c r="OWI465"/>
      <c r="OWJ465"/>
      <c r="OWK465"/>
      <c r="OWL465"/>
      <c r="OWM465"/>
      <c r="OWN465"/>
      <c r="OWO465"/>
      <c r="OWP465"/>
      <c r="OWQ465"/>
      <c r="OWR465"/>
      <c r="OWS465"/>
      <c r="OWT465"/>
      <c r="OWU465"/>
      <c r="OWV465"/>
      <c r="OWW465"/>
      <c r="OWX465"/>
      <c r="OWY465"/>
      <c r="OWZ465"/>
      <c r="OXA465"/>
      <c r="OXB465"/>
      <c r="OXC465"/>
      <c r="OXD465"/>
      <c r="OXE465"/>
      <c r="OXF465"/>
      <c r="OXG465"/>
      <c r="OXH465"/>
      <c r="OXI465"/>
      <c r="OXJ465"/>
      <c r="OXK465"/>
      <c r="OXL465"/>
      <c r="OXM465"/>
      <c r="OXN465"/>
      <c r="OXO465"/>
      <c r="OXP465"/>
      <c r="OXQ465"/>
      <c r="OXR465"/>
      <c r="OXS465"/>
      <c r="OXT465"/>
      <c r="OXU465"/>
      <c r="OXV465"/>
      <c r="OXW465"/>
      <c r="OXX465"/>
      <c r="OXY465"/>
      <c r="OXZ465"/>
      <c r="OYA465"/>
      <c r="OYB465"/>
      <c r="OYC465"/>
      <c r="OYD465"/>
      <c r="OYE465"/>
      <c r="OYF465"/>
      <c r="OYG465"/>
      <c r="OYH465"/>
      <c r="OYI465"/>
      <c r="OYJ465"/>
      <c r="OYK465"/>
      <c r="OYL465"/>
      <c r="OYM465"/>
      <c r="OYN465"/>
      <c r="OYO465"/>
      <c r="OYP465"/>
      <c r="OYQ465"/>
      <c r="OYR465"/>
      <c r="OYS465"/>
      <c r="OYT465"/>
      <c r="OYU465"/>
      <c r="OYV465"/>
      <c r="OYW465"/>
      <c r="OYX465"/>
      <c r="OYY465"/>
      <c r="OYZ465"/>
      <c r="OZA465"/>
      <c r="OZB465"/>
      <c r="OZC465"/>
      <c r="OZD465"/>
      <c r="OZE465"/>
      <c r="OZF465"/>
      <c r="OZG465"/>
      <c r="OZH465"/>
      <c r="OZI465"/>
      <c r="OZJ465"/>
      <c r="OZK465"/>
      <c r="OZL465"/>
      <c r="OZM465"/>
      <c r="OZN465"/>
      <c r="OZO465"/>
      <c r="OZP465"/>
      <c r="OZQ465"/>
      <c r="OZR465"/>
      <c r="OZS465"/>
      <c r="OZT465"/>
      <c r="OZU465"/>
      <c r="OZV465"/>
      <c r="OZW465"/>
      <c r="OZX465"/>
      <c r="OZY465"/>
      <c r="OZZ465"/>
      <c r="PAA465"/>
      <c r="PAB465"/>
      <c r="PAC465"/>
      <c r="PAD465"/>
      <c r="PAE465"/>
      <c r="PAF465"/>
      <c r="PAG465"/>
      <c r="PAH465"/>
      <c r="PAI465"/>
      <c r="PAJ465"/>
      <c r="PAK465"/>
      <c r="PAL465"/>
      <c r="PAM465"/>
      <c r="PAN465"/>
      <c r="PAO465"/>
      <c r="PAP465"/>
      <c r="PAQ465"/>
      <c r="PAR465"/>
      <c r="PAS465"/>
      <c r="PAT465"/>
      <c r="PAU465"/>
      <c r="PAV465"/>
      <c r="PAW465"/>
      <c r="PAX465"/>
      <c r="PAY465"/>
      <c r="PAZ465"/>
      <c r="PBA465"/>
      <c r="PBB465"/>
      <c r="PBC465"/>
      <c r="PBD465"/>
      <c r="PBE465"/>
      <c r="PBF465"/>
      <c r="PBG465"/>
      <c r="PBH465"/>
      <c r="PBI465"/>
      <c r="PBJ465"/>
      <c r="PBK465"/>
      <c r="PBL465"/>
      <c r="PBM465"/>
      <c r="PBN465"/>
      <c r="PBO465"/>
      <c r="PBP465"/>
      <c r="PBQ465"/>
      <c r="PBR465"/>
      <c r="PBS465"/>
      <c r="PBT465"/>
      <c r="PBU465"/>
      <c r="PBV465"/>
      <c r="PBW465"/>
      <c r="PBX465"/>
      <c r="PBY465"/>
      <c r="PBZ465"/>
      <c r="PCA465"/>
      <c r="PCB465"/>
      <c r="PCC465"/>
      <c r="PCD465"/>
      <c r="PCE465"/>
      <c r="PCF465"/>
      <c r="PCG465"/>
      <c r="PCH465"/>
      <c r="PCI465"/>
      <c r="PCJ465"/>
      <c r="PCK465"/>
      <c r="PCL465"/>
      <c r="PCM465"/>
      <c r="PCN465"/>
      <c r="PCO465"/>
      <c r="PCP465"/>
      <c r="PCQ465"/>
      <c r="PCR465"/>
      <c r="PCS465"/>
      <c r="PCT465"/>
      <c r="PCU465"/>
      <c r="PCV465"/>
      <c r="PCW465"/>
      <c r="PCX465"/>
      <c r="PCY465"/>
      <c r="PCZ465"/>
      <c r="PDA465"/>
      <c r="PDB465"/>
      <c r="PDC465"/>
      <c r="PDD465"/>
      <c r="PDE465"/>
      <c r="PDF465"/>
      <c r="PDG465"/>
      <c r="PDH465"/>
      <c r="PDI465"/>
      <c r="PDJ465"/>
      <c r="PDK465"/>
      <c r="PDL465"/>
      <c r="PDM465"/>
      <c r="PDN465"/>
      <c r="PDO465"/>
      <c r="PDP465"/>
      <c r="PDQ465"/>
      <c r="PDR465"/>
      <c r="PDS465"/>
      <c r="PDT465"/>
      <c r="PDU465"/>
      <c r="PDV465"/>
      <c r="PDW465"/>
      <c r="PDX465"/>
      <c r="PDY465"/>
      <c r="PDZ465"/>
      <c r="PEA465"/>
      <c r="PEB465"/>
      <c r="PEC465"/>
      <c r="PED465"/>
      <c r="PEE465"/>
      <c r="PEF465"/>
      <c r="PEG465"/>
      <c r="PEH465"/>
      <c r="PEI465"/>
      <c r="PEJ465"/>
      <c r="PEK465"/>
      <c r="PEL465"/>
      <c r="PEM465"/>
      <c r="PEN465"/>
      <c r="PEO465"/>
      <c r="PEP465"/>
      <c r="PEQ465"/>
      <c r="PER465"/>
      <c r="PES465"/>
      <c r="PET465"/>
      <c r="PEU465"/>
      <c r="PEV465"/>
      <c r="PEW465"/>
      <c r="PEX465"/>
      <c r="PEY465"/>
      <c r="PEZ465"/>
      <c r="PFA465"/>
      <c r="PFB465"/>
      <c r="PFC465"/>
      <c r="PFD465"/>
      <c r="PFE465"/>
      <c r="PFF465"/>
      <c r="PFG465"/>
      <c r="PFH465"/>
      <c r="PFI465"/>
      <c r="PFJ465"/>
      <c r="PFK465"/>
      <c r="PFL465"/>
      <c r="PFM465"/>
      <c r="PFN465"/>
      <c r="PFO465"/>
      <c r="PFP465"/>
      <c r="PFQ465"/>
      <c r="PFR465"/>
      <c r="PFS465"/>
      <c r="PFT465"/>
      <c r="PFU465"/>
      <c r="PFV465"/>
      <c r="PFW465"/>
      <c r="PFX465"/>
      <c r="PFY465"/>
      <c r="PFZ465"/>
      <c r="PGA465"/>
      <c r="PGB465"/>
      <c r="PGC465"/>
      <c r="PGD465"/>
      <c r="PGE465"/>
      <c r="PGF465"/>
      <c r="PGG465"/>
      <c r="PGH465"/>
      <c r="PGI465"/>
      <c r="PGJ465"/>
      <c r="PGK465"/>
      <c r="PGL465"/>
      <c r="PGM465"/>
      <c r="PGN465"/>
      <c r="PGO465"/>
      <c r="PGP465"/>
      <c r="PGQ465"/>
      <c r="PGR465"/>
      <c r="PGS465"/>
      <c r="PGT465"/>
      <c r="PGU465"/>
      <c r="PGV465"/>
      <c r="PGW465"/>
      <c r="PGX465"/>
      <c r="PGY465"/>
      <c r="PGZ465"/>
      <c r="PHA465"/>
      <c r="PHB465"/>
      <c r="PHC465"/>
      <c r="PHD465"/>
      <c r="PHE465"/>
      <c r="PHF465"/>
      <c r="PHG465"/>
      <c r="PHH465"/>
      <c r="PHI465"/>
      <c r="PHJ465"/>
      <c r="PHK465"/>
      <c r="PHL465"/>
      <c r="PHM465"/>
      <c r="PHN465"/>
      <c r="PHO465"/>
      <c r="PHP465"/>
      <c r="PHQ465"/>
      <c r="PHR465"/>
      <c r="PHS465"/>
      <c r="PHT465"/>
      <c r="PHU465"/>
      <c r="PHV465"/>
      <c r="PHW465"/>
      <c r="PHX465"/>
      <c r="PHY465"/>
      <c r="PHZ465"/>
      <c r="PIA465"/>
      <c r="PIB465"/>
      <c r="PIC465"/>
      <c r="PID465"/>
      <c r="PIE465"/>
      <c r="PIF465"/>
      <c r="PIG465"/>
      <c r="PIH465"/>
      <c r="PII465"/>
      <c r="PIJ465"/>
      <c r="PIK465"/>
      <c r="PIL465"/>
      <c r="PIM465"/>
      <c r="PIN465"/>
      <c r="PIO465"/>
      <c r="PIP465"/>
      <c r="PIQ465"/>
      <c r="PIR465"/>
      <c r="PIS465"/>
      <c r="PIT465"/>
      <c r="PIU465"/>
      <c r="PIV465"/>
      <c r="PIW465"/>
      <c r="PIX465"/>
      <c r="PIY465"/>
      <c r="PIZ465"/>
      <c r="PJA465"/>
      <c r="PJB465"/>
      <c r="PJC465"/>
      <c r="PJD465"/>
      <c r="PJE465"/>
      <c r="PJF465"/>
      <c r="PJG465"/>
      <c r="PJH465"/>
      <c r="PJI465"/>
      <c r="PJJ465"/>
      <c r="PJK465"/>
      <c r="PJL465"/>
      <c r="PJM465"/>
      <c r="PJN465"/>
      <c r="PJO465"/>
      <c r="PJP465"/>
      <c r="PJQ465"/>
      <c r="PJR465"/>
      <c r="PJS465"/>
      <c r="PJT465"/>
      <c r="PJU465"/>
      <c r="PJV465"/>
      <c r="PJW465"/>
      <c r="PJX465"/>
      <c r="PJY465"/>
      <c r="PJZ465"/>
      <c r="PKA465"/>
      <c r="PKB465"/>
      <c r="PKC465"/>
      <c r="PKD465"/>
      <c r="PKE465"/>
      <c r="PKF465"/>
      <c r="PKG465"/>
      <c r="PKH465"/>
      <c r="PKI465"/>
      <c r="PKJ465"/>
      <c r="PKK465"/>
      <c r="PKL465"/>
      <c r="PKM465"/>
      <c r="PKN465"/>
      <c r="PKO465"/>
      <c r="PKP465"/>
      <c r="PKQ465"/>
      <c r="PKR465"/>
      <c r="PKS465"/>
      <c r="PKT465"/>
      <c r="PKU465"/>
      <c r="PKV465"/>
      <c r="PKW465"/>
      <c r="PKX465"/>
      <c r="PKY465"/>
      <c r="PKZ465"/>
      <c r="PLA465"/>
      <c r="PLB465"/>
      <c r="PLC465"/>
      <c r="PLD465"/>
      <c r="PLE465"/>
      <c r="PLF465"/>
      <c r="PLG465"/>
      <c r="PLH465"/>
      <c r="PLI465"/>
      <c r="PLJ465"/>
      <c r="PLK465"/>
      <c r="PLL465"/>
      <c r="PLM465"/>
      <c r="PLN465"/>
      <c r="PLO465"/>
      <c r="PLP465"/>
      <c r="PLQ465"/>
      <c r="PLR465"/>
      <c r="PLS465"/>
      <c r="PLT465"/>
      <c r="PLU465"/>
      <c r="PLV465"/>
      <c r="PLW465"/>
      <c r="PLX465"/>
      <c r="PLY465"/>
      <c r="PLZ465"/>
      <c r="PMA465"/>
      <c r="PMB465"/>
      <c r="PMC465"/>
      <c r="PMD465"/>
      <c r="PME465"/>
      <c r="PMF465"/>
      <c r="PMG465"/>
      <c r="PMH465"/>
      <c r="PMI465"/>
      <c r="PMJ465"/>
      <c r="PMK465"/>
      <c r="PML465"/>
      <c r="PMM465"/>
      <c r="PMN465"/>
      <c r="PMO465"/>
      <c r="PMP465"/>
      <c r="PMQ465"/>
      <c r="PMR465"/>
      <c r="PMS465"/>
      <c r="PMT465"/>
      <c r="PMU465"/>
      <c r="PMV465"/>
      <c r="PMW465"/>
      <c r="PMX465"/>
      <c r="PMY465"/>
      <c r="PMZ465"/>
      <c r="PNA465"/>
      <c r="PNB465"/>
      <c r="PNC465"/>
      <c r="PND465"/>
      <c r="PNE465"/>
      <c r="PNF465"/>
      <c r="PNG465"/>
      <c r="PNH465"/>
      <c r="PNI465"/>
      <c r="PNJ465"/>
      <c r="PNK465"/>
      <c r="PNL465"/>
      <c r="PNM465"/>
      <c r="PNN465"/>
      <c r="PNO465"/>
      <c r="PNP465"/>
      <c r="PNQ465"/>
      <c r="PNR465"/>
      <c r="PNS465"/>
      <c r="PNT465"/>
      <c r="PNU465"/>
      <c r="PNV465"/>
      <c r="PNW465"/>
      <c r="PNX465"/>
      <c r="PNY465"/>
      <c r="PNZ465"/>
      <c r="POA465"/>
      <c r="POB465"/>
      <c r="POC465"/>
      <c r="POD465"/>
      <c r="POE465"/>
      <c r="POF465"/>
      <c r="POG465"/>
      <c r="POH465"/>
      <c r="POI465"/>
      <c r="POJ465"/>
      <c r="POK465"/>
      <c r="POL465"/>
      <c r="POM465"/>
      <c r="PON465"/>
      <c r="POO465"/>
      <c r="POP465"/>
      <c r="POQ465"/>
      <c r="POR465"/>
      <c r="POS465"/>
      <c r="POT465"/>
      <c r="POU465"/>
      <c r="POV465"/>
      <c r="POW465"/>
      <c r="POX465"/>
      <c r="POY465"/>
      <c r="POZ465"/>
      <c r="PPA465"/>
      <c r="PPB465"/>
      <c r="PPC465"/>
      <c r="PPD465"/>
      <c r="PPE465"/>
      <c r="PPF465"/>
      <c r="PPG465"/>
      <c r="PPH465"/>
      <c r="PPI465"/>
      <c r="PPJ465"/>
      <c r="PPK465"/>
      <c r="PPL465"/>
      <c r="PPM465"/>
      <c r="PPN465"/>
      <c r="PPO465"/>
      <c r="PPP465"/>
      <c r="PPQ465"/>
      <c r="PPR465"/>
      <c r="PPS465"/>
      <c r="PPT465"/>
      <c r="PPU465"/>
      <c r="PPV465"/>
      <c r="PPW465"/>
      <c r="PPX465"/>
      <c r="PPY465"/>
      <c r="PPZ465"/>
      <c r="PQA465"/>
      <c r="PQB465"/>
      <c r="PQC465"/>
      <c r="PQD465"/>
      <c r="PQE465"/>
      <c r="PQF465"/>
      <c r="PQG465"/>
      <c r="PQH465"/>
      <c r="PQI465"/>
      <c r="PQJ465"/>
      <c r="PQK465"/>
      <c r="PQL465"/>
      <c r="PQM465"/>
      <c r="PQN465"/>
      <c r="PQO465"/>
      <c r="PQP465"/>
      <c r="PQQ465"/>
      <c r="PQR465"/>
      <c r="PQS465"/>
      <c r="PQT465"/>
      <c r="PQU465"/>
      <c r="PQV465"/>
      <c r="PQW465"/>
      <c r="PQX465"/>
      <c r="PQY465"/>
      <c r="PQZ465"/>
      <c r="PRA465"/>
      <c r="PRB465"/>
      <c r="PRC465"/>
      <c r="PRD465"/>
      <c r="PRE465"/>
      <c r="PRF465"/>
      <c r="PRG465"/>
      <c r="PRH465"/>
      <c r="PRI465"/>
      <c r="PRJ465"/>
      <c r="PRK465"/>
      <c r="PRL465"/>
      <c r="PRM465"/>
      <c r="PRN465"/>
      <c r="PRO465"/>
      <c r="PRP465"/>
      <c r="PRQ465"/>
      <c r="PRR465"/>
      <c r="PRS465"/>
      <c r="PRT465"/>
      <c r="PRU465"/>
      <c r="PRV465"/>
      <c r="PRW465"/>
      <c r="PRX465"/>
      <c r="PRY465"/>
      <c r="PRZ465"/>
      <c r="PSA465"/>
      <c r="PSB465"/>
      <c r="PSC465"/>
      <c r="PSD465"/>
      <c r="PSE465"/>
      <c r="PSF465"/>
      <c r="PSG465"/>
      <c r="PSH465"/>
      <c r="PSI465"/>
      <c r="PSJ465"/>
      <c r="PSK465"/>
      <c r="PSL465"/>
      <c r="PSM465"/>
      <c r="PSN465"/>
      <c r="PSO465"/>
      <c r="PSP465"/>
      <c r="PSQ465"/>
      <c r="PSR465"/>
      <c r="PSS465"/>
      <c r="PST465"/>
      <c r="PSU465"/>
      <c r="PSV465"/>
      <c r="PSW465"/>
      <c r="PSX465"/>
      <c r="PSY465"/>
      <c r="PSZ465"/>
      <c r="PTA465"/>
      <c r="PTB465"/>
      <c r="PTC465"/>
      <c r="PTD465"/>
      <c r="PTE465"/>
      <c r="PTF465"/>
      <c r="PTG465"/>
      <c r="PTH465"/>
      <c r="PTI465"/>
      <c r="PTJ465"/>
      <c r="PTK465"/>
      <c r="PTL465"/>
      <c r="PTM465"/>
      <c r="PTN465"/>
      <c r="PTO465"/>
      <c r="PTP465"/>
      <c r="PTQ465"/>
      <c r="PTR465"/>
      <c r="PTS465"/>
      <c r="PTT465"/>
      <c r="PTU465"/>
      <c r="PTV465"/>
      <c r="PTW465"/>
      <c r="PTX465"/>
      <c r="PTY465"/>
      <c r="PTZ465"/>
      <c r="PUA465"/>
      <c r="PUB465"/>
      <c r="PUC465"/>
      <c r="PUD465"/>
      <c r="PUE465"/>
      <c r="PUF465"/>
      <c r="PUG465"/>
      <c r="PUH465"/>
      <c r="PUI465"/>
      <c r="PUJ465"/>
      <c r="PUK465"/>
      <c r="PUL465"/>
      <c r="PUM465"/>
      <c r="PUN465"/>
      <c r="PUO465"/>
      <c r="PUP465"/>
      <c r="PUQ465"/>
      <c r="PUR465"/>
      <c r="PUS465"/>
      <c r="PUT465"/>
      <c r="PUU465"/>
      <c r="PUV465"/>
      <c r="PUW465"/>
      <c r="PUX465"/>
      <c r="PUY465"/>
      <c r="PUZ465"/>
      <c r="PVA465"/>
      <c r="PVB465"/>
      <c r="PVC465"/>
      <c r="PVD465"/>
      <c r="PVE465"/>
      <c r="PVF465"/>
      <c r="PVG465"/>
      <c r="PVH465"/>
      <c r="PVI465"/>
      <c r="PVJ465"/>
      <c r="PVK465"/>
      <c r="PVL465"/>
      <c r="PVM465"/>
      <c r="PVN465"/>
      <c r="PVO465"/>
      <c r="PVP465"/>
      <c r="PVQ465"/>
      <c r="PVR465"/>
      <c r="PVS465"/>
      <c r="PVT465"/>
      <c r="PVU465"/>
      <c r="PVV465"/>
      <c r="PVW465"/>
      <c r="PVX465"/>
      <c r="PVY465"/>
      <c r="PVZ465"/>
      <c r="PWA465"/>
      <c r="PWB465"/>
      <c r="PWC465"/>
      <c r="PWD465"/>
      <c r="PWE465"/>
      <c r="PWF465"/>
      <c r="PWG465"/>
      <c r="PWH465"/>
      <c r="PWI465"/>
      <c r="PWJ465"/>
      <c r="PWK465"/>
      <c r="PWL465"/>
      <c r="PWM465"/>
      <c r="PWN465"/>
      <c r="PWO465"/>
      <c r="PWP465"/>
      <c r="PWQ465"/>
      <c r="PWR465"/>
      <c r="PWS465"/>
      <c r="PWT465"/>
      <c r="PWU465"/>
      <c r="PWV465"/>
      <c r="PWW465"/>
      <c r="PWX465"/>
      <c r="PWY465"/>
      <c r="PWZ465"/>
      <c r="PXA465"/>
      <c r="PXB465"/>
      <c r="PXC465"/>
      <c r="PXD465"/>
      <c r="PXE465"/>
      <c r="PXF465"/>
      <c r="PXG465"/>
      <c r="PXH465"/>
      <c r="PXI465"/>
      <c r="PXJ465"/>
      <c r="PXK465"/>
      <c r="PXL465"/>
      <c r="PXM465"/>
      <c r="PXN465"/>
      <c r="PXO465"/>
      <c r="PXP465"/>
      <c r="PXQ465"/>
      <c r="PXR465"/>
      <c r="PXS465"/>
      <c r="PXT465"/>
      <c r="PXU465"/>
      <c r="PXV465"/>
      <c r="PXW465"/>
      <c r="PXX465"/>
      <c r="PXY465"/>
      <c r="PXZ465"/>
      <c r="PYA465"/>
      <c r="PYB465"/>
      <c r="PYC465"/>
      <c r="PYD465"/>
      <c r="PYE465"/>
      <c r="PYF465"/>
      <c r="PYG465"/>
      <c r="PYH465"/>
      <c r="PYI465"/>
      <c r="PYJ465"/>
      <c r="PYK465"/>
      <c r="PYL465"/>
      <c r="PYM465"/>
      <c r="PYN465"/>
      <c r="PYO465"/>
      <c r="PYP465"/>
      <c r="PYQ465"/>
      <c r="PYR465"/>
      <c r="PYS465"/>
      <c r="PYT465"/>
      <c r="PYU465"/>
      <c r="PYV465"/>
      <c r="PYW465"/>
      <c r="PYX465"/>
      <c r="PYY465"/>
      <c r="PYZ465"/>
      <c r="PZA465"/>
      <c r="PZB465"/>
      <c r="PZC465"/>
      <c r="PZD465"/>
      <c r="PZE465"/>
      <c r="PZF465"/>
      <c r="PZG465"/>
      <c r="PZH465"/>
      <c r="PZI465"/>
      <c r="PZJ465"/>
      <c r="PZK465"/>
      <c r="PZL465"/>
      <c r="PZM465"/>
      <c r="PZN465"/>
      <c r="PZO465"/>
      <c r="PZP465"/>
      <c r="PZQ465"/>
      <c r="PZR465"/>
      <c r="PZS465"/>
      <c r="PZT465"/>
      <c r="PZU465"/>
      <c r="PZV465"/>
      <c r="PZW465"/>
      <c r="PZX465"/>
      <c r="PZY465"/>
      <c r="PZZ465"/>
      <c r="QAA465"/>
      <c r="QAB465"/>
      <c r="QAC465"/>
      <c r="QAD465"/>
      <c r="QAE465"/>
      <c r="QAF465"/>
      <c r="QAG465"/>
      <c r="QAH465"/>
      <c r="QAI465"/>
      <c r="QAJ465"/>
      <c r="QAK465"/>
      <c r="QAL465"/>
      <c r="QAM465"/>
      <c r="QAN465"/>
      <c r="QAO465"/>
      <c r="QAP465"/>
      <c r="QAQ465"/>
      <c r="QAR465"/>
      <c r="QAS465"/>
      <c r="QAT465"/>
      <c r="QAU465"/>
      <c r="QAV465"/>
      <c r="QAW465"/>
      <c r="QAX465"/>
      <c r="QAY465"/>
      <c r="QAZ465"/>
      <c r="QBA465"/>
      <c r="QBB465"/>
      <c r="QBC465"/>
      <c r="QBD465"/>
      <c r="QBE465"/>
      <c r="QBF465"/>
      <c r="QBG465"/>
      <c r="QBH465"/>
      <c r="QBI465"/>
      <c r="QBJ465"/>
      <c r="QBK465"/>
      <c r="QBL465"/>
      <c r="QBM465"/>
      <c r="QBN465"/>
      <c r="QBO465"/>
      <c r="QBP465"/>
      <c r="QBQ465"/>
      <c r="QBR465"/>
      <c r="QBS465"/>
      <c r="QBT465"/>
      <c r="QBU465"/>
      <c r="QBV465"/>
      <c r="QBW465"/>
      <c r="QBX465"/>
      <c r="QBY465"/>
      <c r="QBZ465"/>
      <c r="QCA465"/>
      <c r="QCB465"/>
      <c r="QCC465"/>
      <c r="QCD465"/>
      <c r="QCE465"/>
      <c r="QCF465"/>
      <c r="QCG465"/>
      <c r="QCH465"/>
      <c r="QCI465"/>
      <c r="QCJ465"/>
      <c r="QCK465"/>
      <c r="QCL465"/>
      <c r="QCM465"/>
      <c r="QCN465"/>
      <c r="QCO465"/>
      <c r="QCP465"/>
      <c r="QCQ465"/>
      <c r="QCR465"/>
      <c r="QCS465"/>
      <c r="QCT465"/>
      <c r="QCU465"/>
      <c r="QCV465"/>
      <c r="QCW465"/>
      <c r="QCX465"/>
      <c r="QCY465"/>
      <c r="QCZ465"/>
      <c r="QDA465"/>
      <c r="QDB465"/>
      <c r="QDC465"/>
      <c r="QDD465"/>
      <c r="QDE465"/>
      <c r="QDF465"/>
      <c r="QDG465"/>
      <c r="QDH465"/>
      <c r="QDI465"/>
      <c r="QDJ465"/>
      <c r="QDK465"/>
      <c r="QDL465"/>
      <c r="QDM465"/>
      <c r="QDN465"/>
      <c r="QDO465"/>
      <c r="QDP465"/>
      <c r="QDQ465"/>
      <c r="QDR465"/>
      <c r="QDS465"/>
      <c r="QDT465"/>
      <c r="QDU465"/>
      <c r="QDV465"/>
      <c r="QDW465"/>
      <c r="QDX465"/>
      <c r="QDY465"/>
      <c r="QDZ465"/>
      <c r="QEA465"/>
      <c r="QEB465"/>
      <c r="QEC465"/>
      <c r="QED465"/>
      <c r="QEE465"/>
      <c r="QEF465"/>
      <c r="QEG465"/>
      <c r="QEH465"/>
      <c r="QEI465"/>
      <c r="QEJ465"/>
      <c r="QEK465"/>
      <c r="QEL465"/>
      <c r="QEM465"/>
      <c r="QEN465"/>
      <c r="QEO465"/>
      <c r="QEP465"/>
      <c r="QEQ465"/>
      <c r="QER465"/>
      <c r="QES465"/>
      <c r="QET465"/>
      <c r="QEU465"/>
      <c r="QEV465"/>
      <c r="QEW465"/>
      <c r="QEX465"/>
      <c r="QEY465"/>
      <c r="QEZ465"/>
      <c r="QFA465"/>
      <c r="QFB465"/>
      <c r="QFC465"/>
      <c r="QFD465"/>
      <c r="QFE465"/>
      <c r="QFF465"/>
      <c r="QFG465"/>
      <c r="QFH465"/>
      <c r="QFI465"/>
      <c r="QFJ465"/>
      <c r="QFK465"/>
      <c r="QFL465"/>
      <c r="QFM465"/>
      <c r="QFN465"/>
      <c r="QFO465"/>
      <c r="QFP465"/>
      <c r="QFQ465"/>
      <c r="QFR465"/>
      <c r="QFS465"/>
      <c r="QFT465"/>
      <c r="QFU465"/>
      <c r="QFV465"/>
      <c r="QFW465"/>
      <c r="QFX465"/>
      <c r="QFY465"/>
      <c r="QFZ465"/>
      <c r="QGA465"/>
      <c r="QGB465"/>
      <c r="QGC465"/>
      <c r="QGD465"/>
      <c r="QGE465"/>
      <c r="QGF465"/>
      <c r="QGG465"/>
      <c r="QGH465"/>
      <c r="QGI465"/>
      <c r="QGJ465"/>
      <c r="QGK465"/>
      <c r="QGL465"/>
      <c r="QGM465"/>
      <c r="QGN465"/>
      <c r="QGO465"/>
      <c r="QGP465"/>
      <c r="QGQ465"/>
      <c r="QGR465"/>
      <c r="QGS465"/>
      <c r="QGT465"/>
      <c r="QGU465"/>
      <c r="QGV465"/>
      <c r="QGW465"/>
      <c r="QGX465"/>
      <c r="QGY465"/>
      <c r="QGZ465"/>
      <c r="QHA465"/>
      <c r="QHB465"/>
      <c r="QHC465"/>
      <c r="QHD465"/>
      <c r="QHE465"/>
      <c r="QHF465"/>
      <c r="QHG465"/>
      <c r="QHH465"/>
      <c r="QHI465"/>
      <c r="QHJ465"/>
      <c r="QHK465"/>
      <c r="QHL465"/>
      <c r="QHM465"/>
      <c r="QHN465"/>
      <c r="QHO465"/>
      <c r="QHP465"/>
      <c r="QHQ465"/>
      <c r="QHR465"/>
      <c r="QHS465"/>
      <c r="QHT465"/>
      <c r="QHU465"/>
      <c r="QHV465"/>
      <c r="QHW465"/>
      <c r="QHX465"/>
      <c r="QHY465"/>
      <c r="QHZ465"/>
      <c r="QIA465"/>
      <c r="QIB465"/>
      <c r="QIC465"/>
      <c r="QID465"/>
      <c r="QIE465"/>
      <c r="QIF465"/>
      <c r="QIG465"/>
      <c r="QIH465"/>
      <c r="QII465"/>
      <c r="QIJ465"/>
      <c r="QIK465"/>
      <c r="QIL465"/>
      <c r="QIM465"/>
      <c r="QIN465"/>
      <c r="QIO465"/>
      <c r="QIP465"/>
      <c r="QIQ465"/>
      <c r="QIR465"/>
      <c r="QIS465"/>
      <c r="QIT465"/>
      <c r="QIU465"/>
      <c r="QIV465"/>
      <c r="QIW465"/>
      <c r="QIX465"/>
      <c r="QIY465"/>
      <c r="QIZ465"/>
      <c r="QJA465"/>
      <c r="QJB465"/>
      <c r="QJC465"/>
      <c r="QJD465"/>
      <c r="QJE465"/>
      <c r="QJF465"/>
      <c r="QJG465"/>
      <c r="QJH465"/>
      <c r="QJI465"/>
      <c r="QJJ465"/>
      <c r="QJK465"/>
      <c r="QJL465"/>
      <c r="QJM465"/>
      <c r="QJN465"/>
      <c r="QJO465"/>
      <c r="QJP465"/>
      <c r="QJQ465"/>
      <c r="QJR465"/>
      <c r="QJS465"/>
      <c r="QJT465"/>
      <c r="QJU465"/>
      <c r="QJV465"/>
      <c r="QJW465"/>
      <c r="QJX465"/>
      <c r="QJY465"/>
      <c r="QJZ465"/>
      <c r="QKA465"/>
      <c r="QKB465"/>
      <c r="QKC465"/>
      <c r="QKD465"/>
      <c r="QKE465"/>
      <c r="QKF465"/>
      <c r="QKG465"/>
      <c r="QKH465"/>
      <c r="QKI465"/>
      <c r="QKJ465"/>
      <c r="QKK465"/>
      <c r="QKL465"/>
      <c r="QKM465"/>
      <c r="QKN465"/>
      <c r="QKO465"/>
      <c r="QKP465"/>
      <c r="QKQ465"/>
      <c r="QKR465"/>
      <c r="QKS465"/>
      <c r="QKT465"/>
      <c r="QKU465"/>
      <c r="QKV465"/>
      <c r="QKW465"/>
      <c r="QKX465"/>
      <c r="QKY465"/>
      <c r="QKZ465"/>
      <c r="QLA465"/>
      <c r="QLB465"/>
      <c r="QLC465"/>
      <c r="QLD465"/>
      <c r="QLE465"/>
      <c r="QLF465"/>
      <c r="QLG465"/>
      <c r="QLH465"/>
      <c r="QLI465"/>
      <c r="QLJ465"/>
      <c r="QLK465"/>
      <c r="QLL465"/>
      <c r="QLM465"/>
      <c r="QLN465"/>
      <c r="QLO465"/>
      <c r="QLP465"/>
      <c r="QLQ465"/>
      <c r="QLR465"/>
      <c r="QLS465"/>
      <c r="QLT465"/>
      <c r="QLU465"/>
      <c r="QLV465"/>
      <c r="QLW465"/>
      <c r="QLX465"/>
      <c r="QLY465"/>
      <c r="QLZ465"/>
      <c r="QMA465"/>
      <c r="QMB465"/>
      <c r="QMC465"/>
      <c r="QMD465"/>
      <c r="QME465"/>
      <c r="QMF465"/>
      <c r="QMG465"/>
      <c r="QMH465"/>
      <c r="QMI465"/>
      <c r="QMJ465"/>
      <c r="QMK465"/>
      <c r="QML465"/>
      <c r="QMM465"/>
      <c r="QMN465"/>
      <c r="QMO465"/>
      <c r="QMP465"/>
      <c r="QMQ465"/>
      <c r="QMR465"/>
      <c r="QMS465"/>
      <c r="QMT465"/>
      <c r="QMU465"/>
      <c r="QMV465"/>
      <c r="QMW465"/>
      <c r="QMX465"/>
      <c r="QMY465"/>
      <c r="QMZ465"/>
      <c r="QNA465"/>
      <c r="QNB465"/>
      <c r="QNC465"/>
      <c r="QND465"/>
      <c r="QNE465"/>
      <c r="QNF465"/>
      <c r="QNG465"/>
      <c r="QNH465"/>
      <c r="QNI465"/>
      <c r="QNJ465"/>
      <c r="QNK465"/>
      <c r="QNL465"/>
      <c r="QNM465"/>
      <c r="QNN465"/>
      <c r="QNO465"/>
      <c r="QNP465"/>
      <c r="QNQ465"/>
      <c r="QNR465"/>
      <c r="QNS465"/>
      <c r="QNT465"/>
      <c r="QNU465"/>
      <c r="QNV465"/>
      <c r="QNW465"/>
      <c r="QNX465"/>
      <c r="QNY465"/>
      <c r="QNZ465"/>
      <c r="QOA465"/>
      <c r="QOB465"/>
      <c r="QOC465"/>
      <c r="QOD465"/>
      <c r="QOE465"/>
      <c r="QOF465"/>
      <c r="QOG465"/>
      <c r="QOH465"/>
      <c r="QOI465"/>
      <c r="QOJ465"/>
      <c r="QOK465"/>
      <c r="QOL465"/>
      <c r="QOM465"/>
      <c r="QON465"/>
      <c r="QOO465"/>
      <c r="QOP465"/>
      <c r="QOQ465"/>
      <c r="QOR465"/>
      <c r="QOS465"/>
      <c r="QOT465"/>
      <c r="QOU465"/>
      <c r="QOV465"/>
      <c r="QOW465"/>
      <c r="QOX465"/>
      <c r="QOY465"/>
      <c r="QOZ465"/>
      <c r="QPA465"/>
      <c r="QPB465"/>
      <c r="QPC465"/>
      <c r="QPD465"/>
      <c r="QPE465"/>
      <c r="QPF465"/>
      <c r="QPG465"/>
      <c r="QPH465"/>
      <c r="QPI465"/>
      <c r="QPJ465"/>
      <c r="QPK465"/>
      <c r="QPL465"/>
      <c r="QPM465"/>
      <c r="QPN465"/>
      <c r="QPO465"/>
      <c r="QPP465"/>
      <c r="QPQ465"/>
      <c r="QPR465"/>
      <c r="QPS465"/>
      <c r="QPT465"/>
      <c r="QPU465"/>
      <c r="QPV465"/>
      <c r="QPW465"/>
      <c r="QPX465"/>
      <c r="QPY465"/>
      <c r="QPZ465"/>
      <c r="QQA465"/>
      <c r="QQB465"/>
      <c r="QQC465"/>
      <c r="QQD465"/>
      <c r="QQE465"/>
      <c r="QQF465"/>
      <c r="QQG465"/>
      <c r="QQH465"/>
      <c r="QQI465"/>
      <c r="QQJ465"/>
      <c r="QQK465"/>
      <c r="QQL465"/>
      <c r="QQM465"/>
      <c r="QQN465"/>
      <c r="QQO465"/>
      <c r="QQP465"/>
      <c r="QQQ465"/>
      <c r="QQR465"/>
      <c r="QQS465"/>
      <c r="QQT465"/>
      <c r="QQU465"/>
      <c r="QQV465"/>
      <c r="QQW465"/>
      <c r="QQX465"/>
      <c r="QQY465"/>
      <c r="QQZ465"/>
      <c r="QRA465"/>
      <c r="QRB465"/>
      <c r="QRC465"/>
      <c r="QRD465"/>
      <c r="QRE465"/>
      <c r="QRF465"/>
      <c r="QRG465"/>
      <c r="QRH465"/>
      <c r="QRI465"/>
      <c r="QRJ465"/>
      <c r="QRK465"/>
      <c r="QRL465"/>
      <c r="QRM465"/>
      <c r="QRN465"/>
      <c r="QRO465"/>
      <c r="QRP465"/>
      <c r="QRQ465"/>
      <c r="QRR465"/>
      <c r="QRS465"/>
      <c r="QRT465"/>
      <c r="QRU465"/>
      <c r="QRV465"/>
      <c r="QRW465"/>
      <c r="QRX465"/>
      <c r="QRY465"/>
      <c r="QRZ465"/>
      <c r="QSA465"/>
      <c r="QSB465"/>
      <c r="QSC465"/>
      <c r="QSD465"/>
      <c r="QSE465"/>
      <c r="QSF465"/>
      <c r="QSG465"/>
      <c r="QSH465"/>
      <c r="QSI465"/>
      <c r="QSJ465"/>
      <c r="QSK465"/>
      <c r="QSL465"/>
      <c r="QSM465"/>
      <c r="QSN465"/>
      <c r="QSO465"/>
      <c r="QSP465"/>
      <c r="QSQ465"/>
      <c r="QSR465"/>
      <c r="QSS465"/>
      <c r="QST465"/>
      <c r="QSU465"/>
      <c r="QSV465"/>
      <c r="QSW465"/>
      <c r="QSX465"/>
      <c r="QSY465"/>
      <c r="QSZ465"/>
      <c r="QTA465"/>
      <c r="QTB465"/>
      <c r="QTC465"/>
      <c r="QTD465"/>
      <c r="QTE465"/>
      <c r="QTF465"/>
      <c r="QTG465"/>
      <c r="QTH465"/>
      <c r="QTI465"/>
      <c r="QTJ465"/>
      <c r="QTK465"/>
      <c r="QTL465"/>
      <c r="QTM465"/>
      <c r="QTN465"/>
      <c r="QTO465"/>
      <c r="QTP465"/>
      <c r="QTQ465"/>
      <c r="QTR465"/>
      <c r="QTS465"/>
      <c r="QTT465"/>
      <c r="QTU465"/>
      <c r="QTV465"/>
      <c r="QTW465"/>
      <c r="QTX465"/>
      <c r="QTY465"/>
      <c r="QTZ465"/>
      <c r="QUA465"/>
      <c r="QUB465"/>
      <c r="QUC465"/>
      <c r="QUD465"/>
      <c r="QUE465"/>
      <c r="QUF465"/>
      <c r="QUG465"/>
      <c r="QUH465"/>
      <c r="QUI465"/>
      <c r="QUJ465"/>
      <c r="QUK465"/>
      <c r="QUL465"/>
      <c r="QUM465"/>
      <c r="QUN465"/>
      <c r="QUO465"/>
      <c r="QUP465"/>
      <c r="QUQ465"/>
      <c r="QUR465"/>
      <c r="QUS465"/>
      <c r="QUT465"/>
      <c r="QUU465"/>
      <c r="QUV465"/>
      <c r="QUW465"/>
      <c r="QUX465"/>
      <c r="QUY465"/>
      <c r="QUZ465"/>
      <c r="QVA465"/>
      <c r="QVB465"/>
      <c r="QVC465"/>
      <c r="QVD465"/>
      <c r="QVE465"/>
      <c r="QVF465"/>
      <c r="QVG465"/>
      <c r="QVH465"/>
      <c r="QVI465"/>
      <c r="QVJ465"/>
      <c r="QVK465"/>
      <c r="QVL465"/>
      <c r="QVM465"/>
      <c r="QVN465"/>
      <c r="QVO465"/>
      <c r="QVP465"/>
      <c r="QVQ465"/>
      <c r="QVR465"/>
      <c r="QVS465"/>
      <c r="QVT465"/>
      <c r="QVU465"/>
      <c r="QVV465"/>
      <c r="QVW465"/>
      <c r="QVX465"/>
      <c r="QVY465"/>
      <c r="QVZ465"/>
      <c r="QWA465"/>
      <c r="QWB465"/>
      <c r="QWC465"/>
      <c r="QWD465"/>
      <c r="QWE465"/>
      <c r="QWF465"/>
      <c r="QWG465"/>
      <c r="QWH465"/>
      <c r="QWI465"/>
      <c r="QWJ465"/>
      <c r="QWK465"/>
      <c r="QWL465"/>
      <c r="QWM465"/>
      <c r="QWN465"/>
      <c r="QWO465"/>
      <c r="QWP465"/>
      <c r="QWQ465"/>
      <c r="QWR465"/>
      <c r="QWS465"/>
      <c r="QWT465"/>
      <c r="QWU465"/>
      <c r="QWV465"/>
      <c r="QWW465"/>
      <c r="QWX465"/>
      <c r="QWY465"/>
      <c r="QWZ465"/>
      <c r="QXA465"/>
      <c r="QXB465"/>
      <c r="QXC465"/>
      <c r="QXD465"/>
      <c r="QXE465"/>
      <c r="QXF465"/>
      <c r="QXG465"/>
      <c r="QXH465"/>
      <c r="QXI465"/>
      <c r="QXJ465"/>
      <c r="QXK465"/>
      <c r="QXL465"/>
      <c r="QXM465"/>
      <c r="QXN465"/>
      <c r="QXO465"/>
      <c r="QXP465"/>
      <c r="QXQ465"/>
      <c r="QXR465"/>
      <c r="QXS465"/>
      <c r="QXT465"/>
      <c r="QXU465"/>
      <c r="QXV465"/>
      <c r="QXW465"/>
      <c r="QXX465"/>
      <c r="QXY465"/>
      <c r="QXZ465"/>
      <c r="QYA465"/>
      <c r="QYB465"/>
      <c r="QYC465"/>
      <c r="QYD465"/>
      <c r="QYE465"/>
      <c r="QYF465"/>
      <c r="QYG465"/>
      <c r="QYH465"/>
      <c r="QYI465"/>
      <c r="QYJ465"/>
      <c r="QYK465"/>
      <c r="QYL465"/>
      <c r="QYM465"/>
      <c r="QYN465"/>
      <c r="QYO465"/>
      <c r="QYP465"/>
      <c r="QYQ465"/>
      <c r="QYR465"/>
      <c r="QYS465"/>
      <c r="QYT465"/>
      <c r="QYU465"/>
      <c r="QYV465"/>
      <c r="QYW465"/>
      <c r="QYX465"/>
      <c r="QYY465"/>
      <c r="QYZ465"/>
      <c r="QZA465"/>
      <c r="QZB465"/>
      <c r="QZC465"/>
      <c r="QZD465"/>
      <c r="QZE465"/>
      <c r="QZF465"/>
      <c r="QZG465"/>
      <c r="QZH465"/>
      <c r="QZI465"/>
      <c r="QZJ465"/>
      <c r="QZK465"/>
      <c r="QZL465"/>
      <c r="QZM465"/>
      <c r="QZN465"/>
      <c r="QZO465"/>
      <c r="QZP465"/>
      <c r="QZQ465"/>
      <c r="QZR465"/>
      <c r="QZS465"/>
      <c r="QZT465"/>
      <c r="QZU465"/>
      <c r="QZV465"/>
      <c r="QZW465"/>
      <c r="QZX465"/>
      <c r="QZY465"/>
      <c r="QZZ465"/>
      <c r="RAA465"/>
      <c r="RAB465"/>
      <c r="RAC465"/>
      <c r="RAD465"/>
      <c r="RAE465"/>
      <c r="RAF465"/>
      <c r="RAG465"/>
      <c r="RAH465"/>
      <c r="RAI465"/>
      <c r="RAJ465"/>
      <c r="RAK465"/>
      <c r="RAL465"/>
      <c r="RAM465"/>
      <c r="RAN465"/>
      <c r="RAO465"/>
      <c r="RAP465"/>
      <c r="RAQ465"/>
      <c r="RAR465"/>
      <c r="RAS465"/>
      <c r="RAT465"/>
      <c r="RAU465"/>
      <c r="RAV465"/>
      <c r="RAW465"/>
      <c r="RAX465"/>
      <c r="RAY465"/>
      <c r="RAZ465"/>
      <c r="RBA465"/>
      <c r="RBB465"/>
      <c r="RBC465"/>
      <c r="RBD465"/>
      <c r="RBE465"/>
      <c r="RBF465"/>
      <c r="RBG465"/>
      <c r="RBH465"/>
      <c r="RBI465"/>
      <c r="RBJ465"/>
      <c r="RBK465"/>
      <c r="RBL465"/>
      <c r="RBM465"/>
      <c r="RBN465"/>
      <c r="RBO465"/>
      <c r="RBP465"/>
      <c r="RBQ465"/>
      <c r="RBR465"/>
      <c r="RBS465"/>
      <c r="RBT465"/>
      <c r="RBU465"/>
      <c r="RBV465"/>
      <c r="RBW465"/>
      <c r="RBX465"/>
      <c r="RBY465"/>
      <c r="RBZ465"/>
      <c r="RCA465"/>
      <c r="RCB465"/>
      <c r="RCC465"/>
      <c r="RCD465"/>
      <c r="RCE465"/>
      <c r="RCF465"/>
      <c r="RCG465"/>
      <c r="RCH465"/>
      <c r="RCI465"/>
      <c r="RCJ465"/>
      <c r="RCK465"/>
      <c r="RCL465"/>
      <c r="RCM465"/>
      <c r="RCN465"/>
      <c r="RCO465"/>
      <c r="RCP465"/>
      <c r="RCQ465"/>
      <c r="RCR465"/>
      <c r="RCS465"/>
      <c r="RCT465"/>
      <c r="RCU465"/>
      <c r="RCV465"/>
      <c r="RCW465"/>
      <c r="RCX465"/>
      <c r="RCY465"/>
      <c r="RCZ465"/>
      <c r="RDA465"/>
      <c r="RDB465"/>
      <c r="RDC465"/>
      <c r="RDD465"/>
      <c r="RDE465"/>
      <c r="RDF465"/>
      <c r="RDG465"/>
      <c r="RDH465"/>
      <c r="RDI465"/>
      <c r="RDJ465"/>
      <c r="RDK465"/>
      <c r="RDL465"/>
      <c r="RDM465"/>
      <c r="RDN465"/>
      <c r="RDO465"/>
      <c r="RDP465"/>
      <c r="RDQ465"/>
      <c r="RDR465"/>
      <c r="RDS465"/>
      <c r="RDT465"/>
      <c r="RDU465"/>
      <c r="RDV465"/>
      <c r="RDW465"/>
      <c r="RDX465"/>
      <c r="RDY465"/>
      <c r="RDZ465"/>
      <c r="REA465"/>
      <c r="REB465"/>
      <c r="REC465"/>
      <c r="RED465"/>
      <c r="REE465"/>
      <c r="REF465"/>
      <c r="REG465"/>
      <c r="REH465"/>
      <c r="REI465"/>
      <c r="REJ465"/>
      <c r="REK465"/>
      <c r="REL465"/>
      <c r="REM465"/>
      <c r="REN465"/>
      <c r="REO465"/>
      <c r="REP465"/>
      <c r="REQ465"/>
      <c r="RER465"/>
      <c r="RES465"/>
      <c r="RET465"/>
      <c r="REU465"/>
      <c r="REV465"/>
      <c r="REW465"/>
      <c r="REX465"/>
      <c r="REY465"/>
      <c r="REZ465"/>
      <c r="RFA465"/>
      <c r="RFB465"/>
      <c r="RFC465"/>
      <c r="RFD465"/>
      <c r="RFE465"/>
      <c r="RFF465"/>
      <c r="RFG465"/>
      <c r="RFH465"/>
      <c r="RFI465"/>
      <c r="RFJ465"/>
      <c r="RFK465"/>
      <c r="RFL465"/>
      <c r="RFM465"/>
      <c r="RFN465"/>
      <c r="RFO465"/>
      <c r="RFP465"/>
      <c r="RFQ465"/>
      <c r="RFR465"/>
      <c r="RFS465"/>
      <c r="RFT465"/>
      <c r="RFU465"/>
      <c r="RFV465"/>
      <c r="RFW465"/>
      <c r="RFX465"/>
      <c r="RFY465"/>
      <c r="RFZ465"/>
      <c r="RGA465"/>
      <c r="RGB465"/>
      <c r="RGC465"/>
      <c r="RGD465"/>
      <c r="RGE465"/>
      <c r="RGF465"/>
      <c r="RGG465"/>
      <c r="RGH465"/>
      <c r="RGI465"/>
      <c r="RGJ465"/>
      <c r="RGK465"/>
      <c r="RGL465"/>
      <c r="RGM465"/>
      <c r="RGN465"/>
      <c r="RGO465"/>
      <c r="RGP465"/>
      <c r="RGQ465"/>
      <c r="RGR465"/>
      <c r="RGS465"/>
      <c r="RGT465"/>
      <c r="RGU465"/>
      <c r="RGV465"/>
      <c r="RGW465"/>
      <c r="RGX465"/>
      <c r="RGY465"/>
      <c r="RGZ465"/>
      <c r="RHA465"/>
      <c r="RHB465"/>
      <c r="RHC465"/>
      <c r="RHD465"/>
      <c r="RHE465"/>
      <c r="RHF465"/>
      <c r="RHG465"/>
      <c r="RHH465"/>
      <c r="RHI465"/>
      <c r="RHJ465"/>
      <c r="RHK465"/>
      <c r="RHL465"/>
      <c r="RHM465"/>
      <c r="RHN465"/>
      <c r="RHO465"/>
      <c r="RHP465"/>
      <c r="RHQ465"/>
      <c r="RHR465"/>
      <c r="RHS465"/>
      <c r="RHT465"/>
      <c r="RHU465"/>
      <c r="RHV465"/>
      <c r="RHW465"/>
      <c r="RHX465"/>
      <c r="RHY465"/>
      <c r="RHZ465"/>
      <c r="RIA465"/>
      <c r="RIB465"/>
      <c r="RIC465"/>
      <c r="RID465"/>
      <c r="RIE465"/>
      <c r="RIF465"/>
      <c r="RIG465"/>
      <c r="RIH465"/>
      <c r="RII465"/>
      <c r="RIJ465"/>
      <c r="RIK465"/>
      <c r="RIL465"/>
      <c r="RIM465"/>
      <c r="RIN465"/>
      <c r="RIO465"/>
      <c r="RIP465"/>
      <c r="RIQ465"/>
      <c r="RIR465"/>
      <c r="RIS465"/>
      <c r="RIT465"/>
      <c r="RIU465"/>
      <c r="RIV465"/>
      <c r="RIW465"/>
      <c r="RIX465"/>
      <c r="RIY465"/>
      <c r="RIZ465"/>
      <c r="RJA465"/>
      <c r="RJB465"/>
      <c r="RJC465"/>
      <c r="RJD465"/>
      <c r="RJE465"/>
      <c r="RJF465"/>
      <c r="RJG465"/>
      <c r="RJH465"/>
      <c r="RJI465"/>
      <c r="RJJ465"/>
      <c r="RJK465"/>
      <c r="RJL465"/>
      <c r="RJM465"/>
      <c r="RJN465"/>
      <c r="RJO465"/>
      <c r="RJP465"/>
      <c r="RJQ465"/>
      <c r="RJR465"/>
      <c r="RJS465"/>
      <c r="RJT465"/>
      <c r="RJU465"/>
      <c r="RJV465"/>
      <c r="RJW465"/>
      <c r="RJX465"/>
      <c r="RJY465"/>
      <c r="RJZ465"/>
      <c r="RKA465"/>
      <c r="RKB465"/>
      <c r="RKC465"/>
      <c r="RKD465"/>
      <c r="RKE465"/>
      <c r="RKF465"/>
      <c r="RKG465"/>
      <c r="RKH465"/>
      <c r="RKI465"/>
      <c r="RKJ465"/>
      <c r="RKK465"/>
      <c r="RKL465"/>
      <c r="RKM465"/>
      <c r="RKN465"/>
      <c r="RKO465"/>
      <c r="RKP465"/>
      <c r="RKQ465"/>
      <c r="RKR465"/>
      <c r="RKS465"/>
      <c r="RKT465"/>
      <c r="RKU465"/>
      <c r="RKV465"/>
      <c r="RKW465"/>
      <c r="RKX465"/>
      <c r="RKY465"/>
      <c r="RKZ465"/>
      <c r="RLA465"/>
      <c r="RLB465"/>
      <c r="RLC465"/>
      <c r="RLD465"/>
      <c r="RLE465"/>
      <c r="RLF465"/>
      <c r="RLG465"/>
      <c r="RLH465"/>
      <c r="RLI465"/>
      <c r="RLJ465"/>
      <c r="RLK465"/>
      <c r="RLL465"/>
      <c r="RLM465"/>
      <c r="RLN465"/>
      <c r="RLO465"/>
      <c r="RLP465"/>
      <c r="RLQ465"/>
      <c r="RLR465"/>
      <c r="RLS465"/>
      <c r="RLT465"/>
      <c r="RLU465"/>
      <c r="RLV465"/>
      <c r="RLW465"/>
      <c r="RLX465"/>
      <c r="RLY465"/>
      <c r="RLZ465"/>
      <c r="RMA465"/>
      <c r="RMB465"/>
      <c r="RMC465"/>
      <c r="RMD465"/>
      <c r="RME465"/>
      <c r="RMF465"/>
      <c r="RMG465"/>
      <c r="RMH465"/>
      <c r="RMI465"/>
      <c r="RMJ465"/>
      <c r="RMK465"/>
      <c r="RML465"/>
      <c r="RMM465"/>
      <c r="RMN465"/>
      <c r="RMO465"/>
      <c r="RMP465"/>
      <c r="RMQ465"/>
      <c r="RMR465"/>
      <c r="RMS465"/>
      <c r="RMT465"/>
      <c r="RMU465"/>
      <c r="RMV465"/>
      <c r="RMW465"/>
      <c r="RMX465"/>
      <c r="RMY465"/>
      <c r="RMZ465"/>
      <c r="RNA465"/>
      <c r="RNB465"/>
      <c r="RNC465"/>
      <c r="RND465"/>
      <c r="RNE465"/>
      <c r="RNF465"/>
      <c r="RNG465"/>
      <c r="RNH465"/>
      <c r="RNI465"/>
      <c r="RNJ465"/>
      <c r="RNK465"/>
      <c r="RNL465"/>
      <c r="RNM465"/>
      <c r="RNN465"/>
      <c r="RNO465"/>
      <c r="RNP465"/>
      <c r="RNQ465"/>
      <c r="RNR465"/>
      <c r="RNS465"/>
      <c r="RNT465"/>
      <c r="RNU465"/>
      <c r="RNV465"/>
      <c r="RNW465"/>
      <c r="RNX465"/>
      <c r="RNY465"/>
      <c r="RNZ465"/>
      <c r="ROA465"/>
      <c r="ROB465"/>
      <c r="ROC465"/>
      <c r="ROD465"/>
      <c r="ROE465"/>
      <c r="ROF465"/>
      <c r="ROG465"/>
      <c r="ROH465"/>
      <c r="ROI465"/>
      <c r="ROJ465"/>
      <c r="ROK465"/>
      <c r="ROL465"/>
      <c r="ROM465"/>
      <c r="RON465"/>
      <c r="ROO465"/>
      <c r="ROP465"/>
      <c r="ROQ465"/>
      <c r="ROR465"/>
      <c r="ROS465"/>
      <c r="ROT465"/>
      <c r="ROU465"/>
      <c r="ROV465"/>
      <c r="ROW465"/>
      <c r="ROX465"/>
      <c r="ROY465"/>
      <c r="ROZ465"/>
      <c r="RPA465"/>
      <c r="RPB465"/>
      <c r="RPC465"/>
      <c r="RPD465"/>
      <c r="RPE465"/>
      <c r="RPF465"/>
      <c r="RPG465"/>
      <c r="RPH465"/>
      <c r="RPI465"/>
      <c r="RPJ465"/>
      <c r="RPK465"/>
      <c r="RPL465"/>
      <c r="RPM465"/>
      <c r="RPN465"/>
      <c r="RPO465"/>
      <c r="RPP465"/>
      <c r="RPQ465"/>
      <c r="RPR465"/>
      <c r="RPS465"/>
      <c r="RPT465"/>
      <c r="RPU465"/>
      <c r="RPV465"/>
      <c r="RPW465"/>
      <c r="RPX465"/>
      <c r="RPY465"/>
      <c r="RPZ465"/>
      <c r="RQA465"/>
      <c r="RQB465"/>
      <c r="RQC465"/>
      <c r="RQD465"/>
      <c r="RQE465"/>
      <c r="RQF465"/>
      <c r="RQG465"/>
      <c r="RQH465"/>
      <c r="RQI465"/>
      <c r="RQJ465"/>
      <c r="RQK465"/>
      <c r="RQL465"/>
      <c r="RQM465"/>
      <c r="RQN465"/>
      <c r="RQO465"/>
      <c r="RQP465"/>
      <c r="RQQ465"/>
      <c r="RQR465"/>
      <c r="RQS465"/>
      <c r="RQT465"/>
      <c r="RQU465"/>
      <c r="RQV465"/>
      <c r="RQW465"/>
      <c r="RQX465"/>
      <c r="RQY465"/>
      <c r="RQZ465"/>
      <c r="RRA465"/>
      <c r="RRB465"/>
      <c r="RRC465"/>
      <c r="RRD465"/>
      <c r="RRE465"/>
      <c r="RRF465"/>
      <c r="RRG465"/>
      <c r="RRH465"/>
      <c r="RRI465"/>
      <c r="RRJ465"/>
      <c r="RRK465"/>
      <c r="RRL465"/>
      <c r="RRM465"/>
      <c r="RRN465"/>
      <c r="RRO465"/>
      <c r="RRP465"/>
      <c r="RRQ465"/>
      <c r="RRR465"/>
      <c r="RRS465"/>
      <c r="RRT465"/>
      <c r="RRU465"/>
      <c r="RRV465"/>
      <c r="RRW465"/>
      <c r="RRX465"/>
      <c r="RRY465"/>
      <c r="RRZ465"/>
      <c r="RSA465"/>
      <c r="RSB465"/>
      <c r="RSC465"/>
      <c r="RSD465"/>
      <c r="RSE465"/>
      <c r="RSF465"/>
      <c r="RSG465"/>
      <c r="RSH465"/>
      <c r="RSI465"/>
      <c r="RSJ465"/>
      <c r="RSK465"/>
      <c r="RSL465"/>
      <c r="RSM465"/>
      <c r="RSN465"/>
      <c r="RSO465"/>
      <c r="RSP465"/>
      <c r="RSQ465"/>
      <c r="RSR465"/>
      <c r="RSS465"/>
      <c r="RST465"/>
      <c r="RSU465"/>
      <c r="RSV465"/>
      <c r="RSW465"/>
      <c r="RSX465"/>
      <c r="RSY465"/>
      <c r="RSZ465"/>
      <c r="RTA465"/>
      <c r="RTB465"/>
      <c r="RTC465"/>
      <c r="RTD465"/>
      <c r="RTE465"/>
      <c r="RTF465"/>
      <c r="RTG465"/>
      <c r="RTH465"/>
      <c r="RTI465"/>
      <c r="RTJ465"/>
      <c r="RTK465"/>
      <c r="RTL465"/>
      <c r="RTM465"/>
      <c r="RTN465"/>
      <c r="RTO465"/>
      <c r="RTP465"/>
      <c r="RTQ465"/>
      <c r="RTR465"/>
      <c r="RTS465"/>
      <c r="RTT465"/>
      <c r="RTU465"/>
      <c r="RTV465"/>
      <c r="RTW465"/>
      <c r="RTX465"/>
      <c r="RTY465"/>
      <c r="RTZ465"/>
      <c r="RUA465"/>
      <c r="RUB465"/>
      <c r="RUC465"/>
      <c r="RUD465"/>
      <c r="RUE465"/>
      <c r="RUF465"/>
      <c r="RUG465"/>
      <c r="RUH465"/>
      <c r="RUI465"/>
      <c r="RUJ465"/>
      <c r="RUK465"/>
      <c r="RUL465"/>
      <c r="RUM465"/>
      <c r="RUN465"/>
      <c r="RUO465"/>
      <c r="RUP465"/>
      <c r="RUQ465"/>
      <c r="RUR465"/>
      <c r="RUS465"/>
      <c r="RUT465"/>
      <c r="RUU465"/>
      <c r="RUV465"/>
      <c r="RUW465"/>
      <c r="RUX465"/>
      <c r="RUY465"/>
      <c r="RUZ465"/>
      <c r="RVA465"/>
      <c r="RVB465"/>
      <c r="RVC465"/>
      <c r="RVD465"/>
      <c r="RVE465"/>
      <c r="RVF465"/>
      <c r="RVG465"/>
      <c r="RVH465"/>
      <c r="RVI465"/>
      <c r="RVJ465"/>
      <c r="RVK465"/>
      <c r="RVL465"/>
      <c r="RVM465"/>
      <c r="RVN465"/>
      <c r="RVO465"/>
      <c r="RVP465"/>
      <c r="RVQ465"/>
      <c r="RVR465"/>
      <c r="RVS465"/>
      <c r="RVT465"/>
      <c r="RVU465"/>
      <c r="RVV465"/>
      <c r="RVW465"/>
      <c r="RVX465"/>
      <c r="RVY465"/>
      <c r="RVZ465"/>
      <c r="RWA465"/>
      <c r="RWB465"/>
      <c r="RWC465"/>
      <c r="RWD465"/>
      <c r="RWE465"/>
      <c r="RWF465"/>
      <c r="RWG465"/>
      <c r="RWH465"/>
      <c r="RWI465"/>
      <c r="RWJ465"/>
      <c r="RWK465"/>
      <c r="RWL465"/>
      <c r="RWM465"/>
      <c r="RWN465"/>
      <c r="RWO465"/>
      <c r="RWP465"/>
      <c r="RWQ465"/>
      <c r="RWR465"/>
      <c r="RWS465"/>
      <c r="RWT465"/>
      <c r="RWU465"/>
      <c r="RWV465"/>
      <c r="RWW465"/>
      <c r="RWX465"/>
      <c r="RWY465"/>
      <c r="RWZ465"/>
      <c r="RXA465"/>
      <c r="RXB465"/>
      <c r="RXC465"/>
      <c r="RXD465"/>
      <c r="RXE465"/>
      <c r="RXF465"/>
      <c r="RXG465"/>
      <c r="RXH465"/>
      <c r="RXI465"/>
      <c r="RXJ465"/>
      <c r="RXK465"/>
      <c r="RXL465"/>
      <c r="RXM465"/>
      <c r="RXN465"/>
      <c r="RXO465"/>
      <c r="RXP465"/>
      <c r="RXQ465"/>
      <c r="RXR465"/>
      <c r="RXS465"/>
      <c r="RXT465"/>
      <c r="RXU465"/>
      <c r="RXV465"/>
      <c r="RXW465"/>
      <c r="RXX465"/>
      <c r="RXY465"/>
      <c r="RXZ465"/>
      <c r="RYA465"/>
      <c r="RYB465"/>
      <c r="RYC465"/>
      <c r="RYD465"/>
      <c r="RYE465"/>
      <c r="RYF465"/>
      <c r="RYG465"/>
      <c r="RYH465"/>
      <c r="RYI465"/>
      <c r="RYJ465"/>
      <c r="RYK465"/>
      <c r="RYL465"/>
      <c r="RYM465"/>
      <c r="RYN465"/>
      <c r="RYO465"/>
      <c r="RYP465"/>
      <c r="RYQ465"/>
      <c r="RYR465"/>
      <c r="RYS465"/>
      <c r="RYT465"/>
      <c r="RYU465"/>
      <c r="RYV465"/>
      <c r="RYW465"/>
      <c r="RYX465"/>
      <c r="RYY465"/>
      <c r="RYZ465"/>
      <c r="RZA465"/>
      <c r="RZB465"/>
      <c r="RZC465"/>
      <c r="RZD465"/>
      <c r="RZE465"/>
      <c r="RZF465"/>
      <c r="RZG465"/>
      <c r="RZH465"/>
      <c r="RZI465"/>
      <c r="RZJ465"/>
      <c r="RZK465"/>
      <c r="RZL465"/>
      <c r="RZM465"/>
      <c r="RZN465"/>
      <c r="RZO465"/>
      <c r="RZP465"/>
      <c r="RZQ465"/>
      <c r="RZR465"/>
      <c r="RZS465"/>
      <c r="RZT465"/>
      <c r="RZU465"/>
      <c r="RZV465"/>
      <c r="RZW465"/>
      <c r="RZX465"/>
      <c r="RZY465"/>
      <c r="RZZ465"/>
      <c r="SAA465"/>
      <c r="SAB465"/>
      <c r="SAC465"/>
      <c r="SAD465"/>
      <c r="SAE465"/>
      <c r="SAF465"/>
      <c r="SAG465"/>
      <c r="SAH465"/>
      <c r="SAI465"/>
      <c r="SAJ465"/>
      <c r="SAK465"/>
      <c r="SAL465"/>
      <c r="SAM465"/>
      <c r="SAN465"/>
      <c r="SAO465"/>
      <c r="SAP465"/>
      <c r="SAQ465"/>
      <c r="SAR465"/>
      <c r="SAS465"/>
      <c r="SAT465"/>
      <c r="SAU465"/>
      <c r="SAV465"/>
      <c r="SAW465"/>
      <c r="SAX465"/>
      <c r="SAY465"/>
      <c r="SAZ465"/>
      <c r="SBA465"/>
      <c r="SBB465"/>
      <c r="SBC465"/>
      <c r="SBD465"/>
      <c r="SBE465"/>
      <c r="SBF465"/>
      <c r="SBG465"/>
      <c r="SBH465"/>
      <c r="SBI465"/>
      <c r="SBJ465"/>
      <c r="SBK465"/>
      <c r="SBL465"/>
      <c r="SBM465"/>
      <c r="SBN465"/>
      <c r="SBO465"/>
      <c r="SBP465"/>
      <c r="SBQ465"/>
      <c r="SBR465"/>
      <c r="SBS465"/>
      <c r="SBT465"/>
      <c r="SBU465"/>
      <c r="SBV465"/>
      <c r="SBW465"/>
      <c r="SBX465"/>
      <c r="SBY465"/>
      <c r="SBZ465"/>
      <c r="SCA465"/>
      <c r="SCB465"/>
      <c r="SCC465"/>
      <c r="SCD465"/>
      <c r="SCE465"/>
      <c r="SCF465"/>
      <c r="SCG465"/>
      <c r="SCH465"/>
      <c r="SCI465"/>
      <c r="SCJ465"/>
      <c r="SCK465"/>
      <c r="SCL465"/>
      <c r="SCM465"/>
      <c r="SCN465"/>
      <c r="SCO465"/>
      <c r="SCP465"/>
      <c r="SCQ465"/>
      <c r="SCR465"/>
      <c r="SCS465"/>
      <c r="SCT465"/>
      <c r="SCU465"/>
      <c r="SCV465"/>
      <c r="SCW465"/>
      <c r="SCX465"/>
      <c r="SCY465"/>
      <c r="SCZ465"/>
      <c r="SDA465"/>
      <c r="SDB465"/>
      <c r="SDC465"/>
      <c r="SDD465"/>
      <c r="SDE465"/>
      <c r="SDF465"/>
      <c r="SDG465"/>
      <c r="SDH465"/>
      <c r="SDI465"/>
      <c r="SDJ465"/>
      <c r="SDK465"/>
      <c r="SDL465"/>
      <c r="SDM465"/>
      <c r="SDN465"/>
      <c r="SDO465"/>
      <c r="SDP465"/>
      <c r="SDQ465"/>
      <c r="SDR465"/>
      <c r="SDS465"/>
      <c r="SDT465"/>
      <c r="SDU465"/>
      <c r="SDV465"/>
      <c r="SDW465"/>
      <c r="SDX465"/>
      <c r="SDY465"/>
      <c r="SDZ465"/>
      <c r="SEA465"/>
      <c r="SEB465"/>
      <c r="SEC465"/>
      <c r="SED465"/>
      <c r="SEE465"/>
      <c r="SEF465"/>
      <c r="SEG465"/>
      <c r="SEH465"/>
      <c r="SEI465"/>
      <c r="SEJ465"/>
      <c r="SEK465"/>
      <c r="SEL465"/>
      <c r="SEM465"/>
      <c r="SEN465"/>
      <c r="SEO465"/>
      <c r="SEP465"/>
      <c r="SEQ465"/>
      <c r="SER465"/>
      <c r="SES465"/>
      <c r="SET465"/>
      <c r="SEU465"/>
      <c r="SEV465"/>
      <c r="SEW465"/>
      <c r="SEX465"/>
      <c r="SEY465"/>
      <c r="SEZ465"/>
      <c r="SFA465"/>
      <c r="SFB465"/>
      <c r="SFC465"/>
      <c r="SFD465"/>
      <c r="SFE465"/>
      <c r="SFF465"/>
      <c r="SFG465"/>
      <c r="SFH465"/>
      <c r="SFI465"/>
      <c r="SFJ465"/>
      <c r="SFK465"/>
      <c r="SFL465"/>
      <c r="SFM465"/>
      <c r="SFN465"/>
      <c r="SFO465"/>
      <c r="SFP465"/>
      <c r="SFQ465"/>
      <c r="SFR465"/>
      <c r="SFS465"/>
      <c r="SFT465"/>
      <c r="SFU465"/>
      <c r="SFV465"/>
      <c r="SFW465"/>
      <c r="SFX465"/>
      <c r="SFY465"/>
      <c r="SFZ465"/>
      <c r="SGA465"/>
      <c r="SGB465"/>
      <c r="SGC465"/>
      <c r="SGD465"/>
      <c r="SGE465"/>
      <c r="SGF465"/>
      <c r="SGG465"/>
      <c r="SGH465"/>
      <c r="SGI465"/>
      <c r="SGJ465"/>
      <c r="SGK465"/>
      <c r="SGL465"/>
      <c r="SGM465"/>
      <c r="SGN465"/>
      <c r="SGO465"/>
      <c r="SGP465"/>
      <c r="SGQ465"/>
      <c r="SGR465"/>
      <c r="SGS465"/>
      <c r="SGT465"/>
      <c r="SGU465"/>
      <c r="SGV465"/>
      <c r="SGW465"/>
      <c r="SGX465"/>
      <c r="SGY465"/>
      <c r="SGZ465"/>
      <c r="SHA465"/>
      <c r="SHB465"/>
      <c r="SHC465"/>
      <c r="SHD465"/>
      <c r="SHE465"/>
      <c r="SHF465"/>
      <c r="SHG465"/>
      <c r="SHH465"/>
      <c r="SHI465"/>
      <c r="SHJ465"/>
      <c r="SHK465"/>
      <c r="SHL465"/>
      <c r="SHM465"/>
      <c r="SHN465"/>
      <c r="SHO465"/>
      <c r="SHP465"/>
      <c r="SHQ465"/>
      <c r="SHR465"/>
      <c r="SHS465"/>
      <c r="SHT465"/>
      <c r="SHU465"/>
      <c r="SHV465"/>
      <c r="SHW465"/>
      <c r="SHX465"/>
      <c r="SHY465"/>
      <c r="SHZ465"/>
      <c r="SIA465"/>
      <c r="SIB465"/>
      <c r="SIC465"/>
      <c r="SID465"/>
      <c r="SIE465"/>
      <c r="SIF465"/>
      <c r="SIG465"/>
      <c r="SIH465"/>
      <c r="SII465"/>
      <c r="SIJ465"/>
      <c r="SIK465"/>
      <c r="SIL465"/>
      <c r="SIM465"/>
      <c r="SIN465"/>
      <c r="SIO465"/>
      <c r="SIP465"/>
      <c r="SIQ465"/>
      <c r="SIR465"/>
      <c r="SIS465"/>
      <c r="SIT465"/>
      <c r="SIU465"/>
      <c r="SIV465"/>
      <c r="SIW465"/>
      <c r="SIX465"/>
      <c r="SIY465"/>
      <c r="SIZ465"/>
      <c r="SJA465"/>
      <c r="SJB465"/>
      <c r="SJC465"/>
      <c r="SJD465"/>
      <c r="SJE465"/>
      <c r="SJF465"/>
      <c r="SJG465"/>
      <c r="SJH465"/>
      <c r="SJI465"/>
      <c r="SJJ465"/>
      <c r="SJK465"/>
      <c r="SJL465"/>
      <c r="SJM465"/>
      <c r="SJN465"/>
      <c r="SJO465"/>
      <c r="SJP465"/>
      <c r="SJQ465"/>
      <c r="SJR465"/>
      <c r="SJS465"/>
      <c r="SJT465"/>
      <c r="SJU465"/>
      <c r="SJV465"/>
      <c r="SJW465"/>
      <c r="SJX465"/>
      <c r="SJY465"/>
      <c r="SJZ465"/>
      <c r="SKA465"/>
      <c r="SKB465"/>
      <c r="SKC465"/>
      <c r="SKD465"/>
      <c r="SKE465"/>
      <c r="SKF465"/>
      <c r="SKG465"/>
      <c r="SKH465"/>
      <c r="SKI465"/>
      <c r="SKJ465"/>
      <c r="SKK465"/>
      <c r="SKL465"/>
      <c r="SKM465"/>
      <c r="SKN465"/>
      <c r="SKO465"/>
      <c r="SKP465"/>
      <c r="SKQ465"/>
      <c r="SKR465"/>
      <c r="SKS465"/>
      <c r="SKT465"/>
      <c r="SKU465"/>
      <c r="SKV465"/>
      <c r="SKW465"/>
      <c r="SKX465"/>
      <c r="SKY465"/>
      <c r="SKZ465"/>
      <c r="SLA465"/>
      <c r="SLB465"/>
      <c r="SLC465"/>
      <c r="SLD465"/>
      <c r="SLE465"/>
      <c r="SLF465"/>
      <c r="SLG465"/>
      <c r="SLH465"/>
      <c r="SLI465"/>
      <c r="SLJ465"/>
      <c r="SLK465"/>
      <c r="SLL465"/>
      <c r="SLM465"/>
      <c r="SLN465"/>
      <c r="SLO465"/>
      <c r="SLP465"/>
      <c r="SLQ465"/>
      <c r="SLR465"/>
      <c r="SLS465"/>
      <c r="SLT465"/>
      <c r="SLU465"/>
      <c r="SLV465"/>
      <c r="SLW465"/>
      <c r="SLX465"/>
      <c r="SLY465"/>
      <c r="SLZ465"/>
      <c r="SMA465"/>
      <c r="SMB465"/>
      <c r="SMC465"/>
      <c r="SMD465"/>
      <c r="SME465"/>
      <c r="SMF465"/>
      <c r="SMG465"/>
      <c r="SMH465"/>
      <c r="SMI465"/>
      <c r="SMJ465"/>
      <c r="SMK465"/>
      <c r="SML465"/>
      <c r="SMM465"/>
      <c r="SMN465"/>
      <c r="SMO465"/>
      <c r="SMP465"/>
      <c r="SMQ465"/>
      <c r="SMR465"/>
      <c r="SMS465"/>
      <c r="SMT465"/>
      <c r="SMU465"/>
      <c r="SMV465"/>
      <c r="SMW465"/>
      <c r="SMX465"/>
      <c r="SMY465"/>
      <c r="SMZ465"/>
      <c r="SNA465"/>
      <c r="SNB465"/>
      <c r="SNC465"/>
      <c r="SND465"/>
      <c r="SNE465"/>
      <c r="SNF465"/>
      <c r="SNG465"/>
      <c r="SNH465"/>
      <c r="SNI465"/>
      <c r="SNJ465"/>
      <c r="SNK465"/>
      <c r="SNL465"/>
      <c r="SNM465"/>
      <c r="SNN465"/>
      <c r="SNO465"/>
      <c r="SNP465"/>
      <c r="SNQ465"/>
      <c r="SNR465"/>
      <c r="SNS465"/>
      <c r="SNT465"/>
      <c r="SNU465"/>
      <c r="SNV465"/>
      <c r="SNW465"/>
      <c r="SNX465"/>
      <c r="SNY465"/>
      <c r="SNZ465"/>
      <c r="SOA465"/>
      <c r="SOB465"/>
      <c r="SOC465"/>
      <c r="SOD465"/>
      <c r="SOE465"/>
      <c r="SOF465"/>
      <c r="SOG465"/>
      <c r="SOH465"/>
      <c r="SOI465"/>
      <c r="SOJ465"/>
      <c r="SOK465"/>
      <c r="SOL465"/>
      <c r="SOM465"/>
      <c r="SON465"/>
      <c r="SOO465"/>
      <c r="SOP465"/>
      <c r="SOQ465"/>
      <c r="SOR465"/>
      <c r="SOS465"/>
      <c r="SOT465"/>
      <c r="SOU465"/>
      <c r="SOV465"/>
      <c r="SOW465"/>
      <c r="SOX465"/>
      <c r="SOY465"/>
      <c r="SOZ465"/>
      <c r="SPA465"/>
      <c r="SPB465"/>
      <c r="SPC465"/>
      <c r="SPD465"/>
      <c r="SPE465"/>
      <c r="SPF465"/>
      <c r="SPG465"/>
      <c r="SPH465"/>
      <c r="SPI465"/>
      <c r="SPJ465"/>
      <c r="SPK465"/>
      <c r="SPL465"/>
      <c r="SPM465"/>
      <c r="SPN465"/>
      <c r="SPO465"/>
      <c r="SPP465"/>
      <c r="SPQ465"/>
      <c r="SPR465"/>
      <c r="SPS465"/>
      <c r="SPT465"/>
      <c r="SPU465"/>
      <c r="SPV465"/>
      <c r="SPW465"/>
      <c r="SPX465"/>
      <c r="SPY465"/>
      <c r="SPZ465"/>
      <c r="SQA465"/>
      <c r="SQB465"/>
      <c r="SQC465"/>
      <c r="SQD465"/>
      <c r="SQE465"/>
      <c r="SQF465"/>
      <c r="SQG465"/>
      <c r="SQH465"/>
      <c r="SQI465"/>
      <c r="SQJ465"/>
      <c r="SQK465"/>
      <c r="SQL465"/>
      <c r="SQM465"/>
      <c r="SQN465"/>
      <c r="SQO465"/>
      <c r="SQP465"/>
      <c r="SQQ465"/>
      <c r="SQR465"/>
      <c r="SQS465"/>
      <c r="SQT465"/>
      <c r="SQU465"/>
      <c r="SQV465"/>
      <c r="SQW465"/>
      <c r="SQX465"/>
      <c r="SQY465"/>
      <c r="SQZ465"/>
      <c r="SRA465"/>
      <c r="SRB465"/>
      <c r="SRC465"/>
      <c r="SRD465"/>
      <c r="SRE465"/>
      <c r="SRF465"/>
      <c r="SRG465"/>
      <c r="SRH465"/>
      <c r="SRI465"/>
      <c r="SRJ465"/>
      <c r="SRK465"/>
      <c r="SRL465"/>
      <c r="SRM465"/>
      <c r="SRN465"/>
      <c r="SRO465"/>
      <c r="SRP465"/>
      <c r="SRQ465"/>
      <c r="SRR465"/>
      <c r="SRS465"/>
      <c r="SRT465"/>
      <c r="SRU465"/>
      <c r="SRV465"/>
      <c r="SRW465"/>
      <c r="SRX465"/>
      <c r="SRY465"/>
      <c r="SRZ465"/>
      <c r="SSA465"/>
      <c r="SSB465"/>
      <c r="SSC465"/>
      <c r="SSD465"/>
      <c r="SSE465"/>
      <c r="SSF465"/>
      <c r="SSG465"/>
      <c r="SSH465"/>
      <c r="SSI465"/>
      <c r="SSJ465"/>
      <c r="SSK465"/>
      <c r="SSL465"/>
      <c r="SSM465"/>
      <c r="SSN465"/>
      <c r="SSO465"/>
      <c r="SSP465"/>
      <c r="SSQ465"/>
      <c r="SSR465"/>
      <c r="SSS465"/>
      <c r="SST465"/>
      <c r="SSU465"/>
      <c r="SSV465"/>
      <c r="SSW465"/>
      <c r="SSX465"/>
      <c r="SSY465"/>
      <c r="SSZ465"/>
      <c r="STA465"/>
      <c r="STB465"/>
      <c r="STC465"/>
      <c r="STD465"/>
      <c r="STE465"/>
      <c r="STF465"/>
      <c r="STG465"/>
      <c r="STH465"/>
      <c r="STI465"/>
      <c r="STJ465"/>
      <c r="STK465"/>
      <c r="STL465"/>
      <c r="STM465"/>
      <c r="STN465"/>
      <c r="STO465"/>
      <c r="STP465"/>
      <c r="STQ465"/>
      <c r="STR465"/>
      <c r="STS465"/>
      <c r="STT465"/>
      <c r="STU465"/>
      <c r="STV465"/>
      <c r="STW465"/>
      <c r="STX465"/>
      <c r="STY465"/>
      <c r="STZ465"/>
      <c r="SUA465"/>
      <c r="SUB465"/>
      <c r="SUC465"/>
      <c r="SUD465"/>
      <c r="SUE465"/>
      <c r="SUF465"/>
      <c r="SUG465"/>
      <c r="SUH465"/>
      <c r="SUI465"/>
      <c r="SUJ465"/>
      <c r="SUK465"/>
      <c r="SUL465"/>
      <c r="SUM465"/>
      <c r="SUN465"/>
      <c r="SUO465"/>
      <c r="SUP465"/>
      <c r="SUQ465"/>
      <c r="SUR465"/>
      <c r="SUS465"/>
      <c r="SUT465"/>
      <c r="SUU465"/>
      <c r="SUV465"/>
      <c r="SUW465"/>
      <c r="SUX465"/>
      <c r="SUY465"/>
      <c r="SUZ465"/>
      <c r="SVA465"/>
      <c r="SVB465"/>
      <c r="SVC465"/>
      <c r="SVD465"/>
      <c r="SVE465"/>
      <c r="SVF465"/>
      <c r="SVG465"/>
      <c r="SVH465"/>
      <c r="SVI465"/>
      <c r="SVJ465"/>
      <c r="SVK465"/>
      <c r="SVL465"/>
      <c r="SVM465"/>
      <c r="SVN465"/>
      <c r="SVO465"/>
      <c r="SVP465"/>
      <c r="SVQ465"/>
      <c r="SVR465"/>
      <c r="SVS465"/>
      <c r="SVT465"/>
      <c r="SVU465"/>
      <c r="SVV465"/>
      <c r="SVW465"/>
      <c r="SVX465"/>
      <c r="SVY465"/>
      <c r="SVZ465"/>
      <c r="SWA465"/>
      <c r="SWB465"/>
      <c r="SWC465"/>
      <c r="SWD465"/>
      <c r="SWE465"/>
      <c r="SWF465"/>
      <c r="SWG465"/>
      <c r="SWH465"/>
      <c r="SWI465"/>
      <c r="SWJ465"/>
      <c r="SWK465"/>
      <c r="SWL465"/>
      <c r="SWM465"/>
      <c r="SWN465"/>
      <c r="SWO465"/>
      <c r="SWP465"/>
      <c r="SWQ465"/>
      <c r="SWR465"/>
      <c r="SWS465"/>
      <c r="SWT465"/>
      <c r="SWU465"/>
      <c r="SWV465"/>
      <c r="SWW465"/>
      <c r="SWX465"/>
      <c r="SWY465"/>
      <c r="SWZ465"/>
      <c r="SXA465"/>
      <c r="SXB465"/>
      <c r="SXC465"/>
      <c r="SXD465"/>
      <c r="SXE465"/>
      <c r="SXF465"/>
      <c r="SXG465"/>
      <c r="SXH465"/>
      <c r="SXI465"/>
      <c r="SXJ465"/>
      <c r="SXK465"/>
      <c r="SXL465"/>
      <c r="SXM465"/>
      <c r="SXN465"/>
      <c r="SXO465"/>
      <c r="SXP465"/>
      <c r="SXQ465"/>
      <c r="SXR465"/>
      <c r="SXS465"/>
      <c r="SXT465"/>
      <c r="SXU465"/>
      <c r="SXV465"/>
      <c r="SXW465"/>
      <c r="SXX465"/>
      <c r="SXY465"/>
      <c r="SXZ465"/>
      <c r="SYA465"/>
      <c r="SYB465"/>
      <c r="SYC465"/>
      <c r="SYD465"/>
      <c r="SYE465"/>
      <c r="SYF465"/>
      <c r="SYG465"/>
      <c r="SYH465"/>
      <c r="SYI465"/>
      <c r="SYJ465"/>
      <c r="SYK465"/>
      <c r="SYL465"/>
      <c r="SYM465"/>
      <c r="SYN465"/>
      <c r="SYO465"/>
      <c r="SYP465"/>
      <c r="SYQ465"/>
      <c r="SYR465"/>
      <c r="SYS465"/>
      <c r="SYT465"/>
      <c r="SYU465"/>
      <c r="SYV465"/>
      <c r="SYW465"/>
      <c r="SYX465"/>
      <c r="SYY465"/>
      <c r="SYZ465"/>
      <c r="SZA465"/>
      <c r="SZB465"/>
      <c r="SZC465"/>
      <c r="SZD465"/>
      <c r="SZE465"/>
      <c r="SZF465"/>
      <c r="SZG465"/>
      <c r="SZH465"/>
      <c r="SZI465"/>
      <c r="SZJ465"/>
      <c r="SZK465"/>
      <c r="SZL465"/>
      <c r="SZM465"/>
      <c r="SZN465"/>
      <c r="SZO465"/>
      <c r="SZP465"/>
      <c r="SZQ465"/>
      <c r="SZR465"/>
      <c r="SZS465"/>
      <c r="SZT465"/>
      <c r="SZU465"/>
      <c r="SZV465"/>
      <c r="SZW465"/>
      <c r="SZX465"/>
      <c r="SZY465"/>
      <c r="SZZ465"/>
      <c r="TAA465"/>
      <c r="TAB465"/>
      <c r="TAC465"/>
      <c r="TAD465"/>
      <c r="TAE465"/>
      <c r="TAF465"/>
      <c r="TAG465"/>
      <c r="TAH465"/>
      <c r="TAI465"/>
      <c r="TAJ465"/>
      <c r="TAK465"/>
      <c r="TAL465"/>
      <c r="TAM465"/>
      <c r="TAN465"/>
      <c r="TAO465"/>
      <c r="TAP465"/>
      <c r="TAQ465"/>
      <c r="TAR465"/>
      <c r="TAS465"/>
      <c r="TAT465"/>
      <c r="TAU465"/>
      <c r="TAV465"/>
      <c r="TAW465"/>
      <c r="TAX465"/>
      <c r="TAY465"/>
      <c r="TAZ465"/>
      <c r="TBA465"/>
      <c r="TBB465"/>
      <c r="TBC465"/>
      <c r="TBD465"/>
      <c r="TBE465"/>
      <c r="TBF465"/>
      <c r="TBG465"/>
      <c r="TBH465"/>
      <c r="TBI465"/>
      <c r="TBJ465"/>
      <c r="TBK465"/>
      <c r="TBL465"/>
      <c r="TBM465"/>
      <c r="TBN465"/>
      <c r="TBO465"/>
      <c r="TBP465"/>
      <c r="TBQ465"/>
      <c r="TBR465"/>
      <c r="TBS465"/>
      <c r="TBT465"/>
      <c r="TBU465"/>
      <c r="TBV465"/>
      <c r="TBW465"/>
      <c r="TBX465"/>
      <c r="TBY465"/>
      <c r="TBZ465"/>
      <c r="TCA465"/>
      <c r="TCB465"/>
      <c r="TCC465"/>
      <c r="TCD465"/>
      <c r="TCE465"/>
      <c r="TCF465"/>
      <c r="TCG465"/>
      <c r="TCH465"/>
      <c r="TCI465"/>
      <c r="TCJ465"/>
      <c r="TCK465"/>
      <c r="TCL465"/>
      <c r="TCM465"/>
      <c r="TCN465"/>
      <c r="TCO465"/>
      <c r="TCP465"/>
      <c r="TCQ465"/>
      <c r="TCR465"/>
      <c r="TCS465"/>
      <c r="TCT465"/>
      <c r="TCU465"/>
      <c r="TCV465"/>
      <c r="TCW465"/>
      <c r="TCX465"/>
      <c r="TCY465"/>
      <c r="TCZ465"/>
      <c r="TDA465"/>
      <c r="TDB465"/>
      <c r="TDC465"/>
      <c r="TDD465"/>
      <c r="TDE465"/>
      <c r="TDF465"/>
      <c r="TDG465"/>
      <c r="TDH465"/>
      <c r="TDI465"/>
      <c r="TDJ465"/>
      <c r="TDK465"/>
      <c r="TDL465"/>
      <c r="TDM465"/>
      <c r="TDN465"/>
      <c r="TDO465"/>
      <c r="TDP465"/>
      <c r="TDQ465"/>
      <c r="TDR465"/>
      <c r="TDS465"/>
      <c r="TDT465"/>
      <c r="TDU465"/>
      <c r="TDV465"/>
      <c r="TDW465"/>
      <c r="TDX465"/>
      <c r="TDY465"/>
      <c r="TDZ465"/>
      <c r="TEA465"/>
      <c r="TEB465"/>
      <c r="TEC465"/>
      <c r="TED465"/>
      <c r="TEE465"/>
      <c r="TEF465"/>
      <c r="TEG465"/>
      <c r="TEH465"/>
      <c r="TEI465"/>
      <c r="TEJ465"/>
      <c r="TEK465"/>
      <c r="TEL465"/>
      <c r="TEM465"/>
      <c r="TEN465"/>
      <c r="TEO465"/>
      <c r="TEP465"/>
      <c r="TEQ465"/>
      <c r="TER465"/>
      <c r="TES465"/>
      <c r="TET465"/>
      <c r="TEU465"/>
      <c r="TEV465"/>
      <c r="TEW465"/>
      <c r="TEX465"/>
      <c r="TEY465"/>
      <c r="TEZ465"/>
      <c r="TFA465"/>
      <c r="TFB465"/>
      <c r="TFC465"/>
      <c r="TFD465"/>
      <c r="TFE465"/>
      <c r="TFF465"/>
      <c r="TFG465"/>
      <c r="TFH465"/>
      <c r="TFI465"/>
      <c r="TFJ465"/>
      <c r="TFK465"/>
      <c r="TFL465"/>
      <c r="TFM465"/>
      <c r="TFN465"/>
      <c r="TFO465"/>
      <c r="TFP465"/>
      <c r="TFQ465"/>
      <c r="TFR465"/>
      <c r="TFS465"/>
      <c r="TFT465"/>
      <c r="TFU465"/>
      <c r="TFV465"/>
      <c r="TFW465"/>
      <c r="TFX465"/>
      <c r="TFY465"/>
      <c r="TFZ465"/>
      <c r="TGA465"/>
      <c r="TGB465"/>
      <c r="TGC465"/>
      <c r="TGD465"/>
      <c r="TGE465"/>
      <c r="TGF465"/>
      <c r="TGG465"/>
      <c r="TGH465"/>
      <c r="TGI465"/>
      <c r="TGJ465"/>
      <c r="TGK465"/>
      <c r="TGL465"/>
      <c r="TGM465"/>
      <c r="TGN465"/>
      <c r="TGO465"/>
      <c r="TGP465"/>
      <c r="TGQ465"/>
      <c r="TGR465"/>
      <c r="TGS465"/>
      <c r="TGT465"/>
      <c r="TGU465"/>
      <c r="TGV465"/>
      <c r="TGW465"/>
      <c r="TGX465"/>
      <c r="TGY465"/>
      <c r="TGZ465"/>
      <c r="THA465"/>
      <c r="THB465"/>
      <c r="THC465"/>
      <c r="THD465"/>
      <c r="THE465"/>
      <c r="THF465"/>
      <c r="THG465"/>
      <c r="THH465"/>
      <c r="THI465"/>
      <c r="THJ465"/>
      <c r="THK465"/>
      <c r="THL465"/>
      <c r="THM465"/>
      <c r="THN465"/>
      <c r="THO465"/>
      <c r="THP465"/>
      <c r="THQ465"/>
      <c r="THR465"/>
      <c r="THS465"/>
      <c r="THT465"/>
      <c r="THU465"/>
      <c r="THV465"/>
      <c r="THW465"/>
      <c r="THX465"/>
      <c r="THY465"/>
      <c r="THZ465"/>
      <c r="TIA465"/>
      <c r="TIB465"/>
      <c r="TIC465"/>
      <c r="TID465"/>
      <c r="TIE465"/>
      <c r="TIF465"/>
      <c r="TIG465"/>
      <c r="TIH465"/>
      <c r="TII465"/>
      <c r="TIJ465"/>
      <c r="TIK465"/>
      <c r="TIL465"/>
      <c r="TIM465"/>
      <c r="TIN465"/>
      <c r="TIO465"/>
      <c r="TIP465"/>
      <c r="TIQ465"/>
      <c r="TIR465"/>
      <c r="TIS465"/>
      <c r="TIT465"/>
      <c r="TIU465"/>
      <c r="TIV465"/>
      <c r="TIW465"/>
      <c r="TIX465"/>
      <c r="TIY465"/>
      <c r="TIZ465"/>
      <c r="TJA465"/>
      <c r="TJB465"/>
      <c r="TJC465"/>
      <c r="TJD465"/>
      <c r="TJE465"/>
      <c r="TJF465"/>
      <c r="TJG465"/>
      <c r="TJH465"/>
      <c r="TJI465"/>
      <c r="TJJ465"/>
      <c r="TJK465"/>
      <c r="TJL465"/>
      <c r="TJM465"/>
      <c r="TJN465"/>
      <c r="TJO465"/>
      <c r="TJP465"/>
      <c r="TJQ465"/>
      <c r="TJR465"/>
      <c r="TJS465"/>
      <c r="TJT465"/>
      <c r="TJU465"/>
      <c r="TJV465"/>
      <c r="TJW465"/>
      <c r="TJX465"/>
      <c r="TJY465"/>
      <c r="TJZ465"/>
      <c r="TKA465"/>
      <c r="TKB465"/>
      <c r="TKC465"/>
      <c r="TKD465"/>
      <c r="TKE465"/>
      <c r="TKF465"/>
      <c r="TKG465"/>
      <c r="TKH465"/>
      <c r="TKI465"/>
      <c r="TKJ465"/>
      <c r="TKK465"/>
      <c r="TKL465"/>
      <c r="TKM465"/>
      <c r="TKN465"/>
      <c r="TKO465"/>
      <c r="TKP465"/>
      <c r="TKQ465"/>
      <c r="TKR465"/>
      <c r="TKS465"/>
      <c r="TKT465"/>
      <c r="TKU465"/>
      <c r="TKV465"/>
      <c r="TKW465"/>
      <c r="TKX465"/>
      <c r="TKY465"/>
      <c r="TKZ465"/>
      <c r="TLA465"/>
      <c r="TLB465"/>
      <c r="TLC465"/>
      <c r="TLD465"/>
      <c r="TLE465"/>
      <c r="TLF465"/>
      <c r="TLG465"/>
      <c r="TLH465"/>
      <c r="TLI465"/>
      <c r="TLJ465"/>
      <c r="TLK465"/>
      <c r="TLL465"/>
      <c r="TLM465"/>
      <c r="TLN465"/>
      <c r="TLO465"/>
      <c r="TLP465"/>
      <c r="TLQ465"/>
      <c r="TLR465"/>
      <c r="TLS465"/>
      <c r="TLT465"/>
      <c r="TLU465"/>
      <c r="TLV465"/>
      <c r="TLW465"/>
      <c r="TLX465"/>
      <c r="TLY465"/>
      <c r="TLZ465"/>
      <c r="TMA465"/>
      <c r="TMB465"/>
      <c r="TMC465"/>
      <c r="TMD465"/>
      <c r="TME465"/>
      <c r="TMF465"/>
      <c r="TMG465"/>
      <c r="TMH465"/>
      <c r="TMI465"/>
      <c r="TMJ465"/>
      <c r="TMK465"/>
      <c r="TML465"/>
      <c r="TMM465"/>
      <c r="TMN465"/>
      <c r="TMO465"/>
      <c r="TMP465"/>
      <c r="TMQ465"/>
      <c r="TMR465"/>
      <c r="TMS465"/>
      <c r="TMT465"/>
      <c r="TMU465"/>
      <c r="TMV465"/>
      <c r="TMW465"/>
      <c r="TMX465"/>
      <c r="TMY465"/>
      <c r="TMZ465"/>
      <c r="TNA465"/>
      <c r="TNB465"/>
      <c r="TNC465"/>
      <c r="TND465"/>
      <c r="TNE465"/>
      <c r="TNF465"/>
      <c r="TNG465"/>
      <c r="TNH465"/>
      <c r="TNI465"/>
      <c r="TNJ465"/>
      <c r="TNK465"/>
      <c r="TNL465"/>
      <c r="TNM465"/>
      <c r="TNN465"/>
      <c r="TNO465"/>
      <c r="TNP465"/>
      <c r="TNQ465"/>
      <c r="TNR465"/>
      <c r="TNS465"/>
      <c r="TNT465"/>
      <c r="TNU465"/>
      <c r="TNV465"/>
      <c r="TNW465"/>
      <c r="TNX465"/>
      <c r="TNY465"/>
      <c r="TNZ465"/>
      <c r="TOA465"/>
      <c r="TOB465"/>
      <c r="TOC465"/>
      <c r="TOD465"/>
      <c r="TOE465"/>
      <c r="TOF465"/>
      <c r="TOG465"/>
      <c r="TOH465"/>
      <c r="TOI465"/>
      <c r="TOJ465"/>
      <c r="TOK465"/>
      <c r="TOL465"/>
      <c r="TOM465"/>
      <c r="TON465"/>
      <c r="TOO465"/>
      <c r="TOP465"/>
      <c r="TOQ465"/>
      <c r="TOR465"/>
      <c r="TOS465"/>
      <c r="TOT465"/>
      <c r="TOU465"/>
      <c r="TOV465"/>
      <c r="TOW465"/>
      <c r="TOX465"/>
      <c r="TOY465"/>
      <c r="TOZ465"/>
      <c r="TPA465"/>
      <c r="TPB465"/>
      <c r="TPC465"/>
      <c r="TPD465"/>
      <c r="TPE465"/>
      <c r="TPF465"/>
      <c r="TPG465"/>
      <c r="TPH465"/>
      <c r="TPI465"/>
      <c r="TPJ465"/>
      <c r="TPK465"/>
      <c r="TPL465"/>
      <c r="TPM465"/>
      <c r="TPN465"/>
      <c r="TPO465"/>
      <c r="TPP465"/>
      <c r="TPQ465"/>
      <c r="TPR465"/>
      <c r="TPS465"/>
      <c r="TPT465"/>
      <c r="TPU465"/>
      <c r="TPV465"/>
      <c r="TPW465"/>
      <c r="TPX465"/>
      <c r="TPY465"/>
      <c r="TPZ465"/>
      <c r="TQA465"/>
      <c r="TQB465"/>
      <c r="TQC465"/>
      <c r="TQD465"/>
      <c r="TQE465"/>
      <c r="TQF465"/>
      <c r="TQG465"/>
      <c r="TQH465"/>
      <c r="TQI465"/>
      <c r="TQJ465"/>
      <c r="TQK465"/>
      <c r="TQL465"/>
      <c r="TQM465"/>
      <c r="TQN465"/>
      <c r="TQO465"/>
      <c r="TQP465"/>
      <c r="TQQ465"/>
      <c r="TQR465"/>
      <c r="TQS465"/>
      <c r="TQT465"/>
      <c r="TQU465"/>
      <c r="TQV465"/>
      <c r="TQW465"/>
      <c r="TQX465"/>
      <c r="TQY465"/>
      <c r="TQZ465"/>
      <c r="TRA465"/>
      <c r="TRB465"/>
      <c r="TRC465"/>
      <c r="TRD465"/>
      <c r="TRE465"/>
      <c r="TRF465"/>
      <c r="TRG465"/>
      <c r="TRH465"/>
      <c r="TRI465"/>
      <c r="TRJ465"/>
      <c r="TRK465"/>
      <c r="TRL465"/>
      <c r="TRM465"/>
      <c r="TRN465"/>
      <c r="TRO465"/>
      <c r="TRP465"/>
      <c r="TRQ465"/>
      <c r="TRR465"/>
      <c r="TRS465"/>
      <c r="TRT465"/>
      <c r="TRU465"/>
      <c r="TRV465"/>
      <c r="TRW465"/>
      <c r="TRX465"/>
      <c r="TRY465"/>
      <c r="TRZ465"/>
      <c r="TSA465"/>
      <c r="TSB465"/>
      <c r="TSC465"/>
      <c r="TSD465"/>
      <c r="TSE465"/>
      <c r="TSF465"/>
      <c r="TSG465"/>
      <c r="TSH465"/>
      <c r="TSI465"/>
      <c r="TSJ465"/>
      <c r="TSK465"/>
      <c r="TSL465"/>
      <c r="TSM465"/>
      <c r="TSN465"/>
      <c r="TSO465"/>
      <c r="TSP465"/>
      <c r="TSQ465"/>
      <c r="TSR465"/>
      <c r="TSS465"/>
      <c r="TST465"/>
      <c r="TSU465"/>
      <c r="TSV465"/>
      <c r="TSW465"/>
      <c r="TSX465"/>
      <c r="TSY465"/>
      <c r="TSZ465"/>
      <c r="TTA465"/>
      <c r="TTB465"/>
      <c r="TTC465"/>
      <c r="TTD465"/>
      <c r="TTE465"/>
      <c r="TTF465"/>
      <c r="TTG465"/>
      <c r="TTH465"/>
      <c r="TTI465"/>
      <c r="TTJ465"/>
      <c r="TTK465"/>
      <c r="TTL465"/>
      <c r="TTM465"/>
      <c r="TTN465"/>
      <c r="TTO465"/>
      <c r="TTP465"/>
      <c r="TTQ465"/>
      <c r="TTR465"/>
      <c r="TTS465"/>
      <c r="TTT465"/>
      <c r="TTU465"/>
      <c r="TTV465"/>
      <c r="TTW465"/>
      <c r="TTX465"/>
      <c r="TTY465"/>
      <c r="TTZ465"/>
      <c r="TUA465"/>
      <c r="TUB465"/>
      <c r="TUC465"/>
      <c r="TUD465"/>
      <c r="TUE465"/>
      <c r="TUF465"/>
      <c r="TUG465"/>
      <c r="TUH465"/>
      <c r="TUI465"/>
      <c r="TUJ465"/>
      <c r="TUK465"/>
      <c r="TUL465"/>
      <c r="TUM465"/>
      <c r="TUN465"/>
      <c r="TUO465"/>
      <c r="TUP465"/>
      <c r="TUQ465"/>
      <c r="TUR465"/>
      <c r="TUS465"/>
      <c r="TUT465"/>
      <c r="TUU465"/>
      <c r="TUV465"/>
      <c r="TUW465"/>
      <c r="TUX465"/>
      <c r="TUY465"/>
      <c r="TUZ465"/>
      <c r="TVA465"/>
      <c r="TVB465"/>
      <c r="TVC465"/>
      <c r="TVD465"/>
      <c r="TVE465"/>
      <c r="TVF465"/>
      <c r="TVG465"/>
      <c r="TVH465"/>
      <c r="TVI465"/>
      <c r="TVJ465"/>
      <c r="TVK465"/>
      <c r="TVL465"/>
      <c r="TVM465"/>
      <c r="TVN465"/>
      <c r="TVO465"/>
      <c r="TVP465"/>
      <c r="TVQ465"/>
      <c r="TVR465"/>
      <c r="TVS465"/>
      <c r="TVT465"/>
      <c r="TVU465"/>
      <c r="TVV465"/>
      <c r="TVW465"/>
      <c r="TVX465"/>
      <c r="TVY465"/>
      <c r="TVZ465"/>
      <c r="TWA465"/>
      <c r="TWB465"/>
      <c r="TWC465"/>
      <c r="TWD465"/>
      <c r="TWE465"/>
      <c r="TWF465"/>
      <c r="TWG465"/>
      <c r="TWH465"/>
      <c r="TWI465"/>
      <c r="TWJ465"/>
      <c r="TWK465"/>
      <c r="TWL465"/>
      <c r="TWM465"/>
      <c r="TWN465"/>
      <c r="TWO465"/>
      <c r="TWP465"/>
      <c r="TWQ465"/>
      <c r="TWR465"/>
      <c r="TWS465"/>
      <c r="TWT465"/>
      <c r="TWU465"/>
      <c r="TWV465"/>
      <c r="TWW465"/>
      <c r="TWX465"/>
      <c r="TWY465"/>
      <c r="TWZ465"/>
      <c r="TXA465"/>
      <c r="TXB465"/>
      <c r="TXC465"/>
      <c r="TXD465"/>
      <c r="TXE465"/>
      <c r="TXF465"/>
      <c r="TXG465"/>
      <c r="TXH465"/>
      <c r="TXI465"/>
      <c r="TXJ465"/>
      <c r="TXK465"/>
      <c r="TXL465"/>
      <c r="TXM465"/>
      <c r="TXN465"/>
      <c r="TXO465"/>
      <c r="TXP465"/>
      <c r="TXQ465"/>
      <c r="TXR465"/>
      <c r="TXS465"/>
      <c r="TXT465"/>
      <c r="TXU465"/>
      <c r="TXV465"/>
      <c r="TXW465"/>
      <c r="TXX465"/>
      <c r="TXY465"/>
      <c r="TXZ465"/>
      <c r="TYA465"/>
      <c r="TYB465"/>
      <c r="TYC465"/>
      <c r="TYD465"/>
      <c r="TYE465"/>
      <c r="TYF465"/>
      <c r="TYG465"/>
      <c r="TYH465"/>
      <c r="TYI465"/>
      <c r="TYJ465"/>
      <c r="TYK465"/>
      <c r="TYL465"/>
      <c r="TYM465"/>
      <c r="TYN465"/>
      <c r="TYO465"/>
      <c r="TYP465"/>
      <c r="TYQ465"/>
      <c r="TYR465"/>
      <c r="TYS465"/>
      <c r="TYT465"/>
      <c r="TYU465"/>
      <c r="TYV465"/>
      <c r="TYW465"/>
      <c r="TYX465"/>
      <c r="TYY465"/>
      <c r="TYZ465"/>
      <c r="TZA465"/>
      <c r="TZB465"/>
      <c r="TZC465"/>
      <c r="TZD465"/>
      <c r="TZE465"/>
      <c r="TZF465"/>
      <c r="TZG465"/>
      <c r="TZH465"/>
      <c r="TZI465"/>
      <c r="TZJ465"/>
      <c r="TZK465"/>
      <c r="TZL465"/>
      <c r="TZM465"/>
      <c r="TZN465"/>
      <c r="TZO465"/>
      <c r="TZP465"/>
      <c r="TZQ465"/>
      <c r="TZR465"/>
      <c r="TZS465"/>
      <c r="TZT465"/>
      <c r="TZU465"/>
      <c r="TZV465"/>
      <c r="TZW465"/>
      <c r="TZX465"/>
      <c r="TZY465"/>
      <c r="TZZ465"/>
      <c r="UAA465"/>
      <c r="UAB465"/>
      <c r="UAC465"/>
      <c r="UAD465"/>
      <c r="UAE465"/>
      <c r="UAF465"/>
      <c r="UAG465"/>
      <c r="UAH465"/>
      <c r="UAI465"/>
      <c r="UAJ465"/>
      <c r="UAK465"/>
      <c r="UAL465"/>
      <c r="UAM465"/>
      <c r="UAN465"/>
      <c r="UAO465"/>
      <c r="UAP465"/>
      <c r="UAQ465"/>
      <c r="UAR465"/>
      <c r="UAS465"/>
      <c r="UAT465"/>
      <c r="UAU465"/>
      <c r="UAV465"/>
      <c r="UAW465"/>
      <c r="UAX465"/>
      <c r="UAY465"/>
      <c r="UAZ465"/>
      <c r="UBA465"/>
      <c r="UBB465"/>
      <c r="UBC465"/>
      <c r="UBD465"/>
      <c r="UBE465"/>
      <c r="UBF465"/>
      <c r="UBG465"/>
      <c r="UBH465"/>
      <c r="UBI465"/>
      <c r="UBJ465"/>
      <c r="UBK465"/>
      <c r="UBL465"/>
      <c r="UBM465"/>
      <c r="UBN465"/>
      <c r="UBO465"/>
      <c r="UBP465"/>
      <c r="UBQ465"/>
      <c r="UBR465"/>
      <c r="UBS465"/>
      <c r="UBT465"/>
      <c r="UBU465"/>
      <c r="UBV465"/>
      <c r="UBW465"/>
      <c r="UBX465"/>
      <c r="UBY465"/>
      <c r="UBZ465"/>
      <c r="UCA465"/>
      <c r="UCB465"/>
      <c r="UCC465"/>
      <c r="UCD465"/>
      <c r="UCE465"/>
      <c r="UCF465"/>
      <c r="UCG465"/>
      <c r="UCH465"/>
      <c r="UCI465"/>
      <c r="UCJ465"/>
      <c r="UCK465"/>
      <c r="UCL465"/>
      <c r="UCM465"/>
      <c r="UCN465"/>
      <c r="UCO465"/>
      <c r="UCP465"/>
      <c r="UCQ465"/>
      <c r="UCR465"/>
      <c r="UCS465"/>
      <c r="UCT465"/>
      <c r="UCU465"/>
      <c r="UCV465"/>
      <c r="UCW465"/>
      <c r="UCX465"/>
      <c r="UCY465"/>
      <c r="UCZ465"/>
      <c r="UDA465"/>
      <c r="UDB465"/>
      <c r="UDC465"/>
      <c r="UDD465"/>
      <c r="UDE465"/>
      <c r="UDF465"/>
      <c r="UDG465"/>
      <c r="UDH465"/>
      <c r="UDI465"/>
      <c r="UDJ465"/>
      <c r="UDK465"/>
      <c r="UDL465"/>
      <c r="UDM465"/>
      <c r="UDN465"/>
      <c r="UDO465"/>
      <c r="UDP465"/>
      <c r="UDQ465"/>
      <c r="UDR465"/>
      <c r="UDS465"/>
      <c r="UDT465"/>
      <c r="UDU465"/>
      <c r="UDV465"/>
      <c r="UDW465"/>
      <c r="UDX465"/>
      <c r="UDY465"/>
      <c r="UDZ465"/>
      <c r="UEA465"/>
      <c r="UEB465"/>
      <c r="UEC465"/>
      <c r="UED465"/>
      <c r="UEE465"/>
      <c r="UEF465"/>
      <c r="UEG465"/>
      <c r="UEH465"/>
      <c r="UEI465"/>
      <c r="UEJ465"/>
      <c r="UEK465"/>
      <c r="UEL465"/>
      <c r="UEM465"/>
      <c r="UEN465"/>
      <c r="UEO465"/>
      <c r="UEP465"/>
      <c r="UEQ465"/>
      <c r="UER465"/>
      <c r="UES465"/>
      <c r="UET465"/>
      <c r="UEU465"/>
      <c r="UEV465"/>
      <c r="UEW465"/>
      <c r="UEX465"/>
      <c r="UEY465"/>
      <c r="UEZ465"/>
      <c r="UFA465"/>
      <c r="UFB465"/>
      <c r="UFC465"/>
      <c r="UFD465"/>
      <c r="UFE465"/>
      <c r="UFF465"/>
      <c r="UFG465"/>
      <c r="UFH465"/>
      <c r="UFI465"/>
      <c r="UFJ465"/>
      <c r="UFK465"/>
      <c r="UFL465"/>
      <c r="UFM465"/>
      <c r="UFN465"/>
      <c r="UFO465"/>
      <c r="UFP465"/>
      <c r="UFQ465"/>
      <c r="UFR465"/>
      <c r="UFS465"/>
      <c r="UFT465"/>
      <c r="UFU465"/>
      <c r="UFV465"/>
      <c r="UFW465"/>
      <c r="UFX465"/>
      <c r="UFY465"/>
      <c r="UFZ465"/>
      <c r="UGA465"/>
      <c r="UGB465"/>
      <c r="UGC465"/>
      <c r="UGD465"/>
      <c r="UGE465"/>
      <c r="UGF465"/>
      <c r="UGG465"/>
      <c r="UGH465"/>
      <c r="UGI465"/>
      <c r="UGJ465"/>
      <c r="UGK465"/>
      <c r="UGL465"/>
      <c r="UGM465"/>
      <c r="UGN465"/>
      <c r="UGO465"/>
      <c r="UGP465"/>
      <c r="UGQ465"/>
      <c r="UGR465"/>
      <c r="UGS465"/>
      <c r="UGT465"/>
      <c r="UGU465"/>
      <c r="UGV465"/>
      <c r="UGW465"/>
      <c r="UGX465"/>
      <c r="UGY465"/>
      <c r="UGZ465"/>
      <c r="UHA465"/>
      <c r="UHB465"/>
      <c r="UHC465"/>
      <c r="UHD465"/>
      <c r="UHE465"/>
      <c r="UHF465"/>
      <c r="UHG465"/>
      <c r="UHH465"/>
      <c r="UHI465"/>
      <c r="UHJ465"/>
      <c r="UHK465"/>
      <c r="UHL465"/>
      <c r="UHM465"/>
      <c r="UHN465"/>
      <c r="UHO465"/>
      <c r="UHP465"/>
      <c r="UHQ465"/>
      <c r="UHR465"/>
      <c r="UHS465"/>
      <c r="UHT465"/>
      <c r="UHU465"/>
      <c r="UHV465"/>
      <c r="UHW465"/>
      <c r="UHX465"/>
      <c r="UHY465"/>
      <c r="UHZ465"/>
      <c r="UIA465"/>
      <c r="UIB465"/>
      <c r="UIC465"/>
      <c r="UID465"/>
      <c r="UIE465"/>
      <c r="UIF465"/>
      <c r="UIG465"/>
      <c r="UIH465"/>
      <c r="UII465"/>
      <c r="UIJ465"/>
      <c r="UIK465"/>
      <c r="UIL465"/>
      <c r="UIM465"/>
      <c r="UIN465"/>
      <c r="UIO465"/>
      <c r="UIP465"/>
      <c r="UIQ465"/>
      <c r="UIR465"/>
      <c r="UIS465"/>
      <c r="UIT465"/>
      <c r="UIU465"/>
      <c r="UIV465"/>
      <c r="UIW465"/>
      <c r="UIX465"/>
      <c r="UIY465"/>
      <c r="UIZ465"/>
      <c r="UJA465"/>
      <c r="UJB465"/>
      <c r="UJC465"/>
      <c r="UJD465"/>
      <c r="UJE465"/>
      <c r="UJF465"/>
      <c r="UJG465"/>
      <c r="UJH465"/>
      <c r="UJI465"/>
      <c r="UJJ465"/>
      <c r="UJK465"/>
      <c r="UJL465"/>
      <c r="UJM465"/>
      <c r="UJN465"/>
      <c r="UJO465"/>
      <c r="UJP465"/>
      <c r="UJQ465"/>
      <c r="UJR465"/>
      <c r="UJS465"/>
      <c r="UJT465"/>
      <c r="UJU465"/>
      <c r="UJV465"/>
      <c r="UJW465"/>
      <c r="UJX465"/>
      <c r="UJY465"/>
      <c r="UJZ465"/>
      <c r="UKA465"/>
      <c r="UKB465"/>
      <c r="UKC465"/>
      <c r="UKD465"/>
      <c r="UKE465"/>
      <c r="UKF465"/>
      <c r="UKG465"/>
      <c r="UKH465"/>
      <c r="UKI465"/>
      <c r="UKJ465"/>
      <c r="UKK465"/>
      <c r="UKL465"/>
      <c r="UKM465"/>
      <c r="UKN465"/>
      <c r="UKO465"/>
      <c r="UKP465"/>
      <c r="UKQ465"/>
      <c r="UKR465"/>
      <c r="UKS465"/>
      <c r="UKT465"/>
      <c r="UKU465"/>
      <c r="UKV465"/>
      <c r="UKW465"/>
      <c r="UKX465"/>
      <c r="UKY465"/>
      <c r="UKZ465"/>
      <c r="ULA465"/>
      <c r="ULB465"/>
      <c r="ULC465"/>
      <c r="ULD465"/>
      <c r="ULE465"/>
      <c r="ULF465"/>
      <c r="ULG465"/>
      <c r="ULH465"/>
      <c r="ULI465"/>
      <c r="ULJ465"/>
      <c r="ULK465"/>
      <c r="ULL465"/>
      <c r="ULM465"/>
      <c r="ULN465"/>
      <c r="ULO465"/>
      <c r="ULP465"/>
      <c r="ULQ465"/>
      <c r="ULR465"/>
      <c r="ULS465"/>
      <c r="ULT465"/>
      <c r="ULU465"/>
      <c r="ULV465"/>
      <c r="ULW465"/>
      <c r="ULX465"/>
      <c r="ULY465"/>
      <c r="ULZ465"/>
      <c r="UMA465"/>
      <c r="UMB465"/>
      <c r="UMC465"/>
      <c r="UMD465"/>
      <c r="UME465"/>
      <c r="UMF465"/>
      <c r="UMG465"/>
      <c r="UMH465"/>
      <c r="UMI465"/>
      <c r="UMJ465"/>
      <c r="UMK465"/>
      <c r="UML465"/>
      <c r="UMM465"/>
      <c r="UMN465"/>
      <c r="UMO465"/>
      <c r="UMP465"/>
      <c r="UMQ465"/>
      <c r="UMR465"/>
      <c r="UMS465"/>
      <c r="UMT465"/>
      <c r="UMU465"/>
      <c r="UMV465"/>
      <c r="UMW465"/>
      <c r="UMX465"/>
      <c r="UMY465"/>
      <c r="UMZ465"/>
      <c r="UNA465"/>
      <c r="UNB465"/>
      <c r="UNC465"/>
      <c r="UND465"/>
      <c r="UNE465"/>
      <c r="UNF465"/>
      <c r="UNG465"/>
      <c r="UNH465"/>
      <c r="UNI465"/>
      <c r="UNJ465"/>
      <c r="UNK465"/>
      <c r="UNL465"/>
      <c r="UNM465"/>
      <c r="UNN465"/>
      <c r="UNO465"/>
      <c r="UNP465"/>
      <c r="UNQ465"/>
      <c r="UNR465"/>
      <c r="UNS465"/>
      <c r="UNT465"/>
      <c r="UNU465"/>
      <c r="UNV465"/>
      <c r="UNW465"/>
      <c r="UNX465"/>
      <c r="UNY465"/>
      <c r="UNZ465"/>
      <c r="UOA465"/>
      <c r="UOB465"/>
      <c r="UOC465"/>
      <c r="UOD465"/>
      <c r="UOE465"/>
      <c r="UOF465"/>
      <c r="UOG465"/>
      <c r="UOH465"/>
      <c r="UOI465"/>
      <c r="UOJ465"/>
      <c r="UOK465"/>
      <c r="UOL465"/>
      <c r="UOM465"/>
      <c r="UON465"/>
      <c r="UOO465"/>
      <c r="UOP465"/>
      <c r="UOQ465"/>
      <c r="UOR465"/>
      <c r="UOS465"/>
      <c r="UOT465"/>
      <c r="UOU465"/>
      <c r="UOV465"/>
      <c r="UOW465"/>
      <c r="UOX465"/>
      <c r="UOY465"/>
      <c r="UOZ465"/>
      <c r="UPA465"/>
      <c r="UPB465"/>
      <c r="UPC465"/>
      <c r="UPD465"/>
      <c r="UPE465"/>
      <c r="UPF465"/>
      <c r="UPG465"/>
      <c r="UPH465"/>
      <c r="UPI465"/>
      <c r="UPJ465"/>
      <c r="UPK465"/>
      <c r="UPL465"/>
      <c r="UPM465"/>
      <c r="UPN465"/>
      <c r="UPO465"/>
      <c r="UPP465"/>
      <c r="UPQ465"/>
      <c r="UPR465"/>
      <c r="UPS465"/>
      <c r="UPT465"/>
      <c r="UPU465"/>
      <c r="UPV465"/>
      <c r="UPW465"/>
      <c r="UPX465"/>
      <c r="UPY465"/>
      <c r="UPZ465"/>
      <c r="UQA465"/>
      <c r="UQB465"/>
      <c r="UQC465"/>
      <c r="UQD465"/>
      <c r="UQE465"/>
      <c r="UQF465"/>
      <c r="UQG465"/>
      <c r="UQH465"/>
      <c r="UQI465"/>
      <c r="UQJ465"/>
      <c r="UQK465"/>
      <c r="UQL465"/>
      <c r="UQM465"/>
      <c r="UQN465"/>
      <c r="UQO465"/>
      <c r="UQP465"/>
      <c r="UQQ465"/>
      <c r="UQR465"/>
      <c r="UQS465"/>
      <c r="UQT465"/>
      <c r="UQU465"/>
      <c r="UQV465"/>
      <c r="UQW465"/>
      <c r="UQX465"/>
      <c r="UQY465"/>
      <c r="UQZ465"/>
      <c r="URA465"/>
      <c r="URB465"/>
      <c r="URC465"/>
      <c r="URD465"/>
      <c r="URE465"/>
      <c r="URF465"/>
      <c r="URG465"/>
      <c r="URH465"/>
      <c r="URI465"/>
      <c r="URJ465"/>
      <c r="URK465"/>
      <c r="URL465"/>
      <c r="URM465"/>
      <c r="URN465"/>
      <c r="URO465"/>
      <c r="URP465"/>
      <c r="URQ465"/>
      <c r="URR465"/>
      <c r="URS465"/>
      <c r="URT465"/>
      <c r="URU465"/>
      <c r="URV465"/>
      <c r="URW465"/>
      <c r="URX465"/>
      <c r="URY465"/>
      <c r="URZ465"/>
      <c r="USA465"/>
      <c r="USB465"/>
      <c r="USC465"/>
      <c r="USD465"/>
      <c r="USE465"/>
      <c r="USF465"/>
      <c r="USG465"/>
      <c r="USH465"/>
      <c r="USI465"/>
      <c r="USJ465"/>
      <c r="USK465"/>
      <c r="USL465"/>
      <c r="USM465"/>
      <c r="USN465"/>
      <c r="USO465"/>
      <c r="USP465"/>
      <c r="USQ465"/>
      <c r="USR465"/>
      <c r="USS465"/>
      <c r="UST465"/>
      <c r="USU465"/>
      <c r="USV465"/>
      <c r="USW465"/>
      <c r="USX465"/>
      <c r="USY465"/>
      <c r="USZ465"/>
      <c r="UTA465"/>
      <c r="UTB465"/>
      <c r="UTC465"/>
      <c r="UTD465"/>
      <c r="UTE465"/>
      <c r="UTF465"/>
      <c r="UTG465"/>
      <c r="UTH465"/>
      <c r="UTI465"/>
      <c r="UTJ465"/>
      <c r="UTK465"/>
      <c r="UTL465"/>
      <c r="UTM465"/>
      <c r="UTN465"/>
      <c r="UTO465"/>
      <c r="UTP465"/>
      <c r="UTQ465"/>
      <c r="UTR465"/>
      <c r="UTS465"/>
      <c r="UTT465"/>
      <c r="UTU465"/>
      <c r="UTV465"/>
      <c r="UTW465"/>
      <c r="UTX465"/>
      <c r="UTY465"/>
      <c r="UTZ465"/>
      <c r="UUA465"/>
      <c r="UUB465"/>
      <c r="UUC465"/>
      <c r="UUD465"/>
      <c r="UUE465"/>
      <c r="UUF465"/>
      <c r="UUG465"/>
      <c r="UUH465"/>
      <c r="UUI465"/>
      <c r="UUJ465"/>
      <c r="UUK465"/>
      <c r="UUL465"/>
      <c r="UUM465"/>
      <c r="UUN465"/>
      <c r="UUO465"/>
      <c r="UUP465"/>
      <c r="UUQ465"/>
      <c r="UUR465"/>
      <c r="UUS465"/>
      <c r="UUT465"/>
      <c r="UUU465"/>
      <c r="UUV465"/>
      <c r="UUW465"/>
      <c r="UUX465"/>
      <c r="UUY465"/>
      <c r="UUZ465"/>
      <c r="UVA465"/>
      <c r="UVB465"/>
      <c r="UVC465"/>
      <c r="UVD465"/>
      <c r="UVE465"/>
      <c r="UVF465"/>
      <c r="UVG465"/>
      <c r="UVH465"/>
      <c r="UVI465"/>
      <c r="UVJ465"/>
      <c r="UVK465"/>
      <c r="UVL465"/>
      <c r="UVM465"/>
      <c r="UVN465"/>
      <c r="UVO465"/>
      <c r="UVP465"/>
      <c r="UVQ465"/>
      <c r="UVR465"/>
      <c r="UVS465"/>
      <c r="UVT465"/>
      <c r="UVU465"/>
      <c r="UVV465"/>
      <c r="UVW465"/>
      <c r="UVX465"/>
      <c r="UVY465"/>
      <c r="UVZ465"/>
      <c r="UWA465"/>
      <c r="UWB465"/>
      <c r="UWC465"/>
      <c r="UWD465"/>
      <c r="UWE465"/>
      <c r="UWF465"/>
      <c r="UWG465"/>
      <c r="UWH465"/>
      <c r="UWI465"/>
      <c r="UWJ465"/>
      <c r="UWK465"/>
      <c r="UWL465"/>
      <c r="UWM465"/>
      <c r="UWN465"/>
      <c r="UWO465"/>
      <c r="UWP465"/>
      <c r="UWQ465"/>
      <c r="UWR465"/>
      <c r="UWS465"/>
      <c r="UWT465"/>
      <c r="UWU465"/>
      <c r="UWV465"/>
      <c r="UWW465"/>
      <c r="UWX465"/>
      <c r="UWY465"/>
      <c r="UWZ465"/>
      <c r="UXA465"/>
      <c r="UXB465"/>
      <c r="UXC465"/>
      <c r="UXD465"/>
      <c r="UXE465"/>
      <c r="UXF465"/>
      <c r="UXG465"/>
      <c r="UXH465"/>
      <c r="UXI465"/>
      <c r="UXJ465"/>
      <c r="UXK465"/>
      <c r="UXL465"/>
      <c r="UXM465"/>
      <c r="UXN465"/>
      <c r="UXO465"/>
      <c r="UXP465"/>
      <c r="UXQ465"/>
      <c r="UXR465"/>
      <c r="UXS465"/>
      <c r="UXT465"/>
      <c r="UXU465"/>
      <c r="UXV465"/>
      <c r="UXW465"/>
      <c r="UXX465"/>
      <c r="UXY465"/>
      <c r="UXZ465"/>
      <c r="UYA465"/>
      <c r="UYB465"/>
      <c r="UYC465"/>
      <c r="UYD465"/>
      <c r="UYE465"/>
      <c r="UYF465"/>
      <c r="UYG465"/>
      <c r="UYH465"/>
      <c r="UYI465"/>
      <c r="UYJ465"/>
      <c r="UYK465"/>
      <c r="UYL465"/>
      <c r="UYM465"/>
      <c r="UYN465"/>
      <c r="UYO465"/>
      <c r="UYP465"/>
      <c r="UYQ465"/>
      <c r="UYR465"/>
      <c r="UYS465"/>
      <c r="UYT465"/>
      <c r="UYU465"/>
      <c r="UYV465"/>
      <c r="UYW465"/>
      <c r="UYX465"/>
      <c r="UYY465"/>
      <c r="UYZ465"/>
      <c r="UZA465"/>
      <c r="UZB465"/>
      <c r="UZC465"/>
      <c r="UZD465"/>
      <c r="UZE465"/>
      <c r="UZF465"/>
      <c r="UZG465"/>
      <c r="UZH465"/>
      <c r="UZI465"/>
      <c r="UZJ465"/>
      <c r="UZK465"/>
      <c r="UZL465"/>
      <c r="UZM465"/>
      <c r="UZN465"/>
      <c r="UZO465"/>
      <c r="UZP465"/>
      <c r="UZQ465"/>
      <c r="UZR465"/>
      <c r="UZS465"/>
      <c r="UZT465"/>
      <c r="UZU465"/>
      <c r="UZV465"/>
      <c r="UZW465"/>
      <c r="UZX465"/>
      <c r="UZY465"/>
      <c r="UZZ465"/>
      <c r="VAA465"/>
      <c r="VAB465"/>
      <c r="VAC465"/>
      <c r="VAD465"/>
      <c r="VAE465"/>
      <c r="VAF465"/>
      <c r="VAG465"/>
      <c r="VAH465"/>
      <c r="VAI465"/>
      <c r="VAJ465"/>
      <c r="VAK465"/>
      <c r="VAL465"/>
      <c r="VAM465"/>
      <c r="VAN465"/>
      <c r="VAO465"/>
      <c r="VAP465"/>
      <c r="VAQ465"/>
      <c r="VAR465"/>
      <c r="VAS465"/>
      <c r="VAT465"/>
      <c r="VAU465"/>
      <c r="VAV465"/>
      <c r="VAW465"/>
      <c r="VAX465"/>
      <c r="VAY465"/>
      <c r="VAZ465"/>
      <c r="VBA465"/>
      <c r="VBB465"/>
      <c r="VBC465"/>
      <c r="VBD465"/>
      <c r="VBE465"/>
      <c r="VBF465"/>
      <c r="VBG465"/>
      <c r="VBH465"/>
      <c r="VBI465"/>
      <c r="VBJ465"/>
      <c r="VBK465"/>
      <c r="VBL465"/>
      <c r="VBM465"/>
      <c r="VBN465"/>
      <c r="VBO465"/>
      <c r="VBP465"/>
      <c r="VBQ465"/>
      <c r="VBR465"/>
      <c r="VBS465"/>
      <c r="VBT465"/>
      <c r="VBU465"/>
      <c r="VBV465"/>
      <c r="VBW465"/>
      <c r="VBX465"/>
      <c r="VBY465"/>
      <c r="VBZ465"/>
      <c r="VCA465"/>
      <c r="VCB465"/>
      <c r="VCC465"/>
      <c r="VCD465"/>
      <c r="VCE465"/>
      <c r="VCF465"/>
      <c r="VCG465"/>
      <c r="VCH465"/>
      <c r="VCI465"/>
      <c r="VCJ465"/>
      <c r="VCK465"/>
      <c r="VCL465"/>
      <c r="VCM465"/>
      <c r="VCN465"/>
      <c r="VCO465"/>
      <c r="VCP465"/>
      <c r="VCQ465"/>
      <c r="VCR465"/>
      <c r="VCS465"/>
      <c r="VCT465"/>
      <c r="VCU465"/>
      <c r="VCV465"/>
      <c r="VCW465"/>
      <c r="VCX465"/>
      <c r="VCY465"/>
      <c r="VCZ465"/>
      <c r="VDA465"/>
      <c r="VDB465"/>
      <c r="VDC465"/>
      <c r="VDD465"/>
      <c r="VDE465"/>
      <c r="VDF465"/>
      <c r="VDG465"/>
      <c r="VDH465"/>
      <c r="VDI465"/>
      <c r="VDJ465"/>
      <c r="VDK465"/>
      <c r="VDL465"/>
      <c r="VDM465"/>
      <c r="VDN465"/>
      <c r="VDO465"/>
      <c r="VDP465"/>
      <c r="VDQ465"/>
      <c r="VDR465"/>
      <c r="VDS465"/>
      <c r="VDT465"/>
      <c r="VDU465"/>
      <c r="VDV465"/>
      <c r="VDW465"/>
      <c r="VDX465"/>
      <c r="VDY465"/>
      <c r="VDZ465"/>
      <c r="VEA465"/>
      <c r="VEB465"/>
      <c r="VEC465"/>
      <c r="VED465"/>
      <c r="VEE465"/>
      <c r="VEF465"/>
      <c r="VEG465"/>
      <c r="VEH465"/>
      <c r="VEI465"/>
      <c r="VEJ465"/>
      <c r="VEK465"/>
      <c r="VEL465"/>
      <c r="VEM465"/>
      <c r="VEN465"/>
      <c r="VEO465"/>
      <c r="VEP465"/>
      <c r="VEQ465"/>
      <c r="VER465"/>
      <c r="VES465"/>
      <c r="VET465"/>
      <c r="VEU465"/>
      <c r="VEV465"/>
      <c r="VEW465"/>
      <c r="VEX465"/>
      <c r="VEY465"/>
      <c r="VEZ465"/>
      <c r="VFA465"/>
      <c r="VFB465"/>
      <c r="VFC465"/>
      <c r="VFD465"/>
      <c r="VFE465"/>
      <c r="VFF465"/>
      <c r="VFG465"/>
      <c r="VFH465"/>
      <c r="VFI465"/>
      <c r="VFJ465"/>
      <c r="VFK465"/>
      <c r="VFL465"/>
      <c r="VFM465"/>
      <c r="VFN465"/>
      <c r="VFO465"/>
      <c r="VFP465"/>
      <c r="VFQ465"/>
      <c r="VFR465"/>
      <c r="VFS465"/>
      <c r="VFT465"/>
      <c r="VFU465"/>
      <c r="VFV465"/>
      <c r="VFW465"/>
      <c r="VFX465"/>
      <c r="VFY465"/>
      <c r="VFZ465"/>
      <c r="VGA465"/>
      <c r="VGB465"/>
      <c r="VGC465"/>
      <c r="VGD465"/>
      <c r="VGE465"/>
      <c r="VGF465"/>
      <c r="VGG465"/>
      <c r="VGH465"/>
      <c r="VGI465"/>
      <c r="VGJ465"/>
      <c r="VGK465"/>
      <c r="VGL465"/>
      <c r="VGM465"/>
      <c r="VGN465"/>
      <c r="VGO465"/>
      <c r="VGP465"/>
      <c r="VGQ465"/>
      <c r="VGR465"/>
      <c r="VGS465"/>
      <c r="VGT465"/>
      <c r="VGU465"/>
      <c r="VGV465"/>
      <c r="VGW465"/>
      <c r="VGX465"/>
      <c r="VGY465"/>
      <c r="VGZ465"/>
      <c r="VHA465"/>
      <c r="VHB465"/>
      <c r="VHC465"/>
      <c r="VHD465"/>
      <c r="VHE465"/>
      <c r="VHF465"/>
      <c r="VHG465"/>
      <c r="VHH465"/>
      <c r="VHI465"/>
      <c r="VHJ465"/>
      <c r="VHK465"/>
      <c r="VHL465"/>
      <c r="VHM465"/>
      <c r="VHN465"/>
      <c r="VHO465"/>
      <c r="VHP465"/>
      <c r="VHQ465"/>
      <c r="VHR465"/>
      <c r="VHS465"/>
      <c r="VHT465"/>
      <c r="VHU465"/>
      <c r="VHV465"/>
      <c r="VHW465"/>
      <c r="VHX465"/>
      <c r="VHY465"/>
      <c r="VHZ465"/>
      <c r="VIA465"/>
      <c r="VIB465"/>
      <c r="VIC465"/>
      <c r="VID465"/>
      <c r="VIE465"/>
      <c r="VIF465"/>
      <c r="VIG465"/>
      <c r="VIH465"/>
      <c r="VII465"/>
      <c r="VIJ465"/>
      <c r="VIK465"/>
      <c r="VIL465"/>
      <c r="VIM465"/>
      <c r="VIN465"/>
      <c r="VIO465"/>
      <c r="VIP465"/>
      <c r="VIQ465"/>
      <c r="VIR465"/>
      <c r="VIS465"/>
      <c r="VIT465"/>
      <c r="VIU465"/>
      <c r="VIV465"/>
      <c r="VIW465"/>
      <c r="VIX465"/>
      <c r="VIY465"/>
      <c r="VIZ465"/>
      <c r="VJA465"/>
      <c r="VJB465"/>
      <c r="VJC465"/>
      <c r="VJD465"/>
      <c r="VJE465"/>
      <c r="VJF465"/>
      <c r="VJG465"/>
      <c r="VJH465"/>
      <c r="VJI465"/>
      <c r="VJJ465"/>
      <c r="VJK465"/>
      <c r="VJL465"/>
      <c r="VJM465"/>
      <c r="VJN465"/>
      <c r="VJO465"/>
      <c r="VJP465"/>
      <c r="VJQ465"/>
      <c r="VJR465"/>
      <c r="VJS465"/>
      <c r="VJT465"/>
      <c r="VJU465"/>
      <c r="VJV465"/>
      <c r="VJW465"/>
      <c r="VJX465"/>
      <c r="VJY465"/>
      <c r="VJZ465"/>
      <c r="VKA465"/>
      <c r="VKB465"/>
      <c r="VKC465"/>
      <c r="VKD465"/>
      <c r="VKE465"/>
      <c r="VKF465"/>
      <c r="VKG465"/>
      <c r="VKH465"/>
      <c r="VKI465"/>
      <c r="VKJ465"/>
      <c r="VKK465"/>
      <c r="VKL465"/>
      <c r="VKM465"/>
      <c r="VKN465"/>
      <c r="VKO465"/>
      <c r="VKP465"/>
      <c r="VKQ465"/>
      <c r="VKR465"/>
      <c r="VKS465"/>
      <c r="VKT465"/>
      <c r="VKU465"/>
      <c r="VKV465"/>
      <c r="VKW465"/>
      <c r="VKX465"/>
      <c r="VKY465"/>
      <c r="VKZ465"/>
      <c r="VLA465"/>
      <c r="VLB465"/>
      <c r="VLC465"/>
      <c r="VLD465"/>
      <c r="VLE465"/>
      <c r="VLF465"/>
      <c r="VLG465"/>
      <c r="VLH465"/>
      <c r="VLI465"/>
      <c r="VLJ465"/>
      <c r="VLK465"/>
      <c r="VLL465"/>
      <c r="VLM465"/>
      <c r="VLN465"/>
      <c r="VLO465"/>
      <c r="VLP465"/>
      <c r="VLQ465"/>
      <c r="VLR465"/>
      <c r="VLS465"/>
      <c r="VLT465"/>
      <c r="VLU465"/>
      <c r="VLV465"/>
      <c r="VLW465"/>
      <c r="VLX465"/>
      <c r="VLY465"/>
      <c r="VLZ465"/>
      <c r="VMA465"/>
      <c r="VMB465"/>
      <c r="VMC465"/>
      <c r="VMD465"/>
      <c r="VME465"/>
      <c r="VMF465"/>
      <c r="VMG465"/>
      <c r="VMH465"/>
      <c r="VMI465"/>
      <c r="VMJ465"/>
      <c r="VMK465"/>
      <c r="VML465"/>
      <c r="VMM465"/>
      <c r="VMN465"/>
      <c r="VMO465"/>
      <c r="VMP465"/>
      <c r="VMQ465"/>
      <c r="VMR465"/>
      <c r="VMS465"/>
      <c r="VMT465"/>
      <c r="VMU465"/>
      <c r="VMV465"/>
      <c r="VMW465"/>
      <c r="VMX465"/>
      <c r="VMY465"/>
      <c r="VMZ465"/>
      <c r="VNA465"/>
      <c r="VNB465"/>
      <c r="VNC465"/>
      <c r="VND465"/>
      <c r="VNE465"/>
      <c r="VNF465"/>
      <c r="VNG465"/>
      <c r="VNH465"/>
      <c r="VNI465"/>
      <c r="VNJ465"/>
      <c r="VNK465"/>
      <c r="VNL465"/>
      <c r="VNM465"/>
      <c r="VNN465"/>
      <c r="VNO465"/>
      <c r="VNP465"/>
      <c r="VNQ465"/>
      <c r="VNR465"/>
      <c r="VNS465"/>
      <c r="VNT465"/>
      <c r="VNU465"/>
      <c r="VNV465"/>
      <c r="VNW465"/>
      <c r="VNX465"/>
      <c r="VNY465"/>
      <c r="VNZ465"/>
      <c r="VOA465"/>
      <c r="VOB465"/>
      <c r="VOC465"/>
      <c r="VOD465"/>
      <c r="VOE465"/>
      <c r="VOF465"/>
      <c r="VOG465"/>
      <c r="VOH465"/>
      <c r="VOI465"/>
      <c r="VOJ465"/>
      <c r="VOK465"/>
      <c r="VOL465"/>
      <c r="VOM465"/>
      <c r="VON465"/>
      <c r="VOO465"/>
      <c r="VOP465"/>
      <c r="VOQ465"/>
      <c r="VOR465"/>
      <c r="VOS465"/>
      <c r="VOT465"/>
      <c r="VOU465"/>
      <c r="VOV465"/>
      <c r="VOW465"/>
      <c r="VOX465"/>
      <c r="VOY465"/>
      <c r="VOZ465"/>
      <c r="VPA465"/>
      <c r="VPB465"/>
      <c r="VPC465"/>
      <c r="VPD465"/>
      <c r="VPE465"/>
      <c r="VPF465"/>
      <c r="VPG465"/>
      <c r="VPH465"/>
      <c r="VPI465"/>
      <c r="VPJ465"/>
      <c r="VPK465"/>
      <c r="VPL465"/>
      <c r="VPM465"/>
      <c r="VPN465"/>
      <c r="VPO465"/>
      <c r="VPP465"/>
      <c r="VPQ465"/>
      <c r="VPR465"/>
      <c r="VPS465"/>
      <c r="VPT465"/>
      <c r="VPU465"/>
      <c r="VPV465"/>
      <c r="VPW465"/>
      <c r="VPX465"/>
      <c r="VPY465"/>
      <c r="VPZ465"/>
      <c r="VQA465"/>
      <c r="VQB465"/>
      <c r="VQC465"/>
      <c r="VQD465"/>
      <c r="VQE465"/>
      <c r="VQF465"/>
      <c r="VQG465"/>
      <c r="VQH465"/>
      <c r="VQI465"/>
      <c r="VQJ465"/>
      <c r="VQK465"/>
      <c r="VQL465"/>
      <c r="VQM465"/>
      <c r="VQN465"/>
      <c r="VQO465"/>
      <c r="VQP465"/>
      <c r="VQQ465"/>
      <c r="VQR465"/>
      <c r="VQS465"/>
      <c r="VQT465"/>
      <c r="VQU465"/>
      <c r="VQV465"/>
      <c r="VQW465"/>
      <c r="VQX465"/>
      <c r="VQY465"/>
      <c r="VQZ465"/>
      <c r="VRA465"/>
      <c r="VRB465"/>
      <c r="VRC465"/>
      <c r="VRD465"/>
      <c r="VRE465"/>
      <c r="VRF465"/>
      <c r="VRG465"/>
      <c r="VRH465"/>
      <c r="VRI465"/>
      <c r="VRJ465"/>
      <c r="VRK465"/>
      <c r="VRL465"/>
      <c r="VRM465"/>
      <c r="VRN465"/>
      <c r="VRO465"/>
      <c r="VRP465"/>
      <c r="VRQ465"/>
      <c r="VRR465"/>
      <c r="VRS465"/>
      <c r="VRT465"/>
      <c r="VRU465"/>
      <c r="VRV465"/>
      <c r="VRW465"/>
      <c r="VRX465"/>
      <c r="VRY465"/>
      <c r="VRZ465"/>
      <c r="VSA465"/>
      <c r="VSB465"/>
      <c r="VSC465"/>
      <c r="VSD465"/>
      <c r="VSE465"/>
      <c r="VSF465"/>
      <c r="VSG465"/>
      <c r="VSH465"/>
      <c r="VSI465"/>
      <c r="VSJ465"/>
      <c r="VSK465"/>
      <c r="VSL465"/>
      <c r="VSM465"/>
      <c r="VSN465"/>
      <c r="VSO465"/>
      <c r="VSP465"/>
      <c r="VSQ465"/>
      <c r="VSR465"/>
      <c r="VSS465"/>
      <c r="VST465"/>
      <c r="VSU465"/>
      <c r="VSV465"/>
      <c r="VSW465"/>
      <c r="VSX465"/>
      <c r="VSY465"/>
      <c r="VSZ465"/>
      <c r="VTA465"/>
      <c r="VTB465"/>
      <c r="VTC465"/>
      <c r="VTD465"/>
      <c r="VTE465"/>
      <c r="VTF465"/>
      <c r="VTG465"/>
      <c r="VTH465"/>
      <c r="VTI465"/>
      <c r="VTJ465"/>
      <c r="VTK465"/>
      <c r="VTL465"/>
      <c r="VTM465"/>
      <c r="VTN465"/>
      <c r="VTO465"/>
      <c r="VTP465"/>
      <c r="VTQ465"/>
      <c r="VTR465"/>
      <c r="VTS465"/>
      <c r="VTT465"/>
      <c r="VTU465"/>
      <c r="VTV465"/>
      <c r="VTW465"/>
      <c r="VTX465"/>
      <c r="VTY465"/>
      <c r="VTZ465"/>
      <c r="VUA465"/>
      <c r="VUB465"/>
      <c r="VUC465"/>
      <c r="VUD465"/>
      <c r="VUE465"/>
      <c r="VUF465"/>
      <c r="VUG465"/>
      <c r="VUH465"/>
      <c r="VUI465"/>
      <c r="VUJ465"/>
      <c r="VUK465"/>
      <c r="VUL465"/>
      <c r="VUM465"/>
      <c r="VUN465"/>
      <c r="VUO465"/>
      <c r="VUP465"/>
      <c r="VUQ465"/>
      <c r="VUR465"/>
      <c r="VUS465"/>
      <c r="VUT465"/>
      <c r="VUU465"/>
      <c r="VUV465"/>
      <c r="VUW465"/>
      <c r="VUX465"/>
      <c r="VUY465"/>
      <c r="VUZ465"/>
      <c r="VVA465"/>
      <c r="VVB465"/>
      <c r="VVC465"/>
      <c r="VVD465"/>
      <c r="VVE465"/>
      <c r="VVF465"/>
      <c r="VVG465"/>
      <c r="VVH465"/>
      <c r="VVI465"/>
      <c r="VVJ465"/>
      <c r="VVK465"/>
      <c r="VVL465"/>
      <c r="VVM465"/>
      <c r="VVN465"/>
      <c r="VVO465"/>
      <c r="VVP465"/>
      <c r="VVQ465"/>
      <c r="VVR465"/>
      <c r="VVS465"/>
      <c r="VVT465"/>
      <c r="VVU465"/>
      <c r="VVV465"/>
      <c r="VVW465"/>
      <c r="VVX465"/>
      <c r="VVY465"/>
      <c r="VVZ465"/>
      <c r="VWA465"/>
      <c r="VWB465"/>
      <c r="VWC465"/>
      <c r="VWD465"/>
      <c r="VWE465"/>
      <c r="VWF465"/>
      <c r="VWG465"/>
      <c r="VWH465"/>
      <c r="VWI465"/>
      <c r="VWJ465"/>
      <c r="VWK465"/>
      <c r="VWL465"/>
      <c r="VWM465"/>
      <c r="VWN465"/>
      <c r="VWO465"/>
      <c r="VWP465"/>
      <c r="VWQ465"/>
      <c r="VWR465"/>
      <c r="VWS465"/>
      <c r="VWT465"/>
      <c r="VWU465"/>
      <c r="VWV465"/>
      <c r="VWW465"/>
      <c r="VWX465"/>
      <c r="VWY465"/>
      <c r="VWZ465"/>
      <c r="VXA465"/>
      <c r="VXB465"/>
      <c r="VXC465"/>
      <c r="VXD465"/>
      <c r="VXE465"/>
      <c r="VXF465"/>
      <c r="VXG465"/>
      <c r="VXH465"/>
      <c r="VXI465"/>
      <c r="VXJ465"/>
      <c r="VXK465"/>
      <c r="VXL465"/>
      <c r="VXM465"/>
      <c r="VXN465"/>
      <c r="VXO465"/>
      <c r="VXP465"/>
      <c r="VXQ465"/>
      <c r="VXR465"/>
      <c r="VXS465"/>
      <c r="VXT465"/>
      <c r="VXU465"/>
      <c r="VXV465"/>
      <c r="VXW465"/>
      <c r="VXX465"/>
      <c r="VXY465"/>
      <c r="VXZ465"/>
      <c r="VYA465"/>
      <c r="VYB465"/>
      <c r="VYC465"/>
      <c r="VYD465"/>
      <c r="VYE465"/>
      <c r="VYF465"/>
      <c r="VYG465"/>
      <c r="VYH465"/>
      <c r="VYI465"/>
      <c r="VYJ465"/>
      <c r="VYK465"/>
      <c r="VYL465"/>
      <c r="VYM465"/>
      <c r="VYN465"/>
      <c r="VYO465"/>
      <c r="VYP465"/>
      <c r="VYQ465"/>
      <c r="VYR465"/>
      <c r="VYS465"/>
      <c r="VYT465"/>
      <c r="VYU465"/>
      <c r="VYV465"/>
      <c r="VYW465"/>
      <c r="VYX465"/>
      <c r="VYY465"/>
      <c r="VYZ465"/>
      <c r="VZA465"/>
      <c r="VZB465"/>
      <c r="VZC465"/>
      <c r="VZD465"/>
      <c r="VZE465"/>
      <c r="VZF465"/>
      <c r="VZG465"/>
      <c r="VZH465"/>
      <c r="VZI465"/>
      <c r="VZJ465"/>
      <c r="VZK465"/>
      <c r="VZL465"/>
      <c r="VZM465"/>
      <c r="VZN465"/>
      <c r="VZO465"/>
      <c r="VZP465"/>
      <c r="VZQ465"/>
      <c r="VZR465"/>
      <c r="VZS465"/>
      <c r="VZT465"/>
      <c r="VZU465"/>
      <c r="VZV465"/>
      <c r="VZW465"/>
      <c r="VZX465"/>
      <c r="VZY465"/>
      <c r="VZZ465"/>
      <c r="WAA465"/>
      <c r="WAB465"/>
      <c r="WAC465"/>
      <c r="WAD465"/>
      <c r="WAE465"/>
      <c r="WAF465"/>
      <c r="WAG465"/>
      <c r="WAH465"/>
      <c r="WAI465"/>
      <c r="WAJ465"/>
      <c r="WAK465"/>
      <c r="WAL465"/>
      <c r="WAM465"/>
      <c r="WAN465"/>
      <c r="WAO465"/>
      <c r="WAP465"/>
      <c r="WAQ465"/>
      <c r="WAR465"/>
      <c r="WAS465"/>
      <c r="WAT465"/>
      <c r="WAU465"/>
      <c r="WAV465"/>
      <c r="WAW465"/>
      <c r="WAX465"/>
      <c r="WAY465"/>
      <c r="WAZ465"/>
      <c r="WBA465"/>
      <c r="WBB465"/>
      <c r="WBC465"/>
      <c r="WBD465"/>
      <c r="WBE465"/>
      <c r="WBF465"/>
      <c r="WBG465"/>
      <c r="WBH465"/>
      <c r="WBI465"/>
      <c r="WBJ465"/>
      <c r="WBK465"/>
      <c r="WBL465"/>
      <c r="WBM465"/>
      <c r="WBN465"/>
      <c r="WBO465"/>
      <c r="WBP465"/>
      <c r="WBQ465"/>
      <c r="WBR465"/>
      <c r="WBS465"/>
      <c r="WBT465"/>
      <c r="WBU465"/>
      <c r="WBV465"/>
      <c r="WBW465"/>
      <c r="WBX465"/>
      <c r="WBY465"/>
      <c r="WBZ465"/>
      <c r="WCA465"/>
      <c r="WCB465"/>
      <c r="WCC465"/>
      <c r="WCD465"/>
      <c r="WCE465"/>
      <c r="WCF465"/>
      <c r="WCG465"/>
      <c r="WCH465"/>
      <c r="WCI465"/>
      <c r="WCJ465"/>
      <c r="WCK465"/>
      <c r="WCL465"/>
      <c r="WCM465"/>
      <c r="WCN465"/>
      <c r="WCO465"/>
      <c r="WCP465"/>
      <c r="WCQ465"/>
      <c r="WCR465"/>
      <c r="WCS465"/>
      <c r="WCT465"/>
      <c r="WCU465"/>
      <c r="WCV465"/>
      <c r="WCW465"/>
      <c r="WCX465"/>
      <c r="WCY465"/>
      <c r="WCZ465"/>
      <c r="WDA465"/>
      <c r="WDB465"/>
      <c r="WDC465"/>
      <c r="WDD465"/>
      <c r="WDE465"/>
      <c r="WDF465"/>
      <c r="WDG465"/>
      <c r="WDH465"/>
      <c r="WDI465"/>
      <c r="WDJ465"/>
      <c r="WDK465"/>
      <c r="WDL465"/>
      <c r="WDM465"/>
      <c r="WDN465"/>
      <c r="WDO465"/>
      <c r="WDP465"/>
      <c r="WDQ465"/>
      <c r="WDR465"/>
      <c r="WDS465"/>
      <c r="WDT465"/>
      <c r="WDU465"/>
      <c r="WDV465"/>
      <c r="WDW465"/>
      <c r="WDX465"/>
      <c r="WDY465"/>
      <c r="WDZ465"/>
      <c r="WEA465"/>
      <c r="WEB465"/>
      <c r="WEC465"/>
      <c r="WED465"/>
      <c r="WEE465"/>
      <c r="WEF465"/>
      <c r="WEG465"/>
      <c r="WEH465"/>
      <c r="WEI465"/>
      <c r="WEJ465"/>
      <c r="WEK465"/>
      <c r="WEL465"/>
      <c r="WEM465"/>
      <c r="WEN465"/>
      <c r="WEO465"/>
      <c r="WEP465"/>
      <c r="WEQ465"/>
      <c r="WER465"/>
      <c r="WES465"/>
      <c r="WET465"/>
      <c r="WEU465"/>
      <c r="WEV465"/>
      <c r="WEW465"/>
      <c r="WEX465"/>
      <c r="WEY465"/>
      <c r="WEZ465"/>
      <c r="WFA465"/>
      <c r="WFB465"/>
      <c r="WFC465"/>
      <c r="WFD465"/>
      <c r="WFE465"/>
      <c r="WFF465"/>
      <c r="WFG465"/>
      <c r="WFH465"/>
      <c r="WFI465"/>
      <c r="WFJ465"/>
      <c r="WFK465"/>
      <c r="WFL465"/>
      <c r="WFM465"/>
      <c r="WFN465"/>
      <c r="WFO465"/>
      <c r="WFP465"/>
      <c r="WFQ465"/>
      <c r="WFR465"/>
      <c r="WFS465"/>
      <c r="WFT465"/>
      <c r="WFU465"/>
      <c r="WFV465"/>
      <c r="WFW465"/>
      <c r="WFX465"/>
      <c r="WFY465"/>
      <c r="WFZ465"/>
      <c r="WGA465"/>
      <c r="WGB465"/>
      <c r="WGC465"/>
      <c r="WGD465"/>
      <c r="WGE465"/>
      <c r="WGF465"/>
      <c r="WGG465"/>
      <c r="WGH465"/>
      <c r="WGI465"/>
      <c r="WGJ465"/>
      <c r="WGK465"/>
      <c r="WGL465"/>
      <c r="WGM465"/>
      <c r="WGN465"/>
      <c r="WGO465"/>
      <c r="WGP465"/>
      <c r="WGQ465"/>
      <c r="WGR465"/>
      <c r="WGS465"/>
      <c r="WGT465"/>
      <c r="WGU465"/>
      <c r="WGV465"/>
      <c r="WGW465"/>
      <c r="WGX465"/>
      <c r="WGY465"/>
      <c r="WGZ465"/>
      <c r="WHA465"/>
      <c r="WHB465"/>
      <c r="WHC465"/>
      <c r="WHD465"/>
      <c r="WHE465"/>
      <c r="WHF465"/>
      <c r="WHG465"/>
      <c r="WHH465"/>
      <c r="WHI465"/>
      <c r="WHJ465"/>
      <c r="WHK465"/>
      <c r="WHL465"/>
      <c r="WHM465"/>
      <c r="WHN465"/>
      <c r="WHO465"/>
      <c r="WHP465"/>
      <c r="WHQ465"/>
      <c r="WHR465"/>
      <c r="WHS465"/>
      <c r="WHT465"/>
      <c r="WHU465"/>
      <c r="WHV465"/>
      <c r="WHW465"/>
      <c r="WHX465"/>
      <c r="WHY465"/>
      <c r="WHZ465"/>
      <c r="WIA465"/>
      <c r="WIB465"/>
      <c r="WIC465"/>
      <c r="WID465"/>
      <c r="WIE465"/>
      <c r="WIF465"/>
      <c r="WIG465"/>
      <c r="WIH465"/>
      <c r="WII465"/>
      <c r="WIJ465"/>
      <c r="WIK465"/>
      <c r="WIL465"/>
      <c r="WIM465"/>
      <c r="WIN465"/>
      <c r="WIO465"/>
      <c r="WIP465"/>
      <c r="WIQ465"/>
      <c r="WIR465"/>
      <c r="WIS465"/>
      <c r="WIT465"/>
      <c r="WIU465"/>
      <c r="WIV465"/>
      <c r="WIW465"/>
      <c r="WIX465"/>
      <c r="WIY465"/>
      <c r="WIZ465"/>
      <c r="WJA465"/>
      <c r="WJB465"/>
      <c r="WJC465"/>
      <c r="WJD465"/>
      <c r="WJE465"/>
      <c r="WJF465"/>
      <c r="WJG465"/>
      <c r="WJH465"/>
      <c r="WJI465"/>
      <c r="WJJ465"/>
      <c r="WJK465"/>
      <c r="WJL465"/>
      <c r="WJM465"/>
      <c r="WJN465"/>
      <c r="WJO465"/>
      <c r="WJP465"/>
      <c r="WJQ465"/>
      <c r="WJR465"/>
      <c r="WJS465"/>
      <c r="WJT465"/>
      <c r="WJU465"/>
      <c r="WJV465"/>
      <c r="WJW465"/>
      <c r="WJX465"/>
      <c r="WJY465"/>
      <c r="WJZ465"/>
      <c r="WKA465"/>
      <c r="WKB465"/>
      <c r="WKC465"/>
      <c r="WKD465"/>
      <c r="WKE465"/>
      <c r="WKF465"/>
      <c r="WKG465"/>
      <c r="WKH465"/>
      <c r="WKI465"/>
      <c r="WKJ465"/>
      <c r="WKK465"/>
      <c r="WKL465"/>
      <c r="WKM465"/>
      <c r="WKN465"/>
      <c r="WKO465"/>
      <c r="WKP465"/>
      <c r="WKQ465"/>
      <c r="WKR465"/>
      <c r="WKS465"/>
      <c r="WKT465"/>
      <c r="WKU465"/>
      <c r="WKV465"/>
      <c r="WKW465"/>
      <c r="WKX465"/>
      <c r="WKY465"/>
      <c r="WKZ465"/>
      <c r="WLA465"/>
      <c r="WLB465"/>
      <c r="WLC465"/>
      <c r="WLD465"/>
      <c r="WLE465"/>
      <c r="WLF465"/>
      <c r="WLG465"/>
      <c r="WLH465"/>
      <c r="WLI465"/>
      <c r="WLJ465"/>
      <c r="WLK465"/>
      <c r="WLL465"/>
      <c r="WLM465"/>
      <c r="WLN465"/>
      <c r="WLO465"/>
      <c r="WLP465"/>
      <c r="WLQ465"/>
      <c r="WLR465"/>
      <c r="WLS465"/>
      <c r="WLT465"/>
      <c r="WLU465"/>
      <c r="WLV465"/>
      <c r="WLW465"/>
      <c r="WLX465"/>
      <c r="WLY465"/>
      <c r="WLZ465"/>
      <c r="WMA465"/>
      <c r="WMB465"/>
      <c r="WMC465"/>
      <c r="WMD465"/>
      <c r="WME465"/>
      <c r="WMF465"/>
      <c r="WMG465"/>
      <c r="WMH465"/>
      <c r="WMI465"/>
      <c r="WMJ465"/>
      <c r="WMK465"/>
      <c r="WML465"/>
      <c r="WMM465"/>
      <c r="WMN465"/>
      <c r="WMO465"/>
      <c r="WMP465"/>
      <c r="WMQ465"/>
      <c r="WMR465"/>
      <c r="WMS465"/>
      <c r="WMT465"/>
      <c r="WMU465"/>
      <c r="WMV465"/>
      <c r="WMW465"/>
      <c r="WMX465"/>
      <c r="WMY465"/>
      <c r="WMZ465"/>
      <c r="WNA465"/>
      <c r="WNB465"/>
      <c r="WNC465"/>
      <c r="WND465"/>
      <c r="WNE465"/>
      <c r="WNF465"/>
      <c r="WNG465"/>
      <c r="WNH465"/>
      <c r="WNI465"/>
      <c r="WNJ465"/>
      <c r="WNK465"/>
      <c r="WNL465"/>
      <c r="WNM465"/>
      <c r="WNN465"/>
      <c r="WNO465"/>
      <c r="WNP465"/>
      <c r="WNQ465"/>
      <c r="WNR465"/>
      <c r="WNS465"/>
      <c r="WNT465"/>
      <c r="WNU465"/>
      <c r="WNV465"/>
      <c r="WNW465"/>
      <c r="WNX465"/>
      <c r="WNY465"/>
      <c r="WNZ465"/>
      <c r="WOA465"/>
      <c r="WOB465"/>
      <c r="WOC465"/>
      <c r="WOD465"/>
      <c r="WOE465"/>
      <c r="WOF465"/>
      <c r="WOG465"/>
      <c r="WOH465"/>
      <c r="WOI465"/>
      <c r="WOJ465"/>
      <c r="WOK465"/>
      <c r="WOL465"/>
      <c r="WOM465"/>
      <c r="WON465"/>
      <c r="WOO465"/>
      <c r="WOP465"/>
      <c r="WOQ465"/>
      <c r="WOR465"/>
      <c r="WOS465"/>
      <c r="WOT465"/>
      <c r="WOU465"/>
      <c r="WOV465"/>
      <c r="WOW465"/>
      <c r="WOX465"/>
      <c r="WOY465"/>
      <c r="WOZ465"/>
      <c r="WPA465"/>
      <c r="WPB465"/>
      <c r="WPC465"/>
      <c r="WPD465"/>
      <c r="WPE465"/>
      <c r="WPF465"/>
      <c r="WPG465"/>
      <c r="WPH465"/>
      <c r="WPI465"/>
      <c r="WPJ465"/>
      <c r="WPK465"/>
      <c r="WPL465"/>
      <c r="WPM465"/>
      <c r="WPN465"/>
      <c r="WPO465"/>
      <c r="WPP465"/>
      <c r="WPQ465"/>
      <c r="WPR465"/>
      <c r="WPS465"/>
      <c r="WPT465"/>
      <c r="WPU465"/>
      <c r="WPV465"/>
      <c r="WPW465"/>
      <c r="WPX465"/>
      <c r="WPY465"/>
      <c r="WPZ465"/>
      <c r="WQA465"/>
      <c r="WQB465"/>
      <c r="WQC465"/>
      <c r="WQD465"/>
      <c r="WQE465"/>
      <c r="WQF465"/>
      <c r="WQG465"/>
      <c r="WQH465"/>
      <c r="WQI465"/>
      <c r="WQJ465"/>
      <c r="WQK465"/>
      <c r="WQL465"/>
      <c r="WQM465"/>
      <c r="WQN465"/>
      <c r="WQO465"/>
      <c r="WQP465"/>
      <c r="WQQ465"/>
      <c r="WQR465"/>
      <c r="WQS465"/>
      <c r="WQT465"/>
      <c r="WQU465"/>
      <c r="WQV465"/>
      <c r="WQW465"/>
      <c r="WQX465"/>
      <c r="WQY465"/>
      <c r="WQZ465"/>
      <c r="WRA465"/>
      <c r="WRB465"/>
      <c r="WRC465"/>
      <c r="WRD465"/>
      <c r="WRE465"/>
      <c r="WRF465"/>
      <c r="WRG465"/>
      <c r="WRH465"/>
      <c r="WRI465"/>
      <c r="WRJ465"/>
      <c r="WRK465"/>
      <c r="WRL465"/>
      <c r="WRM465"/>
      <c r="WRN465"/>
      <c r="WRO465"/>
      <c r="WRP465"/>
      <c r="WRQ465"/>
      <c r="WRR465"/>
      <c r="WRS465"/>
      <c r="WRT465"/>
      <c r="WRU465"/>
      <c r="WRV465"/>
      <c r="WRW465"/>
      <c r="WRX465"/>
      <c r="WRY465"/>
      <c r="WRZ465"/>
      <c r="WSA465"/>
      <c r="WSB465"/>
      <c r="WSC465"/>
      <c r="WSD465"/>
      <c r="WSE465"/>
      <c r="WSF465"/>
      <c r="WSG465"/>
      <c r="WSH465"/>
      <c r="WSI465"/>
      <c r="WSJ465"/>
      <c r="WSK465"/>
      <c r="WSL465"/>
      <c r="WSM465"/>
      <c r="WSN465"/>
      <c r="WSO465"/>
      <c r="WSP465"/>
      <c r="WSQ465"/>
      <c r="WSR465"/>
      <c r="WSS465"/>
      <c r="WST465"/>
      <c r="WSU465"/>
      <c r="WSV465"/>
      <c r="WSW465"/>
      <c r="WSX465"/>
      <c r="WSY465"/>
      <c r="WSZ465"/>
      <c r="WTA465"/>
      <c r="WTB465"/>
      <c r="WTC465"/>
      <c r="WTD465"/>
      <c r="WTE465"/>
      <c r="WTF465"/>
      <c r="WTG465"/>
      <c r="WTH465"/>
      <c r="WTI465"/>
      <c r="WTJ465"/>
      <c r="WTK465"/>
      <c r="WTL465"/>
      <c r="WTM465"/>
      <c r="WTN465"/>
      <c r="WTO465"/>
      <c r="WTP465"/>
      <c r="WTQ465"/>
      <c r="WTR465"/>
      <c r="WTS465"/>
      <c r="WTT465"/>
      <c r="WTU465"/>
      <c r="WTV465"/>
      <c r="WTW465"/>
      <c r="WTX465"/>
      <c r="WTY465"/>
      <c r="WTZ465"/>
      <c r="WUA465"/>
      <c r="WUB465"/>
      <c r="WUC465"/>
      <c r="WUD465"/>
      <c r="WUE465"/>
      <c r="WUF465"/>
      <c r="WUG465"/>
      <c r="WUH465"/>
      <c r="WUI465"/>
      <c r="WUJ465"/>
      <c r="WUK465"/>
      <c r="WUL465"/>
      <c r="WUM465"/>
      <c r="WUN465"/>
      <c r="WUO465"/>
      <c r="WUP465"/>
      <c r="WUQ465"/>
      <c r="WUR465"/>
      <c r="WUS465"/>
      <c r="WUT465"/>
      <c r="WUU465"/>
      <c r="WUV465"/>
      <c r="WUW465"/>
      <c r="WUX465"/>
      <c r="WUY465"/>
      <c r="WUZ465"/>
      <c r="WVA465"/>
      <c r="WVB465"/>
      <c r="WVC465"/>
      <c r="WVD465"/>
      <c r="WVE465"/>
      <c r="WVF465"/>
      <c r="WVG465"/>
      <c r="WVH465"/>
      <c r="WVI465"/>
      <c r="WVJ465"/>
      <c r="WVK465"/>
      <c r="WVL465"/>
      <c r="WVM465"/>
      <c r="WVN465"/>
      <c r="WVO465"/>
      <c r="WVP465"/>
      <c r="WVQ465"/>
      <c r="WVR465"/>
      <c r="WVS465"/>
      <c r="WVT465"/>
      <c r="WVU465"/>
      <c r="WVV465"/>
      <c r="WVW465"/>
      <c r="WVX465"/>
      <c r="WVY465"/>
      <c r="WVZ465"/>
      <c r="WWA465"/>
      <c r="WWB465"/>
      <c r="WWC465"/>
      <c r="WWD465"/>
      <c r="WWE465"/>
      <c r="WWF465"/>
      <c r="WWG465"/>
      <c r="WWH465"/>
      <c r="WWI465"/>
      <c r="WWJ465"/>
      <c r="WWK465"/>
      <c r="WWL465"/>
      <c r="WWM465"/>
      <c r="WWN465"/>
      <c r="WWO465"/>
      <c r="WWP465"/>
      <c r="WWQ465"/>
      <c r="WWR465"/>
      <c r="WWS465"/>
      <c r="WWT465"/>
      <c r="WWU465"/>
      <c r="WWV465"/>
      <c r="WWW465"/>
      <c r="WWX465"/>
      <c r="WWY465"/>
      <c r="WWZ465"/>
      <c r="WXA465"/>
      <c r="WXB465"/>
      <c r="WXC465"/>
      <c r="WXD465"/>
      <c r="WXE465"/>
      <c r="WXF465"/>
      <c r="WXG465"/>
      <c r="WXH465"/>
      <c r="WXI465"/>
      <c r="WXJ465"/>
      <c r="WXK465"/>
      <c r="WXL465"/>
      <c r="WXM465"/>
      <c r="WXN465"/>
      <c r="WXO465"/>
      <c r="WXP465"/>
      <c r="WXQ465"/>
      <c r="WXR465"/>
      <c r="WXS465"/>
      <c r="WXT465"/>
      <c r="WXU465"/>
      <c r="WXV465"/>
      <c r="WXW465"/>
      <c r="WXX465"/>
      <c r="WXY465"/>
      <c r="WXZ465"/>
      <c r="WYA465"/>
      <c r="WYB465"/>
      <c r="WYC465"/>
      <c r="WYD465"/>
      <c r="WYE465"/>
      <c r="WYF465"/>
      <c r="WYG465"/>
      <c r="WYH465"/>
      <c r="WYI465"/>
      <c r="WYJ465"/>
      <c r="WYK465"/>
      <c r="WYL465"/>
      <c r="WYM465"/>
      <c r="WYN465"/>
      <c r="WYO465"/>
      <c r="WYP465"/>
      <c r="WYQ465"/>
      <c r="WYR465"/>
      <c r="WYS465"/>
      <c r="WYT465"/>
      <c r="WYU465"/>
      <c r="WYV465"/>
      <c r="WYW465"/>
      <c r="WYX465"/>
      <c r="WYY465"/>
      <c r="WYZ465"/>
      <c r="WZA465"/>
      <c r="WZB465"/>
      <c r="WZC465"/>
      <c r="WZD465"/>
      <c r="WZE465"/>
      <c r="WZF465"/>
      <c r="WZG465"/>
      <c r="WZH465"/>
      <c r="WZI465"/>
      <c r="WZJ465"/>
      <c r="WZK465"/>
      <c r="WZL465"/>
      <c r="WZM465"/>
      <c r="WZN465"/>
      <c r="WZO465"/>
      <c r="WZP465"/>
      <c r="WZQ465"/>
      <c r="WZR465"/>
      <c r="WZS465"/>
      <c r="WZT465"/>
      <c r="WZU465"/>
      <c r="WZV465"/>
      <c r="WZW465"/>
      <c r="WZX465"/>
      <c r="WZY465"/>
      <c r="WZZ465"/>
      <c r="XAA465"/>
      <c r="XAB465"/>
      <c r="XAC465"/>
      <c r="XAD465"/>
      <c r="XAE465"/>
      <c r="XAF465"/>
      <c r="XAG465"/>
      <c r="XAH465"/>
      <c r="XAI465"/>
      <c r="XAJ465"/>
      <c r="XAK465"/>
      <c r="XAL465"/>
      <c r="XAM465"/>
      <c r="XAN465"/>
      <c r="XAO465"/>
      <c r="XAP465"/>
      <c r="XAQ465"/>
      <c r="XAR465"/>
      <c r="XAS465"/>
      <c r="XAT465"/>
      <c r="XAU465"/>
      <c r="XAV465"/>
      <c r="XAW465"/>
      <c r="XAX465"/>
      <c r="XAY465"/>
      <c r="XAZ465"/>
      <c r="XBA465"/>
      <c r="XBB465"/>
      <c r="XBC465"/>
      <c r="XBD465"/>
      <c r="XBE465"/>
      <c r="XBF465"/>
      <c r="XBG465"/>
      <c r="XBH465"/>
      <c r="XBI465"/>
      <c r="XBJ465"/>
      <c r="XBK465"/>
      <c r="XBL465"/>
      <c r="XBM465"/>
      <c r="XBN465"/>
      <c r="XBO465"/>
      <c r="XBP465"/>
      <c r="XBQ465"/>
      <c r="XBR465"/>
      <c r="XBS465"/>
      <c r="XBT465"/>
      <c r="XBU465"/>
      <c r="XBV465"/>
      <c r="XBW465"/>
      <c r="XBX465"/>
      <c r="XBY465"/>
      <c r="XBZ465"/>
      <c r="XCA465"/>
      <c r="XCB465"/>
      <c r="XCC465"/>
      <c r="XCD465"/>
      <c r="XCE465"/>
      <c r="XCF465"/>
      <c r="XCG465"/>
      <c r="XCH465"/>
      <c r="XCI465"/>
      <c r="XCJ465"/>
      <c r="XCK465"/>
      <c r="XCL465"/>
      <c r="XCM465"/>
      <c r="XCN465"/>
      <c r="XCO465"/>
      <c r="XCP465"/>
      <c r="XCQ465"/>
      <c r="XCR465"/>
      <c r="XCS465"/>
      <c r="XCT465"/>
      <c r="XCU465"/>
      <c r="XCV465"/>
      <c r="XCW465"/>
      <c r="XCX465"/>
      <c r="XCY465"/>
      <c r="XCZ465"/>
      <c r="XDA465"/>
      <c r="XDB465"/>
      <c r="XDC465"/>
      <c r="XDD465"/>
      <c r="XDE465"/>
      <c r="XDF465"/>
      <c r="XDG465"/>
      <c r="XDH465"/>
      <c r="XDI465"/>
      <c r="XDJ465"/>
      <c r="XDK465"/>
      <c r="XDL465"/>
      <c r="XDM465"/>
      <c r="XDN465"/>
      <c r="XDO465"/>
      <c r="XDP465"/>
      <c r="XDQ465"/>
      <c r="XDR465"/>
      <c r="XDS465"/>
      <c r="XDT465"/>
      <c r="XDU465"/>
      <c r="XDV465"/>
      <c r="XDW465"/>
      <c r="XDX465"/>
      <c r="XDY465"/>
      <c r="XDZ465"/>
      <c r="XEA465"/>
      <c r="XEB465"/>
      <c r="XEC465"/>
      <c r="XED465"/>
      <c r="XEE465"/>
      <c r="XEF465"/>
      <c r="XEG465"/>
      <c r="XEH465"/>
      <c r="XEI465"/>
      <c r="XEJ465"/>
      <c r="XEK465"/>
      <c r="XEL465"/>
      <c r="XEM465"/>
      <c r="XEN465"/>
      <c r="XEO465"/>
      <c r="XEP465"/>
      <c r="XEQ465"/>
      <c r="XER465"/>
      <c r="XES465"/>
      <c r="XET465"/>
      <c r="XEU465"/>
      <c r="XEV465"/>
      <c r="XEW465"/>
      <c r="XEX465"/>
      <c r="XEY465"/>
      <c r="XEZ465"/>
      <c r="XFA465"/>
      <c r="XFB465"/>
      <c r="XFC465"/>
      <c r="XFD465"/>
    </row>
    <row r="466" spans="1:16384" s="46" customFormat="1" ht="15" customHeight="1">
      <c r="A466" s="46" t="s">
        <v>7812</v>
      </c>
      <c r="B466" s="46" t="str">
        <f t="shared" ca="1" si="6"/>
        <v>First Employment</v>
      </c>
      <c r="D466" s="46" t="s">
        <v>7812</v>
      </c>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c r="TI466"/>
      <c r="TJ466"/>
      <c r="TK466"/>
      <c r="TL466"/>
      <c r="TM466"/>
      <c r="TN466"/>
      <c r="TO466"/>
      <c r="TP466"/>
      <c r="TQ466"/>
      <c r="TR466"/>
      <c r="TS466"/>
      <c r="TT466"/>
      <c r="TU466"/>
      <c r="TV466"/>
      <c r="TW466"/>
      <c r="TX466"/>
      <c r="TY466"/>
      <c r="TZ466"/>
      <c r="UA466"/>
      <c r="UB466"/>
      <c r="UC466"/>
      <c r="UD466"/>
      <c r="UE466"/>
      <c r="UF466"/>
      <c r="UG466"/>
      <c r="UH466"/>
      <c r="UI466"/>
      <c r="UJ466"/>
      <c r="UK466"/>
      <c r="UL466"/>
      <c r="UM466"/>
      <c r="UN466"/>
      <c r="UO466"/>
      <c r="UP466"/>
      <c r="UQ466"/>
      <c r="UR466"/>
      <c r="US466"/>
      <c r="UT466"/>
      <c r="UU466"/>
      <c r="UV466"/>
      <c r="UW466"/>
      <c r="UX466"/>
      <c r="UY466"/>
      <c r="UZ466"/>
      <c r="VA466"/>
      <c r="VB466"/>
      <c r="VC466"/>
      <c r="VD466"/>
      <c r="VE466"/>
      <c r="VF466"/>
      <c r="VG466"/>
      <c r="VH466"/>
      <c r="VI466"/>
      <c r="VJ466"/>
      <c r="VK466"/>
      <c r="VL466"/>
      <c r="VM466"/>
      <c r="VN466"/>
      <c r="VO466"/>
      <c r="VP466"/>
      <c r="VQ466"/>
      <c r="VR466"/>
      <c r="VS466"/>
      <c r="VT466"/>
      <c r="VU466"/>
      <c r="VV466"/>
      <c r="VW466"/>
      <c r="VX466"/>
      <c r="VY466"/>
      <c r="VZ466"/>
      <c r="WA466"/>
      <c r="WB466"/>
      <c r="WC466"/>
      <c r="WD466"/>
      <c r="WE466"/>
      <c r="WF466"/>
      <c r="WG466"/>
      <c r="WH466"/>
      <c r="WI466"/>
      <c r="WJ466"/>
      <c r="WK466"/>
      <c r="WL466"/>
      <c r="WM466"/>
      <c r="WN466"/>
      <c r="WO466"/>
      <c r="WP466"/>
      <c r="WQ466"/>
      <c r="WR466"/>
      <c r="WS466"/>
      <c r="WT466"/>
      <c r="WU466"/>
      <c r="WV466"/>
      <c r="WW466"/>
      <c r="WX466"/>
      <c r="WY466"/>
      <c r="WZ466"/>
      <c r="XA466"/>
      <c r="XB466"/>
      <c r="XC466"/>
      <c r="XD466"/>
      <c r="XE466"/>
      <c r="XF466"/>
      <c r="XG466"/>
      <c r="XH466"/>
      <c r="XI466"/>
      <c r="XJ466"/>
      <c r="XK466"/>
      <c r="XL466"/>
      <c r="XM466"/>
      <c r="XN466"/>
      <c r="XO466"/>
      <c r="XP466"/>
      <c r="XQ466"/>
      <c r="XR466"/>
      <c r="XS466"/>
      <c r="XT466"/>
      <c r="XU466"/>
      <c r="XV466"/>
      <c r="XW466"/>
      <c r="XX466"/>
      <c r="XY466"/>
      <c r="XZ466"/>
      <c r="YA466"/>
      <c r="YB466"/>
      <c r="YC466"/>
      <c r="YD466"/>
      <c r="YE466"/>
      <c r="YF466"/>
      <c r="YG466"/>
      <c r="YH466"/>
      <c r="YI466"/>
      <c r="YJ466"/>
      <c r="YK466"/>
      <c r="YL466"/>
      <c r="YM466"/>
      <c r="YN466"/>
      <c r="YO466"/>
      <c r="YP466"/>
      <c r="YQ466"/>
      <c r="YR466"/>
      <c r="YS466"/>
      <c r="YT466"/>
      <c r="YU466"/>
      <c r="YV466"/>
      <c r="YW466"/>
      <c r="YX466"/>
      <c r="YY466"/>
      <c r="YZ466"/>
      <c r="ZA466"/>
      <c r="ZB466"/>
      <c r="ZC466"/>
      <c r="ZD466"/>
      <c r="ZE466"/>
      <c r="ZF466"/>
      <c r="ZG466"/>
      <c r="ZH466"/>
      <c r="ZI466"/>
      <c r="ZJ466"/>
      <c r="ZK466"/>
      <c r="ZL466"/>
      <c r="ZM466"/>
      <c r="ZN466"/>
      <c r="ZO466"/>
      <c r="ZP466"/>
      <c r="ZQ466"/>
      <c r="ZR466"/>
      <c r="ZS466"/>
      <c r="ZT466"/>
      <c r="ZU466"/>
      <c r="ZV466"/>
      <c r="ZW466"/>
      <c r="ZX466"/>
      <c r="ZY466"/>
      <c r="ZZ466"/>
      <c r="AAA466"/>
      <c r="AAB466"/>
      <c r="AAC466"/>
      <c r="AAD466"/>
      <c r="AAE466"/>
      <c r="AAF466"/>
      <c r="AAG466"/>
      <c r="AAH466"/>
      <c r="AAI466"/>
      <c r="AAJ466"/>
      <c r="AAK466"/>
      <c r="AAL466"/>
      <c r="AAM466"/>
      <c r="AAN466"/>
      <c r="AAO466"/>
      <c r="AAP466"/>
      <c r="AAQ466"/>
      <c r="AAR466"/>
      <c r="AAS466"/>
      <c r="AAT466"/>
      <c r="AAU466"/>
      <c r="AAV466"/>
      <c r="AAW466"/>
      <c r="AAX466"/>
      <c r="AAY466"/>
      <c r="AAZ466"/>
      <c r="ABA466"/>
      <c r="ABB466"/>
      <c r="ABC466"/>
      <c r="ABD466"/>
      <c r="ABE466"/>
      <c r="ABF466"/>
      <c r="ABG466"/>
      <c r="ABH466"/>
      <c r="ABI466"/>
      <c r="ABJ466"/>
      <c r="ABK466"/>
      <c r="ABL466"/>
      <c r="ABM466"/>
      <c r="ABN466"/>
      <c r="ABO466"/>
      <c r="ABP466"/>
      <c r="ABQ466"/>
      <c r="ABR466"/>
      <c r="ABS466"/>
      <c r="ABT466"/>
      <c r="ABU466"/>
      <c r="ABV466"/>
      <c r="ABW466"/>
      <c r="ABX466"/>
      <c r="ABY466"/>
      <c r="ABZ466"/>
      <c r="ACA466"/>
      <c r="ACB466"/>
      <c r="ACC466"/>
      <c r="ACD466"/>
      <c r="ACE466"/>
      <c r="ACF466"/>
      <c r="ACG466"/>
      <c r="ACH466"/>
      <c r="ACI466"/>
      <c r="ACJ466"/>
      <c r="ACK466"/>
      <c r="ACL466"/>
      <c r="ACM466"/>
      <c r="ACN466"/>
      <c r="ACO466"/>
      <c r="ACP466"/>
      <c r="ACQ466"/>
      <c r="ACR466"/>
      <c r="ACS466"/>
      <c r="ACT466"/>
      <c r="ACU466"/>
      <c r="ACV466"/>
      <c r="ACW466"/>
      <c r="ACX466"/>
      <c r="ACY466"/>
      <c r="ACZ466"/>
      <c r="ADA466"/>
      <c r="ADB466"/>
      <c r="ADC466"/>
      <c r="ADD466"/>
      <c r="ADE466"/>
      <c r="ADF466"/>
      <c r="ADG466"/>
      <c r="ADH466"/>
      <c r="ADI466"/>
      <c r="ADJ466"/>
      <c r="ADK466"/>
      <c r="ADL466"/>
      <c r="ADM466"/>
      <c r="ADN466"/>
      <c r="ADO466"/>
      <c r="ADP466"/>
      <c r="ADQ466"/>
      <c r="ADR466"/>
      <c r="ADS466"/>
      <c r="ADT466"/>
      <c r="ADU466"/>
      <c r="ADV466"/>
      <c r="ADW466"/>
      <c r="ADX466"/>
      <c r="ADY466"/>
      <c r="ADZ466"/>
      <c r="AEA466"/>
      <c r="AEB466"/>
      <c r="AEC466"/>
      <c r="AED466"/>
      <c r="AEE466"/>
      <c r="AEF466"/>
      <c r="AEG466"/>
      <c r="AEH466"/>
      <c r="AEI466"/>
      <c r="AEJ466"/>
      <c r="AEK466"/>
      <c r="AEL466"/>
      <c r="AEM466"/>
      <c r="AEN466"/>
      <c r="AEO466"/>
      <c r="AEP466"/>
      <c r="AEQ466"/>
      <c r="AER466"/>
      <c r="AES466"/>
      <c r="AET466"/>
      <c r="AEU466"/>
      <c r="AEV466"/>
      <c r="AEW466"/>
      <c r="AEX466"/>
      <c r="AEY466"/>
      <c r="AEZ466"/>
      <c r="AFA466"/>
      <c r="AFB466"/>
      <c r="AFC466"/>
      <c r="AFD466"/>
      <c r="AFE466"/>
      <c r="AFF466"/>
      <c r="AFG466"/>
      <c r="AFH466"/>
      <c r="AFI466"/>
      <c r="AFJ466"/>
      <c r="AFK466"/>
      <c r="AFL466"/>
      <c r="AFM466"/>
      <c r="AFN466"/>
      <c r="AFO466"/>
      <c r="AFP466"/>
      <c r="AFQ466"/>
      <c r="AFR466"/>
      <c r="AFS466"/>
      <c r="AFT466"/>
      <c r="AFU466"/>
      <c r="AFV466"/>
      <c r="AFW466"/>
      <c r="AFX466"/>
      <c r="AFY466"/>
      <c r="AFZ466"/>
      <c r="AGA466"/>
      <c r="AGB466"/>
      <c r="AGC466"/>
      <c r="AGD466"/>
      <c r="AGE466"/>
      <c r="AGF466"/>
      <c r="AGG466"/>
      <c r="AGH466"/>
      <c r="AGI466"/>
      <c r="AGJ466"/>
      <c r="AGK466"/>
      <c r="AGL466"/>
      <c r="AGM466"/>
      <c r="AGN466"/>
      <c r="AGO466"/>
      <c r="AGP466"/>
      <c r="AGQ466"/>
      <c r="AGR466"/>
      <c r="AGS466"/>
      <c r="AGT466"/>
      <c r="AGU466"/>
      <c r="AGV466"/>
      <c r="AGW466"/>
      <c r="AGX466"/>
      <c r="AGY466"/>
      <c r="AGZ466"/>
      <c r="AHA466"/>
      <c r="AHB466"/>
      <c r="AHC466"/>
      <c r="AHD466"/>
      <c r="AHE466"/>
      <c r="AHF466"/>
      <c r="AHG466"/>
      <c r="AHH466"/>
      <c r="AHI466"/>
      <c r="AHJ466"/>
      <c r="AHK466"/>
      <c r="AHL466"/>
      <c r="AHM466"/>
      <c r="AHN466"/>
      <c r="AHO466"/>
      <c r="AHP466"/>
      <c r="AHQ466"/>
      <c r="AHR466"/>
      <c r="AHS466"/>
      <c r="AHT466"/>
      <c r="AHU466"/>
      <c r="AHV466"/>
      <c r="AHW466"/>
      <c r="AHX466"/>
      <c r="AHY466"/>
      <c r="AHZ466"/>
      <c r="AIA466"/>
      <c r="AIB466"/>
      <c r="AIC466"/>
      <c r="AID466"/>
      <c r="AIE466"/>
      <c r="AIF466"/>
      <c r="AIG466"/>
      <c r="AIH466"/>
      <c r="AII466"/>
      <c r="AIJ466"/>
      <c r="AIK466"/>
      <c r="AIL466"/>
      <c r="AIM466"/>
      <c r="AIN466"/>
      <c r="AIO466"/>
      <c r="AIP466"/>
      <c r="AIQ466"/>
      <c r="AIR466"/>
      <c r="AIS466"/>
      <c r="AIT466"/>
      <c r="AIU466"/>
      <c r="AIV466"/>
      <c r="AIW466"/>
      <c r="AIX466"/>
      <c r="AIY466"/>
      <c r="AIZ466"/>
      <c r="AJA466"/>
      <c r="AJB466"/>
      <c r="AJC466"/>
      <c r="AJD466"/>
      <c r="AJE466"/>
      <c r="AJF466"/>
      <c r="AJG466"/>
      <c r="AJH466"/>
      <c r="AJI466"/>
      <c r="AJJ466"/>
      <c r="AJK466"/>
      <c r="AJL466"/>
      <c r="AJM466"/>
      <c r="AJN466"/>
      <c r="AJO466"/>
      <c r="AJP466"/>
      <c r="AJQ466"/>
      <c r="AJR466"/>
      <c r="AJS466"/>
      <c r="AJT466"/>
      <c r="AJU466"/>
      <c r="AJV466"/>
      <c r="AJW466"/>
      <c r="AJX466"/>
      <c r="AJY466"/>
      <c r="AJZ466"/>
      <c r="AKA466"/>
      <c r="AKB466"/>
      <c r="AKC466"/>
      <c r="AKD466"/>
      <c r="AKE466"/>
      <c r="AKF466"/>
      <c r="AKG466"/>
      <c r="AKH466"/>
      <c r="AKI466"/>
      <c r="AKJ466"/>
      <c r="AKK466"/>
      <c r="AKL466"/>
      <c r="AKM466"/>
      <c r="AKN466"/>
      <c r="AKO466"/>
      <c r="AKP466"/>
      <c r="AKQ466"/>
      <c r="AKR466"/>
      <c r="AKS466"/>
      <c r="AKT466"/>
      <c r="AKU466"/>
      <c r="AKV466"/>
      <c r="AKW466"/>
      <c r="AKX466"/>
      <c r="AKY466"/>
      <c r="AKZ466"/>
      <c r="ALA466"/>
      <c r="ALB466"/>
      <c r="ALC466"/>
      <c r="ALD466"/>
      <c r="ALE466"/>
      <c r="ALF466"/>
      <c r="ALG466"/>
      <c r="ALH466"/>
      <c r="ALI466"/>
      <c r="ALJ466"/>
      <c r="ALK466"/>
      <c r="ALL466"/>
      <c r="ALM466"/>
      <c r="ALN466"/>
      <c r="ALO466"/>
      <c r="ALP466"/>
      <c r="ALQ466"/>
      <c r="ALR466"/>
      <c r="ALS466"/>
      <c r="ALT466"/>
      <c r="ALU466"/>
      <c r="ALV466"/>
      <c r="ALW466"/>
      <c r="ALX466"/>
      <c r="ALY466"/>
      <c r="ALZ466"/>
      <c r="AMA466"/>
      <c r="AMB466"/>
      <c r="AMC466"/>
      <c r="AMD466"/>
      <c r="AME466"/>
      <c r="AMF466"/>
      <c r="AMG466"/>
      <c r="AMH466"/>
      <c r="AMI466"/>
      <c r="AMJ466"/>
      <c r="AMK466"/>
      <c r="AML466"/>
      <c r="AMM466"/>
      <c r="AMN466"/>
      <c r="AMO466"/>
      <c r="AMP466"/>
      <c r="AMQ466"/>
      <c r="AMR466"/>
      <c r="AMS466"/>
      <c r="AMT466"/>
      <c r="AMU466"/>
      <c r="AMV466"/>
      <c r="AMW466"/>
      <c r="AMX466"/>
      <c r="AMY466"/>
      <c r="AMZ466"/>
      <c r="ANA466"/>
      <c r="ANB466"/>
      <c r="ANC466"/>
      <c r="AND466"/>
      <c r="ANE466"/>
      <c r="ANF466"/>
      <c r="ANG466"/>
      <c r="ANH466"/>
      <c r="ANI466"/>
      <c r="ANJ466"/>
      <c r="ANK466"/>
      <c r="ANL466"/>
      <c r="ANM466"/>
      <c r="ANN466"/>
      <c r="ANO466"/>
      <c r="ANP466"/>
      <c r="ANQ466"/>
      <c r="ANR466"/>
      <c r="ANS466"/>
      <c r="ANT466"/>
      <c r="ANU466"/>
      <c r="ANV466"/>
      <c r="ANW466"/>
      <c r="ANX466"/>
      <c r="ANY466"/>
      <c r="ANZ466"/>
      <c r="AOA466"/>
      <c r="AOB466"/>
      <c r="AOC466"/>
      <c r="AOD466"/>
      <c r="AOE466"/>
      <c r="AOF466"/>
      <c r="AOG466"/>
      <c r="AOH466"/>
      <c r="AOI466"/>
      <c r="AOJ466"/>
      <c r="AOK466"/>
      <c r="AOL466"/>
      <c r="AOM466"/>
      <c r="AON466"/>
      <c r="AOO466"/>
      <c r="AOP466"/>
      <c r="AOQ466"/>
      <c r="AOR466"/>
      <c r="AOS466"/>
      <c r="AOT466"/>
      <c r="AOU466"/>
      <c r="AOV466"/>
      <c r="AOW466"/>
      <c r="AOX466"/>
      <c r="AOY466"/>
      <c r="AOZ466"/>
      <c r="APA466"/>
      <c r="APB466"/>
      <c r="APC466"/>
      <c r="APD466"/>
      <c r="APE466"/>
      <c r="APF466"/>
      <c r="APG466"/>
      <c r="APH466"/>
      <c r="API466"/>
      <c r="APJ466"/>
      <c r="APK466"/>
      <c r="APL466"/>
      <c r="APM466"/>
      <c r="APN466"/>
      <c r="APO466"/>
      <c r="APP466"/>
      <c r="APQ466"/>
      <c r="APR466"/>
      <c r="APS466"/>
      <c r="APT466"/>
      <c r="APU466"/>
      <c r="APV466"/>
      <c r="APW466"/>
      <c r="APX466"/>
      <c r="APY466"/>
      <c r="APZ466"/>
      <c r="AQA466"/>
      <c r="AQB466"/>
      <c r="AQC466"/>
      <c r="AQD466"/>
      <c r="AQE466"/>
      <c r="AQF466"/>
      <c r="AQG466"/>
      <c r="AQH466"/>
      <c r="AQI466"/>
      <c r="AQJ466"/>
      <c r="AQK466"/>
      <c r="AQL466"/>
      <c r="AQM466"/>
      <c r="AQN466"/>
      <c r="AQO466"/>
      <c r="AQP466"/>
      <c r="AQQ466"/>
      <c r="AQR466"/>
      <c r="AQS466"/>
      <c r="AQT466"/>
      <c r="AQU466"/>
      <c r="AQV466"/>
      <c r="AQW466"/>
      <c r="AQX466"/>
      <c r="AQY466"/>
      <c r="AQZ466"/>
      <c r="ARA466"/>
      <c r="ARB466"/>
      <c r="ARC466"/>
      <c r="ARD466"/>
      <c r="ARE466"/>
      <c r="ARF466"/>
      <c r="ARG466"/>
      <c r="ARH466"/>
      <c r="ARI466"/>
      <c r="ARJ466"/>
      <c r="ARK466"/>
      <c r="ARL466"/>
      <c r="ARM466"/>
      <c r="ARN466"/>
      <c r="ARO466"/>
      <c r="ARP466"/>
      <c r="ARQ466"/>
      <c r="ARR466"/>
      <c r="ARS466"/>
      <c r="ART466"/>
      <c r="ARU466"/>
      <c r="ARV466"/>
      <c r="ARW466"/>
      <c r="ARX466"/>
      <c r="ARY466"/>
      <c r="ARZ466"/>
      <c r="ASA466"/>
      <c r="ASB466"/>
      <c r="ASC466"/>
      <c r="ASD466"/>
      <c r="ASE466"/>
      <c r="ASF466"/>
      <c r="ASG466"/>
      <c r="ASH466"/>
      <c r="ASI466"/>
      <c r="ASJ466"/>
      <c r="ASK466"/>
      <c r="ASL466"/>
      <c r="ASM466"/>
      <c r="ASN466"/>
      <c r="ASO466"/>
      <c r="ASP466"/>
      <c r="ASQ466"/>
      <c r="ASR466"/>
      <c r="ASS466"/>
      <c r="AST466"/>
      <c r="ASU466"/>
      <c r="ASV466"/>
      <c r="ASW466"/>
      <c r="ASX466"/>
      <c r="ASY466"/>
      <c r="ASZ466"/>
      <c r="ATA466"/>
      <c r="ATB466"/>
      <c r="ATC466"/>
      <c r="ATD466"/>
      <c r="ATE466"/>
      <c r="ATF466"/>
      <c r="ATG466"/>
      <c r="ATH466"/>
      <c r="ATI466"/>
      <c r="ATJ466"/>
      <c r="ATK466"/>
      <c r="ATL466"/>
      <c r="ATM466"/>
      <c r="ATN466"/>
      <c r="ATO466"/>
      <c r="ATP466"/>
      <c r="ATQ466"/>
      <c r="ATR466"/>
      <c r="ATS466"/>
      <c r="ATT466"/>
      <c r="ATU466"/>
      <c r="ATV466"/>
      <c r="ATW466"/>
      <c r="ATX466"/>
      <c r="ATY466"/>
      <c r="ATZ466"/>
      <c r="AUA466"/>
      <c r="AUB466"/>
      <c r="AUC466"/>
      <c r="AUD466"/>
      <c r="AUE466"/>
      <c r="AUF466"/>
      <c r="AUG466"/>
      <c r="AUH466"/>
      <c r="AUI466"/>
      <c r="AUJ466"/>
      <c r="AUK466"/>
      <c r="AUL466"/>
      <c r="AUM466"/>
      <c r="AUN466"/>
      <c r="AUO466"/>
      <c r="AUP466"/>
      <c r="AUQ466"/>
      <c r="AUR466"/>
      <c r="AUS466"/>
      <c r="AUT466"/>
      <c r="AUU466"/>
      <c r="AUV466"/>
      <c r="AUW466"/>
      <c r="AUX466"/>
      <c r="AUY466"/>
      <c r="AUZ466"/>
      <c r="AVA466"/>
      <c r="AVB466"/>
      <c r="AVC466"/>
      <c r="AVD466"/>
      <c r="AVE466"/>
      <c r="AVF466"/>
      <c r="AVG466"/>
      <c r="AVH466"/>
      <c r="AVI466"/>
      <c r="AVJ466"/>
      <c r="AVK466"/>
      <c r="AVL466"/>
      <c r="AVM466"/>
      <c r="AVN466"/>
      <c r="AVO466"/>
      <c r="AVP466"/>
      <c r="AVQ466"/>
      <c r="AVR466"/>
      <c r="AVS466"/>
      <c r="AVT466"/>
      <c r="AVU466"/>
      <c r="AVV466"/>
      <c r="AVW466"/>
      <c r="AVX466"/>
      <c r="AVY466"/>
      <c r="AVZ466"/>
      <c r="AWA466"/>
      <c r="AWB466"/>
      <c r="AWC466"/>
      <c r="AWD466"/>
      <c r="AWE466"/>
      <c r="AWF466"/>
      <c r="AWG466"/>
      <c r="AWH466"/>
      <c r="AWI466"/>
      <c r="AWJ466"/>
      <c r="AWK466"/>
      <c r="AWL466"/>
      <c r="AWM466"/>
      <c r="AWN466"/>
      <c r="AWO466"/>
      <c r="AWP466"/>
      <c r="AWQ466"/>
      <c r="AWR466"/>
      <c r="AWS466"/>
      <c r="AWT466"/>
      <c r="AWU466"/>
      <c r="AWV466"/>
      <c r="AWW466"/>
      <c r="AWX466"/>
      <c r="AWY466"/>
      <c r="AWZ466"/>
      <c r="AXA466"/>
      <c r="AXB466"/>
      <c r="AXC466"/>
      <c r="AXD466"/>
      <c r="AXE466"/>
      <c r="AXF466"/>
      <c r="AXG466"/>
      <c r="AXH466"/>
      <c r="AXI466"/>
      <c r="AXJ466"/>
      <c r="AXK466"/>
      <c r="AXL466"/>
      <c r="AXM466"/>
      <c r="AXN466"/>
      <c r="AXO466"/>
      <c r="AXP466"/>
      <c r="AXQ466"/>
      <c r="AXR466"/>
      <c r="AXS466"/>
      <c r="AXT466"/>
      <c r="AXU466"/>
      <c r="AXV466"/>
      <c r="AXW466"/>
      <c r="AXX466"/>
      <c r="AXY466"/>
      <c r="AXZ466"/>
      <c r="AYA466"/>
      <c r="AYB466"/>
      <c r="AYC466"/>
      <c r="AYD466"/>
      <c r="AYE466"/>
      <c r="AYF466"/>
      <c r="AYG466"/>
      <c r="AYH466"/>
      <c r="AYI466"/>
      <c r="AYJ466"/>
      <c r="AYK466"/>
      <c r="AYL466"/>
      <c r="AYM466"/>
      <c r="AYN466"/>
      <c r="AYO466"/>
      <c r="AYP466"/>
      <c r="AYQ466"/>
      <c r="AYR466"/>
      <c r="AYS466"/>
      <c r="AYT466"/>
      <c r="AYU466"/>
      <c r="AYV466"/>
      <c r="AYW466"/>
      <c r="AYX466"/>
      <c r="AYY466"/>
      <c r="AYZ466"/>
      <c r="AZA466"/>
      <c r="AZB466"/>
      <c r="AZC466"/>
      <c r="AZD466"/>
      <c r="AZE466"/>
      <c r="AZF466"/>
      <c r="AZG466"/>
      <c r="AZH466"/>
      <c r="AZI466"/>
      <c r="AZJ466"/>
      <c r="AZK466"/>
      <c r="AZL466"/>
      <c r="AZM466"/>
      <c r="AZN466"/>
      <c r="AZO466"/>
      <c r="AZP466"/>
      <c r="AZQ466"/>
      <c r="AZR466"/>
      <c r="AZS466"/>
      <c r="AZT466"/>
      <c r="AZU466"/>
      <c r="AZV466"/>
      <c r="AZW466"/>
      <c r="AZX466"/>
      <c r="AZY466"/>
      <c r="AZZ466"/>
      <c r="BAA466"/>
      <c r="BAB466"/>
      <c r="BAC466"/>
      <c r="BAD466"/>
      <c r="BAE466"/>
      <c r="BAF466"/>
      <c r="BAG466"/>
      <c r="BAH466"/>
      <c r="BAI466"/>
      <c r="BAJ466"/>
      <c r="BAK466"/>
      <c r="BAL466"/>
      <c r="BAM466"/>
      <c r="BAN466"/>
      <c r="BAO466"/>
      <c r="BAP466"/>
      <c r="BAQ466"/>
      <c r="BAR466"/>
      <c r="BAS466"/>
      <c r="BAT466"/>
      <c r="BAU466"/>
      <c r="BAV466"/>
      <c r="BAW466"/>
      <c r="BAX466"/>
      <c r="BAY466"/>
      <c r="BAZ466"/>
      <c r="BBA466"/>
      <c r="BBB466"/>
      <c r="BBC466"/>
      <c r="BBD466"/>
      <c r="BBE466"/>
      <c r="BBF466"/>
      <c r="BBG466"/>
      <c r="BBH466"/>
      <c r="BBI466"/>
      <c r="BBJ466"/>
      <c r="BBK466"/>
      <c r="BBL466"/>
      <c r="BBM466"/>
      <c r="BBN466"/>
      <c r="BBO466"/>
      <c r="BBP466"/>
      <c r="BBQ466"/>
      <c r="BBR466"/>
      <c r="BBS466"/>
      <c r="BBT466"/>
      <c r="BBU466"/>
      <c r="BBV466"/>
      <c r="BBW466"/>
      <c r="BBX466"/>
      <c r="BBY466"/>
      <c r="BBZ466"/>
      <c r="BCA466"/>
      <c r="BCB466"/>
      <c r="BCC466"/>
      <c r="BCD466"/>
      <c r="BCE466"/>
      <c r="BCF466"/>
      <c r="BCG466"/>
      <c r="BCH466"/>
      <c r="BCI466"/>
      <c r="BCJ466"/>
      <c r="BCK466"/>
      <c r="BCL466"/>
      <c r="BCM466"/>
      <c r="BCN466"/>
      <c r="BCO466"/>
      <c r="BCP466"/>
      <c r="BCQ466"/>
      <c r="BCR466"/>
      <c r="BCS466"/>
      <c r="BCT466"/>
      <c r="BCU466"/>
      <c r="BCV466"/>
      <c r="BCW466"/>
      <c r="BCX466"/>
      <c r="BCY466"/>
      <c r="BCZ466"/>
      <c r="BDA466"/>
      <c r="BDB466"/>
      <c r="BDC466"/>
      <c r="BDD466"/>
      <c r="BDE466"/>
      <c r="BDF466"/>
      <c r="BDG466"/>
      <c r="BDH466"/>
      <c r="BDI466"/>
      <c r="BDJ466"/>
      <c r="BDK466"/>
      <c r="BDL466"/>
      <c r="BDM466"/>
      <c r="BDN466"/>
      <c r="BDO466"/>
      <c r="BDP466"/>
      <c r="BDQ466"/>
      <c r="BDR466"/>
      <c r="BDS466"/>
      <c r="BDT466"/>
      <c r="BDU466"/>
      <c r="BDV466"/>
      <c r="BDW466"/>
      <c r="BDX466"/>
      <c r="BDY466"/>
      <c r="BDZ466"/>
      <c r="BEA466"/>
      <c r="BEB466"/>
      <c r="BEC466"/>
      <c r="BED466"/>
      <c r="BEE466"/>
      <c r="BEF466"/>
      <c r="BEG466"/>
      <c r="BEH466"/>
      <c r="BEI466"/>
      <c r="BEJ466"/>
      <c r="BEK466"/>
      <c r="BEL466"/>
      <c r="BEM466"/>
      <c r="BEN466"/>
      <c r="BEO466"/>
      <c r="BEP466"/>
      <c r="BEQ466"/>
      <c r="BER466"/>
      <c r="BES466"/>
      <c r="BET466"/>
      <c r="BEU466"/>
      <c r="BEV466"/>
      <c r="BEW466"/>
      <c r="BEX466"/>
      <c r="BEY466"/>
      <c r="BEZ466"/>
      <c r="BFA466"/>
      <c r="BFB466"/>
      <c r="BFC466"/>
      <c r="BFD466"/>
      <c r="BFE466"/>
      <c r="BFF466"/>
      <c r="BFG466"/>
      <c r="BFH466"/>
      <c r="BFI466"/>
      <c r="BFJ466"/>
      <c r="BFK466"/>
      <c r="BFL466"/>
      <c r="BFM466"/>
      <c r="BFN466"/>
      <c r="BFO466"/>
      <c r="BFP466"/>
      <c r="BFQ466"/>
      <c r="BFR466"/>
      <c r="BFS466"/>
      <c r="BFT466"/>
      <c r="BFU466"/>
      <c r="BFV466"/>
      <c r="BFW466"/>
      <c r="BFX466"/>
      <c r="BFY466"/>
      <c r="BFZ466"/>
      <c r="BGA466"/>
      <c r="BGB466"/>
      <c r="BGC466"/>
      <c r="BGD466"/>
      <c r="BGE466"/>
      <c r="BGF466"/>
      <c r="BGG466"/>
      <c r="BGH466"/>
      <c r="BGI466"/>
      <c r="BGJ466"/>
      <c r="BGK466"/>
      <c r="BGL466"/>
      <c r="BGM466"/>
      <c r="BGN466"/>
      <c r="BGO466"/>
      <c r="BGP466"/>
      <c r="BGQ466"/>
      <c r="BGR466"/>
      <c r="BGS466"/>
      <c r="BGT466"/>
      <c r="BGU466"/>
      <c r="BGV466"/>
      <c r="BGW466"/>
      <c r="BGX466"/>
      <c r="BGY466"/>
      <c r="BGZ466"/>
      <c r="BHA466"/>
      <c r="BHB466"/>
      <c r="BHC466"/>
      <c r="BHD466"/>
      <c r="BHE466"/>
      <c r="BHF466"/>
      <c r="BHG466"/>
      <c r="BHH466"/>
      <c r="BHI466"/>
      <c r="BHJ466"/>
      <c r="BHK466"/>
      <c r="BHL466"/>
      <c r="BHM466"/>
      <c r="BHN466"/>
      <c r="BHO466"/>
      <c r="BHP466"/>
      <c r="BHQ466"/>
      <c r="BHR466"/>
      <c r="BHS466"/>
      <c r="BHT466"/>
      <c r="BHU466"/>
      <c r="BHV466"/>
      <c r="BHW466"/>
      <c r="BHX466"/>
      <c r="BHY466"/>
      <c r="BHZ466"/>
      <c r="BIA466"/>
      <c r="BIB466"/>
      <c r="BIC466"/>
      <c r="BID466"/>
      <c r="BIE466"/>
      <c r="BIF466"/>
      <c r="BIG466"/>
      <c r="BIH466"/>
      <c r="BII466"/>
      <c r="BIJ466"/>
      <c r="BIK466"/>
      <c r="BIL466"/>
      <c r="BIM466"/>
      <c r="BIN466"/>
      <c r="BIO466"/>
      <c r="BIP466"/>
      <c r="BIQ466"/>
      <c r="BIR466"/>
      <c r="BIS466"/>
      <c r="BIT466"/>
      <c r="BIU466"/>
      <c r="BIV466"/>
      <c r="BIW466"/>
      <c r="BIX466"/>
      <c r="BIY466"/>
      <c r="BIZ466"/>
      <c r="BJA466"/>
      <c r="BJB466"/>
      <c r="BJC466"/>
      <c r="BJD466"/>
      <c r="BJE466"/>
      <c r="BJF466"/>
      <c r="BJG466"/>
      <c r="BJH466"/>
      <c r="BJI466"/>
      <c r="BJJ466"/>
      <c r="BJK466"/>
      <c r="BJL466"/>
      <c r="BJM466"/>
      <c r="BJN466"/>
      <c r="BJO466"/>
      <c r="BJP466"/>
      <c r="BJQ466"/>
      <c r="BJR466"/>
      <c r="BJS466"/>
      <c r="BJT466"/>
      <c r="BJU466"/>
      <c r="BJV466"/>
      <c r="BJW466"/>
      <c r="BJX466"/>
      <c r="BJY466"/>
      <c r="BJZ466"/>
      <c r="BKA466"/>
      <c r="BKB466"/>
      <c r="BKC466"/>
      <c r="BKD466"/>
      <c r="BKE466"/>
      <c r="BKF466"/>
      <c r="BKG466"/>
      <c r="BKH466"/>
      <c r="BKI466"/>
      <c r="BKJ466"/>
      <c r="BKK466"/>
      <c r="BKL466"/>
      <c r="BKM466"/>
      <c r="BKN466"/>
      <c r="BKO466"/>
      <c r="BKP466"/>
      <c r="BKQ466"/>
      <c r="BKR466"/>
      <c r="BKS466"/>
      <c r="BKT466"/>
      <c r="BKU466"/>
      <c r="BKV466"/>
      <c r="BKW466"/>
      <c r="BKX466"/>
      <c r="BKY466"/>
      <c r="BKZ466"/>
      <c r="BLA466"/>
      <c r="BLB466"/>
      <c r="BLC466"/>
      <c r="BLD466"/>
      <c r="BLE466"/>
      <c r="BLF466"/>
      <c r="BLG466"/>
      <c r="BLH466"/>
      <c r="BLI466"/>
      <c r="BLJ466"/>
      <c r="BLK466"/>
      <c r="BLL466"/>
      <c r="BLM466"/>
      <c r="BLN466"/>
      <c r="BLO466"/>
      <c r="BLP466"/>
      <c r="BLQ466"/>
      <c r="BLR466"/>
      <c r="BLS466"/>
      <c r="BLT466"/>
      <c r="BLU466"/>
      <c r="BLV466"/>
      <c r="BLW466"/>
      <c r="BLX466"/>
      <c r="BLY466"/>
      <c r="BLZ466"/>
      <c r="BMA466"/>
      <c r="BMB466"/>
      <c r="BMC466"/>
      <c r="BMD466"/>
      <c r="BME466"/>
      <c r="BMF466"/>
      <c r="BMG466"/>
      <c r="BMH466"/>
      <c r="BMI466"/>
      <c r="BMJ466"/>
      <c r="BMK466"/>
      <c r="BML466"/>
      <c r="BMM466"/>
      <c r="BMN466"/>
      <c r="BMO466"/>
      <c r="BMP466"/>
      <c r="BMQ466"/>
      <c r="BMR466"/>
      <c r="BMS466"/>
      <c r="BMT466"/>
      <c r="BMU466"/>
      <c r="BMV466"/>
      <c r="BMW466"/>
      <c r="BMX466"/>
      <c r="BMY466"/>
      <c r="BMZ466"/>
      <c r="BNA466"/>
      <c r="BNB466"/>
      <c r="BNC466"/>
      <c r="BND466"/>
      <c r="BNE466"/>
      <c r="BNF466"/>
      <c r="BNG466"/>
      <c r="BNH466"/>
      <c r="BNI466"/>
      <c r="BNJ466"/>
      <c r="BNK466"/>
      <c r="BNL466"/>
      <c r="BNM466"/>
      <c r="BNN466"/>
      <c r="BNO466"/>
      <c r="BNP466"/>
      <c r="BNQ466"/>
      <c r="BNR466"/>
      <c r="BNS466"/>
      <c r="BNT466"/>
      <c r="BNU466"/>
      <c r="BNV466"/>
      <c r="BNW466"/>
      <c r="BNX466"/>
      <c r="BNY466"/>
      <c r="BNZ466"/>
      <c r="BOA466"/>
      <c r="BOB466"/>
      <c r="BOC466"/>
      <c r="BOD466"/>
      <c r="BOE466"/>
      <c r="BOF466"/>
      <c r="BOG466"/>
      <c r="BOH466"/>
      <c r="BOI466"/>
      <c r="BOJ466"/>
      <c r="BOK466"/>
      <c r="BOL466"/>
      <c r="BOM466"/>
      <c r="BON466"/>
      <c r="BOO466"/>
      <c r="BOP466"/>
      <c r="BOQ466"/>
      <c r="BOR466"/>
      <c r="BOS466"/>
      <c r="BOT466"/>
      <c r="BOU466"/>
      <c r="BOV466"/>
      <c r="BOW466"/>
      <c r="BOX466"/>
      <c r="BOY466"/>
      <c r="BOZ466"/>
      <c r="BPA466"/>
      <c r="BPB466"/>
      <c r="BPC466"/>
      <c r="BPD466"/>
      <c r="BPE466"/>
      <c r="BPF466"/>
      <c r="BPG466"/>
      <c r="BPH466"/>
      <c r="BPI466"/>
      <c r="BPJ466"/>
      <c r="BPK466"/>
      <c r="BPL466"/>
      <c r="BPM466"/>
      <c r="BPN466"/>
      <c r="BPO466"/>
      <c r="BPP466"/>
      <c r="BPQ466"/>
      <c r="BPR466"/>
      <c r="BPS466"/>
      <c r="BPT466"/>
      <c r="BPU466"/>
      <c r="BPV466"/>
      <c r="BPW466"/>
      <c r="BPX466"/>
      <c r="BPY466"/>
      <c r="BPZ466"/>
      <c r="BQA466"/>
      <c r="BQB466"/>
      <c r="BQC466"/>
      <c r="BQD466"/>
      <c r="BQE466"/>
      <c r="BQF466"/>
      <c r="BQG466"/>
      <c r="BQH466"/>
      <c r="BQI466"/>
      <c r="BQJ466"/>
      <c r="BQK466"/>
      <c r="BQL466"/>
      <c r="BQM466"/>
      <c r="BQN466"/>
      <c r="BQO466"/>
      <c r="BQP466"/>
      <c r="BQQ466"/>
      <c r="BQR466"/>
      <c r="BQS466"/>
      <c r="BQT466"/>
      <c r="BQU466"/>
      <c r="BQV466"/>
      <c r="BQW466"/>
      <c r="BQX466"/>
      <c r="BQY466"/>
      <c r="BQZ466"/>
      <c r="BRA466"/>
      <c r="BRB466"/>
      <c r="BRC466"/>
      <c r="BRD466"/>
      <c r="BRE466"/>
      <c r="BRF466"/>
      <c r="BRG466"/>
      <c r="BRH466"/>
      <c r="BRI466"/>
      <c r="BRJ466"/>
      <c r="BRK466"/>
      <c r="BRL466"/>
      <c r="BRM466"/>
      <c r="BRN466"/>
      <c r="BRO466"/>
      <c r="BRP466"/>
      <c r="BRQ466"/>
      <c r="BRR466"/>
      <c r="BRS466"/>
      <c r="BRT466"/>
      <c r="BRU466"/>
      <c r="BRV466"/>
      <c r="BRW466"/>
      <c r="BRX466"/>
      <c r="BRY466"/>
      <c r="BRZ466"/>
      <c r="BSA466"/>
      <c r="BSB466"/>
      <c r="BSC466"/>
      <c r="BSD466"/>
      <c r="BSE466"/>
      <c r="BSF466"/>
      <c r="BSG466"/>
      <c r="BSH466"/>
      <c r="BSI466"/>
      <c r="BSJ466"/>
      <c r="BSK466"/>
      <c r="BSL466"/>
      <c r="BSM466"/>
      <c r="BSN466"/>
      <c r="BSO466"/>
      <c r="BSP466"/>
      <c r="BSQ466"/>
      <c r="BSR466"/>
      <c r="BSS466"/>
      <c r="BST466"/>
      <c r="BSU466"/>
      <c r="BSV466"/>
      <c r="BSW466"/>
      <c r="BSX466"/>
      <c r="BSY466"/>
      <c r="BSZ466"/>
      <c r="BTA466"/>
      <c r="BTB466"/>
      <c r="BTC466"/>
      <c r="BTD466"/>
      <c r="BTE466"/>
      <c r="BTF466"/>
      <c r="BTG466"/>
      <c r="BTH466"/>
      <c r="BTI466"/>
      <c r="BTJ466"/>
      <c r="BTK466"/>
      <c r="BTL466"/>
      <c r="BTM466"/>
      <c r="BTN466"/>
      <c r="BTO466"/>
      <c r="BTP466"/>
      <c r="BTQ466"/>
      <c r="BTR466"/>
      <c r="BTS466"/>
      <c r="BTT466"/>
      <c r="BTU466"/>
      <c r="BTV466"/>
      <c r="BTW466"/>
      <c r="BTX466"/>
      <c r="BTY466"/>
      <c r="BTZ466"/>
      <c r="BUA466"/>
      <c r="BUB466"/>
      <c r="BUC466"/>
      <c r="BUD466"/>
      <c r="BUE466"/>
      <c r="BUF466"/>
      <c r="BUG466"/>
      <c r="BUH466"/>
      <c r="BUI466"/>
      <c r="BUJ466"/>
      <c r="BUK466"/>
      <c r="BUL466"/>
      <c r="BUM466"/>
      <c r="BUN466"/>
      <c r="BUO466"/>
      <c r="BUP466"/>
      <c r="BUQ466"/>
      <c r="BUR466"/>
      <c r="BUS466"/>
      <c r="BUT466"/>
      <c r="BUU466"/>
      <c r="BUV466"/>
      <c r="BUW466"/>
      <c r="BUX466"/>
      <c r="BUY466"/>
      <c r="BUZ466"/>
      <c r="BVA466"/>
      <c r="BVB466"/>
      <c r="BVC466"/>
      <c r="BVD466"/>
      <c r="BVE466"/>
      <c r="BVF466"/>
      <c r="BVG466"/>
      <c r="BVH466"/>
      <c r="BVI466"/>
      <c r="BVJ466"/>
      <c r="BVK466"/>
      <c r="BVL466"/>
      <c r="BVM466"/>
      <c r="BVN466"/>
      <c r="BVO466"/>
      <c r="BVP466"/>
      <c r="BVQ466"/>
      <c r="BVR466"/>
      <c r="BVS466"/>
      <c r="BVT466"/>
      <c r="BVU466"/>
      <c r="BVV466"/>
      <c r="BVW466"/>
      <c r="BVX466"/>
      <c r="BVY466"/>
      <c r="BVZ466"/>
      <c r="BWA466"/>
      <c r="BWB466"/>
      <c r="BWC466"/>
      <c r="BWD466"/>
      <c r="BWE466"/>
      <c r="BWF466"/>
      <c r="BWG466"/>
      <c r="BWH466"/>
      <c r="BWI466"/>
      <c r="BWJ466"/>
      <c r="BWK466"/>
      <c r="BWL466"/>
      <c r="BWM466"/>
      <c r="BWN466"/>
      <c r="BWO466"/>
      <c r="BWP466"/>
      <c r="BWQ466"/>
      <c r="BWR466"/>
      <c r="BWS466"/>
      <c r="BWT466"/>
      <c r="BWU466"/>
      <c r="BWV466"/>
      <c r="BWW466"/>
      <c r="BWX466"/>
      <c r="BWY466"/>
      <c r="BWZ466"/>
      <c r="BXA466"/>
      <c r="BXB466"/>
      <c r="BXC466"/>
      <c r="BXD466"/>
      <c r="BXE466"/>
      <c r="BXF466"/>
      <c r="BXG466"/>
      <c r="BXH466"/>
      <c r="BXI466"/>
      <c r="BXJ466"/>
      <c r="BXK466"/>
      <c r="BXL466"/>
      <c r="BXM466"/>
      <c r="BXN466"/>
      <c r="BXO466"/>
      <c r="BXP466"/>
      <c r="BXQ466"/>
      <c r="BXR466"/>
      <c r="BXS466"/>
      <c r="BXT466"/>
      <c r="BXU466"/>
      <c r="BXV466"/>
      <c r="BXW466"/>
      <c r="BXX466"/>
      <c r="BXY466"/>
      <c r="BXZ466"/>
      <c r="BYA466"/>
      <c r="BYB466"/>
      <c r="BYC466"/>
      <c r="BYD466"/>
      <c r="BYE466"/>
      <c r="BYF466"/>
      <c r="BYG466"/>
      <c r="BYH466"/>
      <c r="BYI466"/>
      <c r="BYJ466"/>
      <c r="BYK466"/>
      <c r="BYL466"/>
      <c r="BYM466"/>
      <c r="BYN466"/>
      <c r="BYO466"/>
      <c r="BYP466"/>
      <c r="BYQ466"/>
      <c r="BYR466"/>
      <c r="BYS466"/>
      <c r="BYT466"/>
      <c r="BYU466"/>
      <c r="BYV466"/>
      <c r="BYW466"/>
      <c r="BYX466"/>
      <c r="BYY466"/>
      <c r="BYZ466"/>
      <c r="BZA466"/>
      <c r="BZB466"/>
      <c r="BZC466"/>
      <c r="BZD466"/>
      <c r="BZE466"/>
      <c r="BZF466"/>
      <c r="BZG466"/>
      <c r="BZH466"/>
      <c r="BZI466"/>
      <c r="BZJ466"/>
      <c r="BZK466"/>
      <c r="BZL466"/>
      <c r="BZM466"/>
      <c r="BZN466"/>
      <c r="BZO466"/>
      <c r="BZP466"/>
      <c r="BZQ466"/>
      <c r="BZR466"/>
      <c r="BZS466"/>
      <c r="BZT466"/>
      <c r="BZU466"/>
      <c r="BZV466"/>
      <c r="BZW466"/>
      <c r="BZX466"/>
      <c r="BZY466"/>
      <c r="BZZ466"/>
      <c r="CAA466"/>
      <c r="CAB466"/>
      <c r="CAC466"/>
      <c r="CAD466"/>
      <c r="CAE466"/>
      <c r="CAF466"/>
      <c r="CAG466"/>
      <c r="CAH466"/>
      <c r="CAI466"/>
      <c r="CAJ466"/>
      <c r="CAK466"/>
      <c r="CAL466"/>
      <c r="CAM466"/>
      <c r="CAN466"/>
      <c r="CAO466"/>
      <c r="CAP466"/>
      <c r="CAQ466"/>
      <c r="CAR466"/>
      <c r="CAS466"/>
      <c r="CAT466"/>
      <c r="CAU466"/>
      <c r="CAV466"/>
      <c r="CAW466"/>
      <c r="CAX466"/>
      <c r="CAY466"/>
      <c r="CAZ466"/>
      <c r="CBA466"/>
      <c r="CBB466"/>
      <c r="CBC466"/>
      <c r="CBD466"/>
      <c r="CBE466"/>
      <c r="CBF466"/>
      <c r="CBG466"/>
      <c r="CBH466"/>
      <c r="CBI466"/>
      <c r="CBJ466"/>
      <c r="CBK466"/>
      <c r="CBL466"/>
      <c r="CBM466"/>
      <c r="CBN466"/>
      <c r="CBO466"/>
      <c r="CBP466"/>
      <c r="CBQ466"/>
      <c r="CBR466"/>
      <c r="CBS466"/>
      <c r="CBT466"/>
      <c r="CBU466"/>
      <c r="CBV466"/>
      <c r="CBW466"/>
      <c r="CBX466"/>
      <c r="CBY466"/>
      <c r="CBZ466"/>
      <c r="CCA466"/>
      <c r="CCB466"/>
      <c r="CCC466"/>
      <c r="CCD466"/>
      <c r="CCE466"/>
      <c r="CCF466"/>
      <c r="CCG466"/>
      <c r="CCH466"/>
      <c r="CCI466"/>
      <c r="CCJ466"/>
      <c r="CCK466"/>
      <c r="CCL466"/>
      <c r="CCM466"/>
      <c r="CCN466"/>
      <c r="CCO466"/>
      <c r="CCP466"/>
      <c r="CCQ466"/>
      <c r="CCR466"/>
      <c r="CCS466"/>
      <c r="CCT466"/>
      <c r="CCU466"/>
      <c r="CCV466"/>
      <c r="CCW466"/>
      <c r="CCX466"/>
      <c r="CCY466"/>
      <c r="CCZ466"/>
      <c r="CDA466"/>
      <c r="CDB466"/>
      <c r="CDC466"/>
      <c r="CDD466"/>
      <c r="CDE466"/>
      <c r="CDF466"/>
      <c r="CDG466"/>
      <c r="CDH466"/>
      <c r="CDI466"/>
      <c r="CDJ466"/>
      <c r="CDK466"/>
      <c r="CDL466"/>
      <c r="CDM466"/>
      <c r="CDN466"/>
      <c r="CDO466"/>
      <c r="CDP466"/>
      <c r="CDQ466"/>
      <c r="CDR466"/>
      <c r="CDS466"/>
      <c r="CDT466"/>
      <c r="CDU466"/>
      <c r="CDV466"/>
      <c r="CDW466"/>
      <c r="CDX466"/>
      <c r="CDY466"/>
      <c r="CDZ466"/>
      <c r="CEA466"/>
      <c r="CEB466"/>
      <c r="CEC466"/>
      <c r="CED466"/>
      <c r="CEE466"/>
      <c r="CEF466"/>
      <c r="CEG466"/>
      <c r="CEH466"/>
      <c r="CEI466"/>
      <c r="CEJ466"/>
      <c r="CEK466"/>
      <c r="CEL466"/>
      <c r="CEM466"/>
      <c r="CEN466"/>
      <c r="CEO466"/>
      <c r="CEP466"/>
      <c r="CEQ466"/>
      <c r="CER466"/>
      <c r="CES466"/>
      <c r="CET466"/>
      <c r="CEU466"/>
      <c r="CEV466"/>
      <c r="CEW466"/>
      <c r="CEX466"/>
      <c r="CEY466"/>
      <c r="CEZ466"/>
      <c r="CFA466"/>
      <c r="CFB466"/>
      <c r="CFC466"/>
      <c r="CFD466"/>
      <c r="CFE466"/>
      <c r="CFF466"/>
      <c r="CFG466"/>
      <c r="CFH466"/>
      <c r="CFI466"/>
      <c r="CFJ466"/>
      <c r="CFK466"/>
      <c r="CFL466"/>
      <c r="CFM466"/>
      <c r="CFN466"/>
      <c r="CFO466"/>
      <c r="CFP466"/>
      <c r="CFQ466"/>
      <c r="CFR466"/>
      <c r="CFS466"/>
      <c r="CFT466"/>
      <c r="CFU466"/>
      <c r="CFV466"/>
      <c r="CFW466"/>
      <c r="CFX466"/>
      <c r="CFY466"/>
      <c r="CFZ466"/>
      <c r="CGA466"/>
      <c r="CGB466"/>
      <c r="CGC466"/>
      <c r="CGD466"/>
      <c r="CGE466"/>
      <c r="CGF466"/>
      <c r="CGG466"/>
      <c r="CGH466"/>
      <c r="CGI466"/>
      <c r="CGJ466"/>
      <c r="CGK466"/>
      <c r="CGL466"/>
      <c r="CGM466"/>
      <c r="CGN466"/>
      <c r="CGO466"/>
      <c r="CGP466"/>
      <c r="CGQ466"/>
      <c r="CGR466"/>
      <c r="CGS466"/>
      <c r="CGT466"/>
      <c r="CGU466"/>
      <c r="CGV466"/>
      <c r="CGW466"/>
      <c r="CGX466"/>
      <c r="CGY466"/>
      <c r="CGZ466"/>
      <c r="CHA466"/>
      <c r="CHB466"/>
      <c r="CHC466"/>
      <c r="CHD466"/>
      <c r="CHE466"/>
      <c r="CHF466"/>
      <c r="CHG466"/>
      <c r="CHH466"/>
      <c r="CHI466"/>
      <c r="CHJ466"/>
      <c r="CHK466"/>
      <c r="CHL466"/>
      <c r="CHM466"/>
      <c r="CHN466"/>
      <c r="CHO466"/>
      <c r="CHP466"/>
      <c r="CHQ466"/>
      <c r="CHR466"/>
      <c r="CHS466"/>
      <c r="CHT466"/>
      <c r="CHU466"/>
      <c r="CHV466"/>
      <c r="CHW466"/>
      <c r="CHX466"/>
      <c r="CHY466"/>
      <c r="CHZ466"/>
      <c r="CIA466"/>
      <c r="CIB466"/>
      <c r="CIC466"/>
      <c r="CID466"/>
      <c r="CIE466"/>
      <c r="CIF466"/>
      <c r="CIG466"/>
      <c r="CIH466"/>
      <c r="CII466"/>
      <c r="CIJ466"/>
      <c r="CIK466"/>
      <c r="CIL466"/>
      <c r="CIM466"/>
      <c r="CIN466"/>
      <c r="CIO466"/>
      <c r="CIP466"/>
      <c r="CIQ466"/>
      <c r="CIR466"/>
      <c r="CIS466"/>
      <c r="CIT466"/>
      <c r="CIU466"/>
      <c r="CIV466"/>
      <c r="CIW466"/>
      <c r="CIX466"/>
      <c r="CIY466"/>
      <c r="CIZ466"/>
      <c r="CJA466"/>
      <c r="CJB466"/>
      <c r="CJC466"/>
      <c r="CJD466"/>
      <c r="CJE466"/>
      <c r="CJF466"/>
      <c r="CJG466"/>
      <c r="CJH466"/>
      <c r="CJI466"/>
      <c r="CJJ466"/>
      <c r="CJK466"/>
      <c r="CJL466"/>
      <c r="CJM466"/>
      <c r="CJN466"/>
      <c r="CJO466"/>
      <c r="CJP466"/>
      <c r="CJQ466"/>
      <c r="CJR466"/>
      <c r="CJS466"/>
      <c r="CJT466"/>
      <c r="CJU466"/>
      <c r="CJV466"/>
      <c r="CJW466"/>
      <c r="CJX466"/>
      <c r="CJY466"/>
      <c r="CJZ466"/>
      <c r="CKA466"/>
      <c r="CKB466"/>
      <c r="CKC466"/>
      <c r="CKD466"/>
      <c r="CKE466"/>
      <c r="CKF466"/>
      <c r="CKG466"/>
      <c r="CKH466"/>
      <c r="CKI466"/>
      <c r="CKJ466"/>
      <c r="CKK466"/>
      <c r="CKL466"/>
      <c r="CKM466"/>
      <c r="CKN466"/>
      <c r="CKO466"/>
      <c r="CKP466"/>
      <c r="CKQ466"/>
      <c r="CKR466"/>
      <c r="CKS466"/>
      <c r="CKT466"/>
      <c r="CKU466"/>
      <c r="CKV466"/>
      <c r="CKW466"/>
      <c r="CKX466"/>
      <c r="CKY466"/>
      <c r="CKZ466"/>
      <c r="CLA466"/>
      <c r="CLB466"/>
      <c r="CLC466"/>
      <c r="CLD466"/>
      <c r="CLE466"/>
      <c r="CLF466"/>
      <c r="CLG466"/>
      <c r="CLH466"/>
      <c r="CLI466"/>
      <c r="CLJ466"/>
      <c r="CLK466"/>
      <c r="CLL466"/>
      <c r="CLM466"/>
      <c r="CLN466"/>
      <c r="CLO466"/>
      <c r="CLP466"/>
      <c r="CLQ466"/>
      <c r="CLR466"/>
      <c r="CLS466"/>
      <c r="CLT466"/>
      <c r="CLU466"/>
      <c r="CLV466"/>
      <c r="CLW466"/>
      <c r="CLX466"/>
      <c r="CLY466"/>
      <c r="CLZ466"/>
      <c r="CMA466"/>
      <c r="CMB466"/>
      <c r="CMC466"/>
      <c r="CMD466"/>
      <c r="CME466"/>
      <c r="CMF466"/>
      <c r="CMG466"/>
      <c r="CMH466"/>
      <c r="CMI466"/>
      <c r="CMJ466"/>
      <c r="CMK466"/>
      <c r="CML466"/>
      <c r="CMM466"/>
      <c r="CMN466"/>
      <c r="CMO466"/>
      <c r="CMP466"/>
      <c r="CMQ466"/>
      <c r="CMR466"/>
      <c r="CMS466"/>
      <c r="CMT466"/>
      <c r="CMU466"/>
      <c r="CMV466"/>
      <c r="CMW466"/>
      <c r="CMX466"/>
      <c r="CMY466"/>
      <c r="CMZ466"/>
      <c r="CNA466"/>
      <c r="CNB466"/>
      <c r="CNC466"/>
      <c r="CND466"/>
      <c r="CNE466"/>
      <c r="CNF466"/>
      <c r="CNG466"/>
      <c r="CNH466"/>
      <c r="CNI466"/>
      <c r="CNJ466"/>
      <c r="CNK466"/>
      <c r="CNL466"/>
      <c r="CNM466"/>
      <c r="CNN466"/>
      <c r="CNO466"/>
      <c r="CNP466"/>
      <c r="CNQ466"/>
      <c r="CNR466"/>
      <c r="CNS466"/>
      <c r="CNT466"/>
      <c r="CNU466"/>
      <c r="CNV466"/>
      <c r="CNW466"/>
      <c r="CNX466"/>
      <c r="CNY466"/>
      <c r="CNZ466"/>
      <c r="COA466"/>
      <c r="COB466"/>
      <c r="COC466"/>
      <c r="COD466"/>
      <c r="COE466"/>
      <c r="COF466"/>
      <c r="COG466"/>
      <c r="COH466"/>
      <c r="COI466"/>
      <c r="COJ466"/>
      <c r="COK466"/>
      <c r="COL466"/>
      <c r="COM466"/>
      <c r="CON466"/>
      <c r="COO466"/>
      <c r="COP466"/>
      <c r="COQ466"/>
      <c r="COR466"/>
      <c r="COS466"/>
      <c r="COT466"/>
      <c r="COU466"/>
      <c r="COV466"/>
      <c r="COW466"/>
      <c r="COX466"/>
      <c r="COY466"/>
      <c r="COZ466"/>
      <c r="CPA466"/>
      <c r="CPB466"/>
      <c r="CPC466"/>
      <c r="CPD466"/>
      <c r="CPE466"/>
      <c r="CPF466"/>
      <c r="CPG466"/>
      <c r="CPH466"/>
      <c r="CPI466"/>
      <c r="CPJ466"/>
      <c r="CPK466"/>
      <c r="CPL466"/>
      <c r="CPM466"/>
      <c r="CPN466"/>
      <c r="CPO466"/>
      <c r="CPP466"/>
      <c r="CPQ466"/>
      <c r="CPR466"/>
      <c r="CPS466"/>
      <c r="CPT466"/>
      <c r="CPU466"/>
      <c r="CPV466"/>
      <c r="CPW466"/>
      <c r="CPX466"/>
      <c r="CPY466"/>
      <c r="CPZ466"/>
      <c r="CQA466"/>
      <c r="CQB466"/>
      <c r="CQC466"/>
      <c r="CQD466"/>
      <c r="CQE466"/>
      <c r="CQF466"/>
      <c r="CQG466"/>
      <c r="CQH466"/>
      <c r="CQI466"/>
      <c r="CQJ466"/>
      <c r="CQK466"/>
      <c r="CQL466"/>
      <c r="CQM466"/>
      <c r="CQN466"/>
      <c r="CQO466"/>
      <c r="CQP466"/>
      <c r="CQQ466"/>
      <c r="CQR466"/>
      <c r="CQS466"/>
      <c r="CQT466"/>
      <c r="CQU466"/>
      <c r="CQV466"/>
      <c r="CQW466"/>
      <c r="CQX466"/>
      <c r="CQY466"/>
      <c r="CQZ466"/>
      <c r="CRA466"/>
      <c r="CRB466"/>
      <c r="CRC466"/>
      <c r="CRD466"/>
      <c r="CRE466"/>
      <c r="CRF466"/>
      <c r="CRG466"/>
      <c r="CRH466"/>
      <c r="CRI466"/>
      <c r="CRJ466"/>
      <c r="CRK466"/>
      <c r="CRL466"/>
      <c r="CRM466"/>
      <c r="CRN466"/>
      <c r="CRO466"/>
      <c r="CRP466"/>
      <c r="CRQ466"/>
      <c r="CRR466"/>
      <c r="CRS466"/>
      <c r="CRT466"/>
      <c r="CRU466"/>
      <c r="CRV466"/>
      <c r="CRW466"/>
      <c r="CRX466"/>
      <c r="CRY466"/>
      <c r="CRZ466"/>
      <c r="CSA466"/>
      <c r="CSB466"/>
      <c r="CSC466"/>
      <c r="CSD466"/>
      <c r="CSE466"/>
      <c r="CSF466"/>
      <c r="CSG466"/>
      <c r="CSH466"/>
      <c r="CSI466"/>
      <c r="CSJ466"/>
      <c r="CSK466"/>
      <c r="CSL466"/>
      <c r="CSM466"/>
      <c r="CSN466"/>
      <c r="CSO466"/>
      <c r="CSP466"/>
      <c r="CSQ466"/>
      <c r="CSR466"/>
      <c r="CSS466"/>
      <c r="CST466"/>
      <c r="CSU466"/>
      <c r="CSV466"/>
      <c r="CSW466"/>
      <c r="CSX466"/>
      <c r="CSY466"/>
      <c r="CSZ466"/>
      <c r="CTA466"/>
      <c r="CTB466"/>
      <c r="CTC466"/>
      <c r="CTD466"/>
      <c r="CTE466"/>
      <c r="CTF466"/>
      <c r="CTG466"/>
      <c r="CTH466"/>
      <c r="CTI466"/>
      <c r="CTJ466"/>
      <c r="CTK466"/>
      <c r="CTL466"/>
      <c r="CTM466"/>
      <c r="CTN466"/>
      <c r="CTO466"/>
      <c r="CTP466"/>
      <c r="CTQ466"/>
      <c r="CTR466"/>
      <c r="CTS466"/>
      <c r="CTT466"/>
      <c r="CTU466"/>
      <c r="CTV466"/>
      <c r="CTW466"/>
      <c r="CTX466"/>
      <c r="CTY466"/>
      <c r="CTZ466"/>
      <c r="CUA466"/>
      <c r="CUB466"/>
      <c r="CUC466"/>
      <c r="CUD466"/>
      <c r="CUE466"/>
      <c r="CUF466"/>
      <c r="CUG466"/>
      <c r="CUH466"/>
      <c r="CUI466"/>
      <c r="CUJ466"/>
      <c r="CUK466"/>
      <c r="CUL466"/>
      <c r="CUM466"/>
      <c r="CUN466"/>
      <c r="CUO466"/>
      <c r="CUP466"/>
      <c r="CUQ466"/>
      <c r="CUR466"/>
      <c r="CUS466"/>
      <c r="CUT466"/>
      <c r="CUU466"/>
      <c r="CUV466"/>
      <c r="CUW466"/>
      <c r="CUX466"/>
      <c r="CUY466"/>
      <c r="CUZ466"/>
      <c r="CVA466"/>
      <c r="CVB466"/>
      <c r="CVC466"/>
      <c r="CVD466"/>
      <c r="CVE466"/>
      <c r="CVF466"/>
      <c r="CVG466"/>
      <c r="CVH466"/>
      <c r="CVI466"/>
      <c r="CVJ466"/>
      <c r="CVK466"/>
      <c r="CVL466"/>
      <c r="CVM466"/>
      <c r="CVN466"/>
      <c r="CVO466"/>
      <c r="CVP466"/>
      <c r="CVQ466"/>
      <c r="CVR466"/>
      <c r="CVS466"/>
      <c r="CVT466"/>
      <c r="CVU466"/>
      <c r="CVV466"/>
      <c r="CVW466"/>
      <c r="CVX466"/>
      <c r="CVY466"/>
      <c r="CVZ466"/>
      <c r="CWA466"/>
      <c r="CWB466"/>
      <c r="CWC466"/>
      <c r="CWD466"/>
      <c r="CWE466"/>
      <c r="CWF466"/>
      <c r="CWG466"/>
      <c r="CWH466"/>
      <c r="CWI466"/>
      <c r="CWJ466"/>
      <c r="CWK466"/>
      <c r="CWL466"/>
      <c r="CWM466"/>
      <c r="CWN466"/>
      <c r="CWO466"/>
      <c r="CWP466"/>
      <c r="CWQ466"/>
      <c r="CWR466"/>
      <c r="CWS466"/>
      <c r="CWT466"/>
      <c r="CWU466"/>
      <c r="CWV466"/>
      <c r="CWW466"/>
      <c r="CWX466"/>
      <c r="CWY466"/>
      <c r="CWZ466"/>
      <c r="CXA466"/>
      <c r="CXB466"/>
      <c r="CXC466"/>
      <c r="CXD466"/>
      <c r="CXE466"/>
      <c r="CXF466"/>
      <c r="CXG466"/>
      <c r="CXH466"/>
      <c r="CXI466"/>
      <c r="CXJ466"/>
      <c r="CXK466"/>
      <c r="CXL466"/>
      <c r="CXM466"/>
      <c r="CXN466"/>
      <c r="CXO466"/>
      <c r="CXP466"/>
      <c r="CXQ466"/>
      <c r="CXR466"/>
      <c r="CXS466"/>
      <c r="CXT466"/>
      <c r="CXU466"/>
      <c r="CXV466"/>
      <c r="CXW466"/>
      <c r="CXX466"/>
      <c r="CXY466"/>
      <c r="CXZ466"/>
      <c r="CYA466"/>
      <c r="CYB466"/>
      <c r="CYC466"/>
      <c r="CYD466"/>
      <c r="CYE466"/>
      <c r="CYF466"/>
      <c r="CYG466"/>
      <c r="CYH466"/>
      <c r="CYI466"/>
      <c r="CYJ466"/>
      <c r="CYK466"/>
      <c r="CYL466"/>
      <c r="CYM466"/>
      <c r="CYN466"/>
      <c r="CYO466"/>
      <c r="CYP466"/>
      <c r="CYQ466"/>
      <c r="CYR466"/>
      <c r="CYS466"/>
      <c r="CYT466"/>
      <c r="CYU466"/>
      <c r="CYV466"/>
      <c r="CYW466"/>
      <c r="CYX466"/>
      <c r="CYY466"/>
      <c r="CYZ466"/>
      <c r="CZA466"/>
      <c r="CZB466"/>
      <c r="CZC466"/>
      <c r="CZD466"/>
      <c r="CZE466"/>
      <c r="CZF466"/>
      <c r="CZG466"/>
      <c r="CZH466"/>
      <c r="CZI466"/>
      <c r="CZJ466"/>
      <c r="CZK466"/>
      <c r="CZL466"/>
      <c r="CZM466"/>
      <c r="CZN466"/>
      <c r="CZO466"/>
      <c r="CZP466"/>
      <c r="CZQ466"/>
      <c r="CZR466"/>
      <c r="CZS466"/>
      <c r="CZT466"/>
      <c r="CZU466"/>
      <c r="CZV466"/>
      <c r="CZW466"/>
      <c r="CZX466"/>
      <c r="CZY466"/>
      <c r="CZZ466"/>
      <c r="DAA466"/>
      <c r="DAB466"/>
      <c r="DAC466"/>
      <c r="DAD466"/>
      <c r="DAE466"/>
      <c r="DAF466"/>
      <c r="DAG466"/>
      <c r="DAH466"/>
      <c r="DAI466"/>
      <c r="DAJ466"/>
      <c r="DAK466"/>
      <c r="DAL466"/>
      <c r="DAM466"/>
      <c r="DAN466"/>
      <c r="DAO466"/>
      <c r="DAP466"/>
      <c r="DAQ466"/>
      <c r="DAR466"/>
      <c r="DAS466"/>
      <c r="DAT466"/>
      <c r="DAU466"/>
      <c r="DAV466"/>
      <c r="DAW466"/>
      <c r="DAX466"/>
      <c r="DAY466"/>
      <c r="DAZ466"/>
      <c r="DBA466"/>
      <c r="DBB466"/>
      <c r="DBC466"/>
      <c r="DBD466"/>
      <c r="DBE466"/>
      <c r="DBF466"/>
      <c r="DBG466"/>
      <c r="DBH466"/>
      <c r="DBI466"/>
      <c r="DBJ466"/>
      <c r="DBK466"/>
      <c r="DBL466"/>
      <c r="DBM466"/>
      <c r="DBN466"/>
      <c r="DBO466"/>
      <c r="DBP466"/>
      <c r="DBQ466"/>
      <c r="DBR466"/>
      <c r="DBS466"/>
      <c r="DBT466"/>
      <c r="DBU466"/>
      <c r="DBV466"/>
      <c r="DBW466"/>
      <c r="DBX466"/>
      <c r="DBY466"/>
      <c r="DBZ466"/>
      <c r="DCA466"/>
      <c r="DCB466"/>
      <c r="DCC466"/>
      <c r="DCD466"/>
      <c r="DCE466"/>
      <c r="DCF466"/>
      <c r="DCG466"/>
      <c r="DCH466"/>
      <c r="DCI466"/>
      <c r="DCJ466"/>
      <c r="DCK466"/>
      <c r="DCL466"/>
      <c r="DCM466"/>
      <c r="DCN466"/>
      <c r="DCO466"/>
      <c r="DCP466"/>
      <c r="DCQ466"/>
      <c r="DCR466"/>
      <c r="DCS466"/>
      <c r="DCT466"/>
      <c r="DCU466"/>
      <c r="DCV466"/>
      <c r="DCW466"/>
      <c r="DCX466"/>
      <c r="DCY466"/>
      <c r="DCZ466"/>
      <c r="DDA466"/>
      <c r="DDB466"/>
      <c r="DDC466"/>
      <c r="DDD466"/>
      <c r="DDE466"/>
      <c r="DDF466"/>
      <c r="DDG466"/>
      <c r="DDH466"/>
      <c r="DDI466"/>
      <c r="DDJ466"/>
      <c r="DDK466"/>
      <c r="DDL466"/>
      <c r="DDM466"/>
      <c r="DDN466"/>
      <c r="DDO466"/>
      <c r="DDP466"/>
      <c r="DDQ466"/>
      <c r="DDR466"/>
      <c r="DDS466"/>
      <c r="DDT466"/>
      <c r="DDU466"/>
      <c r="DDV466"/>
      <c r="DDW466"/>
      <c r="DDX466"/>
      <c r="DDY466"/>
      <c r="DDZ466"/>
      <c r="DEA466"/>
      <c r="DEB466"/>
      <c r="DEC466"/>
      <c r="DED466"/>
      <c r="DEE466"/>
      <c r="DEF466"/>
      <c r="DEG466"/>
      <c r="DEH466"/>
      <c r="DEI466"/>
      <c r="DEJ466"/>
      <c r="DEK466"/>
      <c r="DEL466"/>
      <c r="DEM466"/>
      <c r="DEN466"/>
      <c r="DEO466"/>
      <c r="DEP466"/>
      <c r="DEQ466"/>
      <c r="DER466"/>
      <c r="DES466"/>
      <c r="DET466"/>
      <c r="DEU466"/>
      <c r="DEV466"/>
      <c r="DEW466"/>
      <c r="DEX466"/>
      <c r="DEY466"/>
      <c r="DEZ466"/>
      <c r="DFA466"/>
      <c r="DFB466"/>
      <c r="DFC466"/>
      <c r="DFD466"/>
      <c r="DFE466"/>
      <c r="DFF466"/>
      <c r="DFG466"/>
      <c r="DFH466"/>
      <c r="DFI466"/>
      <c r="DFJ466"/>
      <c r="DFK466"/>
      <c r="DFL466"/>
      <c r="DFM466"/>
      <c r="DFN466"/>
      <c r="DFO466"/>
      <c r="DFP466"/>
      <c r="DFQ466"/>
      <c r="DFR466"/>
      <c r="DFS466"/>
      <c r="DFT466"/>
      <c r="DFU466"/>
      <c r="DFV466"/>
      <c r="DFW466"/>
      <c r="DFX466"/>
      <c r="DFY466"/>
      <c r="DFZ466"/>
      <c r="DGA466"/>
      <c r="DGB466"/>
      <c r="DGC466"/>
      <c r="DGD466"/>
      <c r="DGE466"/>
      <c r="DGF466"/>
      <c r="DGG466"/>
      <c r="DGH466"/>
      <c r="DGI466"/>
      <c r="DGJ466"/>
      <c r="DGK466"/>
      <c r="DGL466"/>
      <c r="DGM466"/>
      <c r="DGN466"/>
      <c r="DGO466"/>
      <c r="DGP466"/>
      <c r="DGQ466"/>
      <c r="DGR466"/>
      <c r="DGS466"/>
      <c r="DGT466"/>
      <c r="DGU466"/>
      <c r="DGV466"/>
      <c r="DGW466"/>
      <c r="DGX466"/>
      <c r="DGY466"/>
      <c r="DGZ466"/>
      <c r="DHA466"/>
      <c r="DHB466"/>
      <c r="DHC466"/>
      <c r="DHD466"/>
      <c r="DHE466"/>
      <c r="DHF466"/>
      <c r="DHG466"/>
      <c r="DHH466"/>
      <c r="DHI466"/>
      <c r="DHJ466"/>
      <c r="DHK466"/>
      <c r="DHL466"/>
      <c r="DHM466"/>
      <c r="DHN466"/>
      <c r="DHO466"/>
      <c r="DHP466"/>
      <c r="DHQ466"/>
      <c r="DHR466"/>
      <c r="DHS466"/>
      <c r="DHT466"/>
      <c r="DHU466"/>
      <c r="DHV466"/>
      <c r="DHW466"/>
      <c r="DHX466"/>
      <c r="DHY466"/>
      <c r="DHZ466"/>
      <c r="DIA466"/>
      <c r="DIB466"/>
      <c r="DIC466"/>
      <c r="DID466"/>
      <c r="DIE466"/>
      <c r="DIF466"/>
      <c r="DIG466"/>
      <c r="DIH466"/>
      <c r="DII466"/>
      <c r="DIJ466"/>
      <c r="DIK466"/>
      <c r="DIL466"/>
      <c r="DIM466"/>
      <c r="DIN466"/>
      <c r="DIO466"/>
      <c r="DIP466"/>
      <c r="DIQ466"/>
      <c r="DIR466"/>
      <c r="DIS466"/>
      <c r="DIT466"/>
      <c r="DIU466"/>
      <c r="DIV466"/>
      <c r="DIW466"/>
      <c r="DIX466"/>
      <c r="DIY466"/>
      <c r="DIZ466"/>
      <c r="DJA466"/>
      <c r="DJB466"/>
      <c r="DJC466"/>
      <c r="DJD466"/>
      <c r="DJE466"/>
      <c r="DJF466"/>
      <c r="DJG466"/>
      <c r="DJH466"/>
      <c r="DJI466"/>
      <c r="DJJ466"/>
      <c r="DJK466"/>
      <c r="DJL466"/>
      <c r="DJM466"/>
      <c r="DJN466"/>
      <c r="DJO466"/>
      <c r="DJP466"/>
      <c r="DJQ466"/>
      <c r="DJR466"/>
      <c r="DJS466"/>
      <c r="DJT466"/>
      <c r="DJU466"/>
      <c r="DJV466"/>
      <c r="DJW466"/>
      <c r="DJX466"/>
      <c r="DJY466"/>
      <c r="DJZ466"/>
      <c r="DKA466"/>
      <c r="DKB466"/>
      <c r="DKC466"/>
      <c r="DKD466"/>
      <c r="DKE466"/>
      <c r="DKF466"/>
      <c r="DKG466"/>
      <c r="DKH466"/>
      <c r="DKI466"/>
      <c r="DKJ466"/>
      <c r="DKK466"/>
      <c r="DKL466"/>
      <c r="DKM466"/>
      <c r="DKN466"/>
      <c r="DKO466"/>
      <c r="DKP466"/>
      <c r="DKQ466"/>
      <c r="DKR466"/>
      <c r="DKS466"/>
      <c r="DKT466"/>
      <c r="DKU466"/>
      <c r="DKV466"/>
      <c r="DKW466"/>
      <c r="DKX466"/>
      <c r="DKY466"/>
      <c r="DKZ466"/>
      <c r="DLA466"/>
      <c r="DLB466"/>
      <c r="DLC466"/>
      <c r="DLD466"/>
      <c r="DLE466"/>
      <c r="DLF466"/>
      <c r="DLG466"/>
      <c r="DLH466"/>
      <c r="DLI466"/>
      <c r="DLJ466"/>
      <c r="DLK466"/>
      <c r="DLL466"/>
      <c r="DLM466"/>
      <c r="DLN466"/>
      <c r="DLO466"/>
      <c r="DLP466"/>
      <c r="DLQ466"/>
      <c r="DLR466"/>
      <c r="DLS466"/>
      <c r="DLT466"/>
      <c r="DLU466"/>
      <c r="DLV466"/>
      <c r="DLW466"/>
      <c r="DLX466"/>
      <c r="DLY466"/>
      <c r="DLZ466"/>
      <c r="DMA466"/>
      <c r="DMB466"/>
      <c r="DMC466"/>
      <c r="DMD466"/>
      <c r="DME466"/>
      <c r="DMF466"/>
      <c r="DMG466"/>
      <c r="DMH466"/>
      <c r="DMI466"/>
      <c r="DMJ466"/>
      <c r="DMK466"/>
      <c r="DML466"/>
      <c r="DMM466"/>
      <c r="DMN466"/>
      <c r="DMO466"/>
      <c r="DMP466"/>
      <c r="DMQ466"/>
      <c r="DMR466"/>
      <c r="DMS466"/>
      <c r="DMT466"/>
      <c r="DMU466"/>
      <c r="DMV466"/>
      <c r="DMW466"/>
      <c r="DMX466"/>
      <c r="DMY466"/>
      <c r="DMZ466"/>
      <c r="DNA466"/>
      <c r="DNB466"/>
      <c r="DNC466"/>
      <c r="DND466"/>
      <c r="DNE466"/>
      <c r="DNF466"/>
      <c r="DNG466"/>
      <c r="DNH466"/>
      <c r="DNI466"/>
      <c r="DNJ466"/>
      <c r="DNK466"/>
      <c r="DNL466"/>
      <c r="DNM466"/>
      <c r="DNN466"/>
      <c r="DNO466"/>
      <c r="DNP466"/>
      <c r="DNQ466"/>
      <c r="DNR466"/>
      <c r="DNS466"/>
      <c r="DNT466"/>
      <c r="DNU466"/>
      <c r="DNV466"/>
      <c r="DNW466"/>
      <c r="DNX466"/>
      <c r="DNY466"/>
      <c r="DNZ466"/>
      <c r="DOA466"/>
      <c r="DOB466"/>
      <c r="DOC466"/>
      <c r="DOD466"/>
      <c r="DOE466"/>
      <c r="DOF466"/>
      <c r="DOG466"/>
      <c r="DOH466"/>
      <c r="DOI466"/>
      <c r="DOJ466"/>
      <c r="DOK466"/>
      <c r="DOL466"/>
      <c r="DOM466"/>
      <c r="DON466"/>
      <c r="DOO466"/>
      <c r="DOP466"/>
      <c r="DOQ466"/>
      <c r="DOR466"/>
      <c r="DOS466"/>
      <c r="DOT466"/>
      <c r="DOU466"/>
      <c r="DOV466"/>
      <c r="DOW466"/>
      <c r="DOX466"/>
      <c r="DOY466"/>
      <c r="DOZ466"/>
      <c r="DPA466"/>
      <c r="DPB466"/>
      <c r="DPC466"/>
      <c r="DPD466"/>
      <c r="DPE466"/>
      <c r="DPF466"/>
      <c r="DPG466"/>
      <c r="DPH466"/>
      <c r="DPI466"/>
      <c r="DPJ466"/>
      <c r="DPK466"/>
      <c r="DPL466"/>
      <c r="DPM466"/>
      <c r="DPN466"/>
      <c r="DPO466"/>
      <c r="DPP466"/>
      <c r="DPQ466"/>
      <c r="DPR466"/>
      <c r="DPS466"/>
      <c r="DPT466"/>
      <c r="DPU466"/>
      <c r="DPV466"/>
      <c r="DPW466"/>
      <c r="DPX466"/>
      <c r="DPY466"/>
      <c r="DPZ466"/>
      <c r="DQA466"/>
      <c r="DQB466"/>
      <c r="DQC466"/>
      <c r="DQD466"/>
      <c r="DQE466"/>
      <c r="DQF466"/>
      <c r="DQG466"/>
      <c r="DQH466"/>
      <c r="DQI466"/>
      <c r="DQJ466"/>
      <c r="DQK466"/>
      <c r="DQL466"/>
      <c r="DQM466"/>
      <c r="DQN466"/>
      <c r="DQO466"/>
      <c r="DQP466"/>
      <c r="DQQ466"/>
      <c r="DQR466"/>
      <c r="DQS466"/>
      <c r="DQT466"/>
      <c r="DQU466"/>
      <c r="DQV466"/>
      <c r="DQW466"/>
      <c r="DQX466"/>
      <c r="DQY466"/>
      <c r="DQZ466"/>
      <c r="DRA466"/>
      <c r="DRB466"/>
      <c r="DRC466"/>
      <c r="DRD466"/>
      <c r="DRE466"/>
      <c r="DRF466"/>
      <c r="DRG466"/>
      <c r="DRH466"/>
      <c r="DRI466"/>
      <c r="DRJ466"/>
      <c r="DRK466"/>
      <c r="DRL466"/>
      <c r="DRM466"/>
      <c r="DRN466"/>
      <c r="DRO466"/>
      <c r="DRP466"/>
      <c r="DRQ466"/>
      <c r="DRR466"/>
      <c r="DRS466"/>
      <c r="DRT466"/>
      <c r="DRU466"/>
      <c r="DRV466"/>
      <c r="DRW466"/>
      <c r="DRX466"/>
      <c r="DRY466"/>
      <c r="DRZ466"/>
      <c r="DSA466"/>
      <c r="DSB466"/>
      <c r="DSC466"/>
      <c r="DSD466"/>
      <c r="DSE466"/>
      <c r="DSF466"/>
      <c r="DSG466"/>
      <c r="DSH466"/>
      <c r="DSI466"/>
      <c r="DSJ466"/>
      <c r="DSK466"/>
      <c r="DSL466"/>
      <c r="DSM466"/>
      <c r="DSN466"/>
      <c r="DSO466"/>
      <c r="DSP466"/>
      <c r="DSQ466"/>
      <c r="DSR466"/>
      <c r="DSS466"/>
      <c r="DST466"/>
      <c r="DSU466"/>
      <c r="DSV466"/>
      <c r="DSW466"/>
      <c r="DSX466"/>
      <c r="DSY466"/>
      <c r="DSZ466"/>
      <c r="DTA466"/>
      <c r="DTB466"/>
      <c r="DTC466"/>
      <c r="DTD466"/>
      <c r="DTE466"/>
      <c r="DTF466"/>
      <c r="DTG466"/>
      <c r="DTH466"/>
      <c r="DTI466"/>
      <c r="DTJ466"/>
      <c r="DTK466"/>
      <c r="DTL466"/>
      <c r="DTM466"/>
      <c r="DTN466"/>
      <c r="DTO466"/>
      <c r="DTP466"/>
      <c r="DTQ466"/>
      <c r="DTR466"/>
      <c r="DTS466"/>
      <c r="DTT466"/>
      <c r="DTU466"/>
      <c r="DTV466"/>
      <c r="DTW466"/>
      <c r="DTX466"/>
      <c r="DTY466"/>
      <c r="DTZ466"/>
      <c r="DUA466"/>
      <c r="DUB466"/>
      <c r="DUC466"/>
      <c r="DUD466"/>
      <c r="DUE466"/>
      <c r="DUF466"/>
      <c r="DUG466"/>
      <c r="DUH466"/>
      <c r="DUI466"/>
      <c r="DUJ466"/>
      <c r="DUK466"/>
      <c r="DUL466"/>
      <c r="DUM466"/>
      <c r="DUN466"/>
      <c r="DUO466"/>
      <c r="DUP466"/>
      <c r="DUQ466"/>
      <c r="DUR466"/>
      <c r="DUS466"/>
      <c r="DUT466"/>
      <c r="DUU466"/>
      <c r="DUV466"/>
      <c r="DUW466"/>
      <c r="DUX466"/>
      <c r="DUY466"/>
      <c r="DUZ466"/>
      <c r="DVA466"/>
      <c r="DVB466"/>
      <c r="DVC466"/>
      <c r="DVD466"/>
      <c r="DVE466"/>
      <c r="DVF466"/>
      <c r="DVG466"/>
      <c r="DVH466"/>
      <c r="DVI466"/>
      <c r="DVJ466"/>
      <c r="DVK466"/>
      <c r="DVL466"/>
      <c r="DVM466"/>
      <c r="DVN466"/>
      <c r="DVO466"/>
      <c r="DVP466"/>
      <c r="DVQ466"/>
      <c r="DVR466"/>
      <c r="DVS466"/>
      <c r="DVT466"/>
      <c r="DVU466"/>
      <c r="DVV466"/>
      <c r="DVW466"/>
      <c r="DVX466"/>
      <c r="DVY466"/>
      <c r="DVZ466"/>
      <c r="DWA466"/>
      <c r="DWB466"/>
      <c r="DWC466"/>
      <c r="DWD466"/>
      <c r="DWE466"/>
      <c r="DWF466"/>
      <c r="DWG466"/>
      <c r="DWH466"/>
      <c r="DWI466"/>
      <c r="DWJ466"/>
      <c r="DWK466"/>
      <c r="DWL466"/>
      <c r="DWM466"/>
      <c r="DWN466"/>
      <c r="DWO466"/>
      <c r="DWP466"/>
      <c r="DWQ466"/>
      <c r="DWR466"/>
      <c r="DWS466"/>
      <c r="DWT466"/>
      <c r="DWU466"/>
      <c r="DWV466"/>
      <c r="DWW466"/>
      <c r="DWX466"/>
      <c r="DWY466"/>
      <c r="DWZ466"/>
      <c r="DXA466"/>
      <c r="DXB466"/>
      <c r="DXC466"/>
      <c r="DXD466"/>
      <c r="DXE466"/>
      <c r="DXF466"/>
      <c r="DXG466"/>
      <c r="DXH466"/>
      <c r="DXI466"/>
      <c r="DXJ466"/>
      <c r="DXK466"/>
      <c r="DXL466"/>
      <c r="DXM466"/>
      <c r="DXN466"/>
      <c r="DXO466"/>
      <c r="DXP466"/>
      <c r="DXQ466"/>
      <c r="DXR466"/>
      <c r="DXS466"/>
      <c r="DXT466"/>
      <c r="DXU466"/>
      <c r="DXV466"/>
      <c r="DXW466"/>
      <c r="DXX466"/>
      <c r="DXY466"/>
      <c r="DXZ466"/>
      <c r="DYA466"/>
      <c r="DYB466"/>
      <c r="DYC466"/>
      <c r="DYD466"/>
      <c r="DYE466"/>
      <c r="DYF466"/>
      <c r="DYG466"/>
      <c r="DYH466"/>
      <c r="DYI466"/>
      <c r="DYJ466"/>
      <c r="DYK466"/>
      <c r="DYL466"/>
      <c r="DYM466"/>
      <c r="DYN466"/>
      <c r="DYO466"/>
      <c r="DYP466"/>
      <c r="DYQ466"/>
      <c r="DYR466"/>
      <c r="DYS466"/>
      <c r="DYT466"/>
      <c r="DYU466"/>
      <c r="DYV466"/>
      <c r="DYW466"/>
      <c r="DYX466"/>
      <c r="DYY466"/>
      <c r="DYZ466"/>
      <c r="DZA466"/>
      <c r="DZB466"/>
      <c r="DZC466"/>
      <c r="DZD466"/>
      <c r="DZE466"/>
      <c r="DZF466"/>
      <c r="DZG466"/>
      <c r="DZH466"/>
      <c r="DZI466"/>
      <c r="DZJ466"/>
      <c r="DZK466"/>
      <c r="DZL466"/>
      <c r="DZM466"/>
      <c r="DZN466"/>
      <c r="DZO466"/>
      <c r="DZP466"/>
      <c r="DZQ466"/>
      <c r="DZR466"/>
      <c r="DZS466"/>
      <c r="DZT466"/>
      <c r="DZU466"/>
      <c r="DZV466"/>
      <c r="DZW466"/>
      <c r="DZX466"/>
      <c r="DZY466"/>
      <c r="DZZ466"/>
      <c r="EAA466"/>
      <c r="EAB466"/>
      <c r="EAC466"/>
      <c r="EAD466"/>
      <c r="EAE466"/>
      <c r="EAF466"/>
      <c r="EAG466"/>
      <c r="EAH466"/>
      <c r="EAI466"/>
      <c r="EAJ466"/>
      <c r="EAK466"/>
      <c r="EAL466"/>
      <c r="EAM466"/>
      <c r="EAN466"/>
      <c r="EAO466"/>
      <c r="EAP466"/>
      <c r="EAQ466"/>
      <c r="EAR466"/>
      <c r="EAS466"/>
      <c r="EAT466"/>
      <c r="EAU466"/>
      <c r="EAV466"/>
      <c r="EAW466"/>
      <c r="EAX466"/>
      <c r="EAY466"/>
      <c r="EAZ466"/>
      <c r="EBA466"/>
      <c r="EBB466"/>
      <c r="EBC466"/>
      <c r="EBD466"/>
      <c r="EBE466"/>
      <c r="EBF466"/>
      <c r="EBG466"/>
      <c r="EBH466"/>
      <c r="EBI466"/>
      <c r="EBJ466"/>
      <c r="EBK466"/>
      <c r="EBL466"/>
      <c r="EBM466"/>
      <c r="EBN466"/>
      <c r="EBO466"/>
      <c r="EBP466"/>
      <c r="EBQ466"/>
      <c r="EBR466"/>
      <c r="EBS466"/>
      <c r="EBT466"/>
      <c r="EBU466"/>
      <c r="EBV466"/>
      <c r="EBW466"/>
      <c r="EBX466"/>
      <c r="EBY466"/>
      <c r="EBZ466"/>
      <c r="ECA466"/>
      <c r="ECB466"/>
      <c r="ECC466"/>
      <c r="ECD466"/>
      <c r="ECE466"/>
      <c r="ECF466"/>
      <c r="ECG466"/>
      <c r="ECH466"/>
      <c r="ECI466"/>
      <c r="ECJ466"/>
      <c r="ECK466"/>
      <c r="ECL466"/>
      <c r="ECM466"/>
      <c r="ECN466"/>
      <c r="ECO466"/>
      <c r="ECP466"/>
      <c r="ECQ466"/>
      <c r="ECR466"/>
      <c r="ECS466"/>
      <c r="ECT466"/>
      <c r="ECU466"/>
      <c r="ECV466"/>
      <c r="ECW466"/>
      <c r="ECX466"/>
      <c r="ECY466"/>
      <c r="ECZ466"/>
      <c r="EDA466"/>
      <c r="EDB466"/>
      <c r="EDC466"/>
      <c r="EDD466"/>
      <c r="EDE466"/>
      <c r="EDF466"/>
      <c r="EDG466"/>
      <c r="EDH466"/>
      <c r="EDI466"/>
      <c r="EDJ466"/>
      <c r="EDK466"/>
      <c r="EDL466"/>
      <c r="EDM466"/>
      <c r="EDN466"/>
      <c r="EDO466"/>
      <c r="EDP466"/>
      <c r="EDQ466"/>
      <c r="EDR466"/>
      <c r="EDS466"/>
      <c r="EDT466"/>
      <c r="EDU466"/>
      <c r="EDV466"/>
      <c r="EDW466"/>
      <c r="EDX466"/>
      <c r="EDY466"/>
      <c r="EDZ466"/>
      <c r="EEA466"/>
      <c r="EEB466"/>
      <c r="EEC466"/>
      <c r="EED466"/>
      <c r="EEE466"/>
      <c r="EEF466"/>
      <c r="EEG466"/>
      <c r="EEH466"/>
      <c r="EEI466"/>
      <c r="EEJ466"/>
      <c r="EEK466"/>
      <c r="EEL466"/>
      <c r="EEM466"/>
      <c r="EEN466"/>
      <c r="EEO466"/>
      <c r="EEP466"/>
      <c r="EEQ466"/>
      <c r="EER466"/>
      <c r="EES466"/>
      <c r="EET466"/>
      <c r="EEU466"/>
      <c r="EEV466"/>
      <c r="EEW466"/>
      <c r="EEX466"/>
      <c r="EEY466"/>
      <c r="EEZ466"/>
      <c r="EFA466"/>
      <c r="EFB466"/>
      <c r="EFC466"/>
      <c r="EFD466"/>
      <c r="EFE466"/>
      <c r="EFF466"/>
      <c r="EFG466"/>
      <c r="EFH466"/>
      <c r="EFI466"/>
      <c r="EFJ466"/>
      <c r="EFK466"/>
      <c r="EFL466"/>
      <c r="EFM466"/>
      <c r="EFN466"/>
      <c r="EFO466"/>
      <c r="EFP466"/>
      <c r="EFQ466"/>
      <c r="EFR466"/>
      <c r="EFS466"/>
      <c r="EFT466"/>
      <c r="EFU466"/>
      <c r="EFV466"/>
      <c r="EFW466"/>
      <c r="EFX466"/>
      <c r="EFY466"/>
      <c r="EFZ466"/>
      <c r="EGA466"/>
      <c r="EGB466"/>
      <c r="EGC466"/>
      <c r="EGD466"/>
      <c r="EGE466"/>
      <c r="EGF466"/>
      <c r="EGG466"/>
      <c r="EGH466"/>
      <c r="EGI466"/>
      <c r="EGJ466"/>
      <c r="EGK466"/>
      <c r="EGL466"/>
      <c r="EGM466"/>
      <c r="EGN466"/>
      <c r="EGO466"/>
      <c r="EGP466"/>
      <c r="EGQ466"/>
      <c r="EGR466"/>
      <c r="EGS466"/>
      <c r="EGT466"/>
      <c r="EGU466"/>
      <c r="EGV466"/>
      <c r="EGW466"/>
      <c r="EGX466"/>
      <c r="EGY466"/>
      <c r="EGZ466"/>
      <c r="EHA466"/>
      <c r="EHB466"/>
      <c r="EHC466"/>
      <c r="EHD466"/>
      <c r="EHE466"/>
      <c r="EHF466"/>
      <c r="EHG466"/>
      <c r="EHH466"/>
      <c r="EHI466"/>
      <c r="EHJ466"/>
      <c r="EHK466"/>
      <c r="EHL466"/>
      <c r="EHM466"/>
      <c r="EHN466"/>
      <c r="EHO466"/>
      <c r="EHP466"/>
      <c r="EHQ466"/>
      <c r="EHR466"/>
      <c r="EHS466"/>
      <c r="EHT466"/>
      <c r="EHU466"/>
      <c r="EHV466"/>
      <c r="EHW466"/>
      <c r="EHX466"/>
      <c r="EHY466"/>
      <c r="EHZ466"/>
      <c r="EIA466"/>
      <c r="EIB466"/>
      <c r="EIC466"/>
      <c r="EID466"/>
      <c r="EIE466"/>
      <c r="EIF466"/>
      <c r="EIG466"/>
      <c r="EIH466"/>
      <c r="EII466"/>
      <c r="EIJ466"/>
      <c r="EIK466"/>
      <c r="EIL466"/>
      <c r="EIM466"/>
      <c r="EIN466"/>
      <c r="EIO466"/>
      <c r="EIP466"/>
      <c r="EIQ466"/>
      <c r="EIR466"/>
      <c r="EIS466"/>
      <c r="EIT466"/>
      <c r="EIU466"/>
      <c r="EIV466"/>
      <c r="EIW466"/>
      <c r="EIX466"/>
      <c r="EIY466"/>
      <c r="EIZ466"/>
      <c r="EJA466"/>
      <c r="EJB466"/>
      <c r="EJC466"/>
      <c r="EJD466"/>
      <c r="EJE466"/>
      <c r="EJF466"/>
      <c r="EJG466"/>
      <c r="EJH466"/>
      <c r="EJI466"/>
      <c r="EJJ466"/>
      <c r="EJK466"/>
      <c r="EJL466"/>
      <c r="EJM466"/>
      <c r="EJN466"/>
      <c r="EJO466"/>
      <c r="EJP466"/>
      <c r="EJQ466"/>
      <c r="EJR466"/>
      <c r="EJS466"/>
      <c r="EJT466"/>
      <c r="EJU466"/>
      <c r="EJV466"/>
      <c r="EJW466"/>
      <c r="EJX466"/>
      <c r="EJY466"/>
      <c r="EJZ466"/>
      <c r="EKA466"/>
      <c r="EKB466"/>
      <c r="EKC466"/>
      <c r="EKD466"/>
      <c r="EKE466"/>
      <c r="EKF466"/>
      <c r="EKG466"/>
      <c r="EKH466"/>
      <c r="EKI466"/>
      <c r="EKJ466"/>
      <c r="EKK466"/>
      <c r="EKL466"/>
      <c r="EKM466"/>
      <c r="EKN466"/>
      <c r="EKO466"/>
      <c r="EKP466"/>
      <c r="EKQ466"/>
      <c r="EKR466"/>
      <c r="EKS466"/>
      <c r="EKT466"/>
      <c r="EKU466"/>
      <c r="EKV466"/>
      <c r="EKW466"/>
      <c r="EKX466"/>
      <c r="EKY466"/>
      <c r="EKZ466"/>
      <c r="ELA466"/>
      <c r="ELB466"/>
      <c r="ELC466"/>
      <c r="ELD466"/>
      <c r="ELE466"/>
      <c r="ELF466"/>
      <c r="ELG466"/>
      <c r="ELH466"/>
      <c r="ELI466"/>
      <c r="ELJ466"/>
      <c r="ELK466"/>
      <c r="ELL466"/>
      <c r="ELM466"/>
      <c r="ELN466"/>
      <c r="ELO466"/>
      <c r="ELP466"/>
      <c r="ELQ466"/>
      <c r="ELR466"/>
      <c r="ELS466"/>
      <c r="ELT466"/>
      <c r="ELU466"/>
      <c r="ELV466"/>
      <c r="ELW466"/>
      <c r="ELX466"/>
      <c r="ELY466"/>
      <c r="ELZ466"/>
      <c r="EMA466"/>
      <c r="EMB466"/>
      <c r="EMC466"/>
      <c r="EMD466"/>
      <c r="EME466"/>
      <c r="EMF466"/>
      <c r="EMG466"/>
      <c r="EMH466"/>
      <c r="EMI466"/>
      <c r="EMJ466"/>
      <c r="EMK466"/>
      <c r="EML466"/>
      <c r="EMM466"/>
      <c r="EMN466"/>
      <c r="EMO466"/>
      <c r="EMP466"/>
      <c r="EMQ466"/>
      <c r="EMR466"/>
      <c r="EMS466"/>
      <c r="EMT466"/>
      <c r="EMU466"/>
      <c r="EMV466"/>
      <c r="EMW466"/>
      <c r="EMX466"/>
      <c r="EMY466"/>
      <c r="EMZ466"/>
      <c r="ENA466"/>
      <c r="ENB466"/>
      <c r="ENC466"/>
      <c r="END466"/>
      <c r="ENE466"/>
      <c r="ENF466"/>
      <c r="ENG466"/>
      <c r="ENH466"/>
      <c r="ENI466"/>
      <c r="ENJ466"/>
      <c r="ENK466"/>
      <c r="ENL466"/>
      <c r="ENM466"/>
      <c r="ENN466"/>
      <c r="ENO466"/>
      <c r="ENP466"/>
      <c r="ENQ466"/>
      <c r="ENR466"/>
      <c r="ENS466"/>
      <c r="ENT466"/>
      <c r="ENU466"/>
      <c r="ENV466"/>
      <c r="ENW466"/>
      <c r="ENX466"/>
      <c r="ENY466"/>
      <c r="ENZ466"/>
      <c r="EOA466"/>
      <c r="EOB466"/>
      <c r="EOC466"/>
      <c r="EOD466"/>
      <c r="EOE466"/>
      <c r="EOF466"/>
      <c r="EOG466"/>
      <c r="EOH466"/>
      <c r="EOI466"/>
      <c r="EOJ466"/>
      <c r="EOK466"/>
      <c r="EOL466"/>
      <c r="EOM466"/>
      <c r="EON466"/>
      <c r="EOO466"/>
      <c r="EOP466"/>
      <c r="EOQ466"/>
      <c r="EOR466"/>
      <c r="EOS466"/>
      <c r="EOT466"/>
      <c r="EOU466"/>
      <c r="EOV466"/>
      <c r="EOW466"/>
      <c r="EOX466"/>
      <c r="EOY466"/>
      <c r="EOZ466"/>
      <c r="EPA466"/>
      <c r="EPB466"/>
      <c r="EPC466"/>
      <c r="EPD466"/>
      <c r="EPE466"/>
      <c r="EPF466"/>
      <c r="EPG466"/>
      <c r="EPH466"/>
      <c r="EPI466"/>
      <c r="EPJ466"/>
      <c r="EPK466"/>
      <c r="EPL466"/>
      <c r="EPM466"/>
      <c r="EPN466"/>
      <c r="EPO466"/>
      <c r="EPP466"/>
      <c r="EPQ466"/>
      <c r="EPR466"/>
      <c r="EPS466"/>
      <c r="EPT466"/>
      <c r="EPU466"/>
      <c r="EPV466"/>
      <c r="EPW466"/>
      <c r="EPX466"/>
      <c r="EPY466"/>
      <c r="EPZ466"/>
      <c r="EQA466"/>
      <c r="EQB466"/>
      <c r="EQC466"/>
      <c r="EQD466"/>
      <c r="EQE466"/>
      <c r="EQF466"/>
      <c r="EQG466"/>
      <c r="EQH466"/>
      <c r="EQI466"/>
      <c r="EQJ466"/>
      <c r="EQK466"/>
      <c r="EQL466"/>
      <c r="EQM466"/>
      <c r="EQN466"/>
      <c r="EQO466"/>
      <c r="EQP466"/>
      <c r="EQQ466"/>
      <c r="EQR466"/>
      <c r="EQS466"/>
      <c r="EQT466"/>
      <c r="EQU466"/>
      <c r="EQV466"/>
      <c r="EQW466"/>
      <c r="EQX466"/>
      <c r="EQY466"/>
      <c r="EQZ466"/>
      <c r="ERA466"/>
      <c r="ERB466"/>
      <c r="ERC466"/>
      <c r="ERD466"/>
      <c r="ERE466"/>
      <c r="ERF466"/>
      <c r="ERG466"/>
      <c r="ERH466"/>
      <c r="ERI466"/>
      <c r="ERJ466"/>
      <c r="ERK466"/>
      <c r="ERL466"/>
      <c r="ERM466"/>
      <c r="ERN466"/>
      <c r="ERO466"/>
      <c r="ERP466"/>
      <c r="ERQ466"/>
      <c r="ERR466"/>
      <c r="ERS466"/>
      <c r="ERT466"/>
      <c r="ERU466"/>
      <c r="ERV466"/>
      <c r="ERW466"/>
      <c r="ERX466"/>
      <c r="ERY466"/>
      <c r="ERZ466"/>
      <c r="ESA466"/>
      <c r="ESB466"/>
      <c r="ESC466"/>
      <c r="ESD466"/>
      <c r="ESE466"/>
      <c r="ESF466"/>
      <c r="ESG466"/>
      <c r="ESH466"/>
      <c r="ESI466"/>
      <c r="ESJ466"/>
      <c r="ESK466"/>
      <c r="ESL466"/>
      <c r="ESM466"/>
      <c r="ESN466"/>
      <c r="ESO466"/>
      <c r="ESP466"/>
      <c r="ESQ466"/>
      <c r="ESR466"/>
      <c r="ESS466"/>
      <c r="EST466"/>
      <c r="ESU466"/>
      <c r="ESV466"/>
      <c r="ESW466"/>
      <c r="ESX466"/>
      <c r="ESY466"/>
      <c r="ESZ466"/>
      <c r="ETA466"/>
      <c r="ETB466"/>
      <c r="ETC466"/>
      <c r="ETD466"/>
      <c r="ETE466"/>
      <c r="ETF466"/>
      <c r="ETG466"/>
      <c r="ETH466"/>
      <c r="ETI466"/>
      <c r="ETJ466"/>
      <c r="ETK466"/>
      <c r="ETL466"/>
      <c r="ETM466"/>
      <c r="ETN466"/>
      <c r="ETO466"/>
      <c r="ETP466"/>
      <c r="ETQ466"/>
      <c r="ETR466"/>
      <c r="ETS466"/>
      <c r="ETT466"/>
      <c r="ETU466"/>
      <c r="ETV466"/>
      <c r="ETW466"/>
      <c r="ETX466"/>
      <c r="ETY466"/>
      <c r="ETZ466"/>
      <c r="EUA466"/>
      <c r="EUB466"/>
      <c r="EUC466"/>
      <c r="EUD466"/>
      <c r="EUE466"/>
      <c r="EUF466"/>
      <c r="EUG466"/>
      <c r="EUH466"/>
      <c r="EUI466"/>
      <c r="EUJ466"/>
      <c r="EUK466"/>
      <c r="EUL466"/>
      <c r="EUM466"/>
      <c r="EUN466"/>
      <c r="EUO466"/>
      <c r="EUP466"/>
      <c r="EUQ466"/>
      <c r="EUR466"/>
      <c r="EUS466"/>
      <c r="EUT466"/>
      <c r="EUU466"/>
      <c r="EUV466"/>
      <c r="EUW466"/>
      <c r="EUX466"/>
      <c r="EUY466"/>
      <c r="EUZ466"/>
      <c r="EVA466"/>
      <c r="EVB466"/>
      <c r="EVC466"/>
      <c r="EVD466"/>
      <c r="EVE466"/>
      <c r="EVF466"/>
      <c r="EVG466"/>
      <c r="EVH466"/>
      <c r="EVI466"/>
      <c r="EVJ466"/>
      <c r="EVK466"/>
      <c r="EVL466"/>
      <c r="EVM466"/>
      <c r="EVN466"/>
      <c r="EVO466"/>
      <c r="EVP466"/>
      <c r="EVQ466"/>
      <c r="EVR466"/>
      <c r="EVS466"/>
      <c r="EVT466"/>
      <c r="EVU466"/>
      <c r="EVV466"/>
      <c r="EVW466"/>
      <c r="EVX466"/>
      <c r="EVY466"/>
      <c r="EVZ466"/>
      <c r="EWA466"/>
      <c r="EWB466"/>
      <c r="EWC466"/>
      <c r="EWD466"/>
      <c r="EWE466"/>
      <c r="EWF466"/>
      <c r="EWG466"/>
      <c r="EWH466"/>
      <c r="EWI466"/>
      <c r="EWJ466"/>
      <c r="EWK466"/>
      <c r="EWL466"/>
      <c r="EWM466"/>
      <c r="EWN466"/>
      <c r="EWO466"/>
      <c r="EWP466"/>
      <c r="EWQ466"/>
      <c r="EWR466"/>
      <c r="EWS466"/>
      <c r="EWT466"/>
      <c r="EWU466"/>
      <c r="EWV466"/>
      <c r="EWW466"/>
      <c r="EWX466"/>
      <c r="EWY466"/>
      <c r="EWZ466"/>
      <c r="EXA466"/>
      <c r="EXB466"/>
      <c r="EXC466"/>
      <c r="EXD466"/>
      <c r="EXE466"/>
      <c r="EXF466"/>
      <c r="EXG466"/>
      <c r="EXH466"/>
      <c r="EXI466"/>
      <c r="EXJ466"/>
      <c r="EXK466"/>
      <c r="EXL466"/>
      <c r="EXM466"/>
      <c r="EXN466"/>
      <c r="EXO466"/>
      <c r="EXP466"/>
      <c r="EXQ466"/>
      <c r="EXR466"/>
      <c r="EXS466"/>
      <c r="EXT466"/>
      <c r="EXU466"/>
      <c r="EXV466"/>
      <c r="EXW466"/>
      <c r="EXX466"/>
      <c r="EXY466"/>
      <c r="EXZ466"/>
      <c r="EYA466"/>
      <c r="EYB466"/>
      <c r="EYC466"/>
      <c r="EYD466"/>
      <c r="EYE466"/>
      <c r="EYF466"/>
      <c r="EYG466"/>
      <c r="EYH466"/>
      <c r="EYI466"/>
      <c r="EYJ466"/>
      <c r="EYK466"/>
      <c r="EYL466"/>
      <c r="EYM466"/>
      <c r="EYN466"/>
      <c r="EYO466"/>
      <c r="EYP466"/>
      <c r="EYQ466"/>
      <c r="EYR466"/>
      <c r="EYS466"/>
      <c r="EYT466"/>
      <c r="EYU466"/>
      <c r="EYV466"/>
      <c r="EYW466"/>
      <c r="EYX466"/>
      <c r="EYY466"/>
      <c r="EYZ466"/>
      <c r="EZA466"/>
      <c r="EZB466"/>
      <c r="EZC466"/>
      <c r="EZD466"/>
      <c r="EZE466"/>
      <c r="EZF466"/>
      <c r="EZG466"/>
      <c r="EZH466"/>
      <c r="EZI466"/>
      <c r="EZJ466"/>
      <c r="EZK466"/>
      <c r="EZL466"/>
      <c r="EZM466"/>
      <c r="EZN466"/>
      <c r="EZO466"/>
      <c r="EZP466"/>
      <c r="EZQ466"/>
      <c r="EZR466"/>
      <c r="EZS466"/>
      <c r="EZT466"/>
      <c r="EZU466"/>
      <c r="EZV466"/>
      <c r="EZW466"/>
      <c r="EZX466"/>
      <c r="EZY466"/>
      <c r="EZZ466"/>
      <c r="FAA466"/>
      <c r="FAB466"/>
      <c r="FAC466"/>
      <c r="FAD466"/>
      <c r="FAE466"/>
      <c r="FAF466"/>
      <c r="FAG466"/>
      <c r="FAH466"/>
      <c r="FAI466"/>
      <c r="FAJ466"/>
      <c r="FAK466"/>
      <c r="FAL466"/>
      <c r="FAM466"/>
      <c r="FAN466"/>
      <c r="FAO466"/>
      <c r="FAP466"/>
      <c r="FAQ466"/>
      <c r="FAR466"/>
      <c r="FAS466"/>
      <c r="FAT466"/>
      <c r="FAU466"/>
      <c r="FAV466"/>
      <c r="FAW466"/>
      <c r="FAX466"/>
      <c r="FAY466"/>
      <c r="FAZ466"/>
      <c r="FBA466"/>
      <c r="FBB466"/>
      <c r="FBC466"/>
      <c r="FBD466"/>
      <c r="FBE466"/>
      <c r="FBF466"/>
      <c r="FBG466"/>
      <c r="FBH466"/>
      <c r="FBI466"/>
      <c r="FBJ466"/>
      <c r="FBK466"/>
      <c r="FBL466"/>
      <c r="FBM466"/>
      <c r="FBN466"/>
      <c r="FBO466"/>
      <c r="FBP466"/>
      <c r="FBQ466"/>
      <c r="FBR466"/>
      <c r="FBS466"/>
      <c r="FBT466"/>
      <c r="FBU466"/>
      <c r="FBV466"/>
      <c r="FBW466"/>
      <c r="FBX466"/>
      <c r="FBY466"/>
      <c r="FBZ466"/>
      <c r="FCA466"/>
      <c r="FCB466"/>
      <c r="FCC466"/>
      <c r="FCD466"/>
      <c r="FCE466"/>
      <c r="FCF466"/>
      <c r="FCG466"/>
      <c r="FCH466"/>
      <c r="FCI466"/>
      <c r="FCJ466"/>
      <c r="FCK466"/>
      <c r="FCL466"/>
      <c r="FCM466"/>
      <c r="FCN466"/>
      <c r="FCO466"/>
      <c r="FCP466"/>
      <c r="FCQ466"/>
      <c r="FCR466"/>
      <c r="FCS466"/>
      <c r="FCT466"/>
      <c r="FCU466"/>
      <c r="FCV466"/>
      <c r="FCW466"/>
      <c r="FCX466"/>
      <c r="FCY466"/>
      <c r="FCZ466"/>
      <c r="FDA466"/>
      <c r="FDB466"/>
      <c r="FDC466"/>
      <c r="FDD466"/>
      <c r="FDE466"/>
      <c r="FDF466"/>
      <c r="FDG466"/>
      <c r="FDH466"/>
      <c r="FDI466"/>
      <c r="FDJ466"/>
      <c r="FDK466"/>
      <c r="FDL466"/>
      <c r="FDM466"/>
      <c r="FDN466"/>
      <c r="FDO466"/>
      <c r="FDP466"/>
      <c r="FDQ466"/>
      <c r="FDR466"/>
      <c r="FDS466"/>
      <c r="FDT466"/>
      <c r="FDU466"/>
      <c r="FDV466"/>
      <c r="FDW466"/>
      <c r="FDX466"/>
      <c r="FDY466"/>
      <c r="FDZ466"/>
      <c r="FEA466"/>
      <c r="FEB466"/>
      <c r="FEC466"/>
      <c r="FED466"/>
      <c r="FEE466"/>
      <c r="FEF466"/>
      <c r="FEG466"/>
      <c r="FEH466"/>
      <c r="FEI466"/>
      <c r="FEJ466"/>
      <c r="FEK466"/>
      <c r="FEL466"/>
      <c r="FEM466"/>
      <c r="FEN466"/>
      <c r="FEO466"/>
      <c r="FEP466"/>
      <c r="FEQ466"/>
      <c r="FER466"/>
      <c r="FES466"/>
      <c r="FET466"/>
      <c r="FEU466"/>
      <c r="FEV466"/>
      <c r="FEW466"/>
      <c r="FEX466"/>
      <c r="FEY466"/>
      <c r="FEZ466"/>
      <c r="FFA466"/>
      <c r="FFB466"/>
      <c r="FFC466"/>
      <c r="FFD466"/>
      <c r="FFE466"/>
      <c r="FFF466"/>
      <c r="FFG466"/>
      <c r="FFH466"/>
      <c r="FFI466"/>
      <c r="FFJ466"/>
      <c r="FFK466"/>
      <c r="FFL466"/>
      <c r="FFM466"/>
      <c r="FFN466"/>
      <c r="FFO466"/>
      <c r="FFP466"/>
      <c r="FFQ466"/>
      <c r="FFR466"/>
      <c r="FFS466"/>
      <c r="FFT466"/>
      <c r="FFU466"/>
      <c r="FFV466"/>
      <c r="FFW466"/>
      <c r="FFX466"/>
      <c r="FFY466"/>
      <c r="FFZ466"/>
      <c r="FGA466"/>
      <c r="FGB466"/>
      <c r="FGC466"/>
      <c r="FGD466"/>
      <c r="FGE466"/>
      <c r="FGF466"/>
      <c r="FGG466"/>
      <c r="FGH466"/>
      <c r="FGI466"/>
      <c r="FGJ466"/>
      <c r="FGK466"/>
      <c r="FGL466"/>
      <c r="FGM466"/>
      <c r="FGN466"/>
      <c r="FGO466"/>
      <c r="FGP466"/>
      <c r="FGQ466"/>
      <c r="FGR466"/>
      <c r="FGS466"/>
      <c r="FGT466"/>
      <c r="FGU466"/>
      <c r="FGV466"/>
      <c r="FGW466"/>
      <c r="FGX466"/>
      <c r="FGY466"/>
      <c r="FGZ466"/>
      <c r="FHA466"/>
      <c r="FHB466"/>
      <c r="FHC466"/>
      <c r="FHD466"/>
      <c r="FHE466"/>
      <c r="FHF466"/>
      <c r="FHG466"/>
      <c r="FHH466"/>
      <c r="FHI466"/>
      <c r="FHJ466"/>
      <c r="FHK466"/>
      <c r="FHL466"/>
      <c r="FHM466"/>
      <c r="FHN466"/>
      <c r="FHO466"/>
      <c r="FHP466"/>
      <c r="FHQ466"/>
      <c r="FHR466"/>
      <c r="FHS466"/>
      <c r="FHT466"/>
      <c r="FHU466"/>
      <c r="FHV466"/>
      <c r="FHW466"/>
      <c r="FHX466"/>
      <c r="FHY466"/>
      <c r="FHZ466"/>
      <c r="FIA466"/>
      <c r="FIB466"/>
      <c r="FIC466"/>
      <c r="FID466"/>
      <c r="FIE466"/>
      <c r="FIF466"/>
      <c r="FIG466"/>
      <c r="FIH466"/>
      <c r="FII466"/>
      <c r="FIJ466"/>
      <c r="FIK466"/>
      <c r="FIL466"/>
      <c r="FIM466"/>
      <c r="FIN466"/>
      <c r="FIO466"/>
      <c r="FIP466"/>
      <c r="FIQ466"/>
      <c r="FIR466"/>
      <c r="FIS466"/>
      <c r="FIT466"/>
      <c r="FIU466"/>
      <c r="FIV466"/>
      <c r="FIW466"/>
      <c r="FIX466"/>
      <c r="FIY466"/>
      <c r="FIZ466"/>
      <c r="FJA466"/>
      <c r="FJB466"/>
      <c r="FJC466"/>
      <c r="FJD466"/>
      <c r="FJE466"/>
      <c r="FJF466"/>
      <c r="FJG466"/>
      <c r="FJH466"/>
      <c r="FJI466"/>
      <c r="FJJ466"/>
      <c r="FJK466"/>
      <c r="FJL466"/>
      <c r="FJM466"/>
      <c r="FJN466"/>
      <c r="FJO466"/>
      <c r="FJP466"/>
      <c r="FJQ466"/>
      <c r="FJR466"/>
      <c r="FJS466"/>
      <c r="FJT466"/>
      <c r="FJU466"/>
      <c r="FJV466"/>
      <c r="FJW466"/>
      <c r="FJX466"/>
      <c r="FJY466"/>
      <c r="FJZ466"/>
      <c r="FKA466"/>
      <c r="FKB466"/>
      <c r="FKC466"/>
      <c r="FKD466"/>
      <c r="FKE466"/>
      <c r="FKF466"/>
      <c r="FKG466"/>
      <c r="FKH466"/>
      <c r="FKI466"/>
      <c r="FKJ466"/>
      <c r="FKK466"/>
      <c r="FKL466"/>
      <c r="FKM466"/>
      <c r="FKN466"/>
      <c r="FKO466"/>
      <c r="FKP466"/>
      <c r="FKQ466"/>
      <c r="FKR466"/>
      <c r="FKS466"/>
      <c r="FKT466"/>
      <c r="FKU466"/>
      <c r="FKV466"/>
      <c r="FKW466"/>
      <c r="FKX466"/>
      <c r="FKY466"/>
      <c r="FKZ466"/>
      <c r="FLA466"/>
      <c r="FLB466"/>
      <c r="FLC466"/>
      <c r="FLD466"/>
      <c r="FLE466"/>
      <c r="FLF466"/>
      <c r="FLG466"/>
      <c r="FLH466"/>
      <c r="FLI466"/>
      <c r="FLJ466"/>
      <c r="FLK466"/>
      <c r="FLL466"/>
      <c r="FLM466"/>
      <c r="FLN466"/>
      <c r="FLO466"/>
      <c r="FLP466"/>
      <c r="FLQ466"/>
      <c r="FLR466"/>
      <c r="FLS466"/>
      <c r="FLT466"/>
      <c r="FLU466"/>
      <c r="FLV466"/>
      <c r="FLW466"/>
      <c r="FLX466"/>
      <c r="FLY466"/>
      <c r="FLZ466"/>
      <c r="FMA466"/>
      <c r="FMB466"/>
      <c r="FMC466"/>
      <c r="FMD466"/>
      <c r="FME466"/>
      <c r="FMF466"/>
      <c r="FMG466"/>
      <c r="FMH466"/>
      <c r="FMI466"/>
      <c r="FMJ466"/>
      <c r="FMK466"/>
      <c r="FML466"/>
      <c r="FMM466"/>
      <c r="FMN466"/>
      <c r="FMO466"/>
      <c r="FMP466"/>
      <c r="FMQ466"/>
      <c r="FMR466"/>
      <c r="FMS466"/>
      <c r="FMT466"/>
      <c r="FMU466"/>
      <c r="FMV466"/>
      <c r="FMW466"/>
      <c r="FMX466"/>
      <c r="FMY466"/>
      <c r="FMZ466"/>
      <c r="FNA466"/>
      <c r="FNB466"/>
      <c r="FNC466"/>
      <c r="FND466"/>
      <c r="FNE466"/>
      <c r="FNF466"/>
      <c r="FNG466"/>
      <c r="FNH466"/>
      <c r="FNI466"/>
      <c r="FNJ466"/>
      <c r="FNK466"/>
      <c r="FNL466"/>
      <c r="FNM466"/>
      <c r="FNN466"/>
      <c r="FNO466"/>
      <c r="FNP466"/>
      <c r="FNQ466"/>
      <c r="FNR466"/>
      <c r="FNS466"/>
      <c r="FNT466"/>
      <c r="FNU466"/>
      <c r="FNV466"/>
      <c r="FNW466"/>
      <c r="FNX466"/>
      <c r="FNY466"/>
      <c r="FNZ466"/>
      <c r="FOA466"/>
      <c r="FOB466"/>
      <c r="FOC466"/>
      <c r="FOD466"/>
      <c r="FOE466"/>
      <c r="FOF466"/>
      <c r="FOG466"/>
      <c r="FOH466"/>
      <c r="FOI466"/>
      <c r="FOJ466"/>
      <c r="FOK466"/>
      <c r="FOL466"/>
      <c r="FOM466"/>
      <c r="FON466"/>
      <c r="FOO466"/>
      <c r="FOP466"/>
      <c r="FOQ466"/>
      <c r="FOR466"/>
      <c r="FOS466"/>
      <c r="FOT466"/>
      <c r="FOU466"/>
      <c r="FOV466"/>
      <c r="FOW466"/>
      <c r="FOX466"/>
      <c r="FOY466"/>
      <c r="FOZ466"/>
      <c r="FPA466"/>
      <c r="FPB466"/>
      <c r="FPC466"/>
      <c r="FPD466"/>
      <c r="FPE466"/>
      <c r="FPF466"/>
      <c r="FPG466"/>
      <c r="FPH466"/>
      <c r="FPI466"/>
      <c r="FPJ466"/>
      <c r="FPK466"/>
      <c r="FPL466"/>
      <c r="FPM466"/>
      <c r="FPN466"/>
      <c r="FPO466"/>
      <c r="FPP466"/>
      <c r="FPQ466"/>
      <c r="FPR466"/>
      <c r="FPS466"/>
      <c r="FPT466"/>
      <c r="FPU466"/>
      <c r="FPV466"/>
      <c r="FPW466"/>
      <c r="FPX466"/>
      <c r="FPY466"/>
      <c r="FPZ466"/>
      <c r="FQA466"/>
      <c r="FQB466"/>
      <c r="FQC466"/>
      <c r="FQD466"/>
      <c r="FQE466"/>
      <c r="FQF466"/>
      <c r="FQG466"/>
      <c r="FQH466"/>
      <c r="FQI466"/>
      <c r="FQJ466"/>
      <c r="FQK466"/>
      <c r="FQL466"/>
      <c r="FQM466"/>
      <c r="FQN466"/>
      <c r="FQO466"/>
      <c r="FQP466"/>
      <c r="FQQ466"/>
      <c r="FQR466"/>
      <c r="FQS466"/>
      <c r="FQT466"/>
      <c r="FQU466"/>
      <c r="FQV466"/>
      <c r="FQW466"/>
      <c r="FQX466"/>
      <c r="FQY466"/>
      <c r="FQZ466"/>
      <c r="FRA466"/>
      <c r="FRB466"/>
      <c r="FRC466"/>
      <c r="FRD466"/>
      <c r="FRE466"/>
      <c r="FRF466"/>
      <c r="FRG466"/>
      <c r="FRH466"/>
      <c r="FRI466"/>
      <c r="FRJ466"/>
      <c r="FRK466"/>
      <c r="FRL466"/>
      <c r="FRM466"/>
      <c r="FRN466"/>
      <c r="FRO466"/>
      <c r="FRP466"/>
      <c r="FRQ466"/>
      <c r="FRR466"/>
      <c r="FRS466"/>
      <c r="FRT466"/>
      <c r="FRU466"/>
      <c r="FRV466"/>
      <c r="FRW466"/>
      <c r="FRX466"/>
      <c r="FRY466"/>
      <c r="FRZ466"/>
      <c r="FSA466"/>
      <c r="FSB466"/>
      <c r="FSC466"/>
      <c r="FSD466"/>
      <c r="FSE466"/>
      <c r="FSF466"/>
      <c r="FSG466"/>
      <c r="FSH466"/>
      <c r="FSI466"/>
      <c r="FSJ466"/>
      <c r="FSK466"/>
      <c r="FSL466"/>
      <c r="FSM466"/>
      <c r="FSN466"/>
      <c r="FSO466"/>
      <c r="FSP466"/>
      <c r="FSQ466"/>
      <c r="FSR466"/>
      <c r="FSS466"/>
      <c r="FST466"/>
      <c r="FSU466"/>
      <c r="FSV466"/>
      <c r="FSW466"/>
      <c r="FSX466"/>
      <c r="FSY466"/>
      <c r="FSZ466"/>
      <c r="FTA466"/>
      <c r="FTB466"/>
      <c r="FTC466"/>
      <c r="FTD466"/>
      <c r="FTE466"/>
      <c r="FTF466"/>
      <c r="FTG466"/>
      <c r="FTH466"/>
      <c r="FTI466"/>
      <c r="FTJ466"/>
      <c r="FTK466"/>
      <c r="FTL466"/>
      <c r="FTM466"/>
      <c r="FTN466"/>
      <c r="FTO466"/>
      <c r="FTP466"/>
      <c r="FTQ466"/>
      <c r="FTR466"/>
      <c r="FTS466"/>
      <c r="FTT466"/>
      <c r="FTU466"/>
      <c r="FTV466"/>
      <c r="FTW466"/>
      <c r="FTX466"/>
      <c r="FTY466"/>
      <c r="FTZ466"/>
      <c r="FUA466"/>
      <c r="FUB466"/>
      <c r="FUC466"/>
      <c r="FUD466"/>
      <c r="FUE466"/>
      <c r="FUF466"/>
      <c r="FUG466"/>
      <c r="FUH466"/>
      <c r="FUI466"/>
      <c r="FUJ466"/>
      <c r="FUK466"/>
      <c r="FUL466"/>
      <c r="FUM466"/>
      <c r="FUN466"/>
      <c r="FUO466"/>
      <c r="FUP466"/>
      <c r="FUQ466"/>
      <c r="FUR466"/>
      <c r="FUS466"/>
      <c r="FUT466"/>
      <c r="FUU466"/>
      <c r="FUV466"/>
      <c r="FUW466"/>
      <c r="FUX466"/>
      <c r="FUY466"/>
      <c r="FUZ466"/>
      <c r="FVA466"/>
      <c r="FVB466"/>
      <c r="FVC466"/>
      <c r="FVD466"/>
      <c r="FVE466"/>
      <c r="FVF466"/>
      <c r="FVG466"/>
      <c r="FVH466"/>
      <c r="FVI466"/>
      <c r="FVJ466"/>
      <c r="FVK466"/>
      <c r="FVL466"/>
      <c r="FVM466"/>
      <c r="FVN466"/>
      <c r="FVO466"/>
      <c r="FVP466"/>
      <c r="FVQ466"/>
      <c r="FVR466"/>
      <c r="FVS466"/>
      <c r="FVT466"/>
      <c r="FVU466"/>
      <c r="FVV466"/>
      <c r="FVW466"/>
      <c r="FVX466"/>
      <c r="FVY466"/>
      <c r="FVZ466"/>
      <c r="FWA466"/>
      <c r="FWB466"/>
      <c r="FWC466"/>
      <c r="FWD466"/>
      <c r="FWE466"/>
      <c r="FWF466"/>
      <c r="FWG466"/>
      <c r="FWH466"/>
      <c r="FWI466"/>
      <c r="FWJ466"/>
      <c r="FWK466"/>
      <c r="FWL466"/>
      <c r="FWM466"/>
      <c r="FWN466"/>
      <c r="FWO466"/>
      <c r="FWP466"/>
      <c r="FWQ466"/>
      <c r="FWR466"/>
      <c r="FWS466"/>
      <c r="FWT466"/>
      <c r="FWU466"/>
      <c r="FWV466"/>
      <c r="FWW466"/>
      <c r="FWX466"/>
      <c r="FWY466"/>
      <c r="FWZ466"/>
      <c r="FXA466"/>
      <c r="FXB466"/>
      <c r="FXC466"/>
      <c r="FXD466"/>
      <c r="FXE466"/>
      <c r="FXF466"/>
      <c r="FXG466"/>
      <c r="FXH466"/>
      <c r="FXI466"/>
      <c r="FXJ466"/>
      <c r="FXK466"/>
      <c r="FXL466"/>
      <c r="FXM466"/>
      <c r="FXN466"/>
      <c r="FXO466"/>
      <c r="FXP466"/>
      <c r="FXQ466"/>
      <c r="FXR466"/>
      <c r="FXS466"/>
      <c r="FXT466"/>
      <c r="FXU466"/>
      <c r="FXV466"/>
      <c r="FXW466"/>
      <c r="FXX466"/>
      <c r="FXY466"/>
      <c r="FXZ466"/>
      <c r="FYA466"/>
      <c r="FYB466"/>
      <c r="FYC466"/>
      <c r="FYD466"/>
      <c r="FYE466"/>
      <c r="FYF466"/>
      <c r="FYG466"/>
      <c r="FYH466"/>
      <c r="FYI466"/>
      <c r="FYJ466"/>
      <c r="FYK466"/>
      <c r="FYL466"/>
      <c r="FYM466"/>
      <c r="FYN466"/>
      <c r="FYO466"/>
      <c r="FYP466"/>
      <c r="FYQ466"/>
      <c r="FYR466"/>
      <c r="FYS466"/>
      <c r="FYT466"/>
      <c r="FYU466"/>
      <c r="FYV466"/>
      <c r="FYW466"/>
      <c r="FYX466"/>
      <c r="FYY466"/>
      <c r="FYZ466"/>
      <c r="FZA466"/>
      <c r="FZB466"/>
      <c r="FZC466"/>
      <c r="FZD466"/>
      <c r="FZE466"/>
      <c r="FZF466"/>
      <c r="FZG466"/>
      <c r="FZH466"/>
      <c r="FZI466"/>
      <c r="FZJ466"/>
      <c r="FZK466"/>
      <c r="FZL466"/>
      <c r="FZM466"/>
      <c r="FZN466"/>
      <c r="FZO466"/>
      <c r="FZP466"/>
      <c r="FZQ466"/>
      <c r="FZR466"/>
      <c r="FZS466"/>
      <c r="FZT466"/>
      <c r="FZU466"/>
      <c r="FZV466"/>
      <c r="FZW466"/>
      <c r="FZX466"/>
      <c r="FZY466"/>
      <c r="FZZ466"/>
      <c r="GAA466"/>
      <c r="GAB466"/>
      <c r="GAC466"/>
      <c r="GAD466"/>
      <c r="GAE466"/>
      <c r="GAF466"/>
      <c r="GAG466"/>
      <c r="GAH466"/>
      <c r="GAI466"/>
      <c r="GAJ466"/>
      <c r="GAK466"/>
      <c r="GAL466"/>
      <c r="GAM466"/>
      <c r="GAN466"/>
      <c r="GAO466"/>
      <c r="GAP466"/>
      <c r="GAQ466"/>
      <c r="GAR466"/>
      <c r="GAS466"/>
      <c r="GAT466"/>
      <c r="GAU466"/>
      <c r="GAV466"/>
      <c r="GAW466"/>
      <c r="GAX466"/>
      <c r="GAY466"/>
      <c r="GAZ466"/>
      <c r="GBA466"/>
      <c r="GBB466"/>
      <c r="GBC466"/>
      <c r="GBD466"/>
      <c r="GBE466"/>
      <c r="GBF466"/>
      <c r="GBG466"/>
      <c r="GBH466"/>
      <c r="GBI466"/>
      <c r="GBJ466"/>
      <c r="GBK466"/>
      <c r="GBL466"/>
      <c r="GBM466"/>
      <c r="GBN466"/>
      <c r="GBO466"/>
      <c r="GBP466"/>
      <c r="GBQ466"/>
      <c r="GBR466"/>
      <c r="GBS466"/>
      <c r="GBT466"/>
      <c r="GBU466"/>
      <c r="GBV466"/>
      <c r="GBW466"/>
      <c r="GBX466"/>
      <c r="GBY466"/>
      <c r="GBZ466"/>
      <c r="GCA466"/>
      <c r="GCB466"/>
      <c r="GCC466"/>
      <c r="GCD466"/>
      <c r="GCE466"/>
      <c r="GCF466"/>
      <c r="GCG466"/>
      <c r="GCH466"/>
      <c r="GCI466"/>
      <c r="GCJ466"/>
      <c r="GCK466"/>
      <c r="GCL466"/>
      <c r="GCM466"/>
      <c r="GCN466"/>
      <c r="GCO466"/>
      <c r="GCP466"/>
      <c r="GCQ466"/>
      <c r="GCR466"/>
      <c r="GCS466"/>
      <c r="GCT466"/>
      <c r="GCU466"/>
      <c r="GCV466"/>
      <c r="GCW466"/>
      <c r="GCX466"/>
      <c r="GCY466"/>
      <c r="GCZ466"/>
      <c r="GDA466"/>
      <c r="GDB466"/>
      <c r="GDC466"/>
      <c r="GDD466"/>
      <c r="GDE466"/>
      <c r="GDF466"/>
      <c r="GDG466"/>
      <c r="GDH466"/>
      <c r="GDI466"/>
      <c r="GDJ466"/>
      <c r="GDK466"/>
      <c r="GDL466"/>
      <c r="GDM466"/>
      <c r="GDN466"/>
      <c r="GDO466"/>
      <c r="GDP466"/>
      <c r="GDQ466"/>
      <c r="GDR466"/>
      <c r="GDS466"/>
      <c r="GDT466"/>
      <c r="GDU466"/>
      <c r="GDV466"/>
      <c r="GDW466"/>
      <c r="GDX466"/>
      <c r="GDY466"/>
      <c r="GDZ466"/>
      <c r="GEA466"/>
      <c r="GEB466"/>
      <c r="GEC466"/>
      <c r="GED466"/>
      <c r="GEE466"/>
      <c r="GEF466"/>
      <c r="GEG466"/>
      <c r="GEH466"/>
      <c r="GEI466"/>
      <c r="GEJ466"/>
      <c r="GEK466"/>
      <c r="GEL466"/>
      <c r="GEM466"/>
      <c r="GEN466"/>
      <c r="GEO466"/>
      <c r="GEP466"/>
      <c r="GEQ466"/>
      <c r="GER466"/>
      <c r="GES466"/>
      <c r="GET466"/>
      <c r="GEU466"/>
      <c r="GEV466"/>
      <c r="GEW466"/>
      <c r="GEX466"/>
      <c r="GEY466"/>
      <c r="GEZ466"/>
      <c r="GFA466"/>
      <c r="GFB466"/>
      <c r="GFC466"/>
      <c r="GFD466"/>
      <c r="GFE466"/>
      <c r="GFF466"/>
      <c r="GFG466"/>
      <c r="GFH466"/>
      <c r="GFI466"/>
      <c r="GFJ466"/>
      <c r="GFK466"/>
      <c r="GFL466"/>
      <c r="GFM466"/>
      <c r="GFN466"/>
      <c r="GFO466"/>
      <c r="GFP466"/>
      <c r="GFQ466"/>
      <c r="GFR466"/>
      <c r="GFS466"/>
      <c r="GFT466"/>
      <c r="GFU466"/>
      <c r="GFV466"/>
      <c r="GFW466"/>
      <c r="GFX466"/>
      <c r="GFY466"/>
      <c r="GFZ466"/>
      <c r="GGA466"/>
      <c r="GGB466"/>
      <c r="GGC466"/>
      <c r="GGD466"/>
      <c r="GGE466"/>
      <c r="GGF466"/>
      <c r="GGG466"/>
      <c r="GGH466"/>
      <c r="GGI466"/>
      <c r="GGJ466"/>
      <c r="GGK466"/>
      <c r="GGL466"/>
      <c r="GGM466"/>
      <c r="GGN466"/>
      <c r="GGO466"/>
      <c r="GGP466"/>
      <c r="GGQ466"/>
      <c r="GGR466"/>
      <c r="GGS466"/>
      <c r="GGT466"/>
      <c r="GGU466"/>
      <c r="GGV466"/>
      <c r="GGW466"/>
      <c r="GGX466"/>
      <c r="GGY466"/>
      <c r="GGZ466"/>
      <c r="GHA466"/>
      <c r="GHB466"/>
      <c r="GHC466"/>
      <c r="GHD466"/>
      <c r="GHE466"/>
      <c r="GHF466"/>
      <c r="GHG466"/>
      <c r="GHH466"/>
      <c r="GHI466"/>
      <c r="GHJ466"/>
      <c r="GHK466"/>
      <c r="GHL466"/>
      <c r="GHM466"/>
      <c r="GHN466"/>
      <c r="GHO466"/>
      <c r="GHP466"/>
      <c r="GHQ466"/>
      <c r="GHR466"/>
      <c r="GHS466"/>
      <c r="GHT466"/>
      <c r="GHU466"/>
      <c r="GHV466"/>
      <c r="GHW466"/>
      <c r="GHX466"/>
      <c r="GHY466"/>
      <c r="GHZ466"/>
      <c r="GIA466"/>
      <c r="GIB466"/>
      <c r="GIC466"/>
      <c r="GID466"/>
      <c r="GIE466"/>
      <c r="GIF466"/>
      <c r="GIG466"/>
      <c r="GIH466"/>
      <c r="GII466"/>
      <c r="GIJ466"/>
      <c r="GIK466"/>
      <c r="GIL466"/>
      <c r="GIM466"/>
      <c r="GIN466"/>
      <c r="GIO466"/>
      <c r="GIP466"/>
      <c r="GIQ466"/>
      <c r="GIR466"/>
      <c r="GIS466"/>
      <c r="GIT466"/>
      <c r="GIU466"/>
      <c r="GIV466"/>
      <c r="GIW466"/>
      <c r="GIX466"/>
      <c r="GIY466"/>
      <c r="GIZ466"/>
      <c r="GJA466"/>
      <c r="GJB466"/>
      <c r="GJC466"/>
      <c r="GJD466"/>
      <c r="GJE466"/>
      <c r="GJF466"/>
      <c r="GJG466"/>
      <c r="GJH466"/>
      <c r="GJI466"/>
      <c r="GJJ466"/>
      <c r="GJK466"/>
      <c r="GJL466"/>
      <c r="GJM466"/>
      <c r="GJN466"/>
      <c r="GJO466"/>
      <c r="GJP466"/>
      <c r="GJQ466"/>
      <c r="GJR466"/>
      <c r="GJS466"/>
      <c r="GJT466"/>
      <c r="GJU466"/>
      <c r="GJV466"/>
      <c r="GJW466"/>
      <c r="GJX466"/>
      <c r="GJY466"/>
      <c r="GJZ466"/>
      <c r="GKA466"/>
      <c r="GKB466"/>
      <c r="GKC466"/>
      <c r="GKD466"/>
      <c r="GKE466"/>
      <c r="GKF466"/>
      <c r="GKG466"/>
      <c r="GKH466"/>
      <c r="GKI466"/>
      <c r="GKJ466"/>
      <c r="GKK466"/>
      <c r="GKL466"/>
      <c r="GKM466"/>
      <c r="GKN466"/>
      <c r="GKO466"/>
      <c r="GKP466"/>
      <c r="GKQ466"/>
      <c r="GKR466"/>
      <c r="GKS466"/>
      <c r="GKT466"/>
      <c r="GKU466"/>
      <c r="GKV466"/>
      <c r="GKW466"/>
      <c r="GKX466"/>
      <c r="GKY466"/>
      <c r="GKZ466"/>
      <c r="GLA466"/>
      <c r="GLB466"/>
      <c r="GLC466"/>
      <c r="GLD466"/>
      <c r="GLE466"/>
      <c r="GLF466"/>
      <c r="GLG466"/>
      <c r="GLH466"/>
      <c r="GLI466"/>
      <c r="GLJ466"/>
      <c r="GLK466"/>
      <c r="GLL466"/>
      <c r="GLM466"/>
      <c r="GLN466"/>
      <c r="GLO466"/>
      <c r="GLP466"/>
      <c r="GLQ466"/>
      <c r="GLR466"/>
      <c r="GLS466"/>
      <c r="GLT466"/>
      <c r="GLU466"/>
      <c r="GLV466"/>
      <c r="GLW466"/>
      <c r="GLX466"/>
      <c r="GLY466"/>
      <c r="GLZ466"/>
      <c r="GMA466"/>
      <c r="GMB466"/>
      <c r="GMC466"/>
      <c r="GMD466"/>
      <c r="GME466"/>
      <c r="GMF466"/>
      <c r="GMG466"/>
      <c r="GMH466"/>
      <c r="GMI466"/>
      <c r="GMJ466"/>
      <c r="GMK466"/>
      <c r="GML466"/>
      <c r="GMM466"/>
      <c r="GMN466"/>
      <c r="GMO466"/>
      <c r="GMP466"/>
      <c r="GMQ466"/>
      <c r="GMR466"/>
      <c r="GMS466"/>
      <c r="GMT466"/>
      <c r="GMU466"/>
      <c r="GMV466"/>
      <c r="GMW466"/>
      <c r="GMX466"/>
      <c r="GMY466"/>
      <c r="GMZ466"/>
      <c r="GNA466"/>
      <c r="GNB466"/>
      <c r="GNC466"/>
      <c r="GND466"/>
      <c r="GNE466"/>
      <c r="GNF466"/>
      <c r="GNG466"/>
      <c r="GNH466"/>
      <c r="GNI466"/>
      <c r="GNJ466"/>
      <c r="GNK466"/>
      <c r="GNL466"/>
      <c r="GNM466"/>
      <c r="GNN466"/>
      <c r="GNO466"/>
      <c r="GNP466"/>
      <c r="GNQ466"/>
      <c r="GNR466"/>
      <c r="GNS466"/>
      <c r="GNT466"/>
      <c r="GNU466"/>
      <c r="GNV466"/>
      <c r="GNW466"/>
      <c r="GNX466"/>
      <c r="GNY466"/>
      <c r="GNZ466"/>
      <c r="GOA466"/>
      <c r="GOB466"/>
      <c r="GOC466"/>
      <c r="GOD466"/>
      <c r="GOE466"/>
      <c r="GOF466"/>
      <c r="GOG466"/>
      <c r="GOH466"/>
      <c r="GOI466"/>
      <c r="GOJ466"/>
      <c r="GOK466"/>
      <c r="GOL466"/>
      <c r="GOM466"/>
      <c r="GON466"/>
      <c r="GOO466"/>
      <c r="GOP466"/>
      <c r="GOQ466"/>
      <c r="GOR466"/>
      <c r="GOS466"/>
      <c r="GOT466"/>
      <c r="GOU466"/>
      <c r="GOV466"/>
      <c r="GOW466"/>
      <c r="GOX466"/>
      <c r="GOY466"/>
      <c r="GOZ466"/>
      <c r="GPA466"/>
      <c r="GPB466"/>
      <c r="GPC466"/>
      <c r="GPD466"/>
      <c r="GPE466"/>
      <c r="GPF466"/>
      <c r="GPG466"/>
      <c r="GPH466"/>
      <c r="GPI466"/>
      <c r="GPJ466"/>
      <c r="GPK466"/>
      <c r="GPL466"/>
      <c r="GPM466"/>
      <c r="GPN466"/>
      <c r="GPO466"/>
      <c r="GPP466"/>
      <c r="GPQ466"/>
      <c r="GPR466"/>
      <c r="GPS466"/>
      <c r="GPT466"/>
      <c r="GPU466"/>
      <c r="GPV466"/>
      <c r="GPW466"/>
      <c r="GPX466"/>
      <c r="GPY466"/>
      <c r="GPZ466"/>
      <c r="GQA466"/>
      <c r="GQB466"/>
      <c r="GQC466"/>
      <c r="GQD466"/>
      <c r="GQE466"/>
      <c r="GQF466"/>
      <c r="GQG466"/>
      <c r="GQH466"/>
      <c r="GQI466"/>
      <c r="GQJ466"/>
      <c r="GQK466"/>
      <c r="GQL466"/>
      <c r="GQM466"/>
      <c r="GQN466"/>
      <c r="GQO466"/>
      <c r="GQP466"/>
      <c r="GQQ466"/>
      <c r="GQR466"/>
      <c r="GQS466"/>
      <c r="GQT466"/>
      <c r="GQU466"/>
      <c r="GQV466"/>
      <c r="GQW466"/>
      <c r="GQX466"/>
      <c r="GQY466"/>
      <c r="GQZ466"/>
      <c r="GRA466"/>
      <c r="GRB466"/>
      <c r="GRC466"/>
      <c r="GRD466"/>
      <c r="GRE466"/>
      <c r="GRF466"/>
      <c r="GRG466"/>
      <c r="GRH466"/>
      <c r="GRI466"/>
      <c r="GRJ466"/>
      <c r="GRK466"/>
      <c r="GRL466"/>
      <c r="GRM466"/>
      <c r="GRN466"/>
      <c r="GRO466"/>
      <c r="GRP466"/>
      <c r="GRQ466"/>
      <c r="GRR466"/>
      <c r="GRS466"/>
      <c r="GRT466"/>
      <c r="GRU466"/>
      <c r="GRV466"/>
      <c r="GRW466"/>
      <c r="GRX466"/>
      <c r="GRY466"/>
      <c r="GRZ466"/>
      <c r="GSA466"/>
      <c r="GSB466"/>
      <c r="GSC466"/>
      <c r="GSD466"/>
      <c r="GSE466"/>
      <c r="GSF466"/>
      <c r="GSG466"/>
      <c r="GSH466"/>
      <c r="GSI466"/>
      <c r="GSJ466"/>
      <c r="GSK466"/>
      <c r="GSL466"/>
      <c r="GSM466"/>
      <c r="GSN466"/>
      <c r="GSO466"/>
      <c r="GSP466"/>
      <c r="GSQ466"/>
      <c r="GSR466"/>
      <c r="GSS466"/>
      <c r="GST466"/>
      <c r="GSU466"/>
      <c r="GSV466"/>
      <c r="GSW466"/>
      <c r="GSX466"/>
      <c r="GSY466"/>
      <c r="GSZ466"/>
      <c r="GTA466"/>
      <c r="GTB466"/>
      <c r="GTC466"/>
      <c r="GTD466"/>
      <c r="GTE466"/>
      <c r="GTF466"/>
      <c r="GTG466"/>
      <c r="GTH466"/>
      <c r="GTI466"/>
      <c r="GTJ466"/>
      <c r="GTK466"/>
      <c r="GTL466"/>
      <c r="GTM466"/>
      <c r="GTN466"/>
      <c r="GTO466"/>
      <c r="GTP466"/>
      <c r="GTQ466"/>
      <c r="GTR466"/>
      <c r="GTS466"/>
      <c r="GTT466"/>
      <c r="GTU466"/>
      <c r="GTV466"/>
      <c r="GTW466"/>
      <c r="GTX466"/>
      <c r="GTY466"/>
      <c r="GTZ466"/>
      <c r="GUA466"/>
      <c r="GUB466"/>
      <c r="GUC466"/>
      <c r="GUD466"/>
      <c r="GUE466"/>
      <c r="GUF466"/>
      <c r="GUG466"/>
      <c r="GUH466"/>
      <c r="GUI466"/>
      <c r="GUJ466"/>
      <c r="GUK466"/>
      <c r="GUL466"/>
      <c r="GUM466"/>
      <c r="GUN466"/>
      <c r="GUO466"/>
      <c r="GUP466"/>
      <c r="GUQ466"/>
      <c r="GUR466"/>
      <c r="GUS466"/>
      <c r="GUT466"/>
      <c r="GUU466"/>
      <c r="GUV466"/>
      <c r="GUW466"/>
      <c r="GUX466"/>
      <c r="GUY466"/>
      <c r="GUZ466"/>
      <c r="GVA466"/>
      <c r="GVB466"/>
      <c r="GVC466"/>
      <c r="GVD466"/>
      <c r="GVE466"/>
      <c r="GVF466"/>
      <c r="GVG466"/>
      <c r="GVH466"/>
      <c r="GVI466"/>
      <c r="GVJ466"/>
      <c r="GVK466"/>
      <c r="GVL466"/>
      <c r="GVM466"/>
      <c r="GVN466"/>
      <c r="GVO466"/>
      <c r="GVP466"/>
      <c r="GVQ466"/>
      <c r="GVR466"/>
      <c r="GVS466"/>
      <c r="GVT466"/>
      <c r="GVU466"/>
      <c r="GVV466"/>
      <c r="GVW466"/>
      <c r="GVX466"/>
      <c r="GVY466"/>
      <c r="GVZ466"/>
      <c r="GWA466"/>
      <c r="GWB466"/>
      <c r="GWC466"/>
      <c r="GWD466"/>
      <c r="GWE466"/>
      <c r="GWF466"/>
      <c r="GWG466"/>
      <c r="GWH466"/>
      <c r="GWI466"/>
      <c r="GWJ466"/>
      <c r="GWK466"/>
      <c r="GWL466"/>
      <c r="GWM466"/>
      <c r="GWN466"/>
      <c r="GWO466"/>
      <c r="GWP466"/>
      <c r="GWQ466"/>
      <c r="GWR466"/>
      <c r="GWS466"/>
      <c r="GWT466"/>
      <c r="GWU466"/>
      <c r="GWV466"/>
      <c r="GWW466"/>
      <c r="GWX466"/>
      <c r="GWY466"/>
      <c r="GWZ466"/>
      <c r="GXA466"/>
      <c r="GXB466"/>
      <c r="GXC466"/>
      <c r="GXD466"/>
      <c r="GXE466"/>
      <c r="GXF466"/>
      <c r="GXG466"/>
      <c r="GXH466"/>
      <c r="GXI466"/>
      <c r="GXJ466"/>
      <c r="GXK466"/>
      <c r="GXL466"/>
      <c r="GXM466"/>
      <c r="GXN466"/>
      <c r="GXO466"/>
      <c r="GXP466"/>
      <c r="GXQ466"/>
      <c r="GXR466"/>
      <c r="GXS466"/>
      <c r="GXT466"/>
      <c r="GXU466"/>
      <c r="GXV466"/>
      <c r="GXW466"/>
      <c r="GXX466"/>
      <c r="GXY466"/>
      <c r="GXZ466"/>
      <c r="GYA466"/>
      <c r="GYB466"/>
      <c r="GYC466"/>
      <c r="GYD466"/>
      <c r="GYE466"/>
      <c r="GYF466"/>
      <c r="GYG466"/>
      <c r="GYH466"/>
      <c r="GYI466"/>
      <c r="GYJ466"/>
      <c r="GYK466"/>
      <c r="GYL466"/>
      <c r="GYM466"/>
      <c r="GYN466"/>
      <c r="GYO466"/>
      <c r="GYP466"/>
      <c r="GYQ466"/>
      <c r="GYR466"/>
      <c r="GYS466"/>
      <c r="GYT466"/>
      <c r="GYU466"/>
      <c r="GYV466"/>
      <c r="GYW466"/>
      <c r="GYX466"/>
      <c r="GYY466"/>
      <c r="GYZ466"/>
      <c r="GZA466"/>
      <c r="GZB466"/>
      <c r="GZC466"/>
      <c r="GZD466"/>
      <c r="GZE466"/>
      <c r="GZF466"/>
      <c r="GZG466"/>
      <c r="GZH466"/>
      <c r="GZI466"/>
      <c r="GZJ466"/>
      <c r="GZK466"/>
      <c r="GZL466"/>
      <c r="GZM466"/>
      <c r="GZN466"/>
      <c r="GZO466"/>
      <c r="GZP466"/>
      <c r="GZQ466"/>
      <c r="GZR466"/>
      <c r="GZS466"/>
      <c r="GZT466"/>
      <c r="GZU466"/>
      <c r="GZV466"/>
      <c r="GZW466"/>
      <c r="GZX466"/>
      <c r="GZY466"/>
      <c r="GZZ466"/>
      <c r="HAA466"/>
      <c r="HAB466"/>
      <c r="HAC466"/>
      <c r="HAD466"/>
      <c r="HAE466"/>
      <c r="HAF466"/>
      <c r="HAG466"/>
      <c r="HAH466"/>
      <c r="HAI466"/>
      <c r="HAJ466"/>
      <c r="HAK466"/>
      <c r="HAL466"/>
      <c r="HAM466"/>
      <c r="HAN466"/>
      <c r="HAO466"/>
      <c r="HAP466"/>
      <c r="HAQ466"/>
      <c r="HAR466"/>
      <c r="HAS466"/>
      <c r="HAT466"/>
      <c r="HAU466"/>
      <c r="HAV466"/>
      <c r="HAW466"/>
      <c r="HAX466"/>
      <c r="HAY466"/>
      <c r="HAZ466"/>
      <c r="HBA466"/>
      <c r="HBB466"/>
      <c r="HBC466"/>
      <c r="HBD466"/>
      <c r="HBE466"/>
      <c r="HBF466"/>
      <c r="HBG466"/>
      <c r="HBH466"/>
      <c r="HBI466"/>
      <c r="HBJ466"/>
      <c r="HBK466"/>
      <c r="HBL466"/>
      <c r="HBM466"/>
      <c r="HBN466"/>
      <c r="HBO466"/>
      <c r="HBP466"/>
      <c r="HBQ466"/>
      <c r="HBR466"/>
      <c r="HBS466"/>
      <c r="HBT466"/>
      <c r="HBU466"/>
      <c r="HBV466"/>
      <c r="HBW466"/>
      <c r="HBX466"/>
      <c r="HBY466"/>
      <c r="HBZ466"/>
      <c r="HCA466"/>
      <c r="HCB466"/>
      <c r="HCC466"/>
      <c r="HCD466"/>
      <c r="HCE466"/>
      <c r="HCF466"/>
      <c r="HCG466"/>
      <c r="HCH466"/>
      <c r="HCI466"/>
      <c r="HCJ466"/>
      <c r="HCK466"/>
      <c r="HCL466"/>
      <c r="HCM466"/>
      <c r="HCN466"/>
      <c r="HCO466"/>
      <c r="HCP466"/>
      <c r="HCQ466"/>
      <c r="HCR466"/>
      <c r="HCS466"/>
      <c r="HCT466"/>
      <c r="HCU466"/>
      <c r="HCV466"/>
      <c r="HCW466"/>
      <c r="HCX466"/>
      <c r="HCY466"/>
      <c r="HCZ466"/>
      <c r="HDA466"/>
      <c r="HDB466"/>
      <c r="HDC466"/>
      <c r="HDD466"/>
      <c r="HDE466"/>
      <c r="HDF466"/>
      <c r="HDG466"/>
      <c r="HDH466"/>
      <c r="HDI466"/>
      <c r="HDJ466"/>
      <c r="HDK466"/>
      <c r="HDL466"/>
      <c r="HDM466"/>
      <c r="HDN466"/>
      <c r="HDO466"/>
      <c r="HDP466"/>
      <c r="HDQ466"/>
      <c r="HDR466"/>
      <c r="HDS466"/>
      <c r="HDT466"/>
      <c r="HDU466"/>
      <c r="HDV466"/>
      <c r="HDW466"/>
      <c r="HDX466"/>
      <c r="HDY466"/>
      <c r="HDZ466"/>
      <c r="HEA466"/>
      <c r="HEB466"/>
      <c r="HEC466"/>
      <c r="HED466"/>
      <c r="HEE466"/>
      <c r="HEF466"/>
      <c r="HEG466"/>
      <c r="HEH466"/>
      <c r="HEI466"/>
      <c r="HEJ466"/>
      <c r="HEK466"/>
      <c r="HEL466"/>
      <c r="HEM466"/>
      <c r="HEN466"/>
      <c r="HEO466"/>
      <c r="HEP466"/>
      <c r="HEQ466"/>
      <c r="HER466"/>
      <c r="HES466"/>
      <c r="HET466"/>
      <c r="HEU466"/>
      <c r="HEV466"/>
      <c r="HEW466"/>
      <c r="HEX466"/>
      <c r="HEY466"/>
      <c r="HEZ466"/>
      <c r="HFA466"/>
      <c r="HFB466"/>
      <c r="HFC466"/>
      <c r="HFD466"/>
      <c r="HFE466"/>
      <c r="HFF466"/>
      <c r="HFG466"/>
      <c r="HFH466"/>
      <c r="HFI466"/>
      <c r="HFJ466"/>
      <c r="HFK466"/>
      <c r="HFL466"/>
      <c r="HFM466"/>
      <c r="HFN466"/>
      <c r="HFO466"/>
      <c r="HFP466"/>
      <c r="HFQ466"/>
      <c r="HFR466"/>
      <c r="HFS466"/>
      <c r="HFT466"/>
      <c r="HFU466"/>
      <c r="HFV466"/>
      <c r="HFW466"/>
      <c r="HFX466"/>
      <c r="HFY466"/>
      <c r="HFZ466"/>
      <c r="HGA466"/>
      <c r="HGB466"/>
      <c r="HGC466"/>
      <c r="HGD466"/>
      <c r="HGE466"/>
      <c r="HGF466"/>
      <c r="HGG466"/>
      <c r="HGH466"/>
      <c r="HGI466"/>
      <c r="HGJ466"/>
      <c r="HGK466"/>
      <c r="HGL466"/>
      <c r="HGM466"/>
      <c r="HGN466"/>
      <c r="HGO466"/>
      <c r="HGP466"/>
      <c r="HGQ466"/>
      <c r="HGR466"/>
      <c r="HGS466"/>
      <c r="HGT466"/>
      <c r="HGU466"/>
      <c r="HGV466"/>
      <c r="HGW466"/>
      <c r="HGX466"/>
      <c r="HGY466"/>
      <c r="HGZ466"/>
      <c r="HHA466"/>
      <c r="HHB466"/>
      <c r="HHC466"/>
      <c r="HHD466"/>
      <c r="HHE466"/>
      <c r="HHF466"/>
      <c r="HHG466"/>
      <c r="HHH466"/>
      <c r="HHI466"/>
      <c r="HHJ466"/>
      <c r="HHK466"/>
      <c r="HHL466"/>
      <c r="HHM466"/>
      <c r="HHN466"/>
      <c r="HHO466"/>
      <c r="HHP466"/>
      <c r="HHQ466"/>
      <c r="HHR466"/>
      <c r="HHS466"/>
      <c r="HHT466"/>
      <c r="HHU466"/>
      <c r="HHV466"/>
      <c r="HHW466"/>
      <c r="HHX466"/>
      <c r="HHY466"/>
      <c r="HHZ466"/>
      <c r="HIA466"/>
      <c r="HIB466"/>
      <c r="HIC466"/>
      <c r="HID466"/>
      <c r="HIE466"/>
      <c r="HIF466"/>
      <c r="HIG466"/>
      <c r="HIH466"/>
      <c r="HII466"/>
      <c r="HIJ466"/>
      <c r="HIK466"/>
      <c r="HIL466"/>
      <c r="HIM466"/>
      <c r="HIN466"/>
      <c r="HIO466"/>
      <c r="HIP466"/>
      <c r="HIQ466"/>
      <c r="HIR466"/>
      <c r="HIS466"/>
      <c r="HIT466"/>
      <c r="HIU466"/>
      <c r="HIV466"/>
      <c r="HIW466"/>
      <c r="HIX466"/>
      <c r="HIY466"/>
      <c r="HIZ466"/>
      <c r="HJA466"/>
      <c r="HJB466"/>
      <c r="HJC466"/>
      <c r="HJD466"/>
      <c r="HJE466"/>
      <c r="HJF466"/>
      <c r="HJG466"/>
      <c r="HJH466"/>
      <c r="HJI466"/>
      <c r="HJJ466"/>
      <c r="HJK466"/>
      <c r="HJL466"/>
      <c r="HJM466"/>
      <c r="HJN466"/>
      <c r="HJO466"/>
      <c r="HJP466"/>
      <c r="HJQ466"/>
      <c r="HJR466"/>
      <c r="HJS466"/>
      <c r="HJT466"/>
      <c r="HJU466"/>
      <c r="HJV466"/>
      <c r="HJW466"/>
      <c r="HJX466"/>
      <c r="HJY466"/>
      <c r="HJZ466"/>
      <c r="HKA466"/>
      <c r="HKB466"/>
      <c r="HKC466"/>
      <c r="HKD466"/>
      <c r="HKE466"/>
      <c r="HKF466"/>
      <c r="HKG466"/>
      <c r="HKH466"/>
      <c r="HKI466"/>
      <c r="HKJ466"/>
      <c r="HKK466"/>
      <c r="HKL466"/>
      <c r="HKM466"/>
      <c r="HKN466"/>
      <c r="HKO466"/>
      <c r="HKP466"/>
      <c r="HKQ466"/>
      <c r="HKR466"/>
      <c r="HKS466"/>
      <c r="HKT466"/>
      <c r="HKU466"/>
      <c r="HKV466"/>
      <c r="HKW466"/>
      <c r="HKX466"/>
      <c r="HKY466"/>
      <c r="HKZ466"/>
      <c r="HLA466"/>
      <c r="HLB466"/>
      <c r="HLC466"/>
      <c r="HLD466"/>
      <c r="HLE466"/>
      <c r="HLF466"/>
      <c r="HLG466"/>
      <c r="HLH466"/>
      <c r="HLI466"/>
      <c r="HLJ466"/>
      <c r="HLK466"/>
      <c r="HLL466"/>
      <c r="HLM466"/>
      <c r="HLN466"/>
      <c r="HLO466"/>
      <c r="HLP466"/>
      <c r="HLQ466"/>
      <c r="HLR466"/>
      <c r="HLS466"/>
      <c r="HLT466"/>
      <c r="HLU466"/>
      <c r="HLV466"/>
      <c r="HLW466"/>
      <c r="HLX466"/>
      <c r="HLY466"/>
      <c r="HLZ466"/>
      <c r="HMA466"/>
      <c r="HMB466"/>
      <c r="HMC466"/>
      <c r="HMD466"/>
      <c r="HME466"/>
      <c r="HMF466"/>
      <c r="HMG466"/>
      <c r="HMH466"/>
      <c r="HMI466"/>
      <c r="HMJ466"/>
      <c r="HMK466"/>
      <c r="HML466"/>
      <c r="HMM466"/>
      <c r="HMN466"/>
      <c r="HMO466"/>
      <c r="HMP466"/>
      <c r="HMQ466"/>
      <c r="HMR466"/>
      <c r="HMS466"/>
      <c r="HMT466"/>
      <c r="HMU466"/>
      <c r="HMV466"/>
      <c r="HMW466"/>
      <c r="HMX466"/>
      <c r="HMY466"/>
      <c r="HMZ466"/>
      <c r="HNA466"/>
      <c r="HNB466"/>
      <c r="HNC466"/>
      <c r="HND466"/>
      <c r="HNE466"/>
      <c r="HNF466"/>
      <c r="HNG466"/>
      <c r="HNH466"/>
      <c r="HNI466"/>
      <c r="HNJ466"/>
      <c r="HNK466"/>
      <c r="HNL466"/>
      <c r="HNM466"/>
      <c r="HNN466"/>
      <c r="HNO466"/>
      <c r="HNP466"/>
      <c r="HNQ466"/>
      <c r="HNR466"/>
      <c r="HNS466"/>
      <c r="HNT466"/>
      <c r="HNU466"/>
      <c r="HNV466"/>
      <c r="HNW466"/>
      <c r="HNX466"/>
      <c r="HNY466"/>
      <c r="HNZ466"/>
      <c r="HOA466"/>
      <c r="HOB466"/>
      <c r="HOC466"/>
      <c r="HOD466"/>
      <c r="HOE466"/>
      <c r="HOF466"/>
      <c r="HOG466"/>
      <c r="HOH466"/>
      <c r="HOI466"/>
      <c r="HOJ466"/>
      <c r="HOK466"/>
      <c r="HOL466"/>
      <c r="HOM466"/>
      <c r="HON466"/>
      <c r="HOO466"/>
      <c r="HOP466"/>
      <c r="HOQ466"/>
      <c r="HOR466"/>
      <c r="HOS466"/>
      <c r="HOT466"/>
      <c r="HOU466"/>
      <c r="HOV466"/>
      <c r="HOW466"/>
      <c r="HOX466"/>
      <c r="HOY466"/>
      <c r="HOZ466"/>
      <c r="HPA466"/>
      <c r="HPB466"/>
      <c r="HPC466"/>
      <c r="HPD466"/>
      <c r="HPE466"/>
      <c r="HPF466"/>
      <c r="HPG466"/>
      <c r="HPH466"/>
      <c r="HPI466"/>
      <c r="HPJ466"/>
      <c r="HPK466"/>
      <c r="HPL466"/>
      <c r="HPM466"/>
      <c r="HPN466"/>
      <c r="HPO466"/>
      <c r="HPP466"/>
      <c r="HPQ466"/>
      <c r="HPR466"/>
      <c r="HPS466"/>
      <c r="HPT466"/>
      <c r="HPU466"/>
      <c r="HPV466"/>
      <c r="HPW466"/>
      <c r="HPX466"/>
      <c r="HPY466"/>
      <c r="HPZ466"/>
      <c r="HQA466"/>
      <c r="HQB466"/>
      <c r="HQC466"/>
      <c r="HQD466"/>
      <c r="HQE466"/>
      <c r="HQF466"/>
      <c r="HQG466"/>
      <c r="HQH466"/>
      <c r="HQI466"/>
      <c r="HQJ466"/>
      <c r="HQK466"/>
      <c r="HQL466"/>
      <c r="HQM466"/>
      <c r="HQN466"/>
      <c r="HQO466"/>
      <c r="HQP466"/>
      <c r="HQQ466"/>
      <c r="HQR466"/>
      <c r="HQS466"/>
      <c r="HQT466"/>
      <c r="HQU466"/>
      <c r="HQV466"/>
      <c r="HQW466"/>
      <c r="HQX466"/>
      <c r="HQY466"/>
      <c r="HQZ466"/>
      <c r="HRA466"/>
      <c r="HRB466"/>
      <c r="HRC466"/>
      <c r="HRD466"/>
      <c r="HRE466"/>
      <c r="HRF466"/>
      <c r="HRG466"/>
      <c r="HRH466"/>
      <c r="HRI466"/>
      <c r="HRJ466"/>
      <c r="HRK466"/>
      <c r="HRL466"/>
      <c r="HRM466"/>
      <c r="HRN466"/>
      <c r="HRO466"/>
      <c r="HRP466"/>
      <c r="HRQ466"/>
      <c r="HRR466"/>
      <c r="HRS466"/>
      <c r="HRT466"/>
      <c r="HRU466"/>
      <c r="HRV466"/>
      <c r="HRW466"/>
      <c r="HRX466"/>
      <c r="HRY466"/>
      <c r="HRZ466"/>
      <c r="HSA466"/>
      <c r="HSB466"/>
      <c r="HSC466"/>
      <c r="HSD466"/>
      <c r="HSE466"/>
      <c r="HSF466"/>
      <c r="HSG466"/>
      <c r="HSH466"/>
      <c r="HSI466"/>
      <c r="HSJ466"/>
      <c r="HSK466"/>
      <c r="HSL466"/>
      <c r="HSM466"/>
      <c r="HSN466"/>
      <c r="HSO466"/>
      <c r="HSP466"/>
      <c r="HSQ466"/>
      <c r="HSR466"/>
      <c r="HSS466"/>
      <c r="HST466"/>
      <c r="HSU466"/>
      <c r="HSV466"/>
      <c r="HSW466"/>
      <c r="HSX466"/>
      <c r="HSY466"/>
      <c r="HSZ466"/>
      <c r="HTA466"/>
      <c r="HTB466"/>
      <c r="HTC466"/>
      <c r="HTD466"/>
      <c r="HTE466"/>
      <c r="HTF466"/>
      <c r="HTG466"/>
      <c r="HTH466"/>
      <c r="HTI466"/>
      <c r="HTJ466"/>
      <c r="HTK466"/>
      <c r="HTL466"/>
      <c r="HTM466"/>
      <c r="HTN466"/>
      <c r="HTO466"/>
      <c r="HTP466"/>
      <c r="HTQ466"/>
      <c r="HTR466"/>
      <c r="HTS466"/>
      <c r="HTT466"/>
      <c r="HTU466"/>
      <c r="HTV466"/>
      <c r="HTW466"/>
      <c r="HTX466"/>
      <c r="HTY466"/>
      <c r="HTZ466"/>
      <c r="HUA466"/>
      <c r="HUB466"/>
      <c r="HUC466"/>
      <c r="HUD466"/>
      <c r="HUE466"/>
      <c r="HUF466"/>
      <c r="HUG466"/>
      <c r="HUH466"/>
      <c r="HUI466"/>
      <c r="HUJ466"/>
      <c r="HUK466"/>
      <c r="HUL466"/>
      <c r="HUM466"/>
      <c r="HUN466"/>
      <c r="HUO466"/>
      <c r="HUP466"/>
      <c r="HUQ466"/>
      <c r="HUR466"/>
      <c r="HUS466"/>
      <c r="HUT466"/>
      <c r="HUU466"/>
      <c r="HUV466"/>
      <c r="HUW466"/>
      <c r="HUX466"/>
      <c r="HUY466"/>
      <c r="HUZ466"/>
      <c r="HVA466"/>
      <c r="HVB466"/>
      <c r="HVC466"/>
      <c r="HVD466"/>
      <c r="HVE466"/>
      <c r="HVF466"/>
      <c r="HVG466"/>
      <c r="HVH466"/>
      <c r="HVI466"/>
      <c r="HVJ466"/>
      <c r="HVK466"/>
      <c r="HVL466"/>
      <c r="HVM466"/>
      <c r="HVN466"/>
      <c r="HVO466"/>
      <c r="HVP466"/>
      <c r="HVQ466"/>
      <c r="HVR466"/>
      <c r="HVS466"/>
      <c r="HVT466"/>
      <c r="HVU466"/>
      <c r="HVV466"/>
      <c r="HVW466"/>
      <c r="HVX466"/>
      <c r="HVY466"/>
      <c r="HVZ466"/>
      <c r="HWA466"/>
      <c r="HWB466"/>
      <c r="HWC466"/>
      <c r="HWD466"/>
      <c r="HWE466"/>
      <c r="HWF466"/>
      <c r="HWG466"/>
      <c r="HWH466"/>
      <c r="HWI466"/>
      <c r="HWJ466"/>
      <c r="HWK466"/>
      <c r="HWL466"/>
      <c r="HWM466"/>
      <c r="HWN466"/>
      <c r="HWO466"/>
      <c r="HWP466"/>
      <c r="HWQ466"/>
      <c r="HWR466"/>
      <c r="HWS466"/>
      <c r="HWT466"/>
      <c r="HWU466"/>
      <c r="HWV466"/>
      <c r="HWW466"/>
      <c r="HWX466"/>
      <c r="HWY466"/>
      <c r="HWZ466"/>
      <c r="HXA466"/>
      <c r="HXB466"/>
      <c r="HXC466"/>
      <c r="HXD466"/>
      <c r="HXE466"/>
      <c r="HXF466"/>
      <c r="HXG466"/>
      <c r="HXH466"/>
      <c r="HXI466"/>
      <c r="HXJ466"/>
      <c r="HXK466"/>
      <c r="HXL466"/>
      <c r="HXM466"/>
      <c r="HXN466"/>
      <c r="HXO466"/>
      <c r="HXP466"/>
      <c r="HXQ466"/>
      <c r="HXR466"/>
      <c r="HXS466"/>
      <c r="HXT466"/>
      <c r="HXU466"/>
      <c r="HXV466"/>
      <c r="HXW466"/>
      <c r="HXX466"/>
      <c r="HXY466"/>
      <c r="HXZ466"/>
      <c r="HYA466"/>
      <c r="HYB466"/>
      <c r="HYC466"/>
      <c r="HYD466"/>
      <c r="HYE466"/>
      <c r="HYF466"/>
      <c r="HYG466"/>
      <c r="HYH466"/>
      <c r="HYI466"/>
      <c r="HYJ466"/>
      <c r="HYK466"/>
      <c r="HYL466"/>
      <c r="HYM466"/>
      <c r="HYN466"/>
      <c r="HYO466"/>
      <c r="HYP466"/>
      <c r="HYQ466"/>
      <c r="HYR466"/>
      <c r="HYS466"/>
      <c r="HYT466"/>
      <c r="HYU466"/>
      <c r="HYV466"/>
      <c r="HYW466"/>
      <c r="HYX466"/>
      <c r="HYY466"/>
      <c r="HYZ466"/>
      <c r="HZA466"/>
      <c r="HZB466"/>
      <c r="HZC466"/>
      <c r="HZD466"/>
      <c r="HZE466"/>
      <c r="HZF466"/>
      <c r="HZG466"/>
      <c r="HZH466"/>
      <c r="HZI466"/>
      <c r="HZJ466"/>
      <c r="HZK466"/>
      <c r="HZL466"/>
      <c r="HZM466"/>
      <c r="HZN466"/>
      <c r="HZO466"/>
      <c r="HZP466"/>
      <c r="HZQ466"/>
      <c r="HZR466"/>
      <c r="HZS466"/>
      <c r="HZT466"/>
      <c r="HZU466"/>
      <c r="HZV466"/>
      <c r="HZW466"/>
      <c r="HZX466"/>
      <c r="HZY466"/>
      <c r="HZZ466"/>
      <c r="IAA466"/>
      <c r="IAB466"/>
      <c r="IAC466"/>
      <c r="IAD466"/>
      <c r="IAE466"/>
      <c r="IAF466"/>
      <c r="IAG466"/>
      <c r="IAH466"/>
      <c r="IAI466"/>
      <c r="IAJ466"/>
      <c r="IAK466"/>
      <c r="IAL466"/>
      <c r="IAM466"/>
      <c r="IAN466"/>
      <c r="IAO466"/>
      <c r="IAP466"/>
      <c r="IAQ466"/>
      <c r="IAR466"/>
      <c r="IAS466"/>
      <c r="IAT466"/>
      <c r="IAU466"/>
      <c r="IAV466"/>
      <c r="IAW466"/>
      <c r="IAX466"/>
      <c r="IAY466"/>
      <c r="IAZ466"/>
      <c r="IBA466"/>
      <c r="IBB466"/>
      <c r="IBC466"/>
      <c r="IBD466"/>
      <c r="IBE466"/>
      <c r="IBF466"/>
      <c r="IBG466"/>
      <c r="IBH466"/>
      <c r="IBI466"/>
      <c r="IBJ466"/>
      <c r="IBK466"/>
      <c r="IBL466"/>
      <c r="IBM466"/>
      <c r="IBN466"/>
      <c r="IBO466"/>
      <c r="IBP466"/>
      <c r="IBQ466"/>
      <c r="IBR466"/>
      <c r="IBS466"/>
      <c r="IBT466"/>
      <c r="IBU466"/>
      <c r="IBV466"/>
      <c r="IBW466"/>
      <c r="IBX466"/>
      <c r="IBY466"/>
      <c r="IBZ466"/>
      <c r="ICA466"/>
      <c r="ICB466"/>
      <c r="ICC466"/>
      <c r="ICD466"/>
      <c r="ICE466"/>
      <c r="ICF466"/>
      <c r="ICG466"/>
      <c r="ICH466"/>
      <c r="ICI466"/>
      <c r="ICJ466"/>
      <c r="ICK466"/>
      <c r="ICL466"/>
      <c r="ICM466"/>
      <c r="ICN466"/>
      <c r="ICO466"/>
      <c r="ICP466"/>
      <c r="ICQ466"/>
      <c r="ICR466"/>
      <c r="ICS466"/>
      <c r="ICT466"/>
      <c r="ICU466"/>
      <c r="ICV466"/>
      <c r="ICW466"/>
      <c r="ICX466"/>
      <c r="ICY466"/>
      <c r="ICZ466"/>
      <c r="IDA466"/>
      <c r="IDB466"/>
      <c r="IDC466"/>
      <c r="IDD466"/>
      <c r="IDE466"/>
      <c r="IDF466"/>
      <c r="IDG466"/>
      <c r="IDH466"/>
      <c r="IDI466"/>
      <c r="IDJ466"/>
      <c r="IDK466"/>
      <c r="IDL466"/>
      <c r="IDM466"/>
      <c r="IDN466"/>
      <c r="IDO466"/>
      <c r="IDP466"/>
      <c r="IDQ466"/>
      <c r="IDR466"/>
      <c r="IDS466"/>
      <c r="IDT466"/>
      <c r="IDU466"/>
      <c r="IDV466"/>
      <c r="IDW466"/>
      <c r="IDX466"/>
      <c r="IDY466"/>
      <c r="IDZ466"/>
      <c r="IEA466"/>
      <c r="IEB466"/>
      <c r="IEC466"/>
      <c r="IED466"/>
      <c r="IEE466"/>
      <c r="IEF466"/>
      <c r="IEG466"/>
      <c r="IEH466"/>
      <c r="IEI466"/>
      <c r="IEJ466"/>
      <c r="IEK466"/>
      <c r="IEL466"/>
      <c r="IEM466"/>
      <c r="IEN466"/>
      <c r="IEO466"/>
      <c r="IEP466"/>
      <c r="IEQ466"/>
      <c r="IER466"/>
      <c r="IES466"/>
      <c r="IET466"/>
      <c r="IEU466"/>
      <c r="IEV466"/>
      <c r="IEW466"/>
      <c r="IEX466"/>
      <c r="IEY466"/>
      <c r="IEZ466"/>
      <c r="IFA466"/>
      <c r="IFB466"/>
      <c r="IFC466"/>
      <c r="IFD466"/>
      <c r="IFE466"/>
      <c r="IFF466"/>
      <c r="IFG466"/>
      <c r="IFH466"/>
      <c r="IFI466"/>
      <c r="IFJ466"/>
      <c r="IFK466"/>
      <c r="IFL466"/>
      <c r="IFM466"/>
      <c r="IFN466"/>
      <c r="IFO466"/>
      <c r="IFP466"/>
      <c r="IFQ466"/>
      <c r="IFR466"/>
      <c r="IFS466"/>
      <c r="IFT466"/>
      <c r="IFU466"/>
      <c r="IFV466"/>
      <c r="IFW466"/>
      <c r="IFX466"/>
      <c r="IFY466"/>
      <c r="IFZ466"/>
      <c r="IGA466"/>
      <c r="IGB466"/>
      <c r="IGC466"/>
      <c r="IGD466"/>
      <c r="IGE466"/>
      <c r="IGF466"/>
      <c r="IGG466"/>
      <c r="IGH466"/>
      <c r="IGI466"/>
      <c r="IGJ466"/>
      <c r="IGK466"/>
      <c r="IGL466"/>
      <c r="IGM466"/>
      <c r="IGN466"/>
      <c r="IGO466"/>
      <c r="IGP466"/>
      <c r="IGQ466"/>
      <c r="IGR466"/>
      <c r="IGS466"/>
      <c r="IGT466"/>
      <c r="IGU466"/>
      <c r="IGV466"/>
      <c r="IGW466"/>
      <c r="IGX466"/>
      <c r="IGY466"/>
      <c r="IGZ466"/>
      <c r="IHA466"/>
      <c r="IHB466"/>
      <c r="IHC466"/>
      <c r="IHD466"/>
      <c r="IHE466"/>
      <c r="IHF466"/>
      <c r="IHG466"/>
      <c r="IHH466"/>
      <c r="IHI466"/>
      <c r="IHJ466"/>
      <c r="IHK466"/>
      <c r="IHL466"/>
      <c r="IHM466"/>
      <c r="IHN466"/>
      <c r="IHO466"/>
      <c r="IHP466"/>
      <c r="IHQ466"/>
      <c r="IHR466"/>
      <c r="IHS466"/>
      <c r="IHT466"/>
      <c r="IHU466"/>
      <c r="IHV466"/>
      <c r="IHW466"/>
      <c r="IHX466"/>
      <c r="IHY466"/>
      <c r="IHZ466"/>
      <c r="IIA466"/>
      <c r="IIB466"/>
      <c r="IIC466"/>
      <c r="IID466"/>
      <c r="IIE466"/>
      <c r="IIF466"/>
      <c r="IIG466"/>
      <c r="IIH466"/>
      <c r="III466"/>
      <c r="IIJ466"/>
      <c r="IIK466"/>
      <c r="IIL466"/>
      <c r="IIM466"/>
      <c r="IIN466"/>
      <c r="IIO466"/>
      <c r="IIP466"/>
      <c r="IIQ466"/>
      <c r="IIR466"/>
      <c r="IIS466"/>
      <c r="IIT466"/>
      <c r="IIU466"/>
      <c r="IIV466"/>
      <c r="IIW466"/>
      <c r="IIX466"/>
      <c r="IIY466"/>
      <c r="IIZ466"/>
      <c r="IJA466"/>
      <c r="IJB466"/>
      <c r="IJC466"/>
      <c r="IJD466"/>
      <c r="IJE466"/>
      <c r="IJF466"/>
      <c r="IJG466"/>
      <c r="IJH466"/>
      <c r="IJI466"/>
      <c r="IJJ466"/>
      <c r="IJK466"/>
      <c r="IJL466"/>
      <c r="IJM466"/>
      <c r="IJN466"/>
      <c r="IJO466"/>
      <c r="IJP466"/>
      <c r="IJQ466"/>
      <c r="IJR466"/>
      <c r="IJS466"/>
      <c r="IJT466"/>
      <c r="IJU466"/>
      <c r="IJV466"/>
      <c r="IJW466"/>
      <c r="IJX466"/>
      <c r="IJY466"/>
      <c r="IJZ466"/>
      <c r="IKA466"/>
      <c r="IKB466"/>
      <c r="IKC466"/>
      <c r="IKD466"/>
      <c r="IKE466"/>
      <c r="IKF466"/>
      <c r="IKG466"/>
      <c r="IKH466"/>
      <c r="IKI466"/>
      <c r="IKJ466"/>
      <c r="IKK466"/>
      <c r="IKL466"/>
      <c r="IKM466"/>
      <c r="IKN466"/>
      <c r="IKO466"/>
      <c r="IKP466"/>
      <c r="IKQ466"/>
      <c r="IKR466"/>
      <c r="IKS466"/>
      <c r="IKT466"/>
      <c r="IKU466"/>
      <c r="IKV466"/>
      <c r="IKW466"/>
      <c r="IKX466"/>
      <c r="IKY466"/>
      <c r="IKZ466"/>
      <c r="ILA466"/>
      <c r="ILB466"/>
      <c r="ILC466"/>
      <c r="ILD466"/>
      <c r="ILE466"/>
      <c r="ILF466"/>
      <c r="ILG466"/>
      <c r="ILH466"/>
      <c r="ILI466"/>
      <c r="ILJ466"/>
      <c r="ILK466"/>
      <c r="ILL466"/>
      <c r="ILM466"/>
      <c r="ILN466"/>
      <c r="ILO466"/>
      <c r="ILP466"/>
      <c r="ILQ466"/>
      <c r="ILR466"/>
      <c r="ILS466"/>
      <c r="ILT466"/>
      <c r="ILU466"/>
      <c r="ILV466"/>
      <c r="ILW466"/>
      <c r="ILX466"/>
      <c r="ILY466"/>
      <c r="ILZ466"/>
      <c r="IMA466"/>
      <c r="IMB466"/>
      <c r="IMC466"/>
      <c r="IMD466"/>
      <c r="IME466"/>
      <c r="IMF466"/>
      <c r="IMG466"/>
      <c r="IMH466"/>
      <c r="IMI466"/>
      <c r="IMJ466"/>
      <c r="IMK466"/>
      <c r="IML466"/>
      <c r="IMM466"/>
      <c r="IMN466"/>
      <c r="IMO466"/>
      <c r="IMP466"/>
      <c r="IMQ466"/>
      <c r="IMR466"/>
      <c r="IMS466"/>
      <c r="IMT466"/>
      <c r="IMU466"/>
      <c r="IMV466"/>
      <c r="IMW466"/>
      <c r="IMX466"/>
      <c r="IMY466"/>
      <c r="IMZ466"/>
      <c r="INA466"/>
      <c r="INB466"/>
      <c r="INC466"/>
      <c r="IND466"/>
      <c r="INE466"/>
      <c r="INF466"/>
      <c r="ING466"/>
      <c r="INH466"/>
      <c r="INI466"/>
      <c r="INJ466"/>
      <c r="INK466"/>
      <c r="INL466"/>
      <c r="INM466"/>
      <c r="INN466"/>
      <c r="INO466"/>
      <c r="INP466"/>
      <c r="INQ466"/>
      <c r="INR466"/>
      <c r="INS466"/>
      <c r="INT466"/>
      <c r="INU466"/>
      <c r="INV466"/>
      <c r="INW466"/>
      <c r="INX466"/>
      <c r="INY466"/>
      <c r="INZ466"/>
      <c r="IOA466"/>
      <c r="IOB466"/>
      <c r="IOC466"/>
      <c r="IOD466"/>
      <c r="IOE466"/>
      <c r="IOF466"/>
      <c r="IOG466"/>
      <c r="IOH466"/>
      <c r="IOI466"/>
      <c r="IOJ466"/>
      <c r="IOK466"/>
      <c r="IOL466"/>
      <c r="IOM466"/>
      <c r="ION466"/>
      <c r="IOO466"/>
      <c r="IOP466"/>
      <c r="IOQ466"/>
      <c r="IOR466"/>
      <c r="IOS466"/>
      <c r="IOT466"/>
      <c r="IOU466"/>
      <c r="IOV466"/>
      <c r="IOW466"/>
      <c r="IOX466"/>
      <c r="IOY466"/>
      <c r="IOZ466"/>
      <c r="IPA466"/>
      <c r="IPB466"/>
      <c r="IPC466"/>
      <c r="IPD466"/>
      <c r="IPE466"/>
      <c r="IPF466"/>
      <c r="IPG466"/>
      <c r="IPH466"/>
      <c r="IPI466"/>
      <c r="IPJ466"/>
      <c r="IPK466"/>
      <c r="IPL466"/>
      <c r="IPM466"/>
      <c r="IPN466"/>
      <c r="IPO466"/>
      <c r="IPP466"/>
      <c r="IPQ466"/>
      <c r="IPR466"/>
      <c r="IPS466"/>
      <c r="IPT466"/>
      <c r="IPU466"/>
      <c r="IPV466"/>
      <c r="IPW466"/>
      <c r="IPX466"/>
      <c r="IPY466"/>
      <c r="IPZ466"/>
      <c r="IQA466"/>
      <c r="IQB466"/>
      <c r="IQC466"/>
      <c r="IQD466"/>
      <c r="IQE466"/>
      <c r="IQF466"/>
      <c r="IQG466"/>
      <c r="IQH466"/>
      <c r="IQI466"/>
      <c r="IQJ466"/>
      <c r="IQK466"/>
      <c r="IQL466"/>
      <c r="IQM466"/>
      <c r="IQN466"/>
      <c r="IQO466"/>
      <c r="IQP466"/>
      <c r="IQQ466"/>
      <c r="IQR466"/>
      <c r="IQS466"/>
      <c r="IQT466"/>
      <c r="IQU466"/>
      <c r="IQV466"/>
      <c r="IQW466"/>
      <c r="IQX466"/>
      <c r="IQY466"/>
      <c r="IQZ466"/>
      <c r="IRA466"/>
      <c r="IRB466"/>
      <c r="IRC466"/>
      <c r="IRD466"/>
      <c r="IRE466"/>
      <c r="IRF466"/>
      <c r="IRG466"/>
      <c r="IRH466"/>
      <c r="IRI466"/>
      <c r="IRJ466"/>
      <c r="IRK466"/>
      <c r="IRL466"/>
      <c r="IRM466"/>
      <c r="IRN466"/>
      <c r="IRO466"/>
      <c r="IRP466"/>
      <c r="IRQ466"/>
      <c r="IRR466"/>
      <c r="IRS466"/>
      <c r="IRT466"/>
      <c r="IRU466"/>
      <c r="IRV466"/>
      <c r="IRW466"/>
      <c r="IRX466"/>
      <c r="IRY466"/>
      <c r="IRZ466"/>
      <c r="ISA466"/>
      <c r="ISB466"/>
      <c r="ISC466"/>
      <c r="ISD466"/>
      <c r="ISE466"/>
      <c r="ISF466"/>
      <c r="ISG466"/>
      <c r="ISH466"/>
      <c r="ISI466"/>
      <c r="ISJ466"/>
      <c r="ISK466"/>
      <c r="ISL466"/>
      <c r="ISM466"/>
      <c r="ISN466"/>
      <c r="ISO466"/>
      <c r="ISP466"/>
      <c r="ISQ466"/>
      <c r="ISR466"/>
      <c r="ISS466"/>
      <c r="IST466"/>
      <c r="ISU466"/>
      <c r="ISV466"/>
      <c r="ISW466"/>
      <c r="ISX466"/>
      <c r="ISY466"/>
      <c r="ISZ466"/>
      <c r="ITA466"/>
      <c r="ITB466"/>
      <c r="ITC466"/>
      <c r="ITD466"/>
      <c r="ITE466"/>
      <c r="ITF466"/>
      <c r="ITG466"/>
      <c r="ITH466"/>
      <c r="ITI466"/>
      <c r="ITJ466"/>
      <c r="ITK466"/>
      <c r="ITL466"/>
      <c r="ITM466"/>
      <c r="ITN466"/>
      <c r="ITO466"/>
      <c r="ITP466"/>
      <c r="ITQ466"/>
      <c r="ITR466"/>
      <c r="ITS466"/>
      <c r="ITT466"/>
      <c r="ITU466"/>
      <c r="ITV466"/>
      <c r="ITW466"/>
      <c r="ITX466"/>
      <c r="ITY466"/>
      <c r="ITZ466"/>
      <c r="IUA466"/>
      <c r="IUB466"/>
      <c r="IUC466"/>
      <c r="IUD466"/>
      <c r="IUE466"/>
      <c r="IUF466"/>
      <c r="IUG466"/>
      <c r="IUH466"/>
      <c r="IUI466"/>
      <c r="IUJ466"/>
      <c r="IUK466"/>
      <c r="IUL466"/>
      <c r="IUM466"/>
      <c r="IUN466"/>
      <c r="IUO466"/>
      <c r="IUP466"/>
      <c r="IUQ466"/>
      <c r="IUR466"/>
      <c r="IUS466"/>
      <c r="IUT466"/>
      <c r="IUU466"/>
      <c r="IUV466"/>
      <c r="IUW466"/>
      <c r="IUX466"/>
      <c r="IUY466"/>
      <c r="IUZ466"/>
      <c r="IVA466"/>
      <c r="IVB466"/>
      <c r="IVC466"/>
      <c r="IVD466"/>
      <c r="IVE466"/>
      <c r="IVF466"/>
      <c r="IVG466"/>
      <c r="IVH466"/>
      <c r="IVI466"/>
      <c r="IVJ466"/>
      <c r="IVK466"/>
      <c r="IVL466"/>
      <c r="IVM466"/>
      <c r="IVN466"/>
      <c r="IVO466"/>
      <c r="IVP466"/>
      <c r="IVQ466"/>
      <c r="IVR466"/>
      <c r="IVS466"/>
      <c r="IVT466"/>
      <c r="IVU466"/>
      <c r="IVV466"/>
      <c r="IVW466"/>
      <c r="IVX466"/>
      <c r="IVY466"/>
      <c r="IVZ466"/>
      <c r="IWA466"/>
      <c r="IWB466"/>
      <c r="IWC466"/>
      <c r="IWD466"/>
      <c r="IWE466"/>
      <c r="IWF466"/>
      <c r="IWG466"/>
      <c r="IWH466"/>
      <c r="IWI466"/>
      <c r="IWJ466"/>
      <c r="IWK466"/>
      <c r="IWL466"/>
      <c r="IWM466"/>
      <c r="IWN466"/>
      <c r="IWO466"/>
      <c r="IWP466"/>
      <c r="IWQ466"/>
      <c r="IWR466"/>
      <c r="IWS466"/>
      <c r="IWT466"/>
      <c r="IWU466"/>
      <c r="IWV466"/>
      <c r="IWW466"/>
      <c r="IWX466"/>
      <c r="IWY466"/>
      <c r="IWZ466"/>
      <c r="IXA466"/>
      <c r="IXB466"/>
      <c r="IXC466"/>
      <c r="IXD466"/>
      <c r="IXE466"/>
      <c r="IXF466"/>
      <c r="IXG466"/>
      <c r="IXH466"/>
      <c r="IXI466"/>
      <c r="IXJ466"/>
      <c r="IXK466"/>
      <c r="IXL466"/>
      <c r="IXM466"/>
      <c r="IXN466"/>
      <c r="IXO466"/>
      <c r="IXP466"/>
      <c r="IXQ466"/>
      <c r="IXR466"/>
      <c r="IXS466"/>
      <c r="IXT466"/>
      <c r="IXU466"/>
      <c r="IXV466"/>
      <c r="IXW466"/>
      <c r="IXX466"/>
      <c r="IXY466"/>
      <c r="IXZ466"/>
      <c r="IYA466"/>
      <c r="IYB466"/>
      <c r="IYC466"/>
      <c r="IYD466"/>
      <c r="IYE466"/>
      <c r="IYF466"/>
      <c r="IYG466"/>
      <c r="IYH466"/>
      <c r="IYI466"/>
      <c r="IYJ466"/>
      <c r="IYK466"/>
      <c r="IYL466"/>
      <c r="IYM466"/>
      <c r="IYN466"/>
      <c r="IYO466"/>
      <c r="IYP466"/>
      <c r="IYQ466"/>
      <c r="IYR466"/>
      <c r="IYS466"/>
      <c r="IYT466"/>
      <c r="IYU466"/>
      <c r="IYV466"/>
      <c r="IYW466"/>
      <c r="IYX466"/>
      <c r="IYY466"/>
      <c r="IYZ466"/>
      <c r="IZA466"/>
      <c r="IZB466"/>
      <c r="IZC466"/>
      <c r="IZD466"/>
      <c r="IZE466"/>
      <c r="IZF466"/>
      <c r="IZG466"/>
      <c r="IZH466"/>
      <c r="IZI466"/>
      <c r="IZJ466"/>
      <c r="IZK466"/>
      <c r="IZL466"/>
      <c r="IZM466"/>
      <c r="IZN466"/>
      <c r="IZO466"/>
      <c r="IZP466"/>
      <c r="IZQ466"/>
      <c r="IZR466"/>
      <c r="IZS466"/>
      <c r="IZT466"/>
      <c r="IZU466"/>
      <c r="IZV466"/>
      <c r="IZW466"/>
      <c r="IZX466"/>
      <c r="IZY466"/>
      <c r="IZZ466"/>
      <c r="JAA466"/>
      <c r="JAB466"/>
      <c r="JAC466"/>
      <c r="JAD466"/>
      <c r="JAE466"/>
      <c r="JAF466"/>
      <c r="JAG466"/>
      <c r="JAH466"/>
      <c r="JAI466"/>
      <c r="JAJ466"/>
      <c r="JAK466"/>
      <c r="JAL466"/>
      <c r="JAM466"/>
      <c r="JAN466"/>
      <c r="JAO466"/>
      <c r="JAP466"/>
      <c r="JAQ466"/>
      <c r="JAR466"/>
      <c r="JAS466"/>
      <c r="JAT466"/>
      <c r="JAU466"/>
      <c r="JAV466"/>
      <c r="JAW466"/>
      <c r="JAX466"/>
      <c r="JAY466"/>
      <c r="JAZ466"/>
      <c r="JBA466"/>
      <c r="JBB466"/>
      <c r="JBC466"/>
      <c r="JBD466"/>
      <c r="JBE466"/>
      <c r="JBF466"/>
      <c r="JBG466"/>
      <c r="JBH466"/>
      <c r="JBI466"/>
      <c r="JBJ466"/>
      <c r="JBK466"/>
      <c r="JBL466"/>
      <c r="JBM466"/>
      <c r="JBN466"/>
      <c r="JBO466"/>
      <c r="JBP466"/>
      <c r="JBQ466"/>
      <c r="JBR466"/>
      <c r="JBS466"/>
      <c r="JBT466"/>
      <c r="JBU466"/>
      <c r="JBV466"/>
      <c r="JBW466"/>
      <c r="JBX466"/>
      <c r="JBY466"/>
      <c r="JBZ466"/>
      <c r="JCA466"/>
      <c r="JCB466"/>
      <c r="JCC466"/>
      <c r="JCD466"/>
      <c r="JCE466"/>
      <c r="JCF466"/>
      <c r="JCG466"/>
      <c r="JCH466"/>
      <c r="JCI466"/>
      <c r="JCJ466"/>
      <c r="JCK466"/>
      <c r="JCL466"/>
      <c r="JCM466"/>
      <c r="JCN466"/>
      <c r="JCO466"/>
      <c r="JCP466"/>
      <c r="JCQ466"/>
      <c r="JCR466"/>
      <c r="JCS466"/>
      <c r="JCT466"/>
      <c r="JCU466"/>
      <c r="JCV466"/>
      <c r="JCW466"/>
      <c r="JCX466"/>
      <c r="JCY466"/>
      <c r="JCZ466"/>
      <c r="JDA466"/>
      <c r="JDB466"/>
      <c r="JDC466"/>
      <c r="JDD466"/>
      <c r="JDE466"/>
      <c r="JDF466"/>
      <c r="JDG466"/>
      <c r="JDH466"/>
      <c r="JDI466"/>
      <c r="JDJ466"/>
      <c r="JDK466"/>
      <c r="JDL466"/>
      <c r="JDM466"/>
      <c r="JDN466"/>
      <c r="JDO466"/>
      <c r="JDP466"/>
      <c r="JDQ466"/>
      <c r="JDR466"/>
      <c r="JDS466"/>
      <c r="JDT466"/>
      <c r="JDU466"/>
      <c r="JDV466"/>
      <c r="JDW466"/>
      <c r="JDX466"/>
      <c r="JDY466"/>
      <c r="JDZ466"/>
      <c r="JEA466"/>
      <c r="JEB466"/>
      <c r="JEC466"/>
      <c r="JED466"/>
      <c r="JEE466"/>
      <c r="JEF466"/>
      <c r="JEG466"/>
      <c r="JEH466"/>
      <c r="JEI466"/>
      <c r="JEJ466"/>
      <c r="JEK466"/>
      <c r="JEL466"/>
      <c r="JEM466"/>
      <c r="JEN466"/>
      <c r="JEO466"/>
      <c r="JEP466"/>
      <c r="JEQ466"/>
      <c r="JER466"/>
      <c r="JES466"/>
      <c r="JET466"/>
      <c r="JEU466"/>
      <c r="JEV466"/>
      <c r="JEW466"/>
      <c r="JEX466"/>
      <c r="JEY466"/>
      <c r="JEZ466"/>
      <c r="JFA466"/>
      <c r="JFB466"/>
      <c r="JFC466"/>
      <c r="JFD466"/>
      <c r="JFE466"/>
      <c r="JFF466"/>
      <c r="JFG466"/>
      <c r="JFH466"/>
      <c r="JFI466"/>
      <c r="JFJ466"/>
      <c r="JFK466"/>
      <c r="JFL466"/>
      <c r="JFM466"/>
      <c r="JFN466"/>
      <c r="JFO466"/>
      <c r="JFP466"/>
      <c r="JFQ466"/>
      <c r="JFR466"/>
      <c r="JFS466"/>
      <c r="JFT466"/>
      <c r="JFU466"/>
      <c r="JFV466"/>
      <c r="JFW466"/>
      <c r="JFX466"/>
      <c r="JFY466"/>
      <c r="JFZ466"/>
      <c r="JGA466"/>
      <c r="JGB466"/>
      <c r="JGC466"/>
      <c r="JGD466"/>
      <c r="JGE466"/>
      <c r="JGF466"/>
      <c r="JGG466"/>
      <c r="JGH466"/>
      <c r="JGI466"/>
      <c r="JGJ466"/>
      <c r="JGK466"/>
      <c r="JGL466"/>
      <c r="JGM466"/>
      <c r="JGN466"/>
      <c r="JGO466"/>
      <c r="JGP466"/>
      <c r="JGQ466"/>
      <c r="JGR466"/>
      <c r="JGS466"/>
      <c r="JGT466"/>
      <c r="JGU466"/>
      <c r="JGV466"/>
      <c r="JGW466"/>
      <c r="JGX466"/>
      <c r="JGY466"/>
      <c r="JGZ466"/>
      <c r="JHA466"/>
      <c r="JHB466"/>
      <c r="JHC466"/>
      <c r="JHD466"/>
      <c r="JHE466"/>
      <c r="JHF466"/>
      <c r="JHG466"/>
      <c r="JHH466"/>
      <c r="JHI466"/>
      <c r="JHJ466"/>
      <c r="JHK466"/>
      <c r="JHL466"/>
      <c r="JHM466"/>
      <c r="JHN466"/>
      <c r="JHO466"/>
      <c r="JHP466"/>
      <c r="JHQ466"/>
      <c r="JHR466"/>
      <c r="JHS466"/>
      <c r="JHT466"/>
      <c r="JHU466"/>
      <c r="JHV466"/>
      <c r="JHW466"/>
      <c r="JHX466"/>
      <c r="JHY466"/>
      <c r="JHZ466"/>
      <c r="JIA466"/>
      <c r="JIB466"/>
      <c r="JIC466"/>
      <c r="JID466"/>
      <c r="JIE466"/>
      <c r="JIF466"/>
      <c r="JIG466"/>
      <c r="JIH466"/>
      <c r="JII466"/>
      <c r="JIJ466"/>
      <c r="JIK466"/>
      <c r="JIL466"/>
      <c r="JIM466"/>
      <c r="JIN466"/>
      <c r="JIO466"/>
      <c r="JIP466"/>
      <c r="JIQ466"/>
      <c r="JIR466"/>
      <c r="JIS466"/>
      <c r="JIT466"/>
      <c r="JIU466"/>
      <c r="JIV466"/>
      <c r="JIW466"/>
      <c r="JIX466"/>
      <c r="JIY466"/>
      <c r="JIZ466"/>
      <c r="JJA466"/>
      <c r="JJB466"/>
      <c r="JJC466"/>
      <c r="JJD466"/>
      <c r="JJE466"/>
      <c r="JJF466"/>
      <c r="JJG466"/>
      <c r="JJH466"/>
      <c r="JJI466"/>
      <c r="JJJ466"/>
      <c r="JJK466"/>
      <c r="JJL466"/>
      <c r="JJM466"/>
      <c r="JJN466"/>
      <c r="JJO466"/>
      <c r="JJP466"/>
      <c r="JJQ466"/>
      <c r="JJR466"/>
      <c r="JJS466"/>
      <c r="JJT466"/>
      <c r="JJU466"/>
      <c r="JJV466"/>
      <c r="JJW466"/>
      <c r="JJX466"/>
      <c r="JJY466"/>
      <c r="JJZ466"/>
      <c r="JKA466"/>
      <c r="JKB466"/>
      <c r="JKC466"/>
      <c r="JKD466"/>
      <c r="JKE466"/>
      <c r="JKF466"/>
      <c r="JKG466"/>
      <c r="JKH466"/>
      <c r="JKI466"/>
      <c r="JKJ466"/>
      <c r="JKK466"/>
      <c r="JKL466"/>
      <c r="JKM466"/>
      <c r="JKN466"/>
      <c r="JKO466"/>
      <c r="JKP466"/>
      <c r="JKQ466"/>
      <c r="JKR466"/>
      <c r="JKS466"/>
      <c r="JKT466"/>
      <c r="JKU466"/>
      <c r="JKV466"/>
      <c r="JKW466"/>
      <c r="JKX466"/>
      <c r="JKY466"/>
      <c r="JKZ466"/>
      <c r="JLA466"/>
      <c r="JLB466"/>
      <c r="JLC466"/>
      <c r="JLD466"/>
      <c r="JLE466"/>
      <c r="JLF466"/>
      <c r="JLG466"/>
      <c r="JLH466"/>
      <c r="JLI466"/>
      <c r="JLJ466"/>
      <c r="JLK466"/>
      <c r="JLL466"/>
      <c r="JLM466"/>
      <c r="JLN466"/>
      <c r="JLO466"/>
      <c r="JLP466"/>
      <c r="JLQ466"/>
      <c r="JLR466"/>
      <c r="JLS466"/>
      <c r="JLT466"/>
      <c r="JLU466"/>
      <c r="JLV466"/>
      <c r="JLW466"/>
      <c r="JLX466"/>
      <c r="JLY466"/>
      <c r="JLZ466"/>
      <c r="JMA466"/>
      <c r="JMB466"/>
      <c r="JMC466"/>
      <c r="JMD466"/>
      <c r="JME466"/>
      <c r="JMF466"/>
      <c r="JMG466"/>
      <c r="JMH466"/>
      <c r="JMI466"/>
      <c r="JMJ466"/>
      <c r="JMK466"/>
      <c r="JML466"/>
      <c r="JMM466"/>
      <c r="JMN466"/>
      <c r="JMO466"/>
      <c r="JMP466"/>
      <c r="JMQ466"/>
      <c r="JMR466"/>
      <c r="JMS466"/>
      <c r="JMT466"/>
      <c r="JMU466"/>
      <c r="JMV466"/>
      <c r="JMW466"/>
      <c r="JMX466"/>
      <c r="JMY466"/>
      <c r="JMZ466"/>
      <c r="JNA466"/>
      <c r="JNB466"/>
      <c r="JNC466"/>
      <c r="JND466"/>
      <c r="JNE466"/>
      <c r="JNF466"/>
      <c r="JNG466"/>
      <c r="JNH466"/>
      <c r="JNI466"/>
      <c r="JNJ466"/>
      <c r="JNK466"/>
      <c r="JNL466"/>
      <c r="JNM466"/>
      <c r="JNN466"/>
      <c r="JNO466"/>
      <c r="JNP466"/>
      <c r="JNQ466"/>
      <c r="JNR466"/>
      <c r="JNS466"/>
      <c r="JNT466"/>
      <c r="JNU466"/>
      <c r="JNV466"/>
      <c r="JNW466"/>
      <c r="JNX466"/>
      <c r="JNY466"/>
      <c r="JNZ466"/>
      <c r="JOA466"/>
      <c r="JOB466"/>
      <c r="JOC466"/>
      <c r="JOD466"/>
      <c r="JOE466"/>
      <c r="JOF466"/>
      <c r="JOG466"/>
      <c r="JOH466"/>
      <c r="JOI466"/>
      <c r="JOJ466"/>
      <c r="JOK466"/>
      <c r="JOL466"/>
      <c r="JOM466"/>
      <c r="JON466"/>
      <c r="JOO466"/>
      <c r="JOP466"/>
      <c r="JOQ466"/>
      <c r="JOR466"/>
      <c r="JOS466"/>
      <c r="JOT466"/>
      <c r="JOU466"/>
      <c r="JOV466"/>
      <c r="JOW466"/>
      <c r="JOX466"/>
      <c r="JOY466"/>
      <c r="JOZ466"/>
      <c r="JPA466"/>
      <c r="JPB466"/>
      <c r="JPC466"/>
      <c r="JPD466"/>
      <c r="JPE466"/>
      <c r="JPF466"/>
      <c r="JPG466"/>
      <c r="JPH466"/>
      <c r="JPI466"/>
      <c r="JPJ466"/>
      <c r="JPK466"/>
      <c r="JPL466"/>
      <c r="JPM466"/>
      <c r="JPN466"/>
      <c r="JPO466"/>
      <c r="JPP466"/>
      <c r="JPQ466"/>
      <c r="JPR466"/>
      <c r="JPS466"/>
      <c r="JPT466"/>
      <c r="JPU466"/>
      <c r="JPV466"/>
      <c r="JPW466"/>
      <c r="JPX466"/>
      <c r="JPY466"/>
      <c r="JPZ466"/>
      <c r="JQA466"/>
      <c r="JQB466"/>
      <c r="JQC466"/>
      <c r="JQD466"/>
      <c r="JQE466"/>
      <c r="JQF466"/>
      <c r="JQG466"/>
      <c r="JQH466"/>
      <c r="JQI466"/>
      <c r="JQJ466"/>
      <c r="JQK466"/>
      <c r="JQL466"/>
      <c r="JQM466"/>
      <c r="JQN466"/>
      <c r="JQO466"/>
      <c r="JQP466"/>
      <c r="JQQ466"/>
      <c r="JQR466"/>
      <c r="JQS466"/>
      <c r="JQT466"/>
      <c r="JQU466"/>
      <c r="JQV466"/>
      <c r="JQW466"/>
      <c r="JQX466"/>
      <c r="JQY466"/>
      <c r="JQZ466"/>
      <c r="JRA466"/>
      <c r="JRB466"/>
      <c r="JRC466"/>
      <c r="JRD466"/>
      <c r="JRE466"/>
      <c r="JRF466"/>
      <c r="JRG466"/>
      <c r="JRH466"/>
      <c r="JRI466"/>
      <c r="JRJ466"/>
      <c r="JRK466"/>
      <c r="JRL466"/>
      <c r="JRM466"/>
      <c r="JRN466"/>
      <c r="JRO466"/>
      <c r="JRP466"/>
      <c r="JRQ466"/>
      <c r="JRR466"/>
      <c r="JRS466"/>
      <c r="JRT466"/>
      <c r="JRU466"/>
      <c r="JRV466"/>
      <c r="JRW466"/>
      <c r="JRX466"/>
      <c r="JRY466"/>
      <c r="JRZ466"/>
      <c r="JSA466"/>
      <c r="JSB466"/>
      <c r="JSC466"/>
      <c r="JSD466"/>
      <c r="JSE466"/>
      <c r="JSF466"/>
      <c r="JSG466"/>
      <c r="JSH466"/>
      <c r="JSI466"/>
      <c r="JSJ466"/>
      <c r="JSK466"/>
      <c r="JSL466"/>
      <c r="JSM466"/>
      <c r="JSN466"/>
      <c r="JSO466"/>
      <c r="JSP466"/>
      <c r="JSQ466"/>
      <c r="JSR466"/>
      <c r="JSS466"/>
      <c r="JST466"/>
      <c r="JSU466"/>
      <c r="JSV466"/>
      <c r="JSW466"/>
      <c r="JSX466"/>
      <c r="JSY466"/>
      <c r="JSZ466"/>
      <c r="JTA466"/>
      <c r="JTB466"/>
      <c r="JTC466"/>
      <c r="JTD466"/>
      <c r="JTE466"/>
      <c r="JTF466"/>
      <c r="JTG466"/>
      <c r="JTH466"/>
      <c r="JTI466"/>
      <c r="JTJ466"/>
      <c r="JTK466"/>
      <c r="JTL466"/>
      <c r="JTM466"/>
      <c r="JTN466"/>
      <c r="JTO466"/>
      <c r="JTP466"/>
      <c r="JTQ466"/>
      <c r="JTR466"/>
      <c r="JTS466"/>
      <c r="JTT466"/>
      <c r="JTU466"/>
      <c r="JTV466"/>
      <c r="JTW466"/>
      <c r="JTX466"/>
      <c r="JTY466"/>
      <c r="JTZ466"/>
      <c r="JUA466"/>
      <c r="JUB466"/>
      <c r="JUC466"/>
      <c r="JUD466"/>
      <c r="JUE466"/>
      <c r="JUF466"/>
      <c r="JUG466"/>
      <c r="JUH466"/>
      <c r="JUI466"/>
      <c r="JUJ466"/>
      <c r="JUK466"/>
      <c r="JUL466"/>
      <c r="JUM466"/>
      <c r="JUN466"/>
      <c r="JUO466"/>
      <c r="JUP466"/>
      <c r="JUQ466"/>
      <c r="JUR466"/>
      <c r="JUS466"/>
      <c r="JUT466"/>
      <c r="JUU466"/>
      <c r="JUV466"/>
      <c r="JUW466"/>
      <c r="JUX466"/>
      <c r="JUY466"/>
      <c r="JUZ466"/>
      <c r="JVA466"/>
      <c r="JVB466"/>
      <c r="JVC466"/>
      <c r="JVD466"/>
      <c r="JVE466"/>
      <c r="JVF466"/>
      <c r="JVG466"/>
      <c r="JVH466"/>
      <c r="JVI466"/>
      <c r="JVJ466"/>
      <c r="JVK466"/>
      <c r="JVL466"/>
      <c r="JVM466"/>
      <c r="JVN466"/>
      <c r="JVO466"/>
      <c r="JVP466"/>
      <c r="JVQ466"/>
      <c r="JVR466"/>
      <c r="JVS466"/>
      <c r="JVT466"/>
      <c r="JVU466"/>
      <c r="JVV466"/>
      <c r="JVW466"/>
      <c r="JVX466"/>
      <c r="JVY466"/>
      <c r="JVZ466"/>
      <c r="JWA466"/>
      <c r="JWB466"/>
      <c r="JWC466"/>
      <c r="JWD466"/>
      <c r="JWE466"/>
      <c r="JWF466"/>
      <c r="JWG466"/>
      <c r="JWH466"/>
      <c r="JWI466"/>
      <c r="JWJ466"/>
      <c r="JWK466"/>
      <c r="JWL466"/>
      <c r="JWM466"/>
      <c r="JWN466"/>
      <c r="JWO466"/>
      <c r="JWP466"/>
      <c r="JWQ466"/>
      <c r="JWR466"/>
      <c r="JWS466"/>
      <c r="JWT466"/>
      <c r="JWU466"/>
      <c r="JWV466"/>
      <c r="JWW466"/>
      <c r="JWX466"/>
      <c r="JWY466"/>
      <c r="JWZ466"/>
      <c r="JXA466"/>
      <c r="JXB466"/>
      <c r="JXC466"/>
      <c r="JXD466"/>
      <c r="JXE466"/>
      <c r="JXF466"/>
      <c r="JXG466"/>
      <c r="JXH466"/>
      <c r="JXI466"/>
      <c r="JXJ466"/>
      <c r="JXK466"/>
      <c r="JXL466"/>
      <c r="JXM466"/>
      <c r="JXN466"/>
      <c r="JXO466"/>
      <c r="JXP466"/>
      <c r="JXQ466"/>
      <c r="JXR466"/>
      <c r="JXS466"/>
      <c r="JXT466"/>
      <c r="JXU466"/>
      <c r="JXV466"/>
      <c r="JXW466"/>
      <c r="JXX466"/>
      <c r="JXY466"/>
      <c r="JXZ466"/>
      <c r="JYA466"/>
      <c r="JYB466"/>
      <c r="JYC466"/>
      <c r="JYD466"/>
      <c r="JYE466"/>
      <c r="JYF466"/>
      <c r="JYG466"/>
      <c r="JYH466"/>
      <c r="JYI466"/>
      <c r="JYJ466"/>
      <c r="JYK466"/>
      <c r="JYL466"/>
      <c r="JYM466"/>
      <c r="JYN466"/>
      <c r="JYO466"/>
      <c r="JYP466"/>
      <c r="JYQ466"/>
      <c r="JYR466"/>
      <c r="JYS466"/>
      <c r="JYT466"/>
      <c r="JYU466"/>
      <c r="JYV466"/>
      <c r="JYW466"/>
      <c r="JYX466"/>
      <c r="JYY466"/>
      <c r="JYZ466"/>
      <c r="JZA466"/>
      <c r="JZB466"/>
      <c r="JZC466"/>
      <c r="JZD466"/>
      <c r="JZE466"/>
      <c r="JZF466"/>
      <c r="JZG466"/>
      <c r="JZH466"/>
      <c r="JZI466"/>
      <c r="JZJ466"/>
      <c r="JZK466"/>
      <c r="JZL466"/>
      <c r="JZM466"/>
      <c r="JZN466"/>
      <c r="JZO466"/>
      <c r="JZP466"/>
      <c r="JZQ466"/>
      <c r="JZR466"/>
      <c r="JZS466"/>
      <c r="JZT466"/>
      <c r="JZU466"/>
      <c r="JZV466"/>
      <c r="JZW466"/>
      <c r="JZX466"/>
      <c r="JZY466"/>
      <c r="JZZ466"/>
      <c r="KAA466"/>
      <c r="KAB466"/>
      <c r="KAC466"/>
      <c r="KAD466"/>
      <c r="KAE466"/>
      <c r="KAF466"/>
      <c r="KAG466"/>
      <c r="KAH466"/>
      <c r="KAI466"/>
      <c r="KAJ466"/>
      <c r="KAK466"/>
      <c r="KAL466"/>
      <c r="KAM466"/>
      <c r="KAN466"/>
      <c r="KAO466"/>
      <c r="KAP466"/>
      <c r="KAQ466"/>
      <c r="KAR466"/>
      <c r="KAS466"/>
      <c r="KAT466"/>
      <c r="KAU466"/>
      <c r="KAV466"/>
      <c r="KAW466"/>
      <c r="KAX466"/>
      <c r="KAY466"/>
      <c r="KAZ466"/>
      <c r="KBA466"/>
      <c r="KBB466"/>
      <c r="KBC466"/>
      <c r="KBD466"/>
      <c r="KBE466"/>
      <c r="KBF466"/>
      <c r="KBG466"/>
      <c r="KBH466"/>
      <c r="KBI466"/>
      <c r="KBJ466"/>
      <c r="KBK466"/>
      <c r="KBL466"/>
      <c r="KBM466"/>
      <c r="KBN466"/>
      <c r="KBO466"/>
      <c r="KBP466"/>
      <c r="KBQ466"/>
      <c r="KBR466"/>
      <c r="KBS466"/>
      <c r="KBT466"/>
      <c r="KBU466"/>
      <c r="KBV466"/>
      <c r="KBW466"/>
      <c r="KBX466"/>
      <c r="KBY466"/>
      <c r="KBZ466"/>
      <c r="KCA466"/>
      <c r="KCB466"/>
      <c r="KCC466"/>
      <c r="KCD466"/>
      <c r="KCE466"/>
      <c r="KCF466"/>
      <c r="KCG466"/>
      <c r="KCH466"/>
      <c r="KCI466"/>
      <c r="KCJ466"/>
      <c r="KCK466"/>
      <c r="KCL466"/>
      <c r="KCM466"/>
      <c r="KCN466"/>
      <c r="KCO466"/>
      <c r="KCP466"/>
      <c r="KCQ466"/>
      <c r="KCR466"/>
      <c r="KCS466"/>
      <c r="KCT466"/>
      <c r="KCU466"/>
      <c r="KCV466"/>
      <c r="KCW466"/>
      <c r="KCX466"/>
      <c r="KCY466"/>
      <c r="KCZ466"/>
      <c r="KDA466"/>
      <c r="KDB466"/>
      <c r="KDC466"/>
      <c r="KDD466"/>
      <c r="KDE466"/>
      <c r="KDF466"/>
      <c r="KDG466"/>
      <c r="KDH466"/>
      <c r="KDI466"/>
      <c r="KDJ466"/>
      <c r="KDK466"/>
      <c r="KDL466"/>
      <c r="KDM466"/>
      <c r="KDN466"/>
      <c r="KDO466"/>
      <c r="KDP466"/>
      <c r="KDQ466"/>
      <c r="KDR466"/>
      <c r="KDS466"/>
      <c r="KDT466"/>
      <c r="KDU466"/>
      <c r="KDV466"/>
      <c r="KDW466"/>
      <c r="KDX466"/>
      <c r="KDY466"/>
      <c r="KDZ466"/>
      <c r="KEA466"/>
      <c r="KEB466"/>
      <c r="KEC466"/>
      <c r="KED466"/>
      <c r="KEE466"/>
      <c r="KEF466"/>
      <c r="KEG466"/>
      <c r="KEH466"/>
      <c r="KEI466"/>
      <c r="KEJ466"/>
      <c r="KEK466"/>
      <c r="KEL466"/>
      <c r="KEM466"/>
      <c r="KEN466"/>
      <c r="KEO466"/>
      <c r="KEP466"/>
      <c r="KEQ466"/>
      <c r="KER466"/>
      <c r="KES466"/>
      <c r="KET466"/>
      <c r="KEU466"/>
      <c r="KEV466"/>
      <c r="KEW466"/>
      <c r="KEX466"/>
      <c r="KEY466"/>
      <c r="KEZ466"/>
      <c r="KFA466"/>
      <c r="KFB466"/>
      <c r="KFC466"/>
      <c r="KFD466"/>
      <c r="KFE466"/>
      <c r="KFF466"/>
      <c r="KFG466"/>
      <c r="KFH466"/>
      <c r="KFI466"/>
      <c r="KFJ466"/>
      <c r="KFK466"/>
      <c r="KFL466"/>
      <c r="KFM466"/>
      <c r="KFN466"/>
      <c r="KFO466"/>
      <c r="KFP466"/>
      <c r="KFQ466"/>
      <c r="KFR466"/>
      <c r="KFS466"/>
      <c r="KFT466"/>
      <c r="KFU466"/>
      <c r="KFV466"/>
      <c r="KFW466"/>
      <c r="KFX466"/>
      <c r="KFY466"/>
      <c r="KFZ466"/>
      <c r="KGA466"/>
      <c r="KGB466"/>
      <c r="KGC466"/>
      <c r="KGD466"/>
      <c r="KGE466"/>
      <c r="KGF466"/>
      <c r="KGG466"/>
      <c r="KGH466"/>
      <c r="KGI466"/>
      <c r="KGJ466"/>
      <c r="KGK466"/>
      <c r="KGL466"/>
      <c r="KGM466"/>
      <c r="KGN466"/>
      <c r="KGO466"/>
      <c r="KGP466"/>
      <c r="KGQ466"/>
      <c r="KGR466"/>
      <c r="KGS466"/>
      <c r="KGT466"/>
      <c r="KGU466"/>
      <c r="KGV466"/>
      <c r="KGW466"/>
      <c r="KGX466"/>
      <c r="KGY466"/>
      <c r="KGZ466"/>
      <c r="KHA466"/>
      <c r="KHB466"/>
      <c r="KHC466"/>
      <c r="KHD466"/>
      <c r="KHE466"/>
      <c r="KHF466"/>
      <c r="KHG466"/>
      <c r="KHH466"/>
      <c r="KHI466"/>
      <c r="KHJ466"/>
      <c r="KHK466"/>
      <c r="KHL466"/>
      <c r="KHM466"/>
      <c r="KHN466"/>
      <c r="KHO466"/>
      <c r="KHP466"/>
      <c r="KHQ466"/>
      <c r="KHR466"/>
      <c r="KHS466"/>
      <c r="KHT466"/>
      <c r="KHU466"/>
      <c r="KHV466"/>
      <c r="KHW466"/>
      <c r="KHX466"/>
      <c r="KHY466"/>
      <c r="KHZ466"/>
      <c r="KIA466"/>
      <c r="KIB466"/>
      <c r="KIC466"/>
      <c r="KID466"/>
      <c r="KIE466"/>
      <c r="KIF466"/>
      <c r="KIG466"/>
      <c r="KIH466"/>
      <c r="KII466"/>
      <c r="KIJ466"/>
      <c r="KIK466"/>
      <c r="KIL466"/>
      <c r="KIM466"/>
      <c r="KIN466"/>
      <c r="KIO466"/>
      <c r="KIP466"/>
      <c r="KIQ466"/>
      <c r="KIR466"/>
      <c r="KIS466"/>
      <c r="KIT466"/>
      <c r="KIU466"/>
      <c r="KIV466"/>
      <c r="KIW466"/>
      <c r="KIX466"/>
      <c r="KIY466"/>
      <c r="KIZ466"/>
      <c r="KJA466"/>
      <c r="KJB466"/>
      <c r="KJC466"/>
      <c r="KJD466"/>
      <c r="KJE466"/>
      <c r="KJF466"/>
      <c r="KJG466"/>
      <c r="KJH466"/>
      <c r="KJI466"/>
      <c r="KJJ466"/>
      <c r="KJK466"/>
      <c r="KJL466"/>
      <c r="KJM466"/>
      <c r="KJN466"/>
      <c r="KJO466"/>
      <c r="KJP466"/>
      <c r="KJQ466"/>
      <c r="KJR466"/>
      <c r="KJS466"/>
      <c r="KJT466"/>
      <c r="KJU466"/>
      <c r="KJV466"/>
      <c r="KJW466"/>
      <c r="KJX466"/>
      <c r="KJY466"/>
      <c r="KJZ466"/>
      <c r="KKA466"/>
      <c r="KKB466"/>
      <c r="KKC466"/>
      <c r="KKD466"/>
      <c r="KKE466"/>
      <c r="KKF466"/>
      <c r="KKG466"/>
      <c r="KKH466"/>
      <c r="KKI466"/>
      <c r="KKJ466"/>
      <c r="KKK466"/>
      <c r="KKL466"/>
      <c r="KKM466"/>
      <c r="KKN466"/>
      <c r="KKO466"/>
      <c r="KKP466"/>
      <c r="KKQ466"/>
      <c r="KKR466"/>
      <c r="KKS466"/>
      <c r="KKT466"/>
      <c r="KKU466"/>
      <c r="KKV466"/>
      <c r="KKW466"/>
      <c r="KKX466"/>
      <c r="KKY466"/>
      <c r="KKZ466"/>
      <c r="KLA466"/>
      <c r="KLB466"/>
      <c r="KLC466"/>
      <c r="KLD466"/>
      <c r="KLE466"/>
      <c r="KLF466"/>
      <c r="KLG466"/>
      <c r="KLH466"/>
      <c r="KLI466"/>
      <c r="KLJ466"/>
      <c r="KLK466"/>
      <c r="KLL466"/>
      <c r="KLM466"/>
      <c r="KLN466"/>
      <c r="KLO466"/>
      <c r="KLP466"/>
      <c r="KLQ466"/>
      <c r="KLR466"/>
      <c r="KLS466"/>
      <c r="KLT466"/>
      <c r="KLU466"/>
      <c r="KLV466"/>
      <c r="KLW466"/>
      <c r="KLX466"/>
      <c r="KLY466"/>
      <c r="KLZ466"/>
      <c r="KMA466"/>
      <c r="KMB466"/>
      <c r="KMC466"/>
      <c r="KMD466"/>
      <c r="KME466"/>
      <c r="KMF466"/>
      <c r="KMG466"/>
      <c r="KMH466"/>
      <c r="KMI466"/>
      <c r="KMJ466"/>
      <c r="KMK466"/>
      <c r="KML466"/>
      <c r="KMM466"/>
      <c r="KMN466"/>
      <c r="KMO466"/>
      <c r="KMP466"/>
      <c r="KMQ466"/>
      <c r="KMR466"/>
      <c r="KMS466"/>
      <c r="KMT466"/>
      <c r="KMU466"/>
      <c r="KMV466"/>
      <c r="KMW466"/>
      <c r="KMX466"/>
      <c r="KMY466"/>
      <c r="KMZ466"/>
      <c r="KNA466"/>
      <c r="KNB466"/>
      <c r="KNC466"/>
      <c r="KND466"/>
      <c r="KNE466"/>
      <c r="KNF466"/>
      <c r="KNG466"/>
      <c r="KNH466"/>
      <c r="KNI466"/>
      <c r="KNJ466"/>
      <c r="KNK466"/>
      <c r="KNL466"/>
      <c r="KNM466"/>
      <c r="KNN466"/>
      <c r="KNO466"/>
      <c r="KNP466"/>
      <c r="KNQ466"/>
      <c r="KNR466"/>
      <c r="KNS466"/>
      <c r="KNT466"/>
      <c r="KNU466"/>
      <c r="KNV466"/>
      <c r="KNW466"/>
      <c r="KNX466"/>
      <c r="KNY466"/>
      <c r="KNZ466"/>
      <c r="KOA466"/>
      <c r="KOB466"/>
      <c r="KOC466"/>
      <c r="KOD466"/>
      <c r="KOE466"/>
      <c r="KOF466"/>
      <c r="KOG466"/>
      <c r="KOH466"/>
      <c r="KOI466"/>
      <c r="KOJ466"/>
      <c r="KOK466"/>
      <c r="KOL466"/>
      <c r="KOM466"/>
      <c r="KON466"/>
      <c r="KOO466"/>
      <c r="KOP466"/>
      <c r="KOQ466"/>
      <c r="KOR466"/>
      <c r="KOS466"/>
      <c r="KOT466"/>
      <c r="KOU466"/>
      <c r="KOV466"/>
      <c r="KOW466"/>
      <c r="KOX466"/>
      <c r="KOY466"/>
      <c r="KOZ466"/>
      <c r="KPA466"/>
      <c r="KPB466"/>
      <c r="KPC466"/>
      <c r="KPD466"/>
      <c r="KPE466"/>
      <c r="KPF466"/>
      <c r="KPG466"/>
      <c r="KPH466"/>
      <c r="KPI466"/>
      <c r="KPJ466"/>
      <c r="KPK466"/>
      <c r="KPL466"/>
      <c r="KPM466"/>
      <c r="KPN466"/>
      <c r="KPO466"/>
      <c r="KPP466"/>
      <c r="KPQ466"/>
      <c r="KPR466"/>
      <c r="KPS466"/>
      <c r="KPT466"/>
      <c r="KPU466"/>
      <c r="KPV466"/>
      <c r="KPW466"/>
      <c r="KPX466"/>
      <c r="KPY466"/>
      <c r="KPZ466"/>
      <c r="KQA466"/>
      <c r="KQB466"/>
      <c r="KQC466"/>
      <c r="KQD466"/>
      <c r="KQE466"/>
      <c r="KQF466"/>
      <c r="KQG466"/>
      <c r="KQH466"/>
      <c r="KQI466"/>
      <c r="KQJ466"/>
      <c r="KQK466"/>
      <c r="KQL466"/>
      <c r="KQM466"/>
      <c r="KQN466"/>
      <c r="KQO466"/>
      <c r="KQP466"/>
      <c r="KQQ466"/>
      <c r="KQR466"/>
      <c r="KQS466"/>
      <c r="KQT466"/>
      <c r="KQU466"/>
      <c r="KQV466"/>
      <c r="KQW466"/>
      <c r="KQX466"/>
      <c r="KQY466"/>
      <c r="KQZ466"/>
      <c r="KRA466"/>
      <c r="KRB466"/>
      <c r="KRC466"/>
      <c r="KRD466"/>
      <c r="KRE466"/>
      <c r="KRF466"/>
      <c r="KRG466"/>
      <c r="KRH466"/>
      <c r="KRI466"/>
      <c r="KRJ466"/>
      <c r="KRK466"/>
      <c r="KRL466"/>
      <c r="KRM466"/>
      <c r="KRN466"/>
      <c r="KRO466"/>
      <c r="KRP466"/>
      <c r="KRQ466"/>
      <c r="KRR466"/>
      <c r="KRS466"/>
      <c r="KRT466"/>
      <c r="KRU466"/>
      <c r="KRV466"/>
      <c r="KRW466"/>
      <c r="KRX466"/>
      <c r="KRY466"/>
      <c r="KRZ466"/>
      <c r="KSA466"/>
      <c r="KSB466"/>
      <c r="KSC466"/>
      <c r="KSD466"/>
      <c r="KSE466"/>
      <c r="KSF466"/>
      <c r="KSG466"/>
      <c r="KSH466"/>
      <c r="KSI466"/>
      <c r="KSJ466"/>
      <c r="KSK466"/>
      <c r="KSL466"/>
      <c r="KSM466"/>
      <c r="KSN466"/>
      <c r="KSO466"/>
      <c r="KSP466"/>
      <c r="KSQ466"/>
      <c r="KSR466"/>
      <c r="KSS466"/>
      <c r="KST466"/>
      <c r="KSU466"/>
      <c r="KSV466"/>
      <c r="KSW466"/>
      <c r="KSX466"/>
      <c r="KSY466"/>
      <c r="KSZ466"/>
      <c r="KTA466"/>
      <c r="KTB466"/>
      <c r="KTC466"/>
      <c r="KTD466"/>
      <c r="KTE466"/>
      <c r="KTF466"/>
      <c r="KTG466"/>
      <c r="KTH466"/>
      <c r="KTI466"/>
      <c r="KTJ466"/>
      <c r="KTK466"/>
      <c r="KTL466"/>
      <c r="KTM466"/>
      <c r="KTN466"/>
      <c r="KTO466"/>
      <c r="KTP466"/>
      <c r="KTQ466"/>
      <c r="KTR466"/>
      <c r="KTS466"/>
      <c r="KTT466"/>
      <c r="KTU466"/>
      <c r="KTV466"/>
      <c r="KTW466"/>
      <c r="KTX466"/>
      <c r="KTY466"/>
      <c r="KTZ466"/>
      <c r="KUA466"/>
      <c r="KUB466"/>
      <c r="KUC466"/>
      <c r="KUD466"/>
      <c r="KUE466"/>
      <c r="KUF466"/>
      <c r="KUG466"/>
      <c r="KUH466"/>
      <c r="KUI466"/>
      <c r="KUJ466"/>
      <c r="KUK466"/>
      <c r="KUL466"/>
      <c r="KUM466"/>
      <c r="KUN466"/>
      <c r="KUO466"/>
      <c r="KUP466"/>
      <c r="KUQ466"/>
      <c r="KUR466"/>
      <c r="KUS466"/>
      <c r="KUT466"/>
      <c r="KUU466"/>
      <c r="KUV466"/>
      <c r="KUW466"/>
      <c r="KUX466"/>
      <c r="KUY466"/>
      <c r="KUZ466"/>
      <c r="KVA466"/>
      <c r="KVB466"/>
      <c r="KVC466"/>
      <c r="KVD466"/>
      <c r="KVE466"/>
      <c r="KVF466"/>
      <c r="KVG466"/>
      <c r="KVH466"/>
      <c r="KVI466"/>
      <c r="KVJ466"/>
      <c r="KVK466"/>
      <c r="KVL466"/>
      <c r="KVM466"/>
      <c r="KVN466"/>
      <c r="KVO466"/>
      <c r="KVP466"/>
      <c r="KVQ466"/>
      <c r="KVR466"/>
      <c r="KVS466"/>
      <c r="KVT466"/>
      <c r="KVU466"/>
      <c r="KVV466"/>
      <c r="KVW466"/>
      <c r="KVX466"/>
      <c r="KVY466"/>
      <c r="KVZ466"/>
      <c r="KWA466"/>
      <c r="KWB466"/>
      <c r="KWC466"/>
      <c r="KWD466"/>
      <c r="KWE466"/>
      <c r="KWF466"/>
      <c r="KWG466"/>
      <c r="KWH466"/>
      <c r="KWI466"/>
      <c r="KWJ466"/>
      <c r="KWK466"/>
      <c r="KWL466"/>
      <c r="KWM466"/>
      <c r="KWN466"/>
      <c r="KWO466"/>
      <c r="KWP466"/>
      <c r="KWQ466"/>
      <c r="KWR466"/>
      <c r="KWS466"/>
      <c r="KWT466"/>
      <c r="KWU466"/>
      <c r="KWV466"/>
      <c r="KWW466"/>
      <c r="KWX466"/>
      <c r="KWY466"/>
      <c r="KWZ466"/>
      <c r="KXA466"/>
      <c r="KXB466"/>
      <c r="KXC466"/>
      <c r="KXD466"/>
      <c r="KXE466"/>
      <c r="KXF466"/>
      <c r="KXG466"/>
      <c r="KXH466"/>
      <c r="KXI466"/>
      <c r="KXJ466"/>
      <c r="KXK466"/>
      <c r="KXL466"/>
      <c r="KXM466"/>
      <c r="KXN466"/>
      <c r="KXO466"/>
      <c r="KXP466"/>
      <c r="KXQ466"/>
      <c r="KXR466"/>
      <c r="KXS466"/>
      <c r="KXT466"/>
      <c r="KXU466"/>
      <c r="KXV466"/>
      <c r="KXW466"/>
      <c r="KXX466"/>
      <c r="KXY466"/>
      <c r="KXZ466"/>
      <c r="KYA466"/>
      <c r="KYB466"/>
      <c r="KYC466"/>
      <c r="KYD466"/>
      <c r="KYE466"/>
      <c r="KYF466"/>
      <c r="KYG466"/>
      <c r="KYH466"/>
      <c r="KYI466"/>
      <c r="KYJ466"/>
      <c r="KYK466"/>
      <c r="KYL466"/>
      <c r="KYM466"/>
      <c r="KYN466"/>
      <c r="KYO466"/>
      <c r="KYP466"/>
      <c r="KYQ466"/>
      <c r="KYR466"/>
      <c r="KYS466"/>
      <c r="KYT466"/>
      <c r="KYU466"/>
      <c r="KYV466"/>
      <c r="KYW466"/>
      <c r="KYX466"/>
      <c r="KYY466"/>
      <c r="KYZ466"/>
      <c r="KZA466"/>
      <c r="KZB466"/>
      <c r="KZC466"/>
      <c r="KZD466"/>
      <c r="KZE466"/>
      <c r="KZF466"/>
      <c r="KZG466"/>
      <c r="KZH466"/>
      <c r="KZI466"/>
      <c r="KZJ466"/>
      <c r="KZK466"/>
      <c r="KZL466"/>
      <c r="KZM466"/>
      <c r="KZN466"/>
      <c r="KZO466"/>
      <c r="KZP466"/>
      <c r="KZQ466"/>
      <c r="KZR466"/>
      <c r="KZS466"/>
      <c r="KZT466"/>
      <c r="KZU466"/>
      <c r="KZV466"/>
      <c r="KZW466"/>
      <c r="KZX466"/>
      <c r="KZY466"/>
      <c r="KZZ466"/>
      <c r="LAA466"/>
      <c r="LAB466"/>
      <c r="LAC466"/>
      <c r="LAD466"/>
      <c r="LAE466"/>
      <c r="LAF466"/>
      <c r="LAG466"/>
      <c r="LAH466"/>
      <c r="LAI466"/>
      <c r="LAJ466"/>
      <c r="LAK466"/>
      <c r="LAL466"/>
      <c r="LAM466"/>
      <c r="LAN466"/>
      <c r="LAO466"/>
      <c r="LAP466"/>
      <c r="LAQ466"/>
      <c r="LAR466"/>
      <c r="LAS466"/>
      <c r="LAT466"/>
      <c r="LAU466"/>
      <c r="LAV466"/>
      <c r="LAW466"/>
      <c r="LAX466"/>
      <c r="LAY466"/>
      <c r="LAZ466"/>
      <c r="LBA466"/>
      <c r="LBB466"/>
      <c r="LBC466"/>
      <c r="LBD466"/>
      <c r="LBE466"/>
      <c r="LBF466"/>
      <c r="LBG466"/>
      <c r="LBH466"/>
      <c r="LBI466"/>
      <c r="LBJ466"/>
      <c r="LBK466"/>
      <c r="LBL466"/>
      <c r="LBM466"/>
      <c r="LBN466"/>
      <c r="LBO466"/>
      <c r="LBP466"/>
      <c r="LBQ466"/>
      <c r="LBR466"/>
      <c r="LBS466"/>
      <c r="LBT466"/>
      <c r="LBU466"/>
      <c r="LBV466"/>
      <c r="LBW466"/>
      <c r="LBX466"/>
      <c r="LBY466"/>
      <c r="LBZ466"/>
      <c r="LCA466"/>
      <c r="LCB466"/>
      <c r="LCC466"/>
      <c r="LCD466"/>
      <c r="LCE466"/>
      <c r="LCF466"/>
      <c r="LCG466"/>
      <c r="LCH466"/>
      <c r="LCI466"/>
      <c r="LCJ466"/>
      <c r="LCK466"/>
      <c r="LCL466"/>
      <c r="LCM466"/>
      <c r="LCN466"/>
      <c r="LCO466"/>
      <c r="LCP466"/>
      <c r="LCQ466"/>
      <c r="LCR466"/>
      <c r="LCS466"/>
      <c r="LCT466"/>
      <c r="LCU466"/>
      <c r="LCV466"/>
      <c r="LCW466"/>
      <c r="LCX466"/>
      <c r="LCY466"/>
      <c r="LCZ466"/>
      <c r="LDA466"/>
      <c r="LDB466"/>
      <c r="LDC466"/>
      <c r="LDD466"/>
      <c r="LDE466"/>
      <c r="LDF466"/>
      <c r="LDG466"/>
      <c r="LDH466"/>
      <c r="LDI466"/>
      <c r="LDJ466"/>
      <c r="LDK466"/>
      <c r="LDL466"/>
      <c r="LDM466"/>
      <c r="LDN466"/>
      <c r="LDO466"/>
      <c r="LDP466"/>
      <c r="LDQ466"/>
      <c r="LDR466"/>
      <c r="LDS466"/>
      <c r="LDT466"/>
      <c r="LDU466"/>
      <c r="LDV466"/>
      <c r="LDW466"/>
      <c r="LDX466"/>
      <c r="LDY466"/>
      <c r="LDZ466"/>
      <c r="LEA466"/>
      <c r="LEB466"/>
      <c r="LEC466"/>
      <c r="LED466"/>
      <c r="LEE466"/>
      <c r="LEF466"/>
      <c r="LEG466"/>
      <c r="LEH466"/>
      <c r="LEI466"/>
      <c r="LEJ466"/>
      <c r="LEK466"/>
      <c r="LEL466"/>
      <c r="LEM466"/>
      <c r="LEN466"/>
      <c r="LEO466"/>
      <c r="LEP466"/>
      <c r="LEQ466"/>
      <c r="LER466"/>
      <c r="LES466"/>
      <c r="LET466"/>
      <c r="LEU466"/>
      <c r="LEV466"/>
      <c r="LEW466"/>
      <c r="LEX466"/>
      <c r="LEY466"/>
      <c r="LEZ466"/>
      <c r="LFA466"/>
      <c r="LFB466"/>
      <c r="LFC466"/>
      <c r="LFD466"/>
      <c r="LFE466"/>
      <c r="LFF466"/>
      <c r="LFG466"/>
      <c r="LFH466"/>
      <c r="LFI466"/>
      <c r="LFJ466"/>
      <c r="LFK466"/>
      <c r="LFL466"/>
      <c r="LFM466"/>
      <c r="LFN466"/>
      <c r="LFO466"/>
      <c r="LFP466"/>
      <c r="LFQ466"/>
      <c r="LFR466"/>
      <c r="LFS466"/>
      <c r="LFT466"/>
      <c r="LFU466"/>
      <c r="LFV466"/>
      <c r="LFW466"/>
      <c r="LFX466"/>
      <c r="LFY466"/>
      <c r="LFZ466"/>
      <c r="LGA466"/>
      <c r="LGB466"/>
      <c r="LGC466"/>
      <c r="LGD466"/>
      <c r="LGE466"/>
      <c r="LGF466"/>
      <c r="LGG466"/>
      <c r="LGH466"/>
      <c r="LGI466"/>
      <c r="LGJ466"/>
      <c r="LGK466"/>
      <c r="LGL466"/>
      <c r="LGM466"/>
      <c r="LGN466"/>
      <c r="LGO466"/>
      <c r="LGP466"/>
      <c r="LGQ466"/>
      <c r="LGR466"/>
      <c r="LGS466"/>
      <c r="LGT466"/>
      <c r="LGU466"/>
      <c r="LGV466"/>
      <c r="LGW466"/>
      <c r="LGX466"/>
      <c r="LGY466"/>
      <c r="LGZ466"/>
      <c r="LHA466"/>
      <c r="LHB466"/>
      <c r="LHC466"/>
      <c r="LHD466"/>
      <c r="LHE466"/>
      <c r="LHF466"/>
      <c r="LHG466"/>
      <c r="LHH466"/>
      <c r="LHI466"/>
      <c r="LHJ466"/>
      <c r="LHK466"/>
      <c r="LHL466"/>
      <c r="LHM466"/>
      <c r="LHN466"/>
      <c r="LHO466"/>
      <c r="LHP466"/>
      <c r="LHQ466"/>
      <c r="LHR466"/>
      <c r="LHS466"/>
      <c r="LHT466"/>
      <c r="LHU466"/>
      <c r="LHV466"/>
      <c r="LHW466"/>
      <c r="LHX466"/>
      <c r="LHY466"/>
      <c r="LHZ466"/>
      <c r="LIA466"/>
      <c r="LIB466"/>
      <c r="LIC466"/>
      <c r="LID466"/>
      <c r="LIE466"/>
      <c r="LIF466"/>
      <c r="LIG466"/>
      <c r="LIH466"/>
      <c r="LII466"/>
      <c r="LIJ466"/>
      <c r="LIK466"/>
      <c r="LIL466"/>
      <c r="LIM466"/>
      <c r="LIN466"/>
      <c r="LIO466"/>
      <c r="LIP466"/>
      <c r="LIQ466"/>
      <c r="LIR466"/>
      <c r="LIS466"/>
      <c r="LIT466"/>
      <c r="LIU466"/>
      <c r="LIV466"/>
      <c r="LIW466"/>
      <c r="LIX466"/>
      <c r="LIY466"/>
      <c r="LIZ466"/>
      <c r="LJA466"/>
      <c r="LJB466"/>
      <c r="LJC466"/>
      <c r="LJD466"/>
      <c r="LJE466"/>
      <c r="LJF466"/>
      <c r="LJG466"/>
      <c r="LJH466"/>
      <c r="LJI466"/>
      <c r="LJJ466"/>
      <c r="LJK466"/>
      <c r="LJL466"/>
      <c r="LJM466"/>
      <c r="LJN466"/>
      <c r="LJO466"/>
      <c r="LJP466"/>
      <c r="LJQ466"/>
      <c r="LJR466"/>
      <c r="LJS466"/>
      <c r="LJT466"/>
      <c r="LJU466"/>
      <c r="LJV466"/>
      <c r="LJW466"/>
      <c r="LJX466"/>
      <c r="LJY466"/>
      <c r="LJZ466"/>
      <c r="LKA466"/>
      <c r="LKB466"/>
      <c r="LKC466"/>
      <c r="LKD466"/>
      <c r="LKE466"/>
      <c r="LKF466"/>
      <c r="LKG466"/>
      <c r="LKH466"/>
      <c r="LKI466"/>
      <c r="LKJ466"/>
      <c r="LKK466"/>
      <c r="LKL466"/>
      <c r="LKM466"/>
      <c r="LKN466"/>
      <c r="LKO466"/>
      <c r="LKP466"/>
      <c r="LKQ466"/>
      <c r="LKR466"/>
      <c r="LKS466"/>
      <c r="LKT466"/>
      <c r="LKU466"/>
      <c r="LKV466"/>
      <c r="LKW466"/>
      <c r="LKX466"/>
      <c r="LKY466"/>
      <c r="LKZ466"/>
      <c r="LLA466"/>
      <c r="LLB466"/>
      <c r="LLC466"/>
      <c r="LLD466"/>
      <c r="LLE466"/>
      <c r="LLF466"/>
      <c r="LLG466"/>
      <c r="LLH466"/>
      <c r="LLI466"/>
      <c r="LLJ466"/>
      <c r="LLK466"/>
      <c r="LLL466"/>
      <c r="LLM466"/>
      <c r="LLN466"/>
      <c r="LLO466"/>
      <c r="LLP466"/>
      <c r="LLQ466"/>
      <c r="LLR466"/>
      <c r="LLS466"/>
      <c r="LLT466"/>
      <c r="LLU466"/>
      <c r="LLV466"/>
      <c r="LLW466"/>
      <c r="LLX466"/>
      <c r="LLY466"/>
      <c r="LLZ466"/>
      <c r="LMA466"/>
      <c r="LMB466"/>
      <c r="LMC466"/>
      <c r="LMD466"/>
      <c r="LME466"/>
      <c r="LMF466"/>
      <c r="LMG466"/>
      <c r="LMH466"/>
      <c r="LMI466"/>
      <c r="LMJ466"/>
      <c r="LMK466"/>
      <c r="LML466"/>
      <c r="LMM466"/>
      <c r="LMN466"/>
      <c r="LMO466"/>
      <c r="LMP466"/>
      <c r="LMQ466"/>
      <c r="LMR466"/>
      <c r="LMS466"/>
      <c r="LMT466"/>
      <c r="LMU466"/>
      <c r="LMV466"/>
      <c r="LMW466"/>
      <c r="LMX466"/>
      <c r="LMY466"/>
      <c r="LMZ466"/>
      <c r="LNA466"/>
      <c r="LNB466"/>
      <c r="LNC466"/>
      <c r="LND466"/>
      <c r="LNE466"/>
      <c r="LNF466"/>
      <c r="LNG466"/>
      <c r="LNH466"/>
      <c r="LNI466"/>
      <c r="LNJ466"/>
      <c r="LNK466"/>
      <c r="LNL466"/>
      <c r="LNM466"/>
      <c r="LNN466"/>
      <c r="LNO466"/>
      <c r="LNP466"/>
      <c r="LNQ466"/>
      <c r="LNR466"/>
      <c r="LNS466"/>
      <c r="LNT466"/>
      <c r="LNU466"/>
      <c r="LNV466"/>
      <c r="LNW466"/>
      <c r="LNX466"/>
      <c r="LNY466"/>
      <c r="LNZ466"/>
      <c r="LOA466"/>
      <c r="LOB466"/>
      <c r="LOC466"/>
      <c r="LOD466"/>
      <c r="LOE466"/>
      <c r="LOF466"/>
      <c r="LOG466"/>
      <c r="LOH466"/>
      <c r="LOI466"/>
      <c r="LOJ466"/>
      <c r="LOK466"/>
      <c r="LOL466"/>
      <c r="LOM466"/>
      <c r="LON466"/>
      <c r="LOO466"/>
      <c r="LOP466"/>
      <c r="LOQ466"/>
      <c r="LOR466"/>
      <c r="LOS466"/>
      <c r="LOT466"/>
      <c r="LOU466"/>
      <c r="LOV466"/>
      <c r="LOW466"/>
      <c r="LOX466"/>
      <c r="LOY466"/>
      <c r="LOZ466"/>
      <c r="LPA466"/>
      <c r="LPB466"/>
      <c r="LPC466"/>
      <c r="LPD466"/>
      <c r="LPE466"/>
      <c r="LPF466"/>
      <c r="LPG466"/>
      <c r="LPH466"/>
      <c r="LPI466"/>
      <c r="LPJ466"/>
      <c r="LPK466"/>
      <c r="LPL466"/>
      <c r="LPM466"/>
      <c r="LPN466"/>
      <c r="LPO466"/>
      <c r="LPP466"/>
      <c r="LPQ466"/>
      <c r="LPR466"/>
      <c r="LPS466"/>
      <c r="LPT466"/>
      <c r="LPU466"/>
      <c r="LPV466"/>
      <c r="LPW466"/>
      <c r="LPX466"/>
      <c r="LPY466"/>
      <c r="LPZ466"/>
      <c r="LQA466"/>
      <c r="LQB466"/>
      <c r="LQC466"/>
      <c r="LQD466"/>
      <c r="LQE466"/>
      <c r="LQF466"/>
      <c r="LQG466"/>
      <c r="LQH466"/>
      <c r="LQI466"/>
      <c r="LQJ466"/>
      <c r="LQK466"/>
      <c r="LQL466"/>
      <c r="LQM466"/>
      <c r="LQN466"/>
      <c r="LQO466"/>
      <c r="LQP466"/>
      <c r="LQQ466"/>
      <c r="LQR466"/>
      <c r="LQS466"/>
      <c r="LQT466"/>
      <c r="LQU466"/>
      <c r="LQV466"/>
      <c r="LQW466"/>
      <c r="LQX466"/>
      <c r="LQY466"/>
      <c r="LQZ466"/>
      <c r="LRA466"/>
      <c r="LRB466"/>
      <c r="LRC466"/>
      <c r="LRD466"/>
      <c r="LRE466"/>
      <c r="LRF466"/>
      <c r="LRG466"/>
      <c r="LRH466"/>
      <c r="LRI466"/>
      <c r="LRJ466"/>
      <c r="LRK466"/>
      <c r="LRL466"/>
      <c r="LRM466"/>
      <c r="LRN466"/>
      <c r="LRO466"/>
      <c r="LRP466"/>
      <c r="LRQ466"/>
      <c r="LRR466"/>
      <c r="LRS466"/>
      <c r="LRT466"/>
      <c r="LRU466"/>
      <c r="LRV466"/>
      <c r="LRW466"/>
      <c r="LRX466"/>
      <c r="LRY466"/>
      <c r="LRZ466"/>
      <c r="LSA466"/>
      <c r="LSB466"/>
      <c r="LSC466"/>
      <c r="LSD466"/>
      <c r="LSE466"/>
      <c r="LSF466"/>
      <c r="LSG466"/>
      <c r="LSH466"/>
      <c r="LSI466"/>
      <c r="LSJ466"/>
      <c r="LSK466"/>
      <c r="LSL466"/>
      <c r="LSM466"/>
      <c r="LSN466"/>
      <c r="LSO466"/>
      <c r="LSP466"/>
      <c r="LSQ466"/>
      <c r="LSR466"/>
      <c r="LSS466"/>
      <c r="LST466"/>
      <c r="LSU466"/>
      <c r="LSV466"/>
      <c r="LSW466"/>
      <c r="LSX466"/>
      <c r="LSY466"/>
      <c r="LSZ466"/>
      <c r="LTA466"/>
      <c r="LTB466"/>
      <c r="LTC466"/>
      <c r="LTD466"/>
      <c r="LTE466"/>
      <c r="LTF466"/>
      <c r="LTG466"/>
      <c r="LTH466"/>
      <c r="LTI466"/>
      <c r="LTJ466"/>
      <c r="LTK466"/>
      <c r="LTL466"/>
      <c r="LTM466"/>
      <c r="LTN466"/>
      <c r="LTO466"/>
      <c r="LTP466"/>
      <c r="LTQ466"/>
      <c r="LTR466"/>
      <c r="LTS466"/>
      <c r="LTT466"/>
      <c r="LTU466"/>
      <c r="LTV466"/>
      <c r="LTW466"/>
      <c r="LTX466"/>
      <c r="LTY466"/>
      <c r="LTZ466"/>
      <c r="LUA466"/>
      <c r="LUB466"/>
      <c r="LUC466"/>
      <c r="LUD466"/>
      <c r="LUE466"/>
      <c r="LUF466"/>
      <c r="LUG466"/>
      <c r="LUH466"/>
      <c r="LUI466"/>
      <c r="LUJ466"/>
      <c r="LUK466"/>
      <c r="LUL466"/>
      <c r="LUM466"/>
      <c r="LUN466"/>
      <c r="LUO466"/>
      <c r="LUP466"/>
      <c r="LUQ466"/>
      <c r="LUR466"/>
      <c r="LUS466"/>
      <c r="LUT466"/>
      <c r="LUU466"/>
      <c r="LUV466"/>
      <c r="LUW466"/>
      <c r="LUX466"/>
      <c r="LUY466"/>
      <c r="LUZ466"/>
      <c r="LVA466"/>
      <c r="LVB466"/>
      <c r="LVC466"/>
      <c r="LVD466"/>
      <c r="LVE466"/>
      <c r="LVF466"/>
      <c r="LVG466"/>
      <c r="LVH466"/>
      <c r="LVI466"/>
      <c r="LVJ466"/>
      <c r="LVK466"/>
      <c r="LVL466"/>
      <c r="LVM466"/>
      <c r="LVN466"/>
      <c r="LVO466"/>
      <c r="LVP466"/>
      <c r="LVQ466"/>
      <c r="LVR466"/>
      <c r="LVS466"/>
      <c r="LVT466"/>
      <c r="LVU466"/>
      <c r="LVV466"/>
      <c r="LVW466"/>
      <c r="LVX466"/>
      <c r="LVY466"/>
      <c r="LVZ466"/>
      <c r="LWA466"/>
      <c r="LWB466"/>
      <c r="LWC466"/>
      <c r="LWD466"/>
      <c r="LWE466"/>
      <c r="LWF466"/>
      <c r="LWG466"/>
      <c r="LWH466"/>
      <c r="LWI466"/>
      <c r="LWJ466"/>
      <c r="LWK466"/>
      <c r="LWL466"/>
      <c r="LWM466"/>
      <c r="LWN466"/>
      <c r="LWO466"/>
      <c r="LWP466"/>
      <c r="LWQ466"/>
      <c r="LWR466"/>
      <c r="LWS466"/>
      <c r="LWT466"/>
      <c r="LWU466"/>
      <c r="LWV466"/>
      <c r="LWW466"/>
      <c r="LWX466"/>
      <c r="LWY466"/>
      <c r="LWZ466"/>
      <c r="LXA466"/>
      <c r="LXB466"/>
      <c r="LXC466"/>
      <c r="LXD466"/>
      <c r="LXE466"/>
      <c r="LXF466"/>
      <c r="LXG466"/>
      <c r="LXH466"/>
      <c r="LXI466"/>
      <c r="LXJ466"/>
      <c r="LXK466"/>
      <c r="LXL466"/>
      <c r="LXM466"/>
      <c r="LXN466"/>
      <c r="LXO466"/>
      <c r="LXP466"/>
      <c r="LXQ466"/>
      <c r="LXR466"/>
      <c r="LXS466"/>
      <c r="LXT466"/>
      <c r="LXU466"/>
      <c r="LXV466"/>
      <c r="LXW466"/>
      <c r="LXX466"/>
      <c r="LXY466"/>
      <c r="LXZ466"/>
      <c r="LYA466"/>
      <c r="LYB466"/>
      <c r="LYC466"/>
      <c r="LYD466"/>
      <c r="LYE466"/>
      <c r="LYF466"/>
      <c r="LYG466"/>
      <c r="LYH466"/>
      <c r="LYI466"/>
      <c r="LYJ466"/>
      <c r="LYK466"/>
      <c r="LYL466"/>
      <c r="LYM466"/>
      <c r="LYN466"/>
      <c r="LYO466"/>
      <c r="LYP466"/>
      <c r="LYQ466"/>
      <c r="LYR466"/>
      <c r="LYS466"/>
      <c r="LYT466"/>
      <c r="LYU466"/>
      <c r="LYV466"/>
      <c r="LYW466"/>
      <c r="LYX466"/>
      <c r="LYY466"/>
      <c r="LYZ466"/>
      <c r="LZA466"/>
      <c r="LZB466"/>
      <c r="LZC466"/>
      <c r="LZD466"/>
      <c r="LZE466"/>
      <c r="LZF466"/>
      <c r="LZG466"/>
      <c r="LZH466"/>
      <c r="LZI466"/>
      <c r="LZJ466"/>
      <c r="LZK466"/>
      <c r="LZL466"/>
      <c r="LZM466"/>
      <c r="LZN466"/>
      <c r="LZO466"/>
      <c r="LZP466"/>
      <c r="LZQ466"/>
      <c r="LZR466"/>
      <c r="LZS466"/>
      <c r="LZT466"/>
      <c r="LZU466"/>
      <c r="LZV466"/>
      <c r="LZW466"/>
      <c r="LZX466"/>
      <c r="LZY466"/>
      <c r="LZZ466"/>
      <c r="MAA466"/>
      <c r="MAB466"/>
      <c r="MAC466"/>
      <c r="MAD466"/>
      <c r="MAE466"/>
      <c r="MAF466"/>
      <c r="MAG466"/>
      <c r="MAH466"/>
      <c r="MAI466"/>
      <c r="MAJ466"/>
      <c r="MAK466"/>
      <c r="MAL466"/>
      <c r="MAM466"/>
      <c r="MAN466"/>
      <c r="MAO466"/>
      <c r="MAP466"/>
      <c r="MAQ466"/>
      <c r="MAR466"/>
      <c r="MAS466"/>
      <c r="MAT466"/>
      <c r="MAU466"/>
      <c r="MAV466"/>
      <c r="MAW466"/>
      <c r="MAX466"/>
      <c r="MAY466"/>
      <c r="MAZ466"/>
      <c r="MBA466"/>
      <c r="MBB466"/>
      <c r="MBC466"/>
      <c r="MBD466"/>
      <c r="MBE466"/>
      <c r="MBF466"/>
      <c r="MBG466"/>
      <c r="MBH466"/>
      <c r="MBI466"/>
      <c r="MBJ466"/>
      <c r="MBK466"/>
      <c r="MBL466"/>
      <c r="MBM466"/>
      <c r="MBN466"/>
      <c r="MBO466"/>
      <c r="MBP466"/>
      <c r="MBQ466"/>
      <c r="MBR466"/>
      <c r="MBS466"/>
      <c r="MBT466"/>
      <c r="MBU466"/>
      <c r="MBV466"/>
      <c r="MBW466"/>
      <c r="MBX466"/>
      <c r="MBY466"/>
      <c r="MBZ466"/>
      <c r="MCA466"/>
      <c r="MCB466"/>
      <c r="MCC466"/>
      <c r="MCD466"/>
      <c r="MCE466"/>
      <c r="MCF466"/>
      <c r="MCG466"/>
      <c r="MCH466"/>
      <c r="MCI466"/>
      <c r="MCJ466"/>
      <c r="MCK466"/>
      <c r="MCL466"/>
      <c r="MCM466"/>
      <c r="MCN466"/>
      <c r="MCO466"/>
      <c r="MCP466"/>
      <c r="MCQ466"/>
      <c r="MCR466"/>
      <c r="MCS466"/>
      <c r="MCT466"/>
      <c r="MCU466"/>
      <c r="MCV466"/>
      <c r="MCW466"/>
      <c r="MCX466"/>
      <c r="MCY466"/>
      <c r="MCZ466"/>
      <c r="MDA466"/>
      <c r="MDB466"/>
      <c r="MDC466"/>
      <c r="MDD466"/>
      <c r="MDE466"/>
      <c r="MDF466"/>
      <c r="MDG466"/>
      <c r="MDH466"/>
      <c r="MDI466"/>
      <c r="MDJ466"/>
      <c r="MDK466"/>
      <c r="MDL466"/>
      <c r="MDM466"/>
      <c r="MDN466"/>
      <c r="MDO466"/>
      <c r="MDP466"/>
      <c r="MDQ466"/>
      <c r="MDR466"/>
      <c r="MDS466"/>
      <c r="MDT466"/>
      <c r="MDU466"/>
      <c r="MDV466"/>
      <c r="MDW466"/>
      <c r="MDX466"/>
      <c r="MDY466"/>
      <c r="MDZ466"/>
      <c r="MEA466"/>
      <c r="MEB466"/>
      <c r="MEC466"/>
      <c r="MED466"/>
      <c r="MEE466"/>
      <c r="MEF466"/>
      <c r="MEG466"/>
      <c r="MEH466"/>
      <c r="MEI466"/>
      <c r="MEJ466"/>
      <c r="MEK466"/>
      <c r="MEL466"/>
      <c r="MEM466"/>
      <c r="MEN466"/>
      <c r="MEO466"/>
      <c r="MEP466"/>
      <c r="MEQ466"/>
      <c r="MER466"/>
      <c r="MES466"/>
      <c r="MET466"/>
      <c r="MEU466"/>
      <c r="MEV466"/>
      <c r="MEW466"/>
      <c r="MEX466"/>
      <c r="MEY466"/>
      <c r="MEZ466"/>
      <c r="MFA466"/>
      <c r="MFB466"/>
      <c r="MFC466"/>
      <c r="MFD466"/>
      <c r="MFE466"/>
      <c r="MFF466"/>
      <c r="MFG466"/>
      <c r="MFH466"/>
      <c r="MFI466"/>
      <c r="MFJ466"/>
      <c r="MFK466"/>
      <c r="MFL466"/>
      <c r="MFM466"/>
      <c r="MFN466"/>
      <c r="MFO466"/>
      <c r="MFP466"/>
      <c r="MFQ466"/>
      <c r="MFR466"/>
      <c r="MFS466"/>
      <c r="MFT466"/>
      <c r="MFU466"/>
      <c r="MFV466"/>
      <c r="MFW466"/>
      <c r="MFX466"/>
      <c r="MFY466"/>
      <c r="MFZ466"/>
      <c r="MGA466"/>
      <c r="MGB466"/>
      <c r="MGC466"/>
      <c r="MGD466"/>
      <c r="MGE466"/>
      <c r="MGF466"/>
      <c r="MGG466"/>
      <c r="MGH466"/>
      <c r="MGI466"/>
      <c r="MGJ466"/>
      <c r="MGK466"/>
      <c r="MGL466"/>
      <c r="MGM466"/>
      <c r="MGN466"/>
      <c r="MGO466"/>
      <c r="MGP466"/>
      <c r="MGQ466"/>
      <c r="MGR466"/>
      <c r="MGS466"/>
      <c r="MGT466"/>
      <c r="MGU466"/>
      <c r="MGV466"/>
      <c r="MGW466"/>
      <c r="MGX466"/>
      <c r="MGY466"/>
      <c r="MGZ466"/>
      <c r="MHA466"/>
      <c r="MHB466"/>
      <c r="MHC466"/>
      <c r="MHD466"/>
      <c r="MHE466"/>
      <c r="MHF466"/>
      <c r="MHG466"/>
      <c r="MHH466"/>
      <c r="MHI466"/>
      <c r="MHJ466"/>
      <c r="MHK466"/>
      <c r="MHL466"/>
      <c r="MHM466"/>
      <c r="MHN466"/>
      <c r="MHO466"/>
      <c r="MHP466"/>
      <c r="MHQ466"/>
      <c r="MHR466"/>
      <c r="MHS466"/>
      <c r="MHT466"/>
      <c r="MHU466"/>
      <c r="MHV466"/>
      <c r="MHW466"/>
      <c r="MHX466"/>
      <c r="MHY466"/>
      <c r="MHZ466"/>
      <c r="MIA466"/>
      <c r="MIB466"/>
      <c r="MIC466"/>
      <c r="MID466"/>
      <c r="MIE466"/>
      <c r="MIF466"/>
      <c r="MIG466"/>
      <c r="MIH466"/>
      <c r="MII466"/>
      <c r="MIJ466"/>
      <c r="MIK466"/>
      <c r="MIL466"/>
      <c r="MIM466"/>
      <c r="MIN466"/>
      <c r="MIO466"/>
      <c r="MIP466"/>
      <c r="MIQ466"/>
      <c r="MIR466"/>
      <c r="MIS466"/>
      <c r="MIT466"/>
      <c r="MIU466"/>
      <c r="MIV466"/>
      <c r="MIW466"/>
      <c r="MIX466"/>
      <c r="MIY466"/>
      <c r="MIZ466"/>
      <c r="MJA466"/>
      <c r="MJB466"/>
      <c r="MJC466"/>
      <c r="MJD466"/>
      <c r="MJE466"/>
      <c r="MJF466"/>
      <c r="MJG466"/>
      <c r="MJH466"/>
      <c r="MJI466"/>
      <c r="MJJ466"/>
      <c r="MJK466"/>
      <c r="MJL466"/>
      <c r="MJM466"/>
      <c r="MJN466"/>
      <c r="MJO466"/>
      <c r="MJP466"/>
      <c r="MJQ466"/>
      <c r="MJR466"/>
      <c r="MJS466"/>
      <c r="MJT466"/>
      <c r="MJU466"/>
      <c r="MJV466"/>
      <c r="MJW466"/>
      <c r="MJX466"/>
      <c r="MJY466"/>
      <c r="MJZ466"/>
      <c r="MKA466"/>
      <c r="MKB466"/>
      <c r="MKC466"/>
      <c r="MKD466"/>
      <c r="MKE466"/>
      <c r="MKF466"/>
      <c r="MKG466"/>
      <c r="MKH466"/>
      <c r="MKI466"/>
      <c r="MKJ466"/>
      <c r="MKK466"/>
      <c r="MKL466"/>
      <c r="MKM466"/>
      <c r="MKN466"/>
      <c r="MKO466"/>
      <c r="MKP466"/>
      <c r="MKQ466"/>
      <c r="MKR466"/>
      <c r="MKS466"/>
      <c r="MKT466"/>
      <c r="MKU466"/>
      <c r="MKV466"/>
      <c r="MKW466"/>
      <c r="MKX466"/>
      <c r="MKY466"/>
      <c r="MKZ466"/>
      <c r="MLA466"/>
      <c r="MLB466"/>
      <c r="MLC466"/>
      <c r="MLD466"/>
      <c r="MLE466"/>
      <c r="MLF466"/>
      <c r="MLG466"/>
      <c r="MLH466"/>
      <c r="MLI466"/>
      <c r="MLJ466"/>
      <c r="MLK466"/>
      <c r="MLL466"/>
      <c r="MLM466"/>
      <c r="MLN466"/>
      <c r="MLO466"/>
      <c r="MLP466"/>
      <c r="MLQ466"/>
      <c r="MLR466"/>
      <c r="MLS466"/>
      <c r="MLT466"/>
      <c r="MLU466"/>
      <c r="MLV466"/>
      <c r="MLW466"/>
      <c r="MLX466"/>
      <c r="MLY466"/>
      <c r="MLZ466"/>
      <c r="MMA466"/>
      <c r="MMB466"/>
      <c r="MMC466"/>
      <c r="MMD466"/>
      <c r="MME466"/>
      <c r="MMF466"/>
      <c r="MMG466"/>
      <c r="MMH466"/>
      <c r="MMI466"/>
      <c r="MMJ466"/>
      <c r="MMK466"/>
      <c r="MML466"/>
      <c r="MMM466"/>
      <c r="MMN466"/>
      <c r="MMO466"/>
      <c r="MMP466"/>
      <c r="MMQ466"/>
      <c r="MMR466"/>
      <c r="MMS466"/>
      <c r="MMT466"/>
      <c r="MMU466"/>
      <c r="MMV466"/>
      <c r="MMW466"/>
      <c r="MMX466"/>
      <c r="MMY466"/>
      <c r="MMZ466"/>
      <c r="MNA466"/>
      <c r="MNB466"/>
      <c r="MNC466"/>
      <c r="MND466"/>
      <c r="MNE466"/>
      <c r="MNF466"/>
      <c r="MNG466"/>
      <c r="MNH466"/>
      <c r="MNI466"/>
      <c r="MNJ466"/>
      <c r="MNK466"/>
      <c r="MNL466"/>
      <c r="MNM466"/>
      <c r="MNN466"/>
      <c r="MNO466"/>
      <c r="MNP466"/>
      <c r="MNQ466"/>
      <c r="MNR466"/>
      <c r="MNS466"/>
      <c r="MNT466"/>
      <c r="MNU466"/>
      <c r="MNV466"/>
      <c r="MNW466"/>
      <c r="MNX466"/>
      <c r="MNY466"/>
      <c r="MNZ466"/>
      <c r="MOA466"/>
      <c r="MOB466"/>
      <c r="MOC466"/>
      <c r="MOD466"/>
      <c r="MOE466"/>
      <c r="MOF466"/>
      <c r="MOG466"/>
      <c r="MOH466"/>
      <c r="MOI466"/>
      <c r="MOJ466"/>
      <c r="MOK466"/>
      <c r="MOL466"/>
      <c r="MOM466"/>
      <c r="MON466"/>
      <c r="MOO466"/>
      <c r="MOP466"/>
      <c r="MOQ466"/>
      <c r="MOR466"/>
      <c r="MOS466"/>
      <c r="MOT466"/>
      <c r="MOU466"/>
      <c r="MOV466"/>
      <c r="MOW466"/>
      <c r="MOX466"/>
      <c r="MOY466"/>
      <c r="MOZ466"/>
      <c r="MPA466"/>
      <c r="MPB466"/>
      <c r="MPC466"/>
      <c r="MPD466"/>
      <c r="MPE466"/>
      <c r="MPF466"/>
      <c r="MPG466"/>
      <c r="MPH466"/>
      <c r="MPI466"/>
      <c r="MPJ466"/>
      <c r="MPK466"/>
      <c r="MPL466"/>
      <c r="MPM466"/>
      <c r="MPN466"/>
      <c r="MPO466"/>
      <c r="MPP466"/>
      <c r="MPQ466"/>
      <c r="MPR466"/>
      <c r="MPS466"/>
      <c r="MPT466"/>
      <c r="MPU466"/>
      <c r="MPV466"/>
      <c r="MPW466"/>
      <c r="MPX466"/>
      <c r="MPY466"/>
      <c r="MPZ466"/>
      <c r="MQA466"/>
      <c r="MQB466"/>
      <c r="MQC466"/>
      <c r="MQD466"/>
      <c r="MQE466"/>
      <c r="MQF466"/>
      <c r="MQG466"/>
      <c r="MQH466"/>
      <c r="MQI466"/>
      <c r="MQJ466"/>
      <c r="MQK466"/>
      <c r="MQL466"/>
      <c r="MQM466"/>
      <c r="MQN466"/>
      <c r="MQO466"/>
      <c r="MQP466"/>
      <c r="MQQ466"/>
      <c r="MQR466"/>
      <c r="MQS466"/>
      <c r="MQT466"/>
      <c r="MQU466"/>
      <c r="MQV466"/>
      <c r="MQW466"/>
      <c r="MQX466"/>
      <c r="MQY466"/>
      <c r="MQZ466"/>
      <c r="MRA466"/>
      <c r="MRB466"/>
      <c r="MRC466"/>
      <c r="MRD466"/>
      <c r="MRE466"/>
      <c r="MRF466"/>
      <c r="MRG466"/>
      <c r="MRH466"/>
      <c r="MRI466"/>
      <c r="MRJ466"/>
      <c r="MRK466"/>
      <c r="MRL466"/>
      <c r="MRM466"/>
      <c r="MRN466"/>
      <c r="MRO466"/>
      <c r="MRP466"/>
      <c r="MRQ466"/>
      <c r="MRR466"/>
      <c r="MRS466"/>
      <c r="MRT466"/>
      <c r="MRU466"/>
      <c r="MRV466"/>
      <c r="MRW466"/>
      <c r="MRX466"/>
      <c r="MRY466"/>
      <c r="MRZ466"/>
      <c r="MSA466"/>
      <c r="MSB466"/>
      <c r="MSC466"/>
      <c r="MSD466"/>
      <c r="MSE466"/>
      <c r="MSF466"/>
      <c r="MSG466"/>
      <c r="MSH466"/>
      <c r="MSI466"/>
      <c r="MSJ466"/>
      <c r="MSK466"/>
      <c r="MSL466"/>
      <c r="MSM466"/>
      <c r="MSN466"/>
      <c r="MSO466"/>
      <c r="MSP466"/>
      <c r="MSQ466"/>
      <c r="MSR466"/>
      <c r="MSS466"/>
      <c r="MST466"/>
      <c r="MSU466"/>
      <c r="MSV466"/>
      <c r="MSW466"/>
      <c r="MSX466"/>
      <c r="MSY466"/>
      <c r="MSZ466"/>
      <c r="MTA466"/>
      <c r="MTB466"/>
      <c r="MTC466"/>
      <c r="MTD466"/>
      <c r="MTE466"/>
      <c r="MTF466"/>
      <c r="MTG466"/>
      <c r="MTH466"/>
      <c r="MTI466"/>
      <c r="MTJ466"/>
      <c r="MTK466"/>
      <c r="MTL466"/>
      <c r="MTM466"/>
      <c r="MTN466"/>
      <c r="MTO466"/>
      <c r="MTP466"/>
      <c r="MTQ466"/>
      <c r="MTR466"/>
      <c r="MTS466"/>
      <c r="MTT466"/>
      <c r="MTU466"/>
      <c r="MTV466"/>
      <c r="MTW466"/>
      <c r="MTX466"/>
      <c r="MTY466"/>
      <c r="MTZ466"/>
      <c r="MUA466"/>
      <c r="MUB466"/>
      <c r="MUC466"/>
      <c r="MUD466"/>
      <c r="MUE466"/>
      <c r="MUF466"/>
      <c r="MUG466"/>
      <c r="MUH466"/>
      <c r="MUI466"/>
      <c r="MUJ466"/>
      <c r="MUK466"/>
      <c r="MUL466"/>
      <c r="MUM466"/>
      <c r="MUN466"/>
      <c r="MUO466"/>
      <c r="MUP466"/>
      <c r="MUQ466"/>
      <c r="MUR466"/>
      <c r="MUS466"/>
      <c r="MUT466"/>
      <c r="MUU466"/>
      <c r="MUV466"/>
      <c r="MUW466"/>
      <c r="MUX466"/>
      <c r="MUY466"/>
      <c r="MUZ466"/>
      <c r="MVA466"/>
      <c r="MVB466"/>
      <c r="MVC466"/>
      <c r="MVD466"/>
      <c r="MVE466"/>
      <c r="MVF466"/>
      <c r="MVG466"/>
      <c r="MVH466"/>
      <c r="MVI466"/>
      <c r="MVJ466"/>
      <c r="MVK466"/>
      <c r="MVL466"/>
      <c r="MVM466"/>
      <c r="MVN466"/>
      <c r="MVO466"/>
      <c r="MVP466"/>
      <c r="MVQ466"/>
      <c r="MVR466"/>
      <c r="MVS466"/>
      <c r="MVT466"/>
      <c r="MVU466"/>
      <c r="MVV466"/>
      <c r="MVW466"/>
      <c r="MVX466"/>
      <c r="MVY466"/>
      <c r="MVZ466"/>
      <c r="MWA466"/>
      <c r="MWB466"/>
      <c r="MWC466"/>
      <c r="MWD466"/>
      <c r="MWE466"/>
      <c r="MWF466"/>
      <c r="MWG466"/>
      <c r="MWH466"/>
      <c r="MWI466"/>
      <c r="MWJ466"/>
      <c r="MWK466"/>
      <c r="MWL466"/>
      <c r="MWM466"/>
      <c r="MWN466"/>
      <c r="MWO466"/>
      <c r="MWP466"/>
      <c r="MWQ466"/>
      <c r="MWR466"/>
      <c r="MWS466"/>
      <c r="MWT466"/>
      <c r="MWU466"/>
      <c r="MWV466"/>
      <c r="MWW466"/>
      <c r="MWX466"/>
      <c r="MWY466"/>
      <c r="MWZ466"/>
      <c r="MXA466"/>
      <c r="MXB466"/>
      <c r="MXC466"/>
      <c r="MXD466"/>
      <c r="MXE466"/>
      <c r="MXF466"/>
      <c r="MXG466"/>
      <c r="MXH466"/>
      <c r="MXI466"/>
      <c r="MXJ466"/>
      <c r="MXK466"/>
      <c r="MXL466"/>
      <c r="MXM466"/>
      <c r="MXN466"/>
      <c r="MXO466"/>
      <c r="MXP466"/>
      <c r="MXQ466"/>
      <c r="MXR466"/>
      <c r="MXS466"/>
      <c r="MXT466"/>
      <c r="MXU466"/>
      <c r="MXV466"/>
      <c r="MXW466"/>
      <c r="MXX466"/>
      <c r="MXY466"/>
      <c r="MXZ466"/>
      <c r="MYA466"/>
      <c r="MYB466"/>
      <c r="MYC466"/>
      <c r="MYD466"/>
      <c r="MYE466"/>
      <c r="MYF466"/>
      <c r="MYG466"/>
      <c r="MYH466"/>
      <c r="MYI466"/>
      <c r="MYJ466"/>
      <c r="MYK466"/>
      <c r="MYL466"/>
      <c r="MYM466"/>
      <c r="MYN466"/>
      <c r="MYO466"/>
      <c r="MYP466"/>
      <c r="MYQ466"/>
      <c r="MYR466"/>
      <c r="MYS466"/>
      <c r="MYT466"/>
      <c r="MYU466"/>
      <c r="MYV466"/>
      <c r="MYW466"/>
      <c r="MYX466"/>
      <c r="MYY466"/>
      <c r="MYZ466"/>
      <c r="MZA466"/>
      <c r="MZB466"/>
      <c r="MZC466"/>
      <c r="MZD466"/>
      <c r="MZE466"/>
      <c r="MZF466"/>
      <c r="MZG466"/>
      <c r="MZH466"/>
      <c r="MZI466"/>
      <c r="MZJ466"/>
      <c r="MZK466"/>
      <c r="MZL466"/>
      <c r="MZM466"/>
      <c r="MZN466"/>
      <c r="MZO466"/>
      <c r="MZP466"/>
      <c r="MZQ466"/>
      <c r="MZR466"/>
      <c r="MZS466"/>
      <c r="MZT466"/>
      <c r="MZU466"/>
      <c r="MZV466"/>
      <c r="MZW466"/>
      <c r="MZX466"/>
      <c r="MZY466"/>
      <c r="MZZ466"/>
      <c r="NAA466"/>
      <c r="NAB466"/>
      <c r="NAC466"/>
      <c r="NAD466"/>
      <c r="NAE466"/>
      <c r="NAF466"/>
      <c r="NAG466"/>
      <c r="NAH466"/>
      <c r="NAI466"/>
      <c r="NAJ466"/>
      <c r="NAK466"/>
      <c r="NAL466"/>
      <c r="NAM466"/>
      <c r="NAN466"/>
      <c r="NAO466"/>
      <c r="NAP466"/>
      <c r="NAQ466"/>
      <c r="NAR466"/>
      <c r="NAS466"/>
      <c r="NAT466"/>
      <c r="NAU466"/>
      <c r="NAV466"/>
      <c r="NAW466"/>
      <c r="NAX466"/>
      <c r="NAY466"/>
      <c r="NAZ466"/>
      <c r="NBA466"/>
      <c r="NBB466"/>
      <c r="NBC466"/>
      <c r="NBD466"/>
      <c r="NBE466"/>
      <c r="NBF466"/>
      <c r="NBG466"/>
      <c r="NBH466"/>
      <c r="NBI466"/>
      <c r="NBJ466"/>
      <c r="NBK466"/>
      <c r="NBL466"/>
      <c r="NBM466"/>
      <c r="NBN466"/>
      <c r="NBO466"/>
      <c r="NBP466"/>
      <c r="NBQ466"/>
      <c r="NBR466"/>
      <c r="NBS466"/>
      <c r="NBT466"/>
      <c r="NBU466"/>
      <c r="NBV466"/>
      <c r="NBW466"/>
      <c r="NBX466"/>
      <c r="NBY466"/>
      <c r="NBZ466"/>
      <c r="NCA466"/>
      <c r="NCB466"/>
      <c r="NCC466"/>
      <c r="NCD466"/>
      <c r="NCE466"/>
      <c r="NCF466"/>
      <c r="NCG466"/>
      <c r="NCH466"/>
      <c r="NCI466"/>
      <c r="NCJ466"/>
      <c r="NCK466"/>
      <c r="NCL466"/>
      <c r="NCM466"/>
      <c r="NCN466"/>
      <c r="NCO466"/>
      <c r="NCP466"/>
      <c r="NCQ466"/>
      <c r="NCR466"/>
      <c r="NCS466"/>
      <c r="NCT466"/>
      <c r="NCU466"/>
      <c r="NCV466"/>
      <c r="NCW466"/>
      <c r="NCX466"/>
      <c r="NCY466"/>
      <c r="NCZ466"/>
      <c r="NDA466"/>
      <c r="NDB466"/>
      <c r="NDC466"/>
      <c r="NDD466"/>
      <c r="NDE466"/>
      <c r="NDF466"/>
      <c r="NDG466"/>
      <c r="NDH466"/>
      <c r="NDI466"/>
      <c r="NDJ466"/>
      <c r="NDK466"/>
      <c r="NDL466"/>
      <c r="NDM466"/>
      <c r="NDN466"/>
      <c r="NDO466"/>
      <c r="NDP466"/>
      <c r="NDQ466"/>
      <c r="NDR466"/>
      <c r="NDS466"/>
      <c r="NDT466"/>
      <c r="NDU466"/>
      <c r="NDV466"/>
      <c r="NDW466"/>
      <c r="NDX466"/>
      <c r="NDY466"/>
      <c r="NDZ466"/>
      <c r="NEA466"/>
      <c r="NEB466"/>
      <c r="NEC466"/>
      <c r="NED466"/>
      <c r="NEE466"/>
      <c r="NEF466"/>
      <c r="NEG466"/>
      <c r="NEH466"/>
      <c r="NEI466"/>
      <c r="NEJ466"/>
      <c r="NEK466"/>
      <c r="NEL466"/>
      <c r="NEM466"/>
      <c r="NEN466"/>
      <c r="NEO466"/>
      <c r="NEP466"/>
      <c r="NEQ466"/>
      <c r="NER466"/>
      <c r="NES466"/>
      <c r="NET466"/>
      <c r="NEU466"/>
      <c r="NEV466"/>
      <c r="NEW466"/>
      <c r="NEX466"/>
      <c r="NEY466"/>
      <c r="NEZ466"/>
      <c r="NFA466"/>
      <c r="NFB466"/>
      <c r="NFC466"/>
      <c r="NFD466"/>
      <c r="NFE466"/>
      <c r="NFF466"/>
      <c r="NFG466"/>
      <c r="NFH466"/>
      <c r="NFI466"/>
      <c r="NFJ466"/>
      <c r="NFK466"/>
      <c r="NFL466"/>
      <c r="NFM466"/>
      <c r="NFN466"/>
      <c r="NFO466"/>
      <c r="NFP466"/>
      <c r="NFQ466"/>
      <c r="NFR466"/>
      <c r="NFS466"/>
      <c r="NFT466"/>
      <c r="NFU466"/>
      <c r="NFV466"/>
      <c r="NFW466"/>
      <c r="NFX466"/>
      <c r="NFY466"/>
      <c r="NFZ466"/>
      <c r="NGA466"/>
      <c r="NGB466"/>
      <c r="NGC466"/>
      <c r="NGD466"/>
      <c r="NGE466"/>
      <c r="NGF466"/>
      <c r="NGG466"/>
      <c r="NGH466"/>
      <c r="NGI466"/>
      <c r="NGJ466"/>
      <c r="NGK466"/>
      <c r="NGL466"/>
      <c r="NGM466"/>
      <c r="NGN466"/>
      <c r="NGO466"/>
      <c r="NGP466"/>
      <c r="NGQ466"/>
      <c r="NGR466"/>
      <c r="NGS466"/>
      <c r="NGT466"/>
      <c r="NGU466"/>
      <c r="NGV466"/>
      <c r="NGW466"/>
      <c r="NGX466"/>
      <c r="NGY466"/>
      <c r="NGZ466"/>
      <c r="NHA466"/>
      <c r="NHB466"/>
      <c r="NHC466"/>
      <c r="NHD466"/>
      <c r="NHE466"/>
      <c r="NHF466"/>
      <c r="NHG466"/>
      <c r="NHH466"/>
      <c r="NHI466"/>
      <c r="NHJ466"/>
      <c r="NHK466"/>
      <c r="NHL466"/>
      <c r="NHM466"/>
      <c r="NHN466"/>
      <c r="NHO466"/>
      <c r="NHP466"/>
      <c r="NHQ466"/>
      <c r="NHR466"/>
      <c r="NHS466"/>
      <c r="NHT466"/>
      <c r="NHU466"/>
      <c r="NHV466"/>
      <c r="NHW466"/>
      <c r="NHX466"/>
      <c r="NHY466"/>
      <c r="NHZ466"/>
      <c r="NIA466"/>
      <c r="NIB466"/>
      <c r="NIC466"/>
      <c r="NID466"/>
      <c r="NIE466"/>
      <c r="NIF466"/>
      <c r="NIG466"/>
      <c r="NIH466"/>
      <c r="NII466"/>
      <c r="NIJ466"/>
      <c r="NIK466"/>
      <c r="NIL466"/>
      <c r="NIM466"/>
      <c r="NIN466"/>
      <c r="NIO466"/>
      <c r="NIP466"/>
      <c r="NIQ466"/>
      <c r="NIR466"/>
      <c r="NIS466"/>
      <c r="NIT466"/>
      <c r="NIU466"/>
      <c r="NIV466"/>
      <c r="NIW466"/>
      <c r="NIX466"/>
      <c r="NIY466"/>
      <c r="NIZ466"/>
      <c r="NJA466"/>
      <c r="NJB466"/>
      <c r="NJC466"/>
      <c r="NJD466"/>
      <c r="NJE466"/>
      <c r="NJF466"/>
      <c r="NJG466"/>
      <c r="NJH466"/>
      <c r="NJI466"/>
      <c r="NJJ466"/>
      <c r="NJK466"/>
      <c r="NJL466"/>
      <c r="NJM466"/>
      <c r="NJN466"/>
      <c r="NJO466"/>
      <c r="NJP466"/>
      <c r="NJQ466"/>
      <c r="NJR466"/>
      <c r="NJS466"/>
      <c r="NJT466"/>
      <c r="NJU466"/>
      <c r="NJV466"/>
      <c r="NJW466"/>
      <c r="NJX466"/>
      <c r="NJY466"/>
      <c r="NJZ466"/>
      <c r="NKA466"/>
      <c r="NKB466"/>
      <c r="NKC466"/>
      <c r="NKD466"/>
      <c r="NKE466"/>
      <c r="NKF466"/>
      <c r="NKG466"/>
      <c r="NKH466"/>
      <c r="NKI466"/>
      <c r="NKJ466"/>
      <c r="NKK466"/>
      <c r="NKL466"/>
      <c r="NKM466"/>
      <c r="NKN466"/>
      <c r="NKO466"/>
      <c r="NKP466"/>
      <c r="NKQ466"/>
      <c r="NKR466"/>
      <c r="NKS466"/>
      <c r="NKT466"/>
      <c r="NKU466"/>
      <c r="NKV466"/>
      <c r="NKW466"/>
      <c r="NKX466"/>
      <c r="NKY466"/>
      <c r="NKZ466"/>
      <c r="NLA466"/>
      <c r="NLB466"/>
      <c r="NLC466"/>
      <c r="NLD466"/>
      <c r="NLE466"/>
      <c r="NLF466"/>
      <c r="NLG466"/>
      <c r="NLH466"/>
      <c r="NLI466"/>
      <c r="NLJ466"/>
      <c r="NLK466"/>
      <c r="NLL466"/>
      <c r="NLM466"/>
      <c r="NLN466"/>
      <c r="NLO466"/>
      <c r="NLP466"/>
      <c r="NLQ466"/>
      <c r="NLR466"/>
      <c r="NLS466"/>
      <c r="NLT466"/>
      <c r="NLU466"/>
      <c r="NLV466"/>
      <c r="NLW466"/>
      <c r="NLX466"/>
      <c r="NLY466"/>
      <c r="NLZ466"/>
      <c r="NMA466"/>
      <c r="NMB466"/>
      <c r="NMC466"/>
      <c r="NMD466"/>
      <c r="NME466"/>
      <c r="NMF466"/>
      <c r="NMG466"/>
      <c r="NMH466"/>
      <c r="NMI466"/>
      <c r="NMJ466"/>
      <c r="NMK466"/>
      <c r="NML466"/>
      <c r="NMM466"/>
      <c r="NMN466"/>
      <c r="NMO466"/>
      <c r="NMP466"/>
      <c r="NMQ466"/>
      <c r="NMR466"/>
      <c r="NMS466"/>
      <c r="NMT466"/>
      <c r="NMU466"/>
      <c r="NMV466"/>
      <c r="NMW466"/>
      <c r="NMX466"/>
      <c r="NMY466"/>
      <c r="NMZ466"/>
      <c r="NNA466"/>
      <c r="NNB466"/>
      <c r="NNC466"/>
      <c r="NND466"/>
      <c r="NNE466"/>
      <c r="NNF466"/>
      <c r="NNG466"/>
      <c r="NNH466"/>
      <c r="NNI466"/>
      <c r="NNJ466"/>
      <c r="NNK466"/>
      <c r="NNL466"/>
      <c r="NNM466"/>
      <c r="NNN466"/>
      <c r="NNO466"/>
      <c r="NNP466"/>
      <c r="NNQ466"/>
      <c r="NNR466"/>
      <c r="NNS466"/>
      <c r="NNT466"/>
      <c r="NNU466"/>
      <c r="NNV466"/>
      <c r="NNW466"/>
      <c r="NNX466"/>
      <c r="NNY466"/>
      <c r="NNZ466"/>
      <c r="NOA466"/>
      <c r="NOB466"/>
      <c r="NOC466"/>
      <c r="NOD466"/>
      <c r="NOE466"/>
      <c r="NOF466"/>
      <c r="NOG466"/>
      <c r="NOH466"/>
      <c r="NOI466"/>
      <c r="NOJ466"/>
      <c r="NOK466"/>
      <c r="NOL466"/>
      <c r="NOM466"/>
      <c r="NON466"/>
      <c r="NOO466"/>
      <c r="NOP466"/>
      <c r="NOQ466"/>
      <c r="NOR466"/>
      <c r="NOS466"/>
      <c r="NOT466"/>
      <c r="NOU466"/>
      <c r="NOV466"/>
      <c r="NOW466"/>
      <c r="NOX466"/>
      <c r="NOY466"/>
      <c r="NOZ466"/>
      <c r="NPA466"/>
      <c r="NPB466"/>
      <c r="NPC466"/>
      <c r="NPD466"/>
      <c r="NPE466"/>
      <c r="NPF466"/>
      <c r="NPG466"/>
      <c r="NPH466"/>
      <c r="NPI466"/>
      <c r="NPJ466"/>
      <c r="NPK466"/>
      <c r="NPL466"/>
      <c r="NPM466"/>
      <c r="NPN466"/>
      <c r="NPO466"/>
      <c r="NPP466"/>
      <c r="NPQ466"/>
      <c r="NPR466"/>
      <c r="NPS466"/>
      <c r="NPT466"/>
      <c r="NPU466"/>
      <c r="NPV466"/>
      <c r="NPW466"/>
      <c r="NPX466"/>
      <c r="NPY466"/>
      <c r="NPZ466"/>
      <c r="NQA466"/>
      <c r="NQB466"/>
      <c r="NQC466"/>
      <c r="NQD466"/>
      <c r="NQE466"/>
      <c r="NQF466"/>
      <c r="NQG466"/>
      <c r="NQH466"/>
      <c r="NQI466"/>
      <c r="NQJ466"/>
      <c r="NQK466"/>
      <c r="NQL466"/>
      <c r="NQM466"/>
      <c r="NQN466"/>
      <c r="NQO466"/>
      <c r="NQP466"/>
      <c r="NQQ466"/>
      <c r="NQR466"/>
      <c r="NQS466"/>
      <c r="NQT466"/>
      <c r="NQU466"/>
      <c r="NQV466"/>
      <c r="NQW466"/>
      <c r="NQX466"/>
      <c r="NQY466"/>
      <c r="NQZ466"/>
      <c r="NRA466"/>
      <c r="NRB466"/>
      <c r="NRC466"/>
      <c r="NRD466"/>
      <c r="NRE466"/>
      <c r="NRF466"/>
      <c r="NRG466"/>
      <c r="NRH466"/>
      <c r="NRI466"/>
      <c r="NRJ466"/>
      <c r="NRK466"/>
      <c r="NRL466"/>
      <c r="NRM466"/>
      <c r="NRN466"/>
      <c r="NRO466"/>
      <c r="NRP466"/>
      <c r="NRQ466"/>
      <c r="NRR466"/>
      <c r="NRS466"/>
      <c r="NRT466"/>
      <c r="NRU466"/>
      <c r="NRV466"/>
      <c r="NRW466"/>
      <c r="NRX466"/>
      <c r="NRY466"/>
      <c r="NRZ466"/>
      <c r="NSA466"/>
      <c r="NSB466"/>
      <c r="NSC466"/>
      <c r="NSD466"/>
      <c r="NSE466"/>
      <c r="NSF466"/>
      <c r="NSG466"/>
      <c r="NSH466"/>
      <c r="NSI466"/>
      <c r="NSJ466"/>
      <c r="NSK466"/>
      <c r="NSL466"/>
      <c r="NSM466"/>
      <c r="NSN466"/>
      <c r="NSO466"/>
      <c r="NSP466"/>
      <c r="NSQ466"/>
      <c r="NSR466"/>
      <c r="NSS466"/>
      <c r="NST466"/>
      <c r="NSU466"/>
      <c r="NSV466"/>
      <c r="NSW466"/>
      <c r="NSX466"/>
      <c r="NSY466"/>
      <c r="NSZ466"/>
      <c r="NTA466"/>
      <c r="NTB466"/>
      <c r="NTC466"/>
      <c r="NTD466"/>
      <c r="NTE466"/>
      <c r="NTF466"/>
      <c r="NTG466"/>
      <c r="NTH466"/>
      <c r="NTI466"/>
      <c r="NTJ466"/>
      <c r="NTK466"/>
      <c r="NTL466"/>
      <c r="NTM466"/>
      <c r="NTN466"/>
      <c r="NTO466"/>
      <c r="NTP466"/>
      <c r="NTQ466"/>
      <c r="NTR466"/>
      <c r="NTS466"/>
      <c r="NTT466"/>
      <c r="NTU466"/>
      <c r="NTV466"/>
      <c r="NTW466"/>
      <c r="NTX466"/>
      <c r="NTY466"/>
      <c r="NTZ466"/>
      <c r="NUA466"/>
      <c r="NUB466"/>
      <c r="NUC466"/>
      <c r="NUD466"/>
      <c r="NUE466"/>
      <c r="NUF466"/>
      <c r="NUG466"/>
      <c r="NUH466"/>
      <c r="NUI466"/>
      <c r="NUJ466"/>
      <c r="NUK466"/>
      <c r="NUL466"/>
      <c r="NUM466"/>
      <c r="NUN466"/>
      <c r="NUO466"/>
      <c r="NUP466"/>
      <c r="NUQ466"/>
      <c r="NUR466"/>
      <c r="NUS466"/>
      <c r="NUT466"/>
      <c r="NUU466"/>
      <c r="NUV466"/>
      <c r="NUW466"/>
      <c r="NUX466"/>
      <c r="NUY466"/>
      <c r="NUZ466"/>
      <c r="NVA466"/>
      <c r="NVB466"/>
      <c r="NVC466"/>
      <c r="NVD466"/>
      <c r="NVE466"/>
      <c r="NVF466"/>
      <c r="NVG466"/>
      <c r="NVH466"/>
      <c r="NVI466"/>
      <c r="NVJ466"/>
      <c r="NVK466"/>
      <c r="NVL466"/>
      <c r="NVM466"/>
      <c r="NVN466"/>
      <c r="NVO466"/>
      <c r="NVP466"/>
      <c r="NVQ466"/>
      <c r="NVR466"/>
      <c r="NVS466"/>
      <c r="NVT466"/>
      <c r="NVU466"/>
      <c r="NVV466"/>
      <c r="NVW466"/>
      <c r="NVX466"/>
      <c r="NVY466"/>
      <c r="NVZ466"/>
      <c r="NWA466"/>
      <c r="NWB466"/>
      <c r="NWC466"/>
      <c r="NWD466"/>
      <c r="NWE466"/>
      <c r="NWF466"/>
      <c r="NWG466"/>
      <c r="NWH466"/>
      <c r="NWI466"/>
      <c r="NWJ466"/>
      <c r="NWK466"/>
      <c r="NWL466"/>
      <c r="NWM466"/>
      <c r="NWN466"/>
      <c r="NWO466"/>
      <c r="NWP466"/>
      <c r="NWQ466"/>
      <c r="NWR466"/>
      <c r="NWS466"/>
      <c r="NWT466"/>
      <c r="NWU466"/>
      <c r="NWV466"/>
      <c r="NWW466"/>
      <c r="NWX466"/>
      <c r="NWY466"/>
      <c r="NWZ466"/>
      <c r="NXA466"/>
      <c r="NXB466"/>
      <c r="NXC466"/>
      <c r="NXD466"/>
      <c r="NXE466"/>
      <c r="NXF466"/>
      <c r="NXG466"/>
      <c r="NXH466"/>
      <c r="NXI466"/>
      <c r="NXJ466"/>
      <c r="NXK466"/>
      <c r="NXL466"/>
      <c r="NXM466"/>
      <c r="NXN466"/>
      <c r="NXO466"/>
      <c r="NXP466"/>
      <c r="NXQ466"/>
      <c r="NXR466"/>
      <c r="NXS466"/>
      <c r="NXT466"/>
      <c r="NXU466"/>
      <c r="NXV466"/>
      <c r="NXW466"/>
      <c r="NXX466"/>
      <c r="NXY466"/>
      <c r="NXZ466"/>
      <c r="NYA466"/>
      <c r="NYB466"/>
      <c r="NYC466"/>
      <c r="NYD466"/>
      <c r="NYE466"/>
      <c r="NYF466"/>
      <c r="NYG466"/>
      <c r="NYH466"/>
      <c r="NYI466"/>
      <c r="NYJ466"/>
      <c r="NYK466"/>
      <c r="NYL466"/>
      <c r="NYM466"/>
      <c r="NYN466"/>
      <c r="NYO466"/>
      <c r="NYP466"/>
      <c r="NYQ466"/>
      <c r="NYR466"/>
      <c r="NYS466"/>
      <c r="NYT466"/>
      <c r="NYU466"/>
      <c r="NYV466"/>
      <c r="NYW466"/>
      <c r="NYX466"/>
      <c r="NYY466"/>
      <c r="NYZ466"/>
      <c r="NZA466"/>
      <c r="NZB466"/>
      <c r="NZC466"/>
      <c r="NZD466"/>
      <c r="NZE466"/>
      <c r="NZF466"/>
      <c r="NZG466"/>
      <c r="NZH466"/>
      <c r="NZI466"/>
      <c r="NZJ466"/>
      <c r="NZK466"/>
      <c r="NZL466"/>
      <c r="NZM466"/>
      <c r="NZN466"/>
      <c r="NZO466"/>
      <c r="NZP466"/>
      <c r="NZQ466"/>
      <c r="NZR466"/>
      <c r="NZS466"/>
      <c r="NZT466"/>
      <c r="NZU466"/>
      <c r="NZV466"/>
      <c r="NZW466"/>
      <c r="NZX466"/>
      <c r="NZY466"/>
      <c r="NZZ466"/>
      <c r="OAA466"/>
      <c r="OAB466"/>
      <c r="OAC466"/>
      <c r="OAD466"/>
      <c r="OAE466"/>
      <c r="OAF466"/>
      <c r="OAG466"/>
      <c r="OAH466"/>
      <c r="OAI466"/>
      <c r="OAJ466"/>
      <c r="OAK466"/>
      <c r="OAL466"/>
      <c r="OAM466"/>
      <c r="OAN466"/>
      <c r="OAO466"/>
      <c r="OAP466"/>
      <c r="OAQ466"/>
      <c r="OAR466"/>
      <c r="OAS466"/>
      <c r="OAT466"/>
      <c r="OAU466"/>
      <c r="OAV466"/>
      <c r="OAW466"/>
      <c r="OAX466"/>
      <c r="OAY466"/>
      <c r="OAZ466"/>
      <c r="OBA466"/>
      <c r="OBB466"/>
      <c r="OBC466"/>
      <c r="OBD466"/>
      <c r="OBE466"/>
      <c r="OBF466"/>
      <c r="OBG466"/>
      <c r="OBH466"/>
      <c r="OBI466"/>
      <c r="OBJ466"/>
      <c r="OBK466"/>
      <c r="OBL466"/>
      <c r="OBM466"/>
      <c r="OBN466"/>
      <c r="OBO466"/>
      <c r="OBP466"/>
      <c r="OBQ466"/>
      <c r="OBR466"/>
      <c r="OBS466"/>
      <c r="OBT466"/>
      <c r="OBU466"/>
      <c r="OBV466"/>
      <c r="OBW466"/>
      <c r="OBX466"/>
      <c r="OBY466"/>
      <c r="OBZ466"/>
      <c r="OCA466"/>
      <c r="OCB466"/>
      <c r="OCC466"/>
      <c r="OCD466"/>
      <c r="OCE466"/>
      <c r="OCF466"/>
      <c r="OCG466"/>
      <c r="OCH466"/>
      <c r="OCI466"/>
      <c r="OCJ466"/>
      <c r="OCK466"/>
      <c r="OCL466"/>
      <c r="OCM466"/>
      <c r="OCN466"/>
      <c r="OCO466"/>
      <c r="OCP466"/>
      <c r="OCQ466"/>
      <c r="OCR466"/>
      <c r="OCS466"/>
      <c r="OCT466"/>
      <c r="OCU466"/>
      <c r="OCV466"/>
      <c r="OCW466"/>
      <c r="OCX466"/>
      <c r="OCY466"/>
      <c r="OCZ466"/>
      <c r="ODA466"/>
      <c r="ODB466"/>
      <c r="ODC466"/>
      <c r="ODD466"/>
      <c r="ODE466"/>
      <c r="ODF466"/>
      <c r="ODG466"/>
      <c r="ODH466"/>
      <c r="ODI466"/>
      <c r="ODJ466"/>
      <c r="ODK466"/>
      <c r="ODL466"/>
      <c r="ODM466"/>
      <c r="ODN466"/>
      <c r="ODO466"/>
      <c r="ODP466"/>
      <c r="ODQ466"/>
      <c r="ODR466"/>
      <c r="ODS466"/>
      <c r="ODT466"/>
      <c r="ODU466"/>
      <c r="ODV466"/>
      <c r="ODW466"/>
      <c r="ODX466"/>
      <c r="ODY466"/>
      <c r="ODZ466"/>
      <c r="OEA466"/>
      <c r="OEB466"/>
      <c r="OEC466"/>
      <c r="OED466"/>
      <c r="OEE466"/>
      <c r="OEF466"/>
      <c r="OEG466"/>
      <c r="OEH466"/>
      <c r="OEI466"/>
      <c r="OEJ466"/>
      <c r="OEK466"/>
      <c r="OEL466"/>
      <c r="OEM466"/>
      <c r="OEN466"/>
      <c r="OEO466"/>
      <c r="OEP466"/>
      <c r="OEQ466"/>
      <c r="OER466"/>
      <c r="OES466"/>
      <c r="OET466"/>
      <c r="OEU466"/>
      <c r="OEV466"/>
      <c r="OEW466"/>
      <c r="OEX466"/>
      <c r="OEY466"/>
      <c r="OEZ466"/>
      <c r="OFA466"/>
      <c r="OFB466"/>
      <c r="OFC466"/>
      <c r="OFD466"/>
      <c r="OFE466"/>
      <c r="OFF466"/>
      <c r="OFG466"/>
      <c r="OFH466"/>
      <c r="OFI466"/>
      <c r="OFJ466"/>
      <c r="OFK466"/>
      <c r="OFL466"/>
      <c r="OFM466"/>
      <c r="OFN466"/>
      <c r="OFO466"/>
      <c r="OFP466"/>
      <c r="OFQ466"/>
      <c r="OFR466"/>
      <c r="OFS466"/>
      <c r="OFT466"/>
      <c r="OFU466"/>
      <c r="OFV466"/>
      <c r="OFW466"/>
      <c r="OFX466"/>
      <c r="OFY466"/>
      <c r="OFZ466"/>
      <c r="OGA466"/>
      <c r="OGB466"/>
      <c r="OGC466"/>
      <c r="OGD466"/>
      <c r="OGE466"/>
      <c r="OGF466"/>
      <c r="OGG466"/>
      <c r="OGH466"/>
      <c r="OGI466"/>
      <c r="OGJ466"/>
      <c r="OGK466"/>
      <c r="OGL466"/>
      <c r="OGM466"/>
      <c r="OGN466"/>
      <c r="OGO466"/>
      <c r="OGP466"/>
      <c r="OGQ466"/>
      <c r="OGR466"/>
      <c r="OGS466"/>
      <c r="OGT466"/>
      <c r="OGU466"/>
      <c r="OGV466"/>
      <c r="OGW466"/>
      <c r="OGX466"/>
      <c r="OGY466"/>
      <c r="OGZ466"/>
      <c r="OHA466"/>
      <c r="OHB466"/>
      <c r="OHC466"/>
      <c r="OHD466"/>
      <c r="OHE466"/>
      <c r="OHF466"/>
      <c r="OHG466"/>
      <c r="OHH466"/>
      <c r="OHI466"/>
      <c r="OHJ466"/>
      <c r="OHK466"/>
      <c r="OHL466"/>
      <c r="OHM466"/>
      <c r="OHN466"/>
      <c r="OHO466"/>
      <c r="OHP466"/>
      <c r="OHQ466"/>
      <c r="OHR466"/>
      <c r="OHS466"/>
      <c r="OHT466"/>
      <c r="OHU466"/>
      <c r="OHV466"/>
      <c r="OHW466"/>
      <c r="OHX466"/>
      <c r="OHY466"/>
      <c r="OHZ466"/>
      <c r="OIA466"/>
      <c r="OIB466"/>
      <c r="OIC466"/>
      <c r="OID466"/>
      <c r="OIE466"/>
      <c r="OIF466"/>
      <c r="OIG466"/>
      <c r="OIH466"/>
      <c r="OII466"/>
      <c r="OIJ466"/>
      <c r="OIK466"/>
      <c r="OIL466"/>
      <c r="OIM466"/>
      <c r="OIN466"/>
      <c r="OIO466"/>
      <c r="OIP466"/>
      <c r="OIQ466"/>
      <c r="OIR466"/>
      <c r="OIS466"/>
      <c r="OIT466"/>
      <c r="OIU466"/>
      <c r="OIV466"/>
      <c r="OIW466"/>
      <c r="OIX466"/>
      <c r="OIY466"/>
      <c r="OIZ466"/>
      <c r="OJA466"/>
      <c r="OJB466"/>
      <c r="OJC466"/>
      <c r="OJD466"/>
      <c r="OJE466"/>
      <c r="OJF466"/>
      <c r="OJG466"/>
      <c r="OJH466"/>
      <c r="OJI466"/>
      <c r="OJJ466"/>
      <c r="OJK466"/>
      <c r="OJL466"/>
      <c r="OJM466"/>
      <c r="OJN466"/>
      <c r="OJO466"/>
      <c r="OJP466"/>
      <c r="OJQ466"/>
      <c r="OJR466"/>
      <c r="OJS466"/>
      <c r="OJT466"/>
      <c r="OJU466"/>
      <c r="OJV466"/>
      <c r="OJW466"/>
      <c r="OJX466"/>
      <c r="OJY466"/>
      <c r="OJZ466"/>
      <c r="OKA466"/>
      <c r="OKB466"/>
      <c r="OKC466"/>
      <c r="OKD466"/>
      <c r="OKE466"/>
      <c r="OKF466"/>
      <c r="OKG466"/>
      <c r="OKH466"/>
      <c r="OKI466"/>
      <c r="OKJ466"/>
      <c r="OKK466"/>
      <c r="OKL466"/>
      <c r="OKM466"/>
      <c r="OKN466"/>
      <c r="OKO466"/>
      <c r="OKP466"/>
      <c r="OKQ466"/>
      <c r="OKR466"/>
      <c r="OKS466"/>
      <c r="OKT466"/>
      <c r="OKU466"/>
      <c r="OKV466"/>
      <c r="OKW466"/>
      <c r="OKX466"/>
      <c r="OKY466"/>
      <c r="OKZ466"/>
      <c r="OLA466"/>
      <c r="OLB466"/>
      <c r="OLC466"/>
      <c r="OLD466"/>
      <c r="OLE466"/>
      <c r="OLF466"/>
      <c r="OLG466"/>
      <c r="OLH466"/>
      <c r="OLI466"/>
      <c r="OLJ466"/>
      <c r="OLK466"/>
      <c r="OLL466"/>
      <c r="OLM466"/>
      <c r="OLN466"/>
      <c r="OLO466"/>
      <c r="OLP466"/>
      <c r="OLQ466"/>
      <c r="OLR466"/>
      <c r="OLS466"/>
      <c r="OLT466"/>
      <c r="OLU466"/>
      <c r="OLV466"/>
      <c r="OLW466"/>
      <c r="OLX466"/>
      <c r="OLY466"/>
      <c r="OLZ466"/>
      <c r="OMA466"/>
      <c r="OMB466"/>
      <c r="OMC466"/>
      <c r="OMD466"/>
      <c r="OME466"/>
      <c r="OMF466"/>
      <c r="OMG466"/>
      <c r="OMH466"/>
      <c r="OMI466"/>
      <c r="OMJ466"/>
      <c r="OMK466"/>
      <c r="OML466"/>
      <c r="OMM466"/>
      <c r="OMN466"/>
      <c r="OMO466"/>
      <c r="OMP466"/>
      <c r="OMQ466"/>
      <c r="OMR466"/>
      <c r="OMS466"/>
      <c r="OMT466"/>
      <c r="OMU466"/>
      <c r="OMV466"/>
      <c r="OMW466"/>
      <c r="OMX466"/>
      <c r="OMY466"/>
      <c r="OMZ466"/>
      <c r="ONA466"/>
      <c r="ONB466"/>
      <c r="ONC466"/>
      <c r="OND466"/>
      <c r="ONE466"/>
      <c r="ONF466"/>
      <c r="ONG466"/>
      <c r="ONH466"/>
      <c r="ONI466"/>
      <c r="ONJ466"/>
      <c r="ONK466"/>
      <c r="ONL466"/>
      <c r="ONM466"/>
      <c r="ONN466"/>
      <c r="ONO466"/>
      <c r="ONP466"/>
      <c r="ONQ466"/>
      <c r="ONR466"/>
      <c r="ONS466"/>
      <c r="ONT466"/>
      <c r="ONU466"/>
      <c r="ONV466"/>
      <c r="ONW466"/>
      <c r="ONX466"/>
      <c r="ONY466"/>
      <c r="ONZ466"/>
      <c r="OOA466"/>
      <c r="OOB466"/>
      <c r="OOC466"/>
      <c r="OOD466"/>
      <c r="OOE466"/>
      <c r="OOF466"/>
      <c r="OOG466"/>
      <c r="OOH466"/>
      <c r="OOI466"/>
      <c r="OOJ466"/>
      <c r="OOK466"/>
      <c r="OOL466"/>
      <c r="OOM466"/>
      <c r="OON466"/>
      <c r="OOO466"/>
      <c r="OOP466"/>
      <c r="OOQ466"/>
      <c r="OOR466"/>
      <c r="OOS466"/>
      <c r="OOT466"/>
      <c r="OOU466"/>
      <c r="OOV466"/>
      <c r="OOW466"/>
      <c r="OOX466"/>
      <c r="OOY466"/>
      <c r="OOZ466"/>
      <c r="OPA466"/>
      <c r="OPB466"/>
      <c r="OPC466"/>
      <c r="OPD466"/>
      <c r="OPE466"/>
      <c r="OPF466"/>
      <c r="OPG466"/>
      <c r="OPH466"/>
      <c r="OPI466"/>
      <c r="OPJ466"/>
      <c r="OPK466"/>
      <c r="OPL466"/>
      <c r="OPM466"/>
      <c r="OPN466"/>
      <c r="OPO466"/>
      <c r="OPP466"/>
      <c r="OPQ466"/>
      <c r="OPR466"/>
      <c r="OPS466"/>
      <c r="OPT466"/>
      <c r="OPU466"/>
      <c r="OPV466"/>
      <c r="OPW466"/>
      <c r="OPX466"/>
      <c r="OPY466"/>
      <c r="OPZ466"/>
      <c r="OQA466"/>
      <c r="OQB466"/>
      <c r="OQC466"/>
      <c r="OQD466"/>
      <c r="OQE466"/>
      <c r="OQF466"/>
      <c r="OQG466"/>
      <c r="OQH466"/>
      <c r="OQI466"/>
      <c r="OQJ466"/>
      <c r="OQK466"/>
      <c r="OQL466"/>
      <c r="OQM466"/>
      <c r="OQN466"/>
      <c r="OQO466"/>
      <c r="OQP466"/>
      <c r="OQQ466"/>
      <c r="OQR466"/>
      <c r="OQS466"/>
      <c r="OQT466"/>
      <c r="OQU466"/>
      <c r="OQV466"/>
      <c r="OQW466"/>
      <c r="OQX466"/>
      <c r="OQY466"/>
      <c r="OQZ466"/>
      <c r="ORA466"/>
      <c r="ORB466"/>
      <c r="ORC466"/>
      <c r="ORD466"/>
      <c r="ORE466"/>
      <c r="ORF466"/>
      <c r="ORG466"/>
      <c r="ORH466"/>
      <c r="ORI466"/>
      <c r="ORJ466"/>
      <c r="ORK466"/>
      <c r="ORL466"/>
      <c r="ORM466"/>
      <c r="ORN466"/>
      <c r="ORO466"/>
      <c r="ORP466"/>
      <c r="ORQ466"/>
      <c r="ORR466"/>
      <c r="ORS466"/>
      <c r="ORT466"/>
      <c r="ORU466"/>
      <c r="ORV466"/>
      <c r="ORW466"/>
      <c r="ORX466"/>
      <c r="ORY466"/>
      <c r="ORZ466"/>
      <c r="OSA466"/>
      <c r="OSB466"/>
      <c r="OSC466"/>
      <c r="OSD466"/>
      <c r="OSE466"/>
      <c r="OSF466"/>
      <c r="OSG466"/>
      <c r="OSH466"/>
      <c r="OSI466"/>
      <c r="OSJ466"/>
      <c r="OSK466"/>
      <c r="OSL466"/>
      <c r="OSM466"/>
      <c r="OSN466"/>
      <c r="OSO466"/>
      <c r="OSP466"/>
      <c r="OSQ466"/>
      <c r="OSR466"/>
      <c r="OSS466"/>
      <c r="OST466"/>
      <c r="OSU466"/>
      <c r="OSV466"/>
      <c r="OSW466"/>
      <c r="OSX466"/>
      <c r="OSY466"/>
      <c r="OSZ466"/>
      <c r="OTA466"/>
      <c r="OTB466"/>
      <c r="OTC466"/>
      <c r="OTD466"/>
      <c r="OTE466"/>
      <c r="OTF466"/>
      <c r="OTG466"/>
      <c r="OTH466"/>
      <c r="OTI466"/>
      <c r="OTJ466"/>
      <c r="OTK466"/>
      <c r="OTL466"/>
      <c r="OTM466"/>
      <c r="OTN466"/>
      <c r="OTO466"/>
      <c r="OTP466"/>
      <c r="OTQ466"/>
      <c r="OTR466"/>
      <c r="OTS466"/>
      <c r="OTT466"/>
      <c r="OTU466"/>
      <c r="OTV466"/>
      <c r="OTW466"/>
      <c r="OTX466"/>
      <c r="OTY466"/>
      <c r="OTZ466"/>
      <c r="OUA466"/>
      <c r="OUB466"/>
      <c r="OUC466"/>
      <c r="OUD466"/>
      <c r="OUE466"/>
      <c r="OUF466"/>
      <c r="OUG466"/>
      <c r="OUH466"/>
      <c r="OUI466"/>
      <c r="OUJ466"/>
      <c r="OUK466"/>
      <c r="OUL466"/>
      <c r="OUM466"/>
      <c r="OUN466"/>
      <c r="OUO466"/>
      <c r="OUP466"/>
      <c r="OUQ466"/>
      <c r="OUR466"/>
      <c r="OUS466"/>
      <c r="OUT466"/>
      <c r="OUU466"/>
      <c r="OUV466"/>
      <c r="OUW466"/>
      <c r="OUX466"/>
      <c r="OUY466"/>
      <c r="OUZ466"/>
      <c r="OVA466"/>
      <c r="OVB466"/>
      <c r="OVC466"/>
      <c r="OVD466"/>
      <c r="OVE466"/>
      <c r="OVF466"/>
      <c r="OVG466"/>
      <c r="OVH466"/>
      <c r="OVI466"/>
      <c r="OVJ466"/>
      <c r="OVK466"/>
      <c r="OVL466"/>
      <c r="OVM466"/>
      <c r="OVN466"/>
      <c r="OVO466"/>
      <c r="OVP466"/>
      <c r="OVQ466"/>
      <c r="OVR466"/>
      <c r="OVS466"/>
      <c r="OVT466"/>
      <c r="OVU466"/>
      <c r="OVV466"/>
      <c r="OVW466"/>
      <c r="OVX466"/>
      <c r="OVY466"/>
      <c r="OVZ466"/>
      <c r="OWA466"/>
      <c r="OWB466"/>
      <c r="OWC466"/>
      <c r="OWD466"/>
      <c r="OWE466"/>
      <c r="OWF466"/>
      <c r="OWG466"/>
      <c r="OWH466"/>
      <c r="OWI466"/>
      <c r="OWJ466"/>
      <c r="OWK466"/>
      <c r="OWL466"/>
      <c r="OWM466"/>
      <c r="OWN466"/>
      <c r="OWO466"/>
      <c r="OWP466"/>
      <c r="OWQ466"/>
      <c r="OWR466"/>
      <c r="OWS466"/>
      <c r="OWT466"/>
      <c r="OWU466"/>
      <c r="OWV466"/>
      <c r="OWW466"/>
      <c r="OWX466"/>
      <c r="OWY466"/>
      <c r="OWZ466"/>
      <c r="OXA466"/>
      <c r="OXB466"/>
      <c r="OXC466"/>
      <c r="OXD466"/>
      <c r="OXE466"/>
      <c r="OXF466"/>
      <c r="OXG466"/>
      <c r="OXH466"/>
      <c r="OXI466"/>
      <c r="OXJ466"/>
      <c r="OXK466"/>
      <c r="OXL466"/>
      <c r="OXM466"/>
      <c r="OXN466"/>
      <c r="OXO466"/>
      <c r="OXP466"/>
      <c r="OXQ466"/>
      <c r="OXR466"/>
      <c r="OXS466"/>
      <c r="OXT466"/>
      <c r="OXU466"/>
      <c r="OXV466"/>
      <c r="OXW466"/>
      <c r="OXX466"/>
      <c r="OXY466"/>
      <c r="OXZ466"/>
      <c r="OYA466"/>
      <c r="OYB466"/>
      <c r="OYC466"/>
      <c r="OYD466"/>
      <c r="OYE466"/>
      <c r="OYF466"/>
      <c r="OYG466"/>
      <c r="OYH466"/>
      <c r="OYI466"/>
      <c r="OYJ466"/>
      <c r="OYK466"/>
      <c r="OYL466"/>
      <c r="OYM466"/>
      <c r="OYN466"/>
      <c r="OYO466"/>
      <c r="OYP466"/>
      <c r="OYQ466"/>
      <c r="OYR466"/>
      <c r="OYS466"/>
      <c r="OYT466"/>
      <c r="OYU466"/>
      <c r="OYV466"/>
      <c r="OYW466"/>
      <c r="OYX466"/>
      <c r="OYY466"/>
      <c r="OYZ466"/>
      <c r="OZA466"/>
      <c r="OZB466"/>
      <c r="OZC466"/>
      <c r="OZD466"/>
      <c r="OZE466"/>
      <c r="OZF466"/>
      <c r="OZG466"/>
      <c r="OZH466"/>
      <c r="OZI466"/>
      <c r="OZJ466"/>
      <c r="OZK466"/>
      <c r="OZL466"/>
      <c r="OZM466"/>
      <c r="OZN466"/>
      <c r="OZO466"/>
      <c r="OZP466"/>
      <c r="OZQ466"/>
      <c r="OZR466"/>
      <c r="OZS466"/>
      <c r="OZT466"/>
      <c r="OZU466"/>
      <c r="OZV466"/>
      <c r="OZW466"/>
      <c r="OZX466"/>
      <c r="OZY466"/>
      <c r="OZZ466"/>
      <c r="PAA466"/>
      <c r="PAB466"/>
      <c r="PAC466"/>
      <c r="PAD466"/>
      <c r="PAE466"/>
      <c r="PAF466"/>
      <c r="PAG466"/>
      <c r="PAH466"/>
      <c r="PAI466"/>
      <c r="PAJ466"/>
      <c r="PAK466"/>
      <c r="PAL466"/>
      <c r="PAM466"/>
      <c r="PAN466"/>
      <c r="PAO466"/>
      <c r="PAP466"/>
      <c r="PAQ466"/>
      <c r="PAR466"/>
      <c r="PAS466"/>
      <c r="PAT466"/>
      <c r="PAU466"/>
      <c r="PAV466"/>
      <c r="PAW466"/>
      <c r="PAX466"/>
      <c r="PAY466"/>
      <c r="PAZ466"/>
      <c r="PBA466"/>
      <c r="PBB466"/>
      <c r="PBC466"/>
      <c r="PBD466"/>
      <c r="PBE466"/>
      <c r="PBF466"/>
      <c r="PBG466"/>
      <c r="PBH466"/>
      <c r="PBI466"/>
      <c r="PBJ466"/>
      <c r="PBK466"/>
      <c r="PBL466"/>
      <c r="PBM466"/>
      <c r="PBN466"/>
      <c r="PBO466"/>
      <c r="PBP466"/>
      <c r="PBQ466"/>
      <c r="PBR466"/>
      <c r="PBS466"/>
      <c r="PBT466"/>
      <c r="PBU466"/>
      <c r="PBV466"/>
      <c r="PBW466"/>
      <c r="PBX466"/>
      <c r="PBY466"/>
      <c r="PBZ466"/>
      <c r="PCA466"/>
      <c r="PCB466"/>
      <c r="PCC466"/>
      <c r="PCD466"/>
      <c r="PCE466"/>
      <c r="PCF466"/>
      <c r="PCG466"/>
      <c r="PCH466"/>
      <c r="PCI466"/>
      <c r="PCJ466"/>
      <c r="PCK466"/>
      <c r="PCL466"/>
      <c r="PCM466"/>
      <c r="PCN466"/>
      <c r="PCO466"/>
      <c r="PCP466"/>
      <c r="PCQ466"/>
      <c r="PCR466"/>
      <c r="PCS466"/>
      <c r="PCT466"/>
      <c r="PCU466"/>
      <c r="PCV466"/>
      <c r="PCW466"/>
      <c r="PCX466"/>
      <c r="PCY466"/>
      <c r="PCZ466"/>
      <c r="PDA466"/>
      <c r="PDB466"/>
      <c r="PDC466"/>
      <c r="PDD466"/>
      <c r="PDE466"/>
      <c r="PDF466"/>
      <c r="PDG466"/>
      <c r="PDH466"/>
      <c r="PDI466"/>
      <c r="PDJ466"/>
      <c r="PDK466"/>
      <c r="PDL466"/>
      <c r="PDM466"/>
      <c r="PDN466"/>
      <c r="PDO466"/>
      <c r="PDP466"/>
      <c r="PDQ466"/>
      <c r="PDR466"/>
      <c r="PDS466"/>
      <c r="PDT466"/>
      <c r="PDU466"/>
      <c r="PDV466"/>
      <c r="PDW466"/>
      <c r="PDX466"/>
      <c r="PDY466"/>
      <c r="PDZ466"/>
      <c r="PEA466"/>
      <c r="PEB466"/>
      <c r="PEC466"/>
      <c r="PED466"/>
      <c r="PEE466"/>
      <c r="PEF466"/>
      <c r="PEG466"/>
      <c r="PEH466"/>
      <c r="PEI466"/>
      <c r="PEJ466"/>
      <c r="PEK466"/>
      <c r="PEL466"/>
      <c r="PEM466"/>
      <c r="PEN466"/>
      <c r="PEO466"/>
      <c r="PEP466"/>
      <c r="PEQ466"/>
      <c r="PER466"/>
      <c r="PES466"/>
      <c r="PET466"/>
      <c r="PEU466"/>
      <c r="PEV466"/>
      <c r="PEW466"/>
      <c r="PEX466"/>
      <c r="PEY466"/>
      <c r="PEZ466"/>
      <c r="PFA466"/>
      <c r="PFB466"/>
      <c r="PFC466"/>
      <c r="PFD466"/>
      <c r="PFE466"/>
      <c r="PFF466"/>
      <c r="PFG466"/>
      <c r="PFH466"/>
      <c r="PFI466"/>
      <c r="PFJ466"/>
      <c r="PFK466"/>
      <c r="PFL466"/>
      <c r="PFM466"/>
      <c r="PFN466"/>
      <c r="PFO466"/>
      <c r="PFP466"/>
      <c r="PFQ466"/>
      <c r="PFR466"/>
      <c r="PFS466"/>
      <c r="PFT466"/>
      <c r="PFU466"/>
      <c r="PFV466"/>
      <c r="PFW466"/>
      <c r="PFX466"/>
      <c r="PFY466"/>
      <c r="PFZ466"/>
      <c r="PGA466"/>
      <c r="PGB466"/>
      <c r="PGC466"/>
      <c r="PGD466"/>
      <c r="PGE466"/>
      <c r="PGF466"/>
      <c r="PGG466"/>
      <c r="PGH466"/>
      <c r="PGI466"/>
      <c r="PGJ466"/>
      <c r="PGK466"/>
      <c r="PGL466"/>
      <c r="PGM466"/>
      <c r="PGN466"/>
      <c r="PGO466"/>
      <c r="PGP466"/>
      <c r="PGQ466"/>
      <c r="PGR466"/>
      <c r="PGS466"/>
      <c r="PGT466"/>
      <c r="PGU466"/>
      <c r="PGV466"/>
      <c r="PGW466"/>
      <c r="PGX466"/>
      <c r="PGY466"/>
      <c r="PGZ466"/>
      <c r="PHA466"/>
      <c r="PHB466"/>
      <c r="PHC466"/>
      <c r="PHD466"/>
      <c r="PHE466"/>
      <c r="PHF466"/>
      <c r="PHG466"/>
      <c r="PHH466"/>
      <c r="PHI466"/>
      <c r="PHJ466"/>
      <c r="PHK466"/>
      <c r="PHL466"/>
      <c r="PHM466"/>
      <c r="PHN466"/>
      <c r="PHO466"/>
      <c r="PHP466"/>
      <c r="PHQ466"/>
      <c r="PHR466"/>
      <c r="PHS466"/>
      <c r="PHT466"/>
      <c r="PHU466"/>
      <c r="PHV466"/>
      <c r="PHW466"/>
      <c r="PHX466"/>
      <c r="PHY466"/>
      <c r="PHZ466"/>
      <c r="PIA466"/>
      <c r="PIB466"/>
      <c r="PIC466"/>
      <c r="PID466"/>
      <c r="PIE466"/>
      <c r="PIF466"/>
      <c r="PIG466"/>
      <c r="PIH466"/>
      <c r="PII466"/>
      <c r="PIJ466"/>
      <c r="PIK466"/>
      <c r="PIL466"/>
      <c r="PIM466"/>
      <c r="PIN466"/>
      <c r="PIO466"/>
      <c r="PIP466"/>
      <c r="PIQ466"/>
      <c r="PIR466"/>
      <c r="PIS466"/>
      <c r="PIT466"/>
      <c r="PIU466"/>
      <c r="PIV466"/>
      <c r="PIW466"/>
      <c r="PIX466"/>
      <c r="PIY466"/>
      <c r="PIZ466"/>
      <c r="PJA466"/>
      <c r="PJB466"/>
      <c r="PJC466"/>
      <c r="PJD466"/>
      <c r="PJE466"/>
      <c r="PJF466"/>
      <c r="PJG466"/>
      <c r="PJH466"/>
      <c r="PJI466"/>
      <c r="PJJ466"/>
      <c r="PJK466"/>
      <c r="PJL466"/>
      <c r="PJM466"/>
      <c r="PJN466"/>
      <c r="PJO466"/>
      <c r="PJP466"/>
      <c r="PJQ466"/>
      <c r="PJR466"/>
      <c r="PJS466"/>
      <c r="PJT466"/>
      <c r="PJU466"/>
      <c r="PJV466"/>
      <c r="PJW466"/>
      <c r="PJX466"/>
      <c r="PJY466"/>
      <c r="PJZ466"/>
      <c r="PKA466"/>
      <c r="PKB466"/>
      <c r="PKC466"/>
      <c r="PKD466"/>
      <c r="PKE466"/>
      <c r="PKF466"/>
      <c r="PKG466"/>
      <c r="PKH466"/>
      <c r="PKI466"/>
      <c r="PKJ466"/>
      <c r="PKK466"/>
      <c r="PKL466"/>
      <c r="PKM466"/>
      <c r="PKN466"/>
      <c r="PKO466"/>
      <c r="PKP466"/>
      <c r="PKQ466"/>
      <c r="PKR466"/>
      <c r="PKS466"/>
      <c r="PKT466"/>
      <c r="PKU466"/>
      <c r="PKV466"/>
      <c r="PKW466"/>
      <c r="PKX466"/>
      <c r="PKY466"/>
      <c r="PKZ466"/>
      <c r="PLA466"/>
      <c r="PLB466"/>
      <c r="PLC466"/>
      <c r="PLD466"/>
      <c r="PLE466"/>
      <c r="PLF466"/>
      <c r="PLG466"/>
      <c r="PLH466"/>
      <c r="PLI466"/>
      <c r="PLJ466"/>
      <c r="PLK466"/>
      <c r="PLL466"/>
      <c r="PLM466"/>
      <c r="PLN466"/>
      <c r="PLO466"/>
      <c r="PLP466"/>
      <c r="PLQ466"/>
      <c r="PLR466"/>
      <c r="PLS466"/>
      <c r="PLT466"/>
      <c r="PLU466"/>
      <c r="PLV466"/>
      <c r="PLW466"/>
      <c r="PLX466"/>
      <c r="PLY466"/>
      <c r="PLZ466"/>
      <c r="PMA466"/>
      <c r="PMB466"/>
      <c r="PMC466"/>
      <c r="PMD466"/>
      <c r="PME466"/>
      <c r="PMF466"/>
      <c r="PMG466"/>
      <c r="PMH466"/>
      <c r="PMI466"/>
      <c r="PMJ466"/>
      <c r="PMK466"/>
      <c r="PML466"/>
      <c r="PMM466"/>
      <c r="PMN466"/>
      <c r="PMO466"/>
      <c r="PMP466"/>
      <c r="PMQ466"/>
      <c r="PMR466"/>
      <c r="PMS466"/>
      <c r="PMT466"/>
      <c r="PMU466"/>
      <c r="PMV466"/>
      <c r="PMW466"/>
      <c r="PMX466"/>
      <c r="PMY466"/>
      <c r="PMZ466"/>
      <c r="PNA466"/>
      <c r="PNB466"/>
      <c r="PNC466"/>
      <c r="PND466"/>
      <c r="PNE466"/>
      <c r="PNF466"/>
      <c r="PNG466"/>
      <c r="PNH466"/>
      <c r="PNI466"/>
      <c r="PNJ466"/>
      <c r="PNK466"/>
      <c r="PNL466"/>
      <c r="PNM466"/>
      <c r="PNN466"/>
      <c r="PNO466"/>
      <c r="PNP466"/>
      <c r="PNQ466"/>
      <c r="PNR466"/>
      <c r="PNS466"/>
      <c r="PNT466"/>
      <c r="PNU466"/>
      <c r="PNV466"/>
      <c r="PNW466"/>
      <c r="PNX466"/>
      <c r="PNY466"/>
      <c r="PNZ466"/>
      <c r="POA466"/>
      <c r="POB466"/>
      <c r="POC466"/>
      <c r="POD466"/>
      <c r="POE466"/>
      <c r="POF466"/>
      <c r="POG466"/>
      <c r="POH466"/>
      <c r="POI466"/>
      <c r="POJ466"/>
      <c r="POK466"/>
      <c r="POL466"/>
      <c r="POM466"/>
      <c r="PON466"/>
      <c r="POO466"/>
      <c r="POP466"/>
      <c r="POQ466"/>
      <c r="POR466"/>
      <c r="POS466"/>
      <c r="POT466"/>
      <c r="POU466"/>
      <c r="POV466"/>
      <c r="POW466"/>
      <c r="POX466"/>
      <c r="POY466"/>
      <c r="POZ466"/>
      <c r="PPA466"/>
      <c r="PPB466"/>
      <c r="PPC466"/>
      <c r="PPD466"/>
      <c r="PPE466"/>
      <c r="PPF466"/>
      <c r="PPG466"/>
      <c r="PPH466"/>
      <c r="PPI466"/>
      <c r="PPJ466"/>
      <c r="PPK466"/>
      <c r="PPL466"/>
      <c r="PPM466"/>
      <c r="PPN466"/>
      <c r="PPO466"/>
      <c r="PPP466"/>
      <c r="PPQ466"/>
      <c r="PPR466"/>
      <c r="PPS466"/>
      <c r="PPT466"/>
      <c r="PPU466"/>
      <c r="PPV466"/>
      <c r="PPW466"/>
      <c r="PPX466"/>
      <c r="PPY466"/>
      <c r="PPZ466"/>
      <c r="PQA466"/>
      <c r="PQB466"/>
      <c r="PQC466"/>
      <c r="PQD466"/>
      <c r="PQE466"/>
      <c r="PQF466"/>
      <c r="PQG466"/>
      <c r="PQH466"/>
      <c r="PQI466"/>
      <c r="PQJ466"/>
      <c r="PQK466"/>
      <c r="PQL466"/>
      <c r="PQM466"/>
      <c r="PQN466"/>
      <c r="PQO466"/>
      <c r="PQP466"/>
      <c r="PQQ466"/>
      <c r="PQR466"/>
      <c r="PQS466"/>
      <c r="PQT466"/>
      <c r="PQU466"/>
      <c r="PQV466"/>
      <c r="PQW466"/>
      <c r="PQX466"/>
      <c r="PQY466"/>
      <c r="PQZ466"/>
      <c r="PRA466"/>
      <c r="PRB466"/>
      <c r="PRC466"/>
      <c r="PRD466"/>
      <c r="PRE466"/>
      <c r="PRF466"/>
      <c r="PRG466"/>
      <c r="PRH466"/>
      <c r="PRI466"/>
      <c r="PRJ466"/>
      <c r="PRK466"/>
      <c r="PRL466"/>
      <c r="PRM466"/>
      <c r="PRN466"/>
      <c r="PRO466"/>
      <c r="PRP466"/>
      <c r="PRQ466"/>
      <c r="PRR466"/>
      <c r="PRS466"/>
      <c r="PRT466"/>
      <c r="PRU466"/>
      <c r="PRV466"/>
      <c r="PRW466"/>
      <c r="PRX466"/>
      <c r="PRY466"/>
      <c r="PRZ466"/>
      <c r="PSA466"/>
      <c r="PSB466"/>
      <c r="PSC466"/>
      <c r="PSD466"/>
      <c r="PSE466"/>
      <c r="PSF466"/>
      <c r="PSG466"/>
      <c r="PSH466"/>
      <c r="PSI466"/>
      <c r="PSJ466"/>
      <c r="PSK466"/>
      <c r="PSL466"/>
      <c r="PSM466"/>
      <c r="PSN466"/>
      <c r="PSO466"/>
      <c r="PSP466"/>
      <c r="PSQ466"/>
      <c r="PSR466"/>
      <c r="PSS466"/>
      <c r="PST466"/>
      <c r="PSU466"/>
      <c r="PSV466"/>
      <c r="PSW466"/>
      <c r="PSX466"/>
      <c r="PSY466"/>
      <c r="PSZ466"/>
      <c r="PTA466"/>
      <c r="PTB466"/>
      <c r="PTC466"/>
      <c r="PTD466"/>
      <c r="PTE466"/>
      <c r="PTF466"/>
      <c r="PTG466"/>
      <c r="PTH466"/>
      <c r="PTI466"/>
      <c r="PTJ466"/>
      <c r="PTK466"/>
      <c r="PTL466"/>
      <c r="PTM466"/>
      <c r="PTN466"/>
      <c r="PTO466"/>
      <c r="PTP466"/>
      <c r="PTQ466"/>
      <c r="PTR466"/>
      <c r="PTS466"/>
      <c r="PTT466"/>
      <c r="PTU466"/>
      <c r="PTV466"/>
      <c r="PTW466"/>
      <c r="PTX466"/>
      <c r="PTY466"/>
      <c r="PTZ466"/>
      <c r="PUA466"/>
      <c r="PUB466"/>
      <c r="PUC466"/>
      <c r="PUD466"/>
      <c r="PUE466"/>
      <c r="PUF466"/>
      <c r="PUG466"/>
      <c r="PUH466"/>
      <c r="PUI466"/>
      <c r="PUJ466"/>
      <c r="PUK466"/>
      <c r="PUL466"/>
      <c r="PUM466"/>
      <c r="PUN466"/>
      <c r="PUO466"/>
      <c r="PUP466"/>
      <c r="PUQ466"/>
      <c r="PUR466"/>
      <c r="PUS466"/>
      <c r="PUT466"/>
      <c r="PUU466"/>
      <c r="PUV466"/>
      <c r="PUW466"/>
      <c r="PUX466"/>
      <c r="PUY466"/>
      <c r="PUZ466"/>
      <c r="PVA466"/>
      <c r="PVB466"/>
      <c r="PVC466"/>
      <c r="PVD466"/>
      <c r="PVE466"/>
      <c r="PVF466"/>
      <c r="PVG466"/>
      <c r="PVH466"/>
      <c r="PVI466"/>
      <c r="PVJ466"/>
      <c r="PVK466"/>
      <c r="PVL466"/>
      <c r="PVM466"/>
      <c r="PVN466"/>
      <c r="PVO466"/>
      <c r="PVP466"/>
      <c r="PVQ466"/>
      <c r="PVR466"/>
      <c r="PVS466"/>
      <c r="PVT466"/>
      <c r="PVU466"/>
      <c r="PVV466"/>
      <c r="PVW466"/>
      <c r="PVX466"/>
      <c r="PVY466"/>
      <c r="PVZ466"/>
      <c r="PWA466"/>
      <c r="PWB466"/>
      <c r="PWC466"/>
      <c r="PWD466"/>
      <c r="PWE466"/>
      <c r="PWF466"/>
      <c r="PWG466"/>
      <c r="PWH466"/>
      <c r="PWI466"/>
      <c r="PWJ466"/>
      <c r="PWK466"/>
      <c r="PWL466"/>
      <c r="PWM466"/>
      <c r="PWN466"/>
      <c r="PWO466"/>
      <c r="PWP466"/>
      <c r="PWQ466"/>
      <c r="PWR466"/>
      <c r="PWS466"/>
      <c r="PWT466"/>
      <c r="PWU466"/>
      <c r="PWV466"/>
      <c r="PWW466"/>
      <c r="PWX466"/>
      <c r="PWY466"/>
      <c r="PWZ466"/>
      <c r="PXA466"/>
      <c r="PXB466"/>
      <c r="PXC466"/>
      <c r="PXD466"/>
      <c r="PXE466"/>
      <c r="PXF466"/>
      <c r="PXG466"/>
      <c r="PXH466"/>
      <c r="PXI466"/>
      <c r="PXJ466"/>
      <c r="PXK466"/>
      <c r="PXL466"/>
      <c r="PXM466"/>
      <c r="PXN466"/>
      <c r="PXO466"/>
      <c r="PXP466"/>
      <c r="PXQ466"/>
      <c r="PXR466"/>
      <c r="PXS466"/>
      <c r="PXT466"/>
      <c r="PXU466"/>
      <c r="PXV466"/>
      <c r="PXW466"/>
      <c r="PXX466"/>
      <c r="PXY466"/>
      <c r="PXZ466"/>
      <c r="PYA466"/>
      <c r="PYB466"/>
      <c r="PYC466"/>
      <c r="PYD466"/>
      <c r="PYE466"/>
      <c r="PYF466"/>
      <c r="PYG466"/>
      <c r="PYH466"/>
      <c r="PYI466"/>
      <c r="PYJ466"/>
      <c r="PYK466"/>
      <c r="PYL466"/>
      <c r="PYM466"/>
      <c r="PYN466"/>
      <c r="PYO466"/>
      <c r="PYP466"/>
      <c r="PYQ466"/>
      <c r="PYR466"/>
      <c r="PYS466"/>
      <c r="PYT466"/>
      <c r="PYU466"/>
      <c r="PYV466"/>
      <c r="PYW466"/>
      <c r="PYX466"/>
      <c r="PYY466"/>
      <c r="PYZ466"/>
      <c r="PZA466"/>
      <c r="PZB466"/>
      <c r="PZC466"/>
      <c r="PZD466"/>
      <c r="PZE466"/>
      <c r="PZF466"/>
      <c r="PZG466"/>
      <c r="PZH466"/>
      <c r="PZI466"/>
      <c r="PZJ466"/>
      <c r="PZK466"/>
      <c r="PZL466"/>
      <c r="PZM466"/>
      <c r="PZN466"/>
      <c r="PZO466"/>
      <c r="PZP466"/>
      <c r="PZQ466"/>
      <c r="PZR466"/>
      <c r="PZS466"/>
      <c r="PZT466"/>
      <c r="PZU466"/>
      <c r="PZV466"/>
      <c r="PZW466"/>
      <c r="PZX466"/>
      <c r="PZY466"/>
      <c r="PZZ466"/>
      <c r="QAA466"/>
      <c r="QAB466"/>
      <c r="QAC466"/>
      <c r="QAD466"/>
      <c r="QAE466"/>
      <c r="QAF466"/>
      <c r="QAG466"/>
      <c r="QAH466"/>
      <c r="QAI466"/>
      <c r="QAJ466"/>
      <c r="QAK466"/>
      <c r="QAL466"/>
      <c r="QAM466"/>
      <c r="QAN466"/>
      <c r="QAO466"/>
      <c r="QAP466"/>
      <c r="QAQ466"/>
      <c r="QAR466"/>
      <c r="QAS466"/>
      <c r="QAT466"/>
      <c r="QAU466"/>
      <c r="QAV466"/>
      <c r="QAW466"/>
      <c r="QAX466"/>
      <c r="QAY466"/>
      <c r="QAZ466"/>
      <c r="QBA466"/>
      <c r="QBB466"/>
      <c r="QBC466"/>
      <c r="QBD466"/>
      <c r="QBE466"/>
      <c r="QBF466"/>
      <c r="QBG466"/>
      <c r="QBH466"/>
      <c r="QBI466"/>
      <c r="QBJ466"/>
      <c r="QBK466"/>
      <c r="QBL466"/>
      <c r="QBM466"/>
      <c r="QBN466"/>
      <c r="QBO466"/>
      <c r="QBP466"/>
      <c r="QBQ466"/>
      <c r="QBR466"/>
      <c r="QBS466"/>
      <c r="QBT466"/>
      <c r="QBU466"/>
      <c r="QBV466"/>
      <c r="QBW466"/>
      <c r="QBX466"/>
      <c r="QBY466"/>
      <c r="QBZ466"/>
      <c r="QCA466"/>
      <c r="QCB466"/>
      <c r="QCC466"/>
      <c r="QCD466"/>
      <c r="QCE466"/>
      <c r="QCF466"/>
      <c r="QCG466"/>
      <c r="QCH466"/>
      <c r="QCI466"/>
      <c r="QCJ466"/>
      <c r="QCK466"/>
      <c r="QCL466"/>
      <c r="QCM466"/>
      <c r="QCN466"/>
      <c r="QCO466"/>
      <c r="QCP466"/>
      <c r="QCQ466"/>
      <c r="QCR466"/>
      <c r="QCS466"/>
      <c r="QCT466"/>
      <c r="QCU466"/>
      <c r="QCV466"/>
      <c r="QCW466"/>
      <c r="QCX466"/>
      <c r="QCY466"/>
      <c r="QCZ466"/>
      <c r="QDA466"/>
      <c r="QDB466"/>
      <c r="QDC466"/>
      <c r="QDD466"/>
      <c r="QDE466"/>
      <c r="QDF466"/>
      <c r="QDG466"/>
      <c r="QDH466"/>
      <c r="QDI466"/>
      <c r="QDJ466"/>
      <c r="QDK466"/>
      <c r="QDL466"/>
      <c r="QDM466"/>
      <c r="QDN466"/>
      <c r="QDO466"/>
      <c r="QDP466"/>
      <c r="QDQ466"/>
      <c r="QDR466"/>
      <c r="QDS466"/>
      <c r="QDT466"/>
      <c r="QDU466"/>
      <c r="QDV466"/>
      <c r="QDW466"/>
      <c r="QDX466"/>
      <c r="QDY466"/>
      <c r="QDZ466"/>
      <c r="QEA466"/>
      <c r="QEB466"/>
      <c r="QEC466"/>
      <c r="QED466"/>
      <c r="QEE466"/>
      <c r="QEF466"/>
      <c r="QEG466"/>
      <c r="QEH466"/>
      <c r="QEI466"/>
      <c r="QEJ466"/>
      <c r="QEK466"/>
      <c r="QEL466"/>
      <c r="QEM466"/>
      <c r="QEN466"/>
      <c r="QEO466"/>
      <c r="QEP466"/>
      <c r="QEQ466"/>
      <c r="QER466"/>
      <c r="QES466"/>
      <c r="QET466"/>
      <c r="QEU466"/>
      <c r="QEV466"/>
      <c r="QEW466"/>
      <c r="QEX466"/>
      <c r="QEY466"/>
      <c r="QEZ466"/>
      <c r="QFA466"/>
      <c r="QFB466"/>
      <c r="QFC466"/>
      <c r="QFD466"/>
      <c r="QFE466"/>
      <c r="QFF466"/>
      <c r="QFG466"/>
      <c r="QFH466"/>
      <c r="QFI466"/>
      <c r="QFJ466"/>
      <c r="QFK466"/>
      <c r="QFL466"/>
      <c r="QFM466"/>
      <c r="QFN466"/>
      <c r="QFO466"/>
      <c r="QFP466"/>
      <c r="QFQ466"/>
      <c r="QFR466"/>
      <c r="QFS466"/>
      <c r="QFT466"/>
      <c r="QFU466"/>
      <c r="QFV466"/>
      <c r="QFW466"/>
      <c r="QFX466"/>
      <c r="QFY466"/>
      <c r="QFZ466"/>
      <c r="QGA466"/>
      <c r="QGB466"/>
      <c r="QGC466"/>
      <c r="QGD466"/>
      <c r="QGE466"/>
      <c r="QGF466"/>
      <c r="QGG466"/>
      <c r="QGH466"/>
      <c r="QGI466"/>
      <c r="QGJ466"/>
      <c r="QGK466"/>
      <c r="QGL466"/>
      <c r="QGM466"/>
      <c r="QGN466"/>
      <c r="QGO466"/>
      <c r="QGP466"/>
      <c r="QGQ466"/>
      <c r="QGR466"/>
      <c r="QGS466"/>
      <c r="QGT466"/>
      <c r="QGU466"/>
      <c r="QGV466"/>
      <c r="QGW466"/>
      <c r="QGX466"/>
      <c r="QGY466"/>
      <c r="QGZ466"/>
      <c r="QHA466"/>
      <c r="QHB466"/>
      <c r="QHC466"/>
      <c r="QHD466"/>
      <c r="QHE466"/>
      <c r="QHF466"/>
      <c r="QHG466"/>
      <c r="QHH466"/>
      <c r="QHI466"/>
      <c r="QHJ466"/>
      <c r="QHK466"/>
      <c r="QHL466"/>
      <c r="QHM466"/>
      <c r="QHN466"/>
      <c r="QHO466"/>
      <c r="QHP466"/>
      <c r="QHQ466"/>
      <c r="QHR466"/>
      <c r="QHS466"/>
      <c r="QHT466"/>
      <c r="QHU466"/>
      <c r="QHV466"/>
      <c r="QHW466"/>
      <c r="QHX466"/>
      <c r="QHY466"/>
      <c r="QHZ466"/>
      <c r="QIA466"/>
      <c r="QIB466"/>
      <c r="QIC466"/>
      <c r="QID466"/>
      <c r="QIE466"/>
      <c r="QIF466"/>
      <c r="QIG466"/>
      <c r="QIH466"/>
      <c r="QII466"/>
      <c r="QIJ466"/>
      <c r="QIK466"/>
      <c r="QIL466"/>
      <c r="QIM466"/>
      <c r="QIN466"/>
      <c r="QIO466"/>
      <c r="QIP466"/>
      <c r="QIQ466"/>
      <c r="QIR466"/>
      <c r="QIS466"/>
      <c r="QIT466"/>
      <c r="QIU466"/>
      <c r="QIV466"/>
      <c r="QIW466"/>
      <c r="QIX466"/>
      <c r="QIY466"/>
      <c r="QIZ466"/>
      <c r="QJA466"/>
      <c r="QJB466"/>
      <c r="QJC466"/>
      <c r="QJD466"/>
      <c r="QJE466"/>
      <c r="QJF466"/>
      <c r="QJG466"/>
      <c r="QJH466"/>
      <c r="QJI466"/>
      <c r="QJJ466"/>
      <c r="QJK466"/>
      <c r="QJL466"/>
      <c r="QJM466"/>
      <c r="QJN466"/>
      <c r="QJO466"/>
      <c r="QJP466"/>
      <c r="QJQ466"/>
      <c r="QJR466"/>
      <c r="QJS466"/>
      <c r="QJT466"/>
      <c r="QJU466"/>
      <c r="QJV466"/>
      <c r="QJW466"/>
      <c r="QJX466"/>
      <c r="QJY466"/>
      <c r="QJZ466"/>
      <c r="QKA466"/>
      <c r="QKB466"/>
      <c r="QKC466"/>
      <c r="QKD466"/>
      <c r="QKE466"/>
      <c r="QKF466"/>
      <c r="QKG466"/>
      <c r="QKH466"/>
      <c r="QKI466"/>
      <c r="QKJ466"/>
      <c r="QKK466"/>
      <c r="QKL466"/>
      <c r="QKM466"/>
      <c r="QKN466"/>
      <c r="QKO466"/>
      <c r="QKP466"/>
      <c r="QKQ466"/>
      <c r="QKR466"/>
      <c r="QKS466"/>
      <c r="QKT466"/>
      <c r="QKU466"/>
      <c r="QKV466"/>
      <c r="QKW466"/>
      <c r="QKX466"/>
      <c r="QKY466"/>
      <c r="QKZ466"/>
      <c r="QLA466"/>
      <c r="QLB466"/>
      <c r="QLC466"/>
      <c r="QLD466"/>
      <c r="QLE466"/>
      <c r="QLF466"/>
      <c r="QLG466"/>
      <c r="QLH466"/>
      <c r="QLI466"/>
      <c r="QLJ466"/>
      <c r="QLK466"/>
      <c r="QLL466"/>
      <c r="QLM466"/>
      <c r="QLN466"/>
      <c r="QLO466"/>
      <c r="QLP466"/>
      <c r="QLQ466"/>
      <c r="QLR466"/>
      <c r="QLS466"/>
      <c r="QLT466"/>
      <c r="QLU466"/>
      <c r="QLV466"/>
      <c r="QLW466"/>
      <c r="QLX466"/>
      <c r="QLY466"/>
      <c r="QLZ466"/>
      <c r="QMA466"/>
      <c r="QMB466"/>
      <c r="QMC466"/>
      <c r="QMD466"/>
      <c r="QME466"/>
      <c r="QMF466"/>
      <c r="QMG466"/>
      <c r="QMH466"/>
      <c r="QMI466"/>
      <c r="QMJ466"/>
      <c r="QMK466"/>
      <c r="QML466"/>
      <c r="QMM466"/>
      <c r="QMN466"/>
      <c r="QMO466"/>
      <c r="QMP466"/>
      <c r="QMQ466"/>
      <c r="QMR466"/>
      <c r="QMS466"/>
      <c r="QMT466"/>
      <c r="QMU466"/>
      <c r="QMV466"/>
      <c r="QMW466"/>
      <c r="QMX466"/>
      <c r="QMY466"/>
      <c r="QMZ466"/>
      <c r="QNA466"/>
      <c r="QNB466"/>
      <c r="QNC466"/>
      <c r="QND466"/>
      <c r="QNE466"/>
      <c r="QNF466"/>
      <c r="QNG466"/>
      <c r="QNH466"/>
      <c r="QNI466"/>
      <c r="QNJ466"/>
      <c r="QNK466"/>
      <c r="QNL466"/>
      <c r="QNM466"/>
      <c r="QNN466"/>
      <c r="QNO466"/>
      <c r="QNP466"/>
      <c r="QNQ466"/>
      <c r="QNR466"/>
      <c r="QNS466"/>
      <c r="QNT466"/>
      <c r="QNU466"/>
      <c r="QNV466"/>
      <c r="QNW466"/>
      <c r="QNX466"/>
      <c r="QNY466"/>
      <c r="QNZ466"/>
      <c r="QOA466"/>
      <c r="QOB466"/>
      <c r="QOC466"/>
      <c r="QOD466"/>
      <c r="QOE466"/>
      <c r="QOF466"/>
      <c r="QOG466"/>
      <c r="QOH466"/>
      <c r="QOI466"/>
      <c r="QOJ466"/>
      <c r="QOK466"/>
      <c r="QOL466"/>
      <c r="QOM466"/>
      <c r="QON466"/>
      <c r="QOO466"/>
      <c r="QOP466"/>
      <c r="QOQ466"/>
      <c r="QOR466"/>
      <c r="QOS466"/>
      <c r="QOT466"/>
      <c r="QOU466"/>
      <c r="QOV466"/>
      <c r="QOW466"/>
      <c r="QOX466"/>
      <c r="QOY466"/>
      <c r="QOZ466"/>
      <c r="QPA466"/>
      <c r="QPB466"/>
      <c r="QPC466"/>
      <c r="QPD466"/>
      <c r="QPE466"/>
      <c r="QPF466"/>
      <c r="QPG466"/>
      <c r="QPH466"/>
      <c r="QPI466"/>
      <c r="QPJ466"/>
      <c r="QPK466"/>
      <c r="QPL466"/>
      <c r="QPM466"/>
      <c r="QPN466"/>
      <c r="QPO466"/>
      <c r="QPP466"/>
      <c r="QPQ466"/>
      <c r="QPR466"/>
      <c r="QPS466"/>
      <c r="QPT466"/>
      <c r="QPU466"/>
      <c r="QPV466"/>
      <c r="QPW466"/>
      <c r="QPX466"/>
      <c r="QPY466"/>
      <c r="QPZ466"/>
      <c r="QQA466"/>
      <c r="QQB466"/>
      <c r="QQC466"/>
      <c r="QQD466"/>
      <c r="QQE466"/>
      <c r="QQF466"/>
      <c r="QQG466"/>
      <c r="QQH466"/>
      <c r="QQI466"/>
      <c r="QQJ466"/>
      <c r="QQK466"/>
      <c r="QQL466"/>
      <c r="QQM466"/>
      <c r="QQN466"/>
      <c r="QQO466"/>
      <c r="QQP466"/>
      <c r="QQQ466"/>
      <c r="QQR466"/>
      <c r="QQS466"/>
      <c r="QQT466"/>
      <c r="QQU466"/>
      <c r="QQV466"/>
      <c r="QQW466"/>
      <c r="QQX466"/>
      <c r="QQY466"/>
      <c r="QQZ466"/>
      <c r="QRA466"/>
      <c r="QRB466"/>
      <c r="QRC466"/>
      <c r="QRD466"/>
      <c r="QRE466"/>
      <c r="QRF466"/>
      <c r="QRG466"/>
      <c r="QRH466"/>
      <c r="QRI466"/>
      <c r="QRJ466"/>
      <c r="QRK466"/>
      <c r="QRL466"/>
      <c r="QRM466"/>
      <c r="QRN466"/>
      <c r="QRO466"/>
      <c r="QRP466"/>
      <c r="QRQ466"/>
      <c r="QRR466"/>
      <c r="QRS466"/>
      <c r="QRT466"/>
      <c r="QRU466"/>
      <c r="QRV466"/>
      <c r="QRW466"/>
      <c r="QRX466"/>
      <c r="QRY466"/>
      <c r="QRZ466"/>
      <c r="QSA466"/>
      <c r="QSB466"/>
      <c r="QSC466"/>
      <c r="QSD466"/>
      <c r="QSE466"/>
      <c r="QSF466"/>
      <c r="QSG466"/>
      <c r="QSH466"/>
      <c r="QSI466"/>
      <c r="QSJ466"/>
      <c r="QSK466"/>
      <c r="QSL466"/>
      <c r="QSM466"/>
      <c r="QSN466"/>
      <c r="QSO466"/>
      <c r="QSP466"/>
      <c r="QSQ466"/>
      <c r="QSR466"/>
      <c r="QSS466"/>
      <c r="QST466"/>
      <c r="QSU466"/>
      <c r="QSV466"/>
      <c r="QSW466"/>
      <c r="QSX466"/>
      <c r="QSY466"/>
      <c r="QSZ466"/>
      <c r="QTA466"/>
      <c r="QTB466"/>
      <c r="QTC466"/>
      <c r="QTD466"/>
      <c r="QTE466"/>
      <c r="QTF466"/>
      <c r="QTG466"/>
      <c r="QTH466"/>
      <c r="QTI466"/>
      <c r="QTJ466"/>
      <c r="QTK466"/>
      <c r="QTL466"/>
      <c r="QTM466"/>
      <c r="QTN466"/>
      <c r="QTO466"/>
      <c r="QTP466"/>
      <c r="QTQ466"/>
      <c r="QTR466"/>
      <c r="QTS466"/>
      <c r="QTT466"/>
      <c r="QTU466"/>
      <c r="QTV466"/>
      <c r="QTW466"/>
      <c r="QTX466"/>
      <c r="QTY466"/>
      <c r="QTZ466"/>
      <c r="QUA466"/>
      <c r="QUB466"/>
      <c r="QUC466"/>
      <c r="QUD466"/>
      <c r="QUE466"/>
      <c r="QUF466"/>
      <c r="QUG466"/>
      <c r="QUH466"/>
      <c r="QUI466"/>
      <c r="QUJ466"/>
      <c r="QUK466"/>
      <c r="QUL466"/>
      <c r="QUM466"/>
      <c r="QUN466"/>
      <c r="QUO466"/>
      <c r="QUP466"/>
      <c r="QUQ466"/>
      <c r="QUR466"/>
      <c r="QUS466"/>
      <c r="QUT466"/>
      <c r="QUU466"/>
      <c r="QUV466"/>
      <c r="QUW466"/>
      <c r="QUX466"/>
      <c r="QUY466"/>
      <c r="QUZ466"/>
      <c r="QVA466"/>
      <c r="QVB466"/>
      <c r="QVC466"/>
      <c r="QVD466"/>
      <c r="QVE466"/>
      <c r="QVF466"/>
      <c r="QVG466"/>
      <c r="QVH466"/>
      <c r="QVI466"/>
      <c r="QVJ466"/>
      <c r="QVK466"/>
      <c r="QVL466"/>
      <c r="QVM466"/>
      <c r="QVN466"/>
      <c r="QVO466"/>
      <c r="QVP466"/>
      <c r="QVQ466"/>
      <c r="QVR466"/>
      <c r="QVS466"/>
      <c r="QVT466"/>
      <c r="QVU466"/>
      <c r="QVV466"/>
      <c r="QVW466"/>
      <c r="QVX466"/>
      <c r="QVY466"/>
      <c r="QVZ466"/>
      <c r="QWA466"/>
      <c r="QWB466"/>
      <c r="QWC466"/>
      <c r="QWD466"/>
      <c r="QWE466"/>
      <c r="QWF466"/>
      <c r="QWG466"/>
      <c r="QWH466"/>
      <c r="QWI466"/>
      <c r="QWJ466"/>
      <c r="QWK466"/>
      <c r="QWL466"/>
      <c r="QWM466"/>
      <c r="QWN466"/>
      <c r="QWO466"/>
      <c r="QWP466"/>
      <c r="QWQ466"/>
      <c r="QWR466"/>
      <c r="QWS466"/>
      <c r="QWT466"/>
      <c r="QWU466"/>
      <c r="QWV466"/>
      <c r="QWW466"/>
      <c r="QWX466"/>
      <c r="QWY466"/>
      <c r="QWZ466"/>
      <c r="QXA466"/>
      <c r="QXB466"/>
      <c r="QXC466"/>
      <c r="QXD466"/>
      <c r="QXE466"/>
      <c r="QXF466"/>
      <c r="QXG466"/>
      <c r="QXH466"/>
      <c r="QXI466"/>
      <c r="QXJ466"/>
      <c r="QXK466"/>
      <c r="QXL466"/>
      <c r="QXM466"/>
      <c r="QXN466"/>
      <c r="QXO466"/>
      <c r="QXP466"/>
      <c r="QXQ466"/>
      <c r="QXR466"/>
      <c r="QXS466"/>
      <c r="QXT466"/>
      <c r="QXU466"/>
      <c r="QXV466"/>
      <c r="QXW466"/>
      <c r="QXX466"/>
      <c r="QXY466"/>
      <c r="QXZ466"/>
      <c r="QYA466"/>
      <c r="QYB466"/>
      <c r="QYC466"/>
      <c r="QYD466"/>
      <c r="QYE466"/>
      <c r="QYF466"/>
      <c r="QYG466"/>
      <c r="QYH466"/>
      <c r="QYI466"/>
      <c r="QYJ466"/>
      <c r="QYK466"/>
      <c r="QYL466"/>
      <c r="QYM466"/>
      <c r="QYN466"/>
      <c r="QYO466"/>
      <c r="QYP466"/>
      <c r="QYQ466"/>
      <c r="QYR466"/>
      <c r="QYS466"/>
      <c r="QYT466"/>
      <c r="QYU466"/>
      <c r="QYV466"/>
      <c r="QYW466"/>
      <c r="QYX466"/>
      <c r="QYY466"/>
      <c r="QYZ466"/>
      <c r="QZA466"/>
      <c r="QZB466"/>
      <c r="QZC466"/>
      <c r="QZD466"/>
      <c r="QZE466"/>
      <c r="QZF466"/>
      <c r="QZG466"/>
      <c r="QZH466"/>
      <c r="QZI466"/>
      <c r="QZJ466"/>
      <c r="QZK466"/>
      <c r="QZL466"/>
      <c r="QZM466"/>
      <c r="QZN466"/>
      <c r="QZO466"/>
      <c r="QZP466"/>
      <c r="QZQ466"/>
      <c r="QZR466"/>
      <c r="QZS466"/>
      <c r="QZT466"/>
      <c r="QZU466"/>
      <c r="QZV466"/>
      <c r="QZW466"/>
      <c r="QZX466"/>
      <c r="QZY466"/>
      <c r="QZZ466"/>
      <c r="RAA466"/>
      <c r="RAB466"/>
      <c r="RAC466"/>
      <c r="RAD466"/>
      <c r="RAE466"/>
      <c r="RAF466"/>
      <c r="RAG466"/>
      <c r="RAH466"/>
      <c r="RAI466"/>
      <c r="RAJ466"/>
      <c r="RAK466"/>
      <c r="RAL466"/>
      <c r="RAM466"/>
      <c r="RAN466"/>
      <c r="RAO466"/>
      <c r="RAP466"/>
      <c r="RAQ466"/>
      <c r="RAR466"/>
      <c r="RAS466"/>
      <c r="RAT466"/>
      <c r="RAU466"/>
      <c r="RAV466"/>
      <c r="RAW466"/>
      <c r="RAX466"/>
      <c r="RAY466"/>
      <c r="RAZ466"/>
      <c r="RBA466"/>
      <c r="RBB466"/>
      <c r="RBC466"/>
      <c r="RBD466"/>
      <c r="RBE466"/>
      <c r="RBF466"/>
      <c r="RBG466"/>
      <c r="RBH466"/>
      <c r="RBI466"/>
      <c r="RBJ466"/>
      <c r="RBK466"/>
      <c r="RBL466"/>
      <c r="RBM466"/>
      <c r="RBN466"/>
      <c r="RBO466"/>
      <c r="RBP466"/>
      <c r="RBQ466"/>
      <c r="RBR466"/>
      <c r="RBS466"/>
      <c r="RBT466"/>
      <c r="RBU466"/>
      <c r="RBV466"/>
      <c r="RBW466"/>
      <c r="RBX466"/>
      <c r="RBY466"/>
      <c r="RBZ466"/>
      <c r="RCA466"/>
      <c r="RCB466"/>
      <c r="RCC466"/>
      <c r="RCD466"/>
      <c r="RCE466"/>
      <c r="RCF466"/>
      <c r="RCG466"/>
      <c r="RCH466"/>
      <c r="RCI466"/>
      <c r="RCJ466"/>
      <c r="RCK466"/>
      <c r="RCL466"/>
      <c r="RCM466"/>
      <c r="RCN466"/>
      <c r="RCO466"/>
      <c r="RCP466"/>
      <c r="RCQ466"/>
      <c r="RCR466"/>
      <c r="RCS466"/>
      <c r="RCT466"/>
      <c r="RCU466"/>
      <c r="RCV466"/>
      <c r="RCW466"/>
      <c r="RCX466"/>
      <c r="RCY466"/>
      <c r="RCZ466"/>
      <c r="RDA466"/>
      <c r="RDB466"/>
      <c r="RDC466"/>
      <c r="RDD466"/>
      <c r="RDE466"/>
      <c r="RDF466"/>
      <c r="RDG466"/>
      <c r="RDH466"/>
      <c r="RDI466"/>
      <c r="RDJ466"/>
      <c r="RDK466"/>
      <c r="RDL466"/>
      <c r="RDM466"/>
      <c r="RDN466"/>
      <c r="RDO466"/>
      <c r="RDP466"/>
      <c r="RDQ466"/>
      <c r="RDR466"/>
      <c r="RDS466"/>
      <c r="RDT466"/>
      <c r="RDU466"/>
      <c r="RDV466"/>
      <c r="RDW466"/>
      <c r="RDX466"/>
      <c r="RDY466"/>
      <c r="RDZ466"/>
      <c r="REA466"/>
      <c r="REB466"/>
      <c r="REC466"/>
      <c r="RED466"/>
      <c r="REE466"/>
      <c r="REF466"/>
      <c r="REG466"/>
      <c r="REH466"/>
      <c r="REI466"/>
      <c r="REJ466"/>
      <c r="REK466"/>
      <c r="REL466"/>
      <c r="REM466"/>
      <c r="REN466"/>
      <c r="REO466"/>
      <c r="REP466"/>
      <c r="REQ466"/>
      <c r="RER466"/>
      <c r="RES466"/>
      <c r="RET466"/>
      <c r="REU466"/>
      <c r="REV466"/>
      <c r="REW466"/>
      <c r="REX466"/>
      <c r="REY466"/>
      <c r="REZ466"/>
      <c r="RFA466"/>
      <c r="RFB466"/>
      <c r="RFC466"/>
      <c r="RFD466"/>
      <c r="RFE466"/>
      <c r="RFF466"/>
      <c r="RFG466"/>
      <c r="RFH466"/>
      <c r="RFI466"/>
      <c r="RFJ466"/>
      <c r="RFK466"/>
      <c r="RFL466"/>
      <c r="RFM466"/>
      <c r="RFN466"/>
      <c r="RFO466"/>
      <c r="RFP466"/>
      <c r="RFQ466"/>
      <c r="RFR466"/>
      <c r="RFS466"/>
      <c r="RFT466"/>
      <c r="RFU466"/>
      <c r="RFV466"/>
      <c r="RFW466"/>
      <c r="RFX466"/>
      <c r="RFY466"/>
      <c r="RFZ466"/>
      <c r="RGA466"/>
      <c r="RGB466"/>
      <c r="RGC466"/>
      <c r="RGD466"/>
      <c r="RGE466"/>
      <c r="RGF466"/>
      <c r="RGG466"/>
      <c r="RGH466"/>
      <c r="RGI466"/>
      <c r="RGJ466"/>
      <c r="RGK466"/>
      <c r="RGL466"/>
      <c r="RGM466"/>
      <c r="RGN466"/>
      <c r="RGO466"/>
      <c r="RGP466"/>
      <c r="RGQ466"/>
      <c r="RGR466"/>
      <c r="RGS466"/>
      <c r="RGT466"/>
      <c r="RGU466"/>
      <c r="RGV466"/>
      <c r="RGW466"/>
      <c r="RGX466"/>
      <c r="RGY466"/>
      <c r="RGZ466"/>
      <c r="RHA466"/>
      <c r="RHB466"/>
      <c r="RHC466"/>
      <c r="RHD466"/>
      <c r="RHE466"/>
      <c r="RHF466"/>
      <c r="RHG466"/>
      <c r="RHH466"/>
      <c r="RHI466"/>
      <c r="RHJ466"/>
      <c r="RHK466"/>
      <c r="RHL466"/>
      <c r="RHM466"/>
      <c r="RHN466"/>
      <c r="RHO466"/>
      <c r="RHP466"/>
      <c r="RHQ466"/>
      <c r="RHR466"/>
      <c r="RHS466"/>
      <c r="RHT466"/>
      <c r="RHU466"/>
      <c r="RHV466"/>
      <c r="RHW466"/>
      <c r="RHX466"/>
      <c r="RHY466"/>
      <c r="RHZ466"/>
      <c r="RIA466"/>
      <c r="RIB466"/>
      <c r="RIC466"/>
      <c r="RID466"/>
      <c r="RIE466"/>
      <c r="RIF466"/>
      <c r="RIG466"/>
      <c r="RIH466"/>
      <c r="RII466"/>
      <c r="RIJ466"/>
      <c r="RIK466"/>
      <c r="RIL466"/>
      <c r="RIM466"/>
      <c r="RIN466"/>
      <c r="RIO466"/>
      <c r="RIP466"/>
      <c r="RIQ466"/>
      <c r="RIR466"/>
      <c r="RIS466"/>
      <c r="RIT466"/>
      <c r="RIU466"/>
      <c r="RIV466"/>
      <c r="RIW466"/>
      <c r="RIX466"/>
      <c r="RIY466"/>
      <c r="RIZ466"/>
      <c r="RJA466"/>
      <c r="RJB466"/>
      <c r="RJC466"/>
      <c r="RJD466"/>
      <c r="RJE466"/>
      <c r="RJF466"/>
      <c r="RJG466"/>
      <c r="RJH466"/>
      <c r="RJI466"/>
      <c r="RJJ466"/>
      <c r="RJK466"/>
      <c r="RJL466"/>
      <c r="RJM466"/>
      <c r="RJN466"/>
      <c r="RJO466"/>
      <c r="RJP466"/>
      <c r="RJQ466"/>
      <c r="RJR466"/>
      <c r="RJS466"/>
      <c r="RJT466"/>
      <c r="RJU466"/>
      <c r="RJV466"/>
      <c r="RJW466"/>
      <c r="RJX466"/>
      <c r="RJY466"/>
      <c r="RJZ466"/>
      <c r="RKA466"/>
      <c r="RKB466"/>
      <c r="RKC466"/>
      <c r="RKD466"/>
      <c r="RKE466"/>
      <c r="RKF466"/>
      <c r="RKG466"/>
      <c r="RKH466"/>
      <c r="RKI466"/>
      <c r="RKJ466"/>
      <c r="RKK466"/>
      <c r="RKL466"/>
      <c r="RKM466"/>
      <c r="RKN466"/>
      <c r="RKO466"/>
      <c r="RKP466"/>
      <c r="RKQ466"/>
      <c r="RKR466"/>
      <c r="RKS466"/>
      <c r="RKT466"/>
      <c r="RKU466"/>
      <c r="RKV466"/>
      <c r="RKW466"/>
      <c r="RKX466"/>
      <c r="RKY466"/>
      <c r="RKZ466"/>
      <c r="RLA466"/>
      <c r="RLB466"/>
      <c r="RLC466"/>
      <c r="RLD466"/>
      <c r="RLE466"/>
      <c r="RLF466"/>
      <c r="RLG466"/>
      <c r="RLH466"/>
      <c r="RLI466"/>
      <c r="RLJ466"/>
      <c r="RLK466"/>
      <c r="RLL466"/>
      <c r="RLM466"/>
      <c r="RLN466"/>
      <c r="RLO466"/>
      <c r="RLP466"/>
      <c r="RLQ466"/>
      <c r="RLR466"/>
      <c r="RLS466"/>
      <c r="RLT466"/>
      <c r="RLU466"/>
      <c r="RLV466"/>
      <c r="RLW466"/>
      <c r="RLX466"/>
      <c r="RLY466"/>
      <c r="RLZ466"/>
      <c r="RMA466"/>
      <c r="RMB466"/>
      <c r="RMC466"/>
      <c r="RMD466"/>
      <c r="RME466"/>
      <c r="RMF466"/>
      <c r="RMG466"/>
      <c r="RMH466"/>
      <c r="RMI466"/>
      <c r="RMJ466"/>
      <c r="RMK466"/>
      <c r="RML466"/>
      <c r="RMM466"/>
      <c r="RMN466"/>
      <c r="RMO466"/>
      <c r="RMP466"/>
      <c r="RMQ466"/>
      <c r="RMR466"/>
      <c r="RMS466"/>
      <c r="RMT466"/>
      <c r="RMU466"/>
      <c r="RMV466"/>
      <c r="RMW466"/>
      <c r="RMX466"/>
      <c r="RMY466"/>
      <c r="RMZ466"/>
      <c r="RNA466"/>
      <c r="RNB466"/>
      <c r="RNC466"/>
      <c r="RND466"/>
      <c r="RNE466"/>
      <c r="RNF466"/>
      <c r="RNG466"/>
      <c r="RNH466"/>
      <c r="RNI466"/>
      <c r="RNJ466"/>
      <c r="RNK466"/>
      <c r="RNL466"/>
      <c r="RNM466"/>
      <c r="RNN466"/>
      <c r="RNO466"/>
      <c r="RNP466"/>
      <c r="RNQ466"/>
      <c r="RNR466"/>
      <c r="RNS466"/>
      <c r="RNT466"/>
      <c r="RNU466"/>
      <c r="RNV466"/>
      <c r="RNW466"/>
      <c r="RNX466"/>
      <c r="RNY466"/>
      <c r="RNZ466"/>
      <c r="ROA466"/>
      <c r="ROB466"/>
      <c r="ROC466"/>
      <c r="ROD466"/>
      <c r="ROE466"/>
      <c r="ROF466"/>
      <c r="ROG466"/>
      <c r="ROH466"/>
      <c r="ROI466"/>
      <c r="ROJ466"/>
      <c r="ROK466"/>
      <c r="ROL466"/>
      <c r="ROM466"/>
      <c r="RON466"/>
      <c r="ROO466"/>
      <c r="ROP466"/>
      <c r="ROQ466"/>
      <c r="ROR466"/>
      <c r="ROS466"/>
      <c r="ROT466"/>
      <c r="ROU466"/>
      <c r="ROV466"/>
      <c r="ROW466"/>
      <c r="ROX466"/>
      <c r="ROY466"/>
      <c r="ROZ466"/>
      <c r="RPA466"/>
      <c r="RPB466"/>
      <c r="RPC466"/>
      <c r="RPD466"/>
      <c r="RPE466"/>
      <c r="RPF466"/>
      <c r="RPG466"/>
      <c r="RPH466"/>
      <c r="RPI466"/>
      <c r="RPJ466"/>
      <c r="RPK466"/>
      <c r="RPL466"/>
      <c r="RPM466"/>
      <c r="RPN466"/>
      <c r="RPO466"/>
      <c r="RPP466"/>
      <c r="RPQ466"/>
      <c r="RPR466"/>
      <c r="RPS466"/>
      <c r="RPT466"/>
      <c r="RPU466"/>
      <c r="RPV466"/>
      <c r="RPW466"/>
      <c r="RPX466"/>
      <c r="RPY466"/>
      <c r="RPZ466"/>
      <c r="RQA466"/>
      <c r="RQB466"/>
      <c r="RQC466"/>
      <c r="RQD466"/>
      <c r="RQE466"/>
      <c r="RQF466"/>
      <c r="RQG466"/>
      <c r="RQH466"/>
      <c r="RQI466"/>
      <c r="RQJ466"/>
      <c r="RQK466"/>
      <c r="RQL466"/>
      <c r="RQM466"/>
      <c r="RQN466"/>
      <c r="RQO466"/>
      <c r="RQP466"/>
      <c r="RQQ466"/>
      <c r="RQR466"/>
      <c r="RQS466"/>
      <c r="RQT466"/>
      <c r="RQU466"/>
      <c r="RQV466"/>
      <c r="RQW466"/>
      <c r="RQX466"/>
      <c r="RQY466"/>
      <c r="RQZ466"/>
      <c r="RRA466"/>
      <c r="RRB466"/>
      <c r="RRC466"/>
      <c r="RRD466"/>
      <c r="RRE466"/>
      <c r="RRF466"/>
      <c r="RRG466"/>
      <c r="RRH466"/>
      <c r="RRI466"/>
      <c r="RRJ466"/>
      <c r="RRK466"/>
      <c r="RRL466"/>
      <c r="RRM466"/>
      <c r="RRN466"/>
      <c r="RRO466"/>
      <c r="RRP466"/>
      <c r="RRQ466"/>
      <c r="RRR466"/>
      <c r="RRS466"/>
      <c r="RRT466"/>
      <c r="RRU466"/>
      <c r="RRV466"/>
      <c r="RRW466"/>
      <c r="RRX466"/>
      <c r="RRY466"/>
      <c r="RRZ466"/>
      <c r="RSA466"/>
      <c r="RSB466"/>
      <c r="RSC466"/>
      <c r="RSD466"/>
      <c r="RSE466"/>
      <c r="RSF466"/>
      <c r="RSG466"/>
      <c r="RSH466"/>
      <c r="RSI466"/>
      <c r="RSJ466"/>
      <c r="RSK466"/>
      <c r="RSL466"/>
      <c r="RSM466"/>
      <c r="RSN466"/>
      <c r="RSO466"/>
      <c r="RSP466"/>
      <c r="RSQ466"/>
      <c r="RSR466"/>
      <c r="RSS466"/>
      <c r="RST466"/>
      <c r="RSU466"/>
      <c r="RSV466"/>
      <c r="RSW466"/>
      <c r="RSX466"/>
      <c r="RSY466"/>
      <c r="RSZ466"/>
      <c r="RTA466"/>
      <c r="RTB466"/>
      <c r="RTC466"/>
      <c r="RTD466"/>
      <c r="RTE466"/>
      <c r="RTF466"/>
      <c r="RTG466"/>
      <c r="RTH466"/>
      <c r="RTI466"/>
      <c r="RTJ466"/>
      <c r="RTK466"/>
      <c r="RTL466"/>
      <c r="RTM466"/>
      <c r="RTN466"/>
      <c r="RTO466"/>
      <c r="RTP466"/>
      <c r="RTQ466"/>
      <c r="RTR466"/>
      <c r="RTS466"/>
      <c r="RTT466"/>
      <c r="RTU466"/>
      <c r="RTV466"/>
      <c r="RTW466"/>
      <c r="RTX466"/>
      <c r="RTY466"/>
      <c r="RTZ466"/>
      <c r="RUA466"/>
      <c r="RUB466"/>
      <c r="RUC466"/>
      <c r="RUD466"/>
      <c r="RUE466"/>
      <c r="RUF466"/>
      <c r="RUG466"/>
      <c r="RUH466"/>
      <c r="RUI466"/>
      <c r="RUJ466"/>
      <c r="RUK466"/>
      <c r="RUL466"/>
      <c r="RUM466"/>
      <c r="RUN466"/>
      <c r="RUO466"/>
      <c r="RUP466"/>
      <c r="RUQ466"/>
      <c r="RUR466"/>
      <c r="RUS466"/>
      <c r="RUT466"/>
      <c r="RUU466"/>
      <c r="RUV466"/>
      <c r="RUW466"/>
      <c r="RUX466"/>
      <c r="RUY466"/>
      <c r="RUZ466"/>
      <c r="RVA466"/>
      <c r="RVB466"/>
      <c r="RVC466"/>
      <c r="RVD466"/>
      <c r="RVE466"/>
      <c r="RVF466"/>
      <c r="RVG466"/>
      <c r="RVH466"/>
      <c r="RVI466"/>
      <c r="RVJ466"/>
      <c r="RVK466"/>
      <c r="RVL466"/>
      <c r="RVM466"/>
      <c r="RVN466"/>
      <c r="RVO466"/>
      <c r="RVP466"/>
      <c r="RVQ466"/>
      <c r="RVR466"/>
      <c r="RVS466"/>
      <c r="RVT466"/>
      <c r="RVU466"/>
      <c r="RVV466"/>
      <c r="RVW466"/>
      <c r="RVX466"/>
      <c r="RVY466"/>
      <c r="RVZ466"/>
      <c r="RWA466"/>
      <c r="RWB466"/>
      <c r="RWC466"/>
      <c r="RWD466"/>
      <c r="RWE466"/>
      <c r="RWF466"/>
      <c r="RWG466"/>
      <c r="RWH466"/>
      <c r="RWI466"/>
      <c r="RWJ466"/>
      <c r="RWK466"/>
      <c r="RWL466"/>
      <c r="RWM466"/>
      <c r="RWN466"/>
      <c r="RWO466"/>
      <c r="RWP466"/>
      <c r="RWQ466"/>
      <c r="RWR466"/>
      <c r="RWS466"/>
      <c r="RWT466"/>
      <c r="RWU466"/>
      <c r="RWV466"/>
      <c r="RWW466"/>
      <c r="RWX466"/>
      <c r="RWY466"/>
      <c r="RWZ466"/>
      <c r="RXA466"/>
      <c r="RXB466"/>
      <c r="RXC466"/>
      <c r="RXD466"/>
      <c r="RXE466"/>
      <c r="RXF466"/>
      <c r="RXG466"/>
      <c r="RXH466"/>
      <c r="RXI466"/>
      <c r="RXJ466"/>
      <c r="RXK466"/>
      <c r="RXL466"/>
      <c r="RXM466"/>
      <c r="RXN466"/>
      <c r="RXO466"/>
      <c r="RXP466"/>
      <c r="RXQ466"/>
      <c r="RXR466"/>
      <c r="RXS466"/>
      <c r="RXT466"/>
      <c r="RXU466"/>
      <c r="RXV466"/>
      <c r="RXW466"/>
      <c r="RXX466"/>
      <c r="RXY466"/>
      <c r="RXZ466"/>
      <c r="RYA466"/>
      <c r="RYB466"/>
      <c r="RYC466"/>
      <c r="RYD466"/>
      <c r="RYE466"/>
      <c r="RYF466"/>
      <c r="RYG466"/>
      <c r="RYH466"/>
      <c r="RYI466"/>
      <c r="RYJ466"/>
      <c r="RYK466"/>
      <c r="RYL466"/>
      <c r="RYM466"/>
      <c r="RYN466"/>
      <c r="RYO466"/>
      <c r="RYP466"/>
      <c r="RYQ466"/>
      <c r="RYR466"/>
      <c r="RYS466"/>
      <c r="RYT466"/>
      <c r="RYU466"/>
      <c r="RYV466"/>
      <c r="RYW466"/>
      <c r="RYX466"/>
      <c r="RYY466"/>
      <c r="RYZ466"/>
      <c r="RZA466"/>
      <c r="RZB466"/>
      <c r="RZC466"/>
      <c r="RZD466"/>
      <c r="RZE466"/>
      <c r="RZF466"/>
      <c r="RZG466"/>
      <c r="RZH466"/>
      <c r="RZI466"/>
      <c r="RZJ466"/>
      <c r="RZK466"/>
      <c r="RZL466"/>
      <c r="RZM466"/>
      <c r="RZN466"/>
      <c r="RZO466"/>
      <c r="RZP466"/>
      <c r="RZQ466"/>
      <c r="RZR466"/>
      <c r="RZS466"/>
      <c r="RZT466"/>
      <c r="RZU466"/>
      <c r="RZV466"/>
      <c r="RZW466"/>
      <c r="RZX466"/>
      <c r="RZY466"/>
      <c r="RZZ466"/>
      <c r="SAA466"/>
      <c r="SAB466"/>
      <c r="SAC466"/>
      <c r="SAD466"/>
      <c r="SAE466"/>
      <c r="SAF466"/>
      <c r="SAG466"/>
      <c r="SAH466"/>
      <c r="SAI466"/>
      <c r="SAJ466"/>
      <c r="SAK466"/>
      <c r="SAL466"/>
      <c r="SAM466"/>
      <c r="SAN466"/>
      <c r="SAO466"/>
      <c r="SAP466"/>
      <c r="SAQ466"/>
      <c r="SAR466"/>
      <c r="SAS466"/>
      <c r="SAT466"/>
      <c r="SAU466"/>
      <c r="SAV466"/>
      <c r="SAW466"/>
      <c r="SAX466"/>
      <c r="SAY466"/>
      <c r="SAZ466"/>
      <c r="SBA466"/>
      <c r="SBB466"/>
      <c r="SBC466"/>
      <c r="SBD466"/>
      <c r="SBE466"/>
      <c r="SBF466"/>
      <c r="SBG466"/>
      <c r="SBH466"/>
      <c r="SBI466"/>
      <c r="SBJ466"/>
      <c r="SBK466"/>
      <c r="SBL466"/>
      <c r="SBM466"/>
      <c r="SBN466"/>
      <c r="SBO466"/>
      <c r="SBP466"/>
      <c r="SBQ466"/>
      <c r="SBR466"/>
      <c r="SBS466"/>
      <c r="SBT466"/>
      <c r="SBU466"/>
      <c r="SBV466"/>
      <c r="SBW466"/>
      <c r="SBX466"/>
      <c r="SBY466"/>
      <c r="SBZ466"/>
      <c r="SCA466"/>
      <c r="SCB466"/>
      <c r="SCC466"/>
      <c r="SCD466"/>
      <c r="SCE466"/>
      <c r="SCF466"/>
      <c r="SCG466"/>
      <c r="SCH466"/>
      <c r="SCI466"/>
      <c r="SCJ466"/>
      <c r="SCK466"/>
      <c r="SCL466"/>
      <c r="SCM466"/>
      <c r="SCN466"/>
      <c r="SCO466"/>
      <c r="SCP466"/>
      <c r="SCQ466"/>
      <c r="SCR466"/>
      <c r="SCS466"/>
      <c r="SCT466"/>
      <c r="SCU466"/>
      <c r="SCV466"/>
      <c r="SCW466"/>
      <c r="SCX466"/>
      <c r="SCY466"/>
      <c r="SCZ466"/>
      <c r="SDA466"/>
      <c r="SDB466"/>
      <c r="SDC466"/>
      <c r="SDD466"/>
      <c r="SDE466"/>
      <c r="SDF466"/>
      <c r="SDG466"/>
      <c r="SDH466"/>
      <c r="SDI466"/>
      <c r="SDJ466"/>
      <c r="SDK466"/>
      <c r="SDL466"/>
      <c r="SDM466"/>
      <c r="SDN466"/>
      <c r="SDO466"/>
      <c r="SDP466"/>
      <c r="SDQ466"/>
      <c r="SDR466"/>
      <c r="SDS466"/>
      <c r="SDT466"/>
      <c r="SDU466"/>
      <c r="SDV466"/>
      <c r="SDW466"/>
      <c r="SDX466"/>
      <c r="SDY466"/>
      <c r="SDZ466"/>
      <c r="SEA466"/>
      <c r="SEB466"/>
      <c r="SEC466"/>
      <c r="SED466"/>
      <c r="SEE466"/>
      <c r="SEF466"/>
      <c r="SEG466"/>
      <c r="SEH466"/>
      <c r="SEI466"/>
      <c r="SEJ466"/>
      <c r="SEK466"/>
      <c r="SEL466"/>
      <c r="SEM466"/>
      <c r="SEN466"/>
      <c r="SEO466"/>
      <c r="SEP466"/>
      <c r="SEQ466"/>
      <c r="SER466"/>
      <c r="SES466"/>
      <c r="SET466"/>
      <c r="SEU466"/>
      <c r="SEV466"/>
      <c r="SEW466"/>
      <c r="SEX466"/>
      <c r="SEY466"/>
      <c r="SEZ466"/>
      <c r="SFA466"/>
      <c r="SFB466"/>
      <c r="SFC466"/>
      <c r="SFD466"/>
      <c r="SFE466"/>
      <c r="SFF466"/>
      <c r="SFG466"/>
      <c r="SFH466"/>
      <c r="SFI466"/>
      <c r="SFJ466"/>
      <c r="SFK466"/>
      <c r="SFL466"/>
      <c r="SFM466"/>
      <c r="SFN466"/>
      <c r="SFO466"/>
      <c r="SFP466"/>
      <c r="SFQ466"/>
      <c r="SFR466"/>
      <c r="SFS466"/>
      <c r="SFT466"/>
      <c r="SFU466"/>
      <c r="SFV466"/>
      <c r="SFW466"/>
      <c r="SFX466"/>
      <c r="SFY466"/>
      <c r="SFZ466"/>
      <c r="SGA466"/>
      <c r="SGB466"/>
      <c r="SGC466"/>
      <c r="SGD466"/>
      <c r="SGE466"/>
      <c r="SGF466"/>
      <c r="SGG466"/>
      <c r="SGH466"/>
      <c r="SGI466"/>
      <c r="SGJ466"/>
      <c r="SGK466"/>
      <c r="SGL466"/>
      <c r="SGM466"/>
      <c r="SGN466"/>
      <c r="SGO466"/>
      <c r="SGP466"/>
      <c r="SGQ466"/>
      <c r="SGR466"/>
      <c r="SGS466"/>
      <c r="SGT466"/>
      <c r="SGU466"/>
      <c r="SGV466"/>
      <c r="SGW466"/>
      <c r="SGX466"/>
      <c r="SGY466"/>
      <c r="SGZ466"/>
      <c r="SHA466"/>
      <c r="SHB466"/>
      <c r="SHC466"/>
      <c r="SHD466"/>
      <c r="SHE466"/>
      <c r="SHF466"/>
      <c r="SHG466"/>
      <c r="SHH466"/>
      <c r="SHI466"/>
      <c r="SHJ466"/>
      <c r="SHK466"/>
      <c r="SHL466"/>
      <c r="SHM466"/>
      <c r="SHN466"/>
      <c r="SHO466"/>
      <c r="SHP466"/>
      <c r="SHQ466"/>
      <c r="SHR466"/>
      <c r="SHS466"/>
      <c r="SHT466"/>
      <c r="SHU466"/>
      <c r="SHV466"/>
      <c r="SHW466"/>
      <c r="SHX466"/>
      <c r="SHY466"/>
      <c r="SHZ466"/>
      <c r="SIA466"/>
      <c r="SIB466"/>
      <c r="SIC466"/>
      <c r="SID466"/>
      <c r="SIE466"/>
      <c r="SIF466"/>
      <c r="SIG466"/>
      <c r="SIH466"/>
      <c r="SII466"/>
      <c r="SIJ466"/>
      <c r="SIK466"/>
      <c r="SIL466"/>
      <c r="SIM466"/>
      <c r="SIN466"/>
      <c r="SIO466"/>
      <c r="SIP466"/>
      <c r="SIQ466"/>
      <c r="SIR466"/>
      <c r="SIS466"/>
      <c r="SIT466"/>
      <c r="SIU466"/>
      <c r="SIV466"/>
      <c r="SIW466"/>
      <c r="SIX466"/>
      <c r="SIY466"/>
      <c r="SIZ466"/>
      <c r="SJA466"/>
      <c r="SJB466"/>
      <c r="SJC466"/>
      <c r="SJD466"/>
      <c r="SJE466"/>
      <c r="SJF466"/>
      <c r="SJG466"/>
      <c r="SJH466"/>
      <c r="SJI466"/>
      <c r="SJJ466"/>
      <c r="SJK466"/>
      <c r="SJL466"/>
      <c r="SJM466"/>
      <c r="SJN466"/>
      <c r="SJO466"/>
      <c r="SJP466"/>
      <c r="SJQ466"/>
      <c r="SJR466"/>
      <c r="SJS466"/>
      <c r="SJT466"/>
      <c r="SJU466"/>
      <c r="SJV466"/>
      <c r="SJW466"/>
      <c r="SJX466"/>
      <c r="SJY466"/>
      <c r="SJZ466"/>
      <c r="SKA466"/>
      <c r="SKB466"/>
      <c r="SKC466"/>
      <c r="SKD466"/>
      <c r="SKE466"/>
      <c r="SKF466"/>
      <c r="SKG466"/>
      <c r="SKH466"/>
      <c r="SKI466"/>
      <c r="SKJ466"/>
      <c r="SKK466"/>
      <c r="SKL466"/>
      <c r="SKM466"/>
      <c r="SKN466"/>
      <c r="SKO466"/>
      <c r="SKP466"/>
      <c r="SKQ466"/>
      <c r="SKR466"/>
      <c r="SKS466"/>
      <c r="SKT466"/>
      <c r="SKU466"/>
      <c r="SKV466"/>
      <c r="SKW466"/>
      <c r="SKX466"/>
      <c r="SKY466"/>
      <c r="SKZ466"/>
      <c r="SLA466"/>
      <c r="SLB466"/>
      <c r="SLC466"/>
      <c r="SLD466"/>
      <c r="SLE466"/>
      <c r="SLF466"/>
      <c r="SLG466"/>
      <c r="SLH466"/>
      <c r="SLI466"/>
      <c r="SLJ466"/>
      <c r="SLK466"/>
      <c r="SLL466"/>
      <c r="SLM466"/>
      <c r="SLN466"/>
      <c r="SLO466"/>
      <c r="SLP466"/>
      <c r="SLQ466"/>
      <c r="SLR466"/>
      <c r="SLS466"/>
      <c r="SLT466"/>
      <c r="SLU466"/>
      <c r="SLV466"/>
      <c r="SLW466"/>
      <c r="SLX466"/>
      <c r="SLY466"/>
      <c r="SLZ466"/>
      <c r="SMA466"/>
      <c r="SMB466"/>
      <c r="SMC466"/>
      <c r="SMD466"/>
      <c r="SME466"/>
      <c r="SMF466"/>
      <c r="SMG466"/>
      <c r="SMH466"/>
      <c r="SMI466"/>
      <c r="SMJ466"/>
      <c r="SMK466"/>
      <c r="SML466"/>
      <c r="SMM466"/>
      <c r="SMN466"/>
      <c r="SMO466"/>
      <c r="SMP466"/>
      <c r="SMQ466"/>
      <c r="SMR466"/>
      <c r="SMS466"/>
      <c r="SMT466"/>
      <c r="SMU466"/>
      <c r="SMV466"/>
      <c r="SMW466"/>
      <c r="SMX466"/>
      <c r="SMY466"/>
      <c r="SMZ466"/>
      <c r="SNA466"/>
      <c r="SNB466"/>
      <c r="SNC466"/>
      <c r="SND466"/>
      <c r="SNE466"/>
      <c r="SNF466"/>
      <c r="SNG466"/>
      <c r="SNH466"/>
      <c r="SNI466"/>
      <c r="SNJ466"/>
      <c r="SNK466"/>
      <c r="SNL466"/>
      <c r="SNM466"/>
      <c r="SNN466"/>
      <c r="SNO466"/>
      <c r="SNP466"/>
      <c r="SNQ466"/>
      <c r="SNR466"/>
      <c r="SNS466"/>
      <c r="SNT466"/>
      <c r="SNU466"/>
      <c r="SNV466"/>
      <c r="SNW466"/>
      <c r="SNX466"/>
      <c r="SNY466"/>
      <c r="SNZ466"/>
      <c r="SOA466"/>
      <c r="SOB466"/>
      <c r="SOC466"/>
      <c r="SOD466"/>
      <c r="SOE466"/>
      <c r="SOF466"/>
      <c r="SOG466"/>
      <c r="SOH466"/>
      <c r="SOI466"/>
      <c r="SOJ466"/>
      <c r="SOK466"/>
      <c r="SOL466"/>
      <c r="SOM466"/>
      <c r="SON466"/>
      <c r="SOO466"/>
      <c r="SOP466"/>
      <c r="SOQ466"/>
      <c r="SOR466"/>
      <c r="SOS466"/>
      <c r="SOT466"/>
      <c r="SOU466"/>
      <c r="SOV466"/>
      <c r="SOW466"/>
      <c r="SOX466"/>
      <c r="SOY466"/>
      <c r="SOZ466"/>
      <c r="SPA466"/>
      <c r="SPB466"/>
      <c r="SPC466"/>
      <c r="SPD466"/>
      <c r="SPE466"/>
      <c r="SPF466"/>
      <c r="SPG466"/>
      <c r="SPH466"/>
      <c r="SPI466"/>
      <c r="SPJ466"/>
      <c r="SPK466"/>
      <c r="SPL466"/>
      <c r="SPM466"/>
      <c r="SPN466"/>
      <c r="SPO466"/>
      <c r="SPP466"/>
      <c r="SPQ466"/>
      <c r="SPR466"/>
      <c r="SPS466"/>
      <c r="SPT466"/>
      <c r="SPU466"/>
      <c r="SPV466"/>
      <c r="SPW466"/>
      <c r="SPX466"/>
      <c r="SPY466"/>
      <c r="SPZ466"/>
      <c r="SQA466"/>
      <c r="SQB466"/>
      <c r="SQC466"/>
      <c r="SQD466"/>
      <c r="SQE466"/>
      <c r="SQF466"/>
      <c r="SQG466"/>
      <c r="SQH466"/>
      <c r="SQI466"/>
      <c r="SQJ466"/>
      <c r="SQK466"/>
      <c r="SQL466"/>
      <c r="SQM466"/>
      <c r="SQN466"/>
      <c r="SQO466"/>
      <c r="SQP466"/>
      <c r="SQQ466"/>
      <c r="SQR466"/>
      <c r="SQS466"/>
      <c r="SQT466"/>
      <c r="SQU466"/>
      <c r="SQV466"/>
      <c r="SQW466"/>
      <c r="SQX466"/>
      <c r="SQY466"/>
      <c r="SQZ466"/>
      <c r="SRA466"/>
      <c r="SRB466"/>
      <c r="SRC466"/>
      <c r="SRD466"/>
      <c r="SRE466"/>
      <c r="SRF466"/>
      <c r="SRG466"/>
      <c r="SRH466"/>
      <c r="SRI466"/>
      <c r="SRJ466"/>
      <c r="SRK466"/>
      <c r="SRL466"/>
      <c r="SRM466"/>
      <c r="SRN466"/>
      <c r="SRO466"/>
      <c r="SRP466"/>
      <c r="SRQ466"/>
      <c r="SRR466"/>
      <c r="SRS466"/>
      <c r="SRT466"/>
      <c r="SRU466"/>
      <c r="SRV466"/>
      <c r="SRW466"/>
      <c r="SRX466"/>
      <c r="SRY466"/>
      <c r="SRZ466"/>
      <c r="SSA466"/>
      <c r="SSB466"/>
      <c r="SSC466"/>
      <c r="SSD466"/>
      <c r="SSE466"/>
      <c r="SSF466"/>
      <c r="SSG466"/>
      <c r="SSH466"/>
      <c r="SSI466"/>
      <c r="SSJ466"/>
      <c r="SSK466"/>
      <c r="SSL466"/>
      <c r="SSM466"/>
      <c r="SSN466"/>
      <c r="SSO466"/>
      <c r="SSP466"/>
      <c r="SSQ466"/>
      <c r="SSR466"/>
      <c r="SSS466"/>
      <c r="SST466"/>
      <c r="SSU466"/>
      <c r="SSV466"/>
      <c r="SSW466"/>
      <c r="SSX466"/>
      <c r="SSY466"/>
      <c r="SSZ466"/>
      <c r="STA466"/>
      <c r="STB466"/>
      <c r="STC466"/>
      <c r="STD466"/>
      <c r="STE466"/>
      <c r="STF466"/>
      <c r="STG466"/>
      <c r="STH466"/>
      <c r="STI466"/>
      <c r="STJ466"/>
      <c r="STK466"/>
      <c r="STL466"/>
      <c r="STM466"/>
      <c r="STN466"/>
      <c r="STO466"/>
      <c r="STP466"/>
      <c r="STQ466"/>
      <c r="STR466"/>
      <c r="STS466"/>
      <c r="STT466"/>
      <c r="STU466"/>
      <c r="STV466"/>
      <c r="STW466"/>
      <c r="STX466"/>
      <c r="STY466"/>
      <c r="STZ466"/>
      <c r="SUA466"/>
      <c r="SUB466"/>
      <c r="SUC466"/>
      <c r="SUD466"/>
      <c r="SUE466"/>
      <c r="SUF466"/>
      <c r="SUG466"/>
      <c r="SUH466"/>
      <c r="SUI466"/>
      <c r="SUJ466"/>
      <c r="SUK466"/>
      <c r="SUL466"/>
      <c r="SUM466"/>
      <c r="SUN466"/>
      <c r="SUO466"/>
      <c r="SUP466"/>
      <c r="SUQ466"/>
      <c r="SUR466"/>
      <c r="SUS466"/>
      <c r="SUT466"/>
      <c r="SUU466"/>
      <c r="SUV466"/>
      <c r="SUW466"/>
      <c r="SUX466"/>
      <c r="SUY466"/>
      <c r="SUZ466"/>
      <c r="SVA466"/>
      <c r="SVB466"/>
      <c r="SVC466"/>
      <c r="SVD466"/>
      <c r="SVE466"/>
      <c r="SVF466"/>
      <c r="SVG466"/>
      <c r="SVH466"/>
      <c r="SVI466"/>
      <c r="SVJ466"/>
      <c r="SVK466"/>
      <c r="SVL466"/>
      <c r="SVM466"/>
      <c r="SVN466"/>
      <c r="SVO466"/>
      <c r="SVP466"/>
      <c r="SVQ466"/>
      <c r="SVR466"/>
      <c r="SVS466"/>
      <c r="SVT466"/>
      <c r="SVU466"/>
      <c r="SVV466"/>
      <c r="SVW466"/>
      <c r="SVX466"/>
      <c r="SVY466"/>
      <c r="SVZ466"/>
      <c r="SWA466"/>
      <c r="SWB466"/>
      <c r="SWC466"/>
      <c r="SWD466"/>
      <c r="SWE466"/>
      <c r="SWF466"/>
      <c r="SWG466"/>
      <c r="SWH466"/>
      <c r="SWI466"/>
      <c r="SWJ466"/>
      <c r="SWK466"/>
      <c r="SWL466"/>
      <c r="SWM466"/>
      <c r="SWN466"/>
      <c r="SWO466"/>
      <c r="SWP466"/>
      <c r="SWQ466"/>
      <c r="SWR466"/>
      <c r="SWS466"/>
      <c r="SWT466"/>
      <c r="SWU466"/>
      <c r="SWV466"/>
      <c r="SWW466"/>
      <c r="SWX466"/>
      <c r="SWY466"/>
      <c r="SWZ466"/>
      <c r="SXA466"/>
      <c r="SXB466"/>
      <c r="SXC466"/>
      <c r="SXD466"/>
      <c r="SXE466"/>
      <c r="SXF466"/>
      <c r="SXG466"/>
      <c r="SXH466"/>
      <c r="SXI466"/>
      <c r="SXJ466"/>
      <c r="SXK466"/>
      <c r="SXL466"/>
      <c r="SXM466"/>
      <c r="SXN466"/>
      <c r="SXO466"/>
      <c r="SXP466"/>
      <c r="SXQ466"/>
      <c r="SXR466"/>
      <c r="SXS466"/>
      <c r="SXT466"/>
      <c r="SXU466"/>
      <c r="SXV466"/>
      <c r="SXW466"/>
      <c r="SXX466"/>
      <c r="SXY466"/>
      <c r="SXZ466"/>
      <c r="SYA466"/>
      <c r="SYB466"/>
      <c r="SYC466"/>
      <c r="SYD466"/>
      <c r="SYE466"/>
      <c r="SYF466"/>
      <c r="SYG466"/>
      <c r="SYH466"/>
      <c r="SYI466"/>
      <c r="SYJ466"/>
      <c r="SYK466"/>
      <c r="SYL466"/>
      <c r="SYM466"/>
      <c r="SYN466"/>
      <c r="SYO466"/>
      <c r="SYP466"/>
      <c r="SYQ466"/>
      <c r="SYR466"/>
      <c r="SYS466"/>
      <c r="SYT466"/>
      <c r="SYU466"/>
      <c r="SYV466"/>
      <c r="SYW466"/>
      <c r="SYX466"/>
      <c r="SYY466"/>
      <c r="SYZ466"/>
      <c r="SZA466"/>
      <c r="SZB466"/>
      <c r="SZC466"/>
      <c r="SZD466"/>
      <c r="SZE466"/>
      <c r="SZF466"/>
      <c r="SZG466"/>
      <c r="SZH466"/>
      <c r="SZI466"/>
      <c r="SZJ466"/>
      <c r="SZK466"/>
      <c r="SZL466"/>
      <c r="SZM466"/>
      <c r="SZN466"/>
      <c r="SZO466"/>
      <c r="SZP466"/>
      <c r="SZQ466"/>
      <c r="SZR466"/>
      <c r="SZS466"/>
      <c r="SZT466"/>
      <c r="SZU466"/>
      <c r="SZV466"/>
      <c r="SZW466"/>
      <c r="SZX466"/>
      <c r="SZY466"/>
      <c r="SZZ466"/>
      <c r="TAA466"/>
      <c r="TAB466"/>
      <c r="TAC466"/>
      <c r="TAD466"/>
      <c r="TAE466"/>
      <c r="TAF466"/>
      <c r="TAG466"/>
      <c r="TAH466"/>
      <c r="TAI466"/>
      <c r="TAJ466"/>
      <c r="TAK466"/>
      <c r="TAL466"/>
      <c r="TAM466"/>
      <c r="TAN466"/>
      <c r="TAO466"/>
      <c r="TAP466"/>
      <c r="TAQ466"/>
      <c r="TAR466"/>
      <c r="TAS466"/>
      <c r="TAT466"/>
      <c r="TAU466"/>
      <c r="TAV466"/>
      <c r="TAW466"/>
      <c r="TAX466"/>
      <c r="TAY466"/>
      <c r="TAZ466"/>
      <c r="TBA466"/>
      <c r="TBB466"/>
      <c r="TBC466"/>
      <c r="TBD466"/>
      <c r="TBE466"/>
      <c r="TBF466"/>
      <c r="TBG466"/>
      <c r="TBH466"/>
      <c r="TBI466"/>
      <c r="TBJ466"/>
      <c r="TBK466"/>
      <c r="TBL466"/>
      <c r="TBM466"/>
      <c r="TBN466"/>
      <c r="TBO466"/>
      <c r="TBP466"/>
      <c r="TBQ466"/>
      <c r="TBR466"/>
      <c r="TBS466"/>
      <c r="TBT466"/>
      <c r="TBU466"/>
      <c r="TBV466"/>
      <c r="TBW466"/>
      <c r="TBX466"/>
      <c r="TBY466"/>
      <c r="TBZ466"/>
      <c r="TCA466"/>
      <c r="TCB466"/>
      <c r="TCC466"/>
      <c r="TCD466"/>
      <c r="TCE466"/>
      <c r="TCF466"/>
      <c r="TCG466"/>
      <c r="TCH466"/>
      <c r="TCI466"/>
      <c r="TCJ466"/>
      <c r="TCK466"/>
      <c r="TCL466"/>
      <c r="TCM466"/>
      <c r="TCN466"/>
      <c r="TCO466"/>
      <c r="TCP466"/>
      <c r="TCQ466"/>
      <c r="TCR466"/>
      <c r="TCS466"/>
      <c r="TCT466"/>
      <c r="TCU466"/>
      <c r="TCV466"/>
      <c r="TCW466"/>
      <c r="TCX466"/>
      <c r="TCY466"/>
      <c r="TCZ466"/>
      <c r="TDA466"/>
      <c r="TDB466"/>
      <c r="TDC466"/>
      <c r="TDD466"/>
      <c r="TDE466"/>
      <c r="TDF466"/>
      <c r="TDG466"/>
      <c r="TDH466"/>
      <c r="TDI466"/>
      <c r="TDJ466"/>
      <c r="TDK466"/>
      <c r="TDL466"/>
      <c r="TDM466"/>
      <c r="TDN466"/>
      <c r="TDO466"/>
      <c r="TDP466"/>
      <c r="TDQ466"/>
      <c r="TDR466"/>
      <c r="TDS466"/>
      <c r="TDT466"/>
      <c r="TDU466"/>
      <c r="TDV466"/>
      <c r="TDW466"/>
      <c r="TDX466"/>
      <c r="TDY466"/>
      <c r="TDZ466"/>
      <c r="TEA466"/>
      <c r="TEB466"/>
      <c r="TEC466"/>
      <c r="TED466"/>
      <c r="TEE466"/>
      <c r="TEF466"/>
      <c r="TEG466"/>
      <c r="TEH466"/>
      <c r="TEI466"/>
      <c r="TEJ466"/>
      <c r="TEK466"/>
      <c r="TEL466"/>
      <c r="TEM466"/>
      <c r="TEN466"/>
      <c r="TEO466"/>
      <c r="TEP466"/>
      <c r="TEQ466"/>
      <c r="TER466"/>
      <c r="TES466"/>
      <c r="TET466"/>
      <c r="TEU466"/>
      <c r="TEV466"/>
      <c r="TEW466"/>
      <c r="TEX466"/>
      <c r="TEY466"/>
      <c r="TEZ466"/>
      <c r="TFA466"/>
      <c r="TFB466"/>
      <c r="TFC466"/>
      <c r="TFD466"/>
      <c r="TFE466"/>
      <c r="TFF466"/>
      <c r="TFG466"/>
      <c r="TFH466"/>
      <c r="TFI466"/>
      <c r="TFJ466"/>
      <c r="TFK466"/>
      <c r="TFL466"/>
      <c r="TFM466"/>
      <c r="TFN466"/>
      <c r="TFO466"/>
      <c r="TFP466"/>
      <c r="TFQ466"/>
      <c r="TFR466"/>
      <c r="TFS466"/>
      <c r="TFT466"/>
      <c r="TFU466"/>
      <c r="TFV466"/>
      <c r="TFW466"/>
      <c r="TFX466"/>
      <c r="TFY466"/>
      <c r="TFZ466"/>
      <c r="TGA466"/>
      <c r="TGB466"/>
      <c r="TGC466"/>
      <c r="TGD466"/>
      <c r="TGE466"/>
      <c r="TGF466"/>
      <c r="TGG466"/>
      <c r="TGH466"/>
      <c r="TGI466"/>
      <c r="TGJ466"/>
      <c r="TGK466"/>
      <c r="TGL466"/>
      <c r="TGM466"/>
      <c r="TGN466"/>
      <c r="TGO466"/>
      <c r="TGP466"/>
      <c r="TGQ466"/>
      <c r="TGR466"/>
      <c r="TGS466"/>
      <c r="TGT466"/>
      <c r="TGU466"/>
      <c r="TGV466"/>
      <c r="TGW466"/>
      <c r="TGX466"/>
      <c r="TGY466"/>
      <c r="TGZ466"/>
      <c r="THA466"/>
      <c r="THB466"/>
      <c r="THC466"/>
      <c r="THD466"/>
      <c r="THE466"/>
      <c r="THF466"/>
      <c r="THG466"/>
      <c r="THH466"/>
      <c r="THI466"/>
      <c r="THJ466"/>
      <c r="THK466"/>
      <c r="THL466"/>
      <c r="THM466"/>
      <c r="THN466"/>
      <c r="THO466"/>
      <c r="THP466"/>
      <c r="THQ466"/>
      <c r="THR466"/>
      <c r="THS466"/>
      <c r="THT466"/>
      <c r="THU466"/>
      <c r="THV466"/>
      <c r="THW466"/>
      <c r="THX466"/>
      <c r="THY466"/>
      <c r="THZ466"/>
      <c r="TIA466"/>
      <c r="TIB466"/>
      <c r="TIC466"/>
      <c r="TID466"/>
      <c r="TIE466"/>
      <c r="TIF466"/>
      <c r="TIG466"/>
      <c r="TIH466"/>
      <c r="TII466"/>
      <c r="TIJ466"/>
      <c r="TIK466"/>
      <c r="TIL466"/>
      <c r="TIM466"/>
      <c r="TIN466"/>
      <c r="TIO466"/>
      <c r="TIP466"/>
      <c r="TIQ466"/>
      <c r="TIR466"/>
      <c r="TIS466"/>
      <c r="TIT466"/>
      <c r="TIU466"/>
      <c r="TIV466"/>
      <c r="TIW466"/>
      <c r="TIX466"/>
      <c r="TIY466"/>
      <c r="TIZ466"/>
      <c r="TJA466"/>
      <c r="TJB466"/>
      <c r="TJC466"/>
      <c r="TJD466"/>
      <c r="TJE466"/>
      <c r="TJF466"/>
      <c r="TJG466"/>
      <c r="TJH466"/>
      <c r="TJI466"/>
      <c r="TJJ466"/>
      <c r="TJK466"/>
      <c r="TJL466"/>
      <c r="TJM466"/>
      <c r="TJN466"/>
      <c r="TJO466"/>
      <c r="TJP466"/>
      <c r="TJQ466"/>
      <c r="TJR466"/>
      <c r="TJS466"/>
      <c r="TJT466"/>
      <c r="TJU466"/>
      <c r="TJV466"/>
      <c r="TJW466"/>
      <c r="TJX466"/>
      <c r="TJY466"/>
      <c r="TJZ466"/>
      <c r="TKA466"/>
      <c r="TKB466"/>
      <c r="TKC466"/>
      <c r="TKD466"/>
      <c r="TKE466"/>
      <c r="TKF466"/>
      <c r="TKG466"/>
      <c r="TKH466"/>
      <c r="TKI466"/>
      <c r="TKJ466"/>
      <c r="TKK466"/>
      <c r="TKL466"/>
      <c r="TKM466"/>
      <c r="TKN466"/>
      <c r="TKO466"/>
      <c r="TKP466"/>
      <c r="TKQ466"/>
      <c r="TKR466"/>
      <c r="TKS466"/>
      <c r="TKT466"/>
      <c r="TKU466"/>
      <c r="TKV466"/>
      <c r="TKW466"/>
      <c r="TKX466"/>
      <c r="TKY466"/>
      <c r="TKZ466"/>
      <c r="TLA466"/>
      <c r="TLB466"/>
      <c r="TLC466"/>
      <c r="TLD466"/>
      <c r="TLE466"/>
      <c r="TLF466"/>
      <c r="TLG466"/>
      <c r="TLH466"/>
      <c r="TLI466"/>
      <c r="TLJ466"/>
      <c r="TLK466"/>
      <c r="TLL466"/>
      <c r="TLM466"/>
      <c r="TLN466"/>
      <c r="TLO466"/>
      <c r="TLP466"/>
      <c r="TLQ466"/>
      <c r="TLR466"/>
      <c r="TLS466"/>
      <c r="TLT466"/>
      <c r="TLU466"/>
      <c r="TLV466"/>
      <c r="TLW466"/>
      <c r="TLX466"/>
      <c r="TLY466"/>
      <c r="TLZ466"/>
      <c r="TMA466"/>
      <c r="TMB466"/>
      <c r="TMC466"/>
      <c r="TMD466"/>
      <c r="TME466"/>
      <c r="TMF466"/>
      <c r="TMG466"/>
      <c r="TMH466"/>
      <c r="TMI466"/>
      <c r="TMJ466"/>
      <c r="TMK466"/>
      <c r="TML466"/>
      <c r="TMM466"/>
      <c r="TMN466"/>
      <c r="TMO466"/>
      <c r="TMP466"/>
      <c r="TMQ466"/>
      <c r="TMR466"/>
      <c r="TMS466"/>
      <c r="TMT466"/>
      <c r="TMU466"/>
      <c r="TMV466"/>
      <c r="TMW466"/>
      <c r="TMX466"/>
      <c r="TMY466"/>
      <c r="TMZ466"/>
      <c r="TNA466"/>
      <c r="TNB466"/>
      <c r="TNC466"/>
      <c r="TND466"/>
      <c r="TNE466"/>
      <c r="TNF466"/>
      <c r="TNG466"/>
      <c r="TNH466"/>
      <c r="TNI466"/>
      <c r="TNJ466"/>
      <c r="TNK466"/>
      <c r="TNL466"/>
      <c r="TNM466"/>
      <c r="TNN466"/>
      <c r="TNO466"/>
      <c r="TNP466"/>
      <c r="TNQ466"/>
      <c r="TNR466"/>
      <c r="TNS466"/>
      <c r="TNT466"/>
      <c r="TNU466"/>
      <c r="TNV466"/>
      <c r="TNW466"/>
      <c r="TNX466"/>
      <c r="TNY466"/>
      <c r="TNZ466"/>
      <c r="TOA466"/>
      <c r="TOB466"/>
      <c r="TOC466"/>
      <c r="TOD466"/>
      <c r="TOE466"/>
      <c r="TOF466"/>
      <c r="TOG466"/>
      <c r="TOH466"/>
      <c r="TOI466"/>
      <c r="TOJ466"/>
      <c r="TOK466"/>
      <c r="TOL466"/>
      <c r="TOM466"/>
      <c r="TON466"/>
      <c r="TOO466"/>
      <c r="TOP466"/>
      <c r="TOQ466"/>
      <c r="TOR466"/>
      <c r="TOS466"/>
      <c r="TOT466"/>
      <c r="TOU466"/>
      <c r="TOV466"/>
      <c r="TOW466"/>
      <c r="TOX466"/>
      <c r="TOY466"/>
      <c r="TOZ466"/>
      <c r="TPA466"/>
      <c r="TPB466"/>
      <c r="TPC466"/>
      <c r="TPD466"/>
      <c r="TPE466"/>
      <c r="TPF466"/>
      <c r="TPG466"/>
      <c r="TPH466"/>
      <c r="TPI466"/>
      <c r="TPJ466"/>
      <c r="TPK466"/>
      <c r="TPL466"/>
      <c r="TPM466"/>
      <c r="TPN466"/>
      <c r="TPO466"/>
      <c r="TPP466"/>
      <c r="TPQ466"/>
      <c r="TPR466"/>
      <c r="TPS466"/>
      <c r="TPT466"/>
      <c r="TPU466"/>
      <c r="TPV466"/>
      <c r="TPW466"/>
      <c r="TPX466"/>
      <c r="TPY466"/>
      <c r="TPZ466"/>
      <c r="TQA466"/>
      <c r="TQB466"/>
      <c r="TQC466"/>
      <c r="TQD466"/>
      <c r="TQE466"/>
      <c r="TQF466"/>
      <c r="TQG466"/>
      <c r="TQH466"/>
      <c r="TQI466"/>
      <c r="TQJ466"/>
      <c r="TQK466"/>
      <c r="TQL466"/>
      <c r="TQM466"/>
      <c r="TQN466"/>
      <c r="TQO466"/>
      <c r="TQP466"/>
      <c r="TQQ466"/>
      <c r="TQR466"/>
      <c r="TQS466"/>
      <c r="TQT466"/>
      <c r="TQU466"/>
      <c r="TQV466"/>
      <c r="TQW466"/>
      <c r="TQX466"/>
      <c r="TQY466"/>
      <c r="TQZ466"/>
      <c r="TRA466"/>
      <c r="TRB466"/>
      <c r="TRC466"/>
      <c r="TRD466"/>
      <c r="TRE466"/>
      <c r="TRF466"/>
      <c r="TRG466"/>
      <c r="TRH466"/>
      <c r="TRI466"/>
      <c r="TRJ466"/>
      <c r="TRK466"/>
      <c r="TRL466"/>
      <c r="TRM466"/>
      <c r="TRN466"/>
      <c r="TRO466"/>
      <c r="TRP466"/>
      <c r="TRQ466"/>
      <c r="TRR466"/>
      <c r="TRS466"/>
      <c r="TRT466"/>
      <c r="TRU466"/>
      <c r="TRV466"/>
      <c r="TRW466"/>
      <c r="TRX466"/>
      <c r="TRY466"/>
      <c r="TRZ466"/>
      <c r="TSA466"/>
      <c r="TSB466"/>
      <c r="TSC466"/>
      <c r="TSD466"/>
      <c r="TSE466"/>
      <c r="TSF466"/>
      <c r="TSG466"/>
      <c r="TSH466"/>
      <c r="TSI466"/>
      <c r="TSJ466"/>
      <c r="TSK466"/>
      <c r="TSL466"/>
      <c r="TSM466"/>
      <c r="TSN466"/>
      <c r="TSO466"/>
      <c r="TSP466"/>
      <c r="TSQ466"/>
      <c r="TSR466"/>
      <c r="TSS466"/>
      <c r="TST466"/>
      <c r="TSU466"/>
      <c r="TSV466"/>
      <c r="TSW466"/>
      <c r="TSX466"/>
      <c r="TSY466"/>
      <c r="TSZ466"/>
      <c r="TTA466"/>
      <c r="TTB466"/>
      <c r="TTC466"/>
      <c r="TTD466"/>
      <c r="TTE466"/>
      <c r="TTF466"/>
      <c r="TTG466"/>
      <c r="TTH466"/>
      <c r="TTI466"/>
      <c r="TTJ466"/>
      <c r="TTK466"/>
      <c r="TTL466"/>
      <c r="TTM466"/>
      <c r="TTN466"/>
      <c r="TTO466"/>
      <c r="TTP466"/>
      <c r="TTQ466"/>
      <c r="TTR466"/>
      <c r="TTS466"/>
      <c r="TTT466"/>
      <c r="TTU466"/>
      <c r="TTV466"/>
      <c r="TTW466"/>
      <c r="TTX466"/>
      <c r="TTY466"/>
      <c r="TTZ466"/>
      <c r="TUA466"/>
      <c r="TUB466"/>
      <c r="TUC466"/>
      <c r="TUD466"/>
      <c r="TUE466"/>
      <c r="TUF466"/>
      <c r="TUG466"/>
      <c r="TUH466"/>
      <c r="TUI466"/>
      <c r="TUJ466"/>
      <c r="TUK466"/>
      <c r="TUL466"/>
      <c r="TUM466"/>
      <c r="TUN466"/>
      <c r="TUO466"/>
      <c r="TUP466"/>
      <c r="TUQ466"/>
      <c r="TUR466"/>
      <c r="TUS466"/>
      <c r="TUT466"/>
      <c r="TUU466"/>
      <c r="TUV466"/>
      <c r="TUW466"/>
      <c r="TUX466"/>
      <c r="TUY466"/>
      <c r="TUZ466"/>
      <c r="TVA466"/>
      <c r="TVB466"/>
      <c r="TVC466"/>
      <c r="TVD466"/>
      <c r="TVE466"/>
      <c r="TVF466"/>
      <c r="TVG466"/>
      <c r="TVH466"/>
      <c r="TVI466"/>
      <c r="TVJ466"/>
      <c r="TVK466"/>
      <c r="TVL466"/>
      <c r="TVM466"/>
      <c r="TVN466"/>
      <c r="TVO466"/>
      <c r="TVP466"/>
      <c r="TVQ466"/>
      <c r="TVR466"/>
      <c r="TVS466"/>
      <c r="TVT466"/>
      <c r="TVU466"/>
      <c r="TVV466"/>
      <c r="TVW466"/>
      <c r="TVX466"/>
      <c r="TVY466"/>
      <c r="TVZ466"/>
      <c r="TWA466"/>
      <c r="TWB466"/>
      <c r="TWC466"/>
      <c r="TWD466"/>
      <c r="TWE466"/>
      <c r="TWF466"/>
      <c r="TWG466"/>
      <c r="TWH466"/>
      <c r="TWI466"/>
      <c r="TWJ466"/>
      <c r="TWK466"/>
      <c r="TWL466"/>
      <c r="TWM466"/>
      <c r="TWN466"/>
      <c r="TWO466"/>
      <c r="TWP466"/>
      <c r="TWQ466"/>
      <c r="TWR466"/>
      <c r="TWS466"/>
      <c r="TWT466"/>
      <c r="TWU466"/>
      <c r="TWV466"/>
      <c r="TWW466"/>
      <c r="TWX466"/>
      <c r="TWY466"/>
      <c r="TWZ466"/>
      <c r="TXA466"/>
      <c r="TXB466"/>
      <c r="TXC466"/>
      <c r="TXD466"/>
      <c r="TXE466"/>
      <c r="TXF466"/>
      <c r="TXG466"/>
      <c r="TXH466"/>
      <c r="TXI466"/>
      <c r="TXJ466"/>
      <c r="TXK466"/>
      <c r="TXL466"/>
      <c r="TXM466"/>
      <c r="TXN466"/>
      <c r="TXO466"/>
      <c r="TXP466"/>
      <c r="TXQ466"/>
      <c r="TXR466"/>
      <c r="TXS466"/>
      <c r="TXT466"/>
      <c r="TXU466"/>
      <c r="TXV466"/>
      <c r="TXW466"/>
      <c r="TXX466"/>
      <c r="TXY466"/>
      <c r="TXZ466"/>
      <c r="TYA466"/>
      <c r="TYB466"/>
      <c r="TYC466"/>
      <c r="TYD466"/>
      <c r="TYE466"/>
      <c r="TYF466"/>
      <c r="TYG466"/>
      <c r="TYH466"/>
      <c r="TYI466"/>
      <c r="TYJ466"/>
      <c r="TYK466"/>
      <c r="TYL466"/>
      <c r="TYM466"/>
      <c r="TYN466"/>
      <c r="TYO466"/>
      <c r="TYP466"/>
      <c r="TYQ466"/>
      <c r="TYR466"/>
      <c r="TYS466"/>
      <c r="TYT466"/>
      <c r="TYU466"/>
      <c r="TYV466"/>
      <c r="TYW466"/>
      <c r="TYX466"/>
      <c r="TYY466"/>
      <c r="TYZ466"/>
      <c r="TZA466"/>
      <c r="TZB466"/>
      <c r="TZC466"/>
      <c r="TZD466"/>
      <c r="TZE466"/>
      <c r="TZF466"/>
      <c r="TZG466"/>
      <c r="TZH466"/>
      <c r="TZI466"/>
      <c r="TZJ466"/>
      <c r="TZK466"/>
      <c r="TZL466"/>
      <c r="TZM466"/>
      <c r="TZN466"/>
      <c r="TZO466"/>
      <c r="TZP466"/>
      <c r="TZQ466"/>
      <c r="TZR466"/>
      <c r="TZS466"/>
      <c r="TZT466"/>
      <c r="TZU466"/>
      <c r="TZV466"/>
      <c r="TZW466"/>
      <c r="TZX466"/>
      <c r="TZY466"/>
      <c r="TZZ466"/>
      <c r="UAA466"/>
      <c r="UAB466"/>
      <c r="UAC466"/>
      <c r="UAD466"/>
      <c r="UAE466"/>
      <c r="UAF466"/>
      <c r="UAG466"/>
      <c r="UAH466"/>
      <c r="UAI466"/>
      <c r="UAJ466"/>
      <c r="UAK466"/>
      <c r="UAL466"/>
      <c r="UAM466"/>
      <c r="UAN466"/>
      <c r="UAO466"/>
      <c r="UAP466"/>
      <c r="UAQ466"/>
      <c r="UAR466"/>
      <c r="UAS466"/>
      <c r="UAT466"/>
      <c r="UAU466"/>
      <c r="UAV466"/>
      <c r="UAW466"/>
      <c r="UAX466"/>
      <c r="UAY466"/>
      <c r="UAZ466"/>
      <c r="UBA466"/>
      <c r="UBB466"/>
      <c r="UBC466"/>
      <c r="UBD466"/>
      <c r="UBE466"/>
      <c r="UBF466"/>
      <c r="UBG466"/>
      <c r="UBH466"/>
      <c r="UBI466"/>
      <c r="UBJ466"/>
      <c r="UBK466"/>
      <c r="UBL466"/>
      <c r="UBM466"/>
      <c r="UBN466"/>
      <c r="UBO466"/>
      <c r="UBP466"/>
      <c r="UBQ466"/>
      <c r="UBR466"/>
      <c r="UBS466"/>
      <c r="UBT466"/>
      <c r="UBU466"/>
      <c r="UBV466"/>
      <c r="UBW466"/>
      <c r="UBX466"/>
      <c r="UBY466"/>
      <c r="UBZ466"/>
      <c r="UCA466"/>
      <c r="UCB466"/>
      <c r="UCC466"/>
      <c r="UCD466"/>
      <c r="UCE466"/>
      <c r="UCF466"/>
      <c r="UCG466"/>
      <c r="UCH466"/>
      <c r="UCI466"/>
      <c r="UCJ466"/>
      <c r="UCK466"/>
      <c r="UCL466"/>
      <c r="UCM466"/>
      <c r="UCN466"/>
      <c r="UCO466"/>
      <c r="UCP466"/>
      <c r="UCQ466"/>
      <c r="UCR466"/>
      <c r="UCS466"/>
      <c r="UCT466"/>
      <c r="UCU466"/>
      <c r="UCV466"/>
      <c r="UCW466"/>
      <c r="UCX466"/>
      <c r="UCY466"/>
      <c r="UCZ466"/>
      <c r="UDA466"/>
      <c r="UDB466"/>
      <c r="UDC466"/>
      <c r="UDD466"/>
      <c r="UDE466"/>
      <c r="UDF466"/>
      <c r="UDG466"/>
      <c r="UDH466"/>
      <c r="UDI466"/>
      <c r="UDJ466"/>
      <c r="UDK466"/>
      <c r="UDL466"/>
      <c r="UDM466"/>
      <c r="UDN466"/>
      <c r="UDO466"/>
      <c r="UDP466"/>
      <c r="UDQ466"/>
      <c r="UDR466"/>
      <c r="UDS466"/>
      <c r="UDT466"/>
      <c r="UDU466"/>
      <c r="UDV466"/>
      <c r="UDW466"/>
      <c r="UDX466"/>
      <c r="UDY466"/>
      <c r="UDZ466"/>
      <c r="UEA466"/>
      <c r="UEB466"/>
      <c r="UEC466"/>
      <c r="UED466"/>
      <c r="UEE466"/>
      <c r="UEF466"/>
      <c r="UEG466"/>
      <c r="UEH466"/>
      <c r="UEI466"/>
      <c r="UEJ466"/>
      <c r="UEK466"/>
      <c r="UEL466"/>
      <c r="UEM466"/>
      <c r="UEN466"/>
      <c r="UEO466"/>
      <c r="UEP466"/>
      <c r="UEQ466"/>
      <c r="UER466"/>
      <c r="UES466"/>
      <c r="UET466"/>
      <c r="UEU466"/>
      <c r="UEV466"/>
      <c r="UEW466"/>
      <c r="UEX466"/>
      <c r="UEY466"/>
      <c r="UEZ466"/>
      <c r="UFA466"/>
      <c r="UFB466"/>
      <c r="UFC466"/>
      <c r="UFD466"/>
      <c r="UFE466"/>
      <c r="UFF466"/>
      <c r="UFG466"/>
      <c r="UFH466"/>
      <c r="UFI466"/>
      <c r="UFJ466"/>
      <c r="UFK466"/>
      <c r="UFL466"/>
      <c r="UFM466"/>
      <c r="UFN466"/>
      <c r="UFO466"/>
      <c r="UFP466"/>
      <c r="UFQ466"/>
      <c r="UFR466"/>
      <c r="UFS466"/>
      <c r="UFT466"/>
      <c r="UFU466"/>
      <c r="UFV466"/>
      <c r="UFW466"/>
      <c r="UFX466"/>
      <c r="UFY466"/>
      <c r="UFZ466"/>
      <c r="UGA466"/>
      <c r="UGB466"/>
      <c r="UGC466"/>
      <c r="UGD466"/>
      <c r="UGE466"/>
      <c r="UGF466"/>
      <c r="UGG466"/>
      <c r="UGH466"/>
      <c r="UGI466"/>
      <c r="UGJ466"/>
      <c r="UGK466"/>
      <c r="UGL466"/>
      <c r="UGM466"/>
      <c r="UGN466"/>
      <c r="UGO466"/>
      <c r="UGP466"/>
      <c r="UGQ466"/>
      <c r="UGR466"/>
      <c r="UGS466"/>
      <c r="UGT466"/>
      <c r="UGU466"/>
      <c r="UGV466"/>
      <c r="UGW466"/>
      <c r="UGX466"/>
      <c r="UGY466"/>
      <c r="UGZ466"/>
      <c r="UHA466"/>
      <c r="UHB466"/>
      <c r="UHC466"/>
      <c r="UHD466"/>
      <c r="UHE466"/>
      <c r="UHF466"/>
      <c r="UHG466"/>
      <c r="UHH466"/>
      <c r="UHI466"/>
      <c r="UHJ466"/>
      <c r="UHK466"/>
      <c r="UHL466"/>
      <c r="UHM466"/>
      <c r="UHN466"/>
      <c r="UHO466"/>
      <c r="UHP466"/>
      <c r="UHQ466"/>
      <c r="UHR466"/>
      <c r="UHS466"/>
      <c r="UHT466"/>
      <c r="UHU466"/>
      <c r="UHV466"/>
      <c r="UHW466"/>
      <c r="UHX466"/>
      <c r="UHY466"/>
      <c r="UHZ466"/>
      <c r="UIA466"/>
      <c r="UIB466"/>
      <c r="UIC466"/>
      <c r="UID466"/>
      <c r="UIE466"/>
      <c r="UIF466"/>
      <c r="UIG466"/>
      <c r="UIH466"/>
      <c r="UII466"/>
      <c r="UIJ466"/>
      <c r="UIK466"/>
      <c r="UIL466"/>
      <c r="UIM466"/>
      <c r="UIN466"/>
      <c r="UIO466"/>
      <c r="UIP466"/>
      <c r="UIQ466"/>
      <c r="UIR466"/>
      <c r="UIS466"/>
      <c r="UIT466"/>
      <c r="UIU466"/>
      <c r="UIV466"/>
      <c r="UIW466"/>
      <c r="UIX466"/>
      <c r="UIY466"/>
      <c r="UIZ466"/>
      <c r="UJA466"/>
      <c r="UJB466"/>
      <c r="UJC466"/>
      <c r="UJD466"/>
      <c r="UJE466"/>
      <c r="UJF466"/>
      <c r="UJG466"/>
      <c r="UJH466"/>
      <c r="UJI466"/>
      <c r="UJJ466"/>
      <c r="UJK466"/>
      <c r="UJL466"/>
      <c r="UJM466"/>
      <c r="UJN466"/>
      <c r="UJO466"/>
      <c r="UJP466"/>
      <c r="UJQ466"/>
      <c r="UJR466"/>
      <c r="UJS466"/>
      <c r="UJT466"/>
      <c r="UJU466"/>
      <c r="UJV466"/>
      <c r="UJW466"/>
      <c r="UJX466"/>
      <c r="UJY466"/>
      <c r="UJZ466"/>
      <c r="UKA466"/>
      <c r="UKB466"/>
      <c r="UKC466"/>
      <c r="UKD466"/>
      <c r="UKE466"/>
      <c r="UKF466"/>
      <c r="UKG466"/>
      <c r="UKH466"/>
      <c r="UKI466"/>
      <c r="UKJ466"/>
      <c r="UKK466"/>
      <c r="UKL466"/>
      <c r="UKM466"/>
      <c r="UKN466"/>
      <c r="UKO466"/>
      <c r="UKP466"/>
      <c r="UKQ466"/>
      <c r="UKR466"/>
      <c r="UKS466"/>
      <c r="UKT466"/>
      <c r="UKU466"/>
      <c r="UKV466"/>
      <c r="UKW466"/>
      <c r="UKX466"/>
      <c r="UKY466"/>
      <c r="UKZ466"/>
      <c r="ULA466"/>
      <c r="ULB466"/>
      <c r="ULC466"/>
      <c r="ULD466"/>
      <c r="ULE466"/>
      <c r="ULF466"/>
      <c r="ULG466"/>
      <c r="ULH466"/>
      <c r="ULI466"/>
      <c r="ULJ466"/>
      <c r="ULK466"/>
      <c r="ULL466"/>
      <c r="ULM466"/>
      <c r="ULN466"/>
      <c r="ULO466"/>
      <c r="ULP466"/>
      <c r="ULQ466"/>
      <c r="ULR466"/>
      <c r="ULS466"/>
      <c r="ULT466"/>
      <c r="ULU466"/>
      <c r="ULV466"/>
      <c r="ULW466"/>
      <c r="ULX466"/>
      <c r="ULY466"/>
      <c r="ULZ466"/>
      <c r="UMA466"/>
      <c r="UMB466"/>
      <c r="UMC466"/>
      <c r="UMD466"/>
      <c r="UME466"/>
      <c r="UMF466"/>
      <c r="UMG466"/>
      <c r="UMH466"/>
      <c r="UMI466"/>
      <c r="UMJ466"/>
      <c r="UMK466"/>
      <c r="UML466"/>
      <c r="UMM466"/>
      <c r="UMN466"/>
      <c r="UMO466"/>
      <c r="UMP466"/>
      <c r="UMQ466"/>
      <c r="UMR466"/>
      <c r="UMS466"/>
      <c r="UMT466"/>
      <c r="UMU466"/>
      <c r="UMV466"/>
      <c r="UMW466"/>
      <c r="UMX466"/>
      <c r="UMY466"/>
      <c r="UMZ466"/>
      <c r="UNA466"/>
      <c r="UNB466"/>
      <c r="UNC466"/>
      <c r="UND466"/>
      <c r="UNE466"/>
      <c r="UNF466"/>
      <c r="UNG466"/>
      <c r="UNH466"/>
      <c r="UNI466"/>
      <c r="UNJ466"/>
      <c r="UNK466"/>
      <c r="UNL466"/>
      <c r="UNM466"/>
      <c r="UNN466"/>
      <c r="UNO466"/>
      <c r="UNP466"/>
      <c r="UNQ466"/>
      <c r="UNR466"/>
      <c r="UNS466"/>
      <c r="UNT466"/>
      <c r="UNU466"/>
      <c r="UNV466"/>
      <c r="UNW466"/>
      <c r="UNX466"/>
      <c r="UNY466"/>
      <c r="UNZ466"/>
      <c r="UOA466"/>
      <c r="UOB466"/>
      <c r="UOC466"/>
      <c r="UOD466"/>
      <c r="UOE466"/>
      <c r="UOF466"/>
      <c r="UOG466"/>
      <c r="UOH466"/>
      <c r="UOI466"/>
      <c r="UOJ466"/>
      <c r="UOK466"/>
      <c r="UOL466"/>
      <c r="UOM466"/>
      <c r="UON466"/>
      <c r="UOO466"/>
      <c r="UOP466"/>
      <c r="UOQ466"/>
      <c r="UOR466"/>
      <c r="UOS466"/>
      <c r="UOT466"/>
      <c r="UOU466"/>
      <c r="UOV466"/>
      <c r="UOW466"/>
      <c r="UOX466"/>
      <c r="UOY466"/>
      <c r="UOZ466"/>
      <c r="UPA466"/>
      <c r="UPB466"/>
      <c r="UPC466"/>
      <c r="UPD466"/>
      <c r="UPE466"/>
      <c r="UPF466"/>
      <c r="UPG466"/>
      <c r="UPH466"/>
      <c r="UPI466"/>
      <c r="UPJ466"/>
      <c r="UPK466"/>
      <c r="UPL466"/>
      <c r="UPM466"/>
      <c r="UPN466"/>
      <c r="UPO466"/>
      <c r="UPP466"/>
      <c r="UPQ466"/>
      <c r="UPR466"/>
      <c r="UPS466"/>
      <c r="UPT466"/>
      <c r="UPU466"/>
      <c r="UPV466"/>
      <c r="UPW466"/>
      <c r="UPX466"/>
      <c r="UPY466"/>
      <c r="UPZ466"/>
      <c r="UQA466"/>
      <c r="UQB466"/>
      <c r="UQC466"/>
      <c r="UQD466"/>
      <c r="UQE466"/>
      <c r="UQF466"/>
      <c r="UQG466"/>
      <c r="UQH466"/>
      <c r="UQI466"/>
      <c r="UQJ466"/>
      <c r="UQK466"/>
      <c r="UQL466"/>
      <c r="UQM466"/>
      <c r="UQN466"/>
      <c r="UQO466"/>
      <c r="UQP466"/>
      <c r="UQQ466"/>
      <c r="UQR466"/>
      <c r="UQS466"/>
      <c r="UQT466"/>
      <c r="UQU466"/>
      <c r="UQV466"/>
      <c r="UQW466"/>
      <c r="UQX466"/>
      <c r="UQY466"/>
      <c r="UQZ466"/>
      <c r="URA466"/>
      <c r="URB466"/>
      <c r="URC466"/>
      <c r="URD466"/>
      <c r="URE466"/>
      <c r="URF466"/>
      <c r="URG466"/>
      <c r="URH466"/>
      <c r="URI466"/>
      <c r="URJ466"/>
      <c r="URK466"/>
      <c r="URL466"/>
      <c r="URM466"/>
      <c r="URN466"/>
      <c r="URO466"/>
      <c r="URP466"/>
      <c r="URQ466"/>
      <c r="URR466"/>
      <c r="URS466"/>
      <c r="URT466"/>
      <c r="URU466"/>
      <c r="URV466"/>
      <c r="URW466"/>
      <c r="URX466"/>
      <c r="URY466"/>
      <c r="URZ466"/>
      <c r="USA466"/>
      <c r="USB466"/>
      <c r="USC466"/>
      <c r="USD466"/>
      <c r="USE466"/>
      <c r="USF466"/>
      <c r="USG466"/>
      <c r="USH466"/>
      <c r="USI466"/>
      <c r="USJ466"/>
      <c r="USK466"/>
      <c r="USL466"/>
      <c r="USM466"/>
      <c r="USN466"/>
      <c r="USO466"/>
      <c r="USP466"/>
      <c r="USQ466"/>
      <c r="USR466"/>
      <c r="USS466"/>
      <c r="UST466"/>
      <c r="USU466"/>
      <c r="USV466"/>
      <c r="USW466"/>
      <c r="USX466"/>
      <c r="USY466"/>
      <c r="USZ466"/>
      <c r="UTA466"/>
      <c r="UTB466"/>
      <c r="UTC466"/>
      <c r="UTD466"/>
      <c r="UTE466"/>
      <c r="UTF466"/>
      <c r="UTG466"/>
      <c r="UTH466"/>
      <c r="UTI466"/>
      <c r="UTJ466"/>
      <c r="UTK466"/>
      <c r="UTL466"/>
      <c r="UTM466"/>
      <c r="UTN466"/>
      <c r="UTO466"/>
      <c r="UTP466"/>
      <c r="UTQ466"/>
      <c r="UTR466"/>
      <c r="UTS466"/>
      <c r="UTT466"/>
      <c r="UTU466"/>
      <c r="UTV466"/>
      <c r="UTW466"/>
      <c r="UTX466"/>
      <c r="UTY466"/>
      <c r="UTZ466"/>
      <c r="UUA466"/>
      <c r="UUB466"/>
      <c r="UUC466"/>
      <c r="UUD466"/>
      <c r="UUE466"/>
      <c r="UUF466"/>
      <c r="UUG466"/>
      <c r="UUH466"/>
      <c r="UUI466"/>
      <c r="UUJ466"/>
      <c r="UUK466"/>
      <c r="UUL466"/>
      <c r="UUM466"/>
      <c r="UUN466"/>
      <c r="UUO466"/>
      <c r="UUP466"/>
      <c r="UUQ466"/>
      <c r="UUR466"/>
      <c r="UUS466"/>
      <c r="UUT466"/>
      <c r="UUU466"/>
      <c r="UUV466"/>
      <c r="UUW466"/>
      <c r="UUX466"/>
      <c r="UUY466"/>
      <c r="UUZ466"/>
      <c r="UVA466"/>
      <c r="UVB466"/>
      <c r="UVC466"/>
      <c r="UVD466"/>
      <c r="UVE466"/>
      <c r="UVF466"/>
      <c r="UVG466"/>
      <c r="UVH466"/>
      <c r="UVI466"/>
      <c r="UVJ466"/>
      <c r="UVK466"/>
      <c r="UVL466"/>
      <c r="UVM466"/>
      <c r="UVN466"/>
      <c r="UVO466"/>
      <c r="UVP466"/>
      <c r="UVQ466"/>
      <c r="UVR466"/>
      <c r="UVS466"/>
      <c r="UVT466"/>
      <c r="UVU466"/>
      <c r="UVV466"/>
      <c r="UVW466"/>
      <c r="UVX466"/>
      <c r="UVY466"/>
      <c r="UVZ466"/>
      <c r="UWA466"/>
      <c r="UWB466"/>
      <c r="UWC466"/>
      <c r="UWD466"/>
      <c r="UWE466"/>
      <c r="UWF466"/>
      <c r="UWG466"/>
      <c r="UWH466"/>
      <c r="UWI466"/>
      <c r="UWJ466"/>
      <c r="UWK466"/>
      <c r="UWL466"/>
      <c r="UWM466"/>
      <c r="UWN466"/>
      <c r="UWO466"/>
      <c r="UWP466"/>
      <c r="UWQ466"/>
      <c r="UWR466"/>
      <c r="UWS466"/>
      <c r="UWT466"/>
      <c r="UWU466"/>
      <c r="UWV466"/>
      <c r="UWW466"/>
      <c r="UWX466"/>
      <c r="UWY466"/>
      <c r="UWZ466"/>
      <c r="UXA466"/>
      <c r="UXB466"/>
      <c r="UXC466"/>
      <c r="UXD466"/>
      <c r="UXE466"/>
      <c r="UXF466"/>
      <c r="UXG466"/>
      <c r="UXH466"/>
      <c r="UXI466"/>
      <c r="UXJ466"/>
      <c r="UXK466"/>
      <c r="UXL466"/>
      <c r="UXM466"/>
      <c r="UXN466"/>
      <c r="UXO466"/>
      <c r="UXP466"/>
      <c r="UXQ466"/>
      <c r="UXR466"/>
      <c r="UXS466"/>
      <c r="UXT466"/>
      <c r="UXU466"/>
      <c r="UXV466"/>
      <c r="UXW466"/>
      <c r="UXX466"/>
      <c r="UXY466"/>
      <c r="UXZ466"/>
      <c r="UYA466"/>
      <c r="UYB466"/>
      <c r="UYC466"/>
      <c r="UYD466"/>
      <c r="UYE466"/>
      <c r="UYF466"/>
      <c r="UYG466"/>
      <c r="UYH466"/>
      <c r="UYI466"/>
      <c r="UYJ466"/>
      <c r="UYK466"/>
      <c r="UYL466"/>
      <c r="UYM466"/>
      <c r="UYN466"/>
      <c r="UYO466"/>
      <c r="UYP466"/>
      <c r="UYQ466"/>
      <c r="UYR466"/>
      <c r="UYS466"/>
      <c r="UYT466"/>
      <c r="UYU466"/>
      <c r="UYV466"/>
      <c r="UYW466"/>
      <c r="UYX466"/>
      <c r="UYY466"/>
      <c r="UYZ466"/>
      <c r="UZA466"/>
      <c r="UZB466"/>
      <c r="UZC466"/>
      <c r="UZD466"/>
      <c r="UZE466"/>
      <c r="UZF466"/>
      <c r="UZG466"/>
      <c r="UZH466"/>
      <c r="UZI466"/>
      <c r="UZJ466"/>
      <c r="UZK466"/>
      <c r="UZL466"/>
      <c r="UZM466"/>
      <c r="UZN466"/>
      <c r="UZO466"/>
      <c r="UZP466"/>
      <c r="UZQ466"/>
      <c r="UZR466"/>
      <c r="UZS466"/>
      <c r="UZT466"/>
      <c r="UZU466"/>
      <c r="UZV466"/>
      <c r="UZW466"/>
      <c r="UZX466"/>
      <c r="UZY466"/>
      <c r="UZZ466"/>
      <c r="VAA466"/>
      <c r="VAB466"/>
      <c r="VAC466"/>
      <c r="VAD466"/>
      <c r="VAE466"/>
      <c r="VAF466"/>
      <c r="VAG466"/>
      <c r="VAH466"/>
      <c r="VAI466"/>
      <c r="VAJ466"/>
      <c r="VAK466"/>
      <c r="VAL466"/>
      <c r="VAM466"/>
      <c r="VAN466"/>
      <c r="VAO466"/>
      <c r="VAP466"/>
      <c r="VAQ466"/>
      <c r="VAR466"/>
      <c r="VAS466"/>
      <c r="VAT466"/>
      <c r="VAU466"/>
      <c r="VAV466"/>
      <c r="VAW466"/>
      <c r="VAX466"/>
      <c r="VAY466"/>
      <c r="VAZ466"/>
      <c r="VBA466"/>
      <c r="VBB466"/>
      <c r="VBC466"/>
      <c r="VBD466"/>
      <c r="VBE466"/>
      <c r="VBF466"/>
      <c r="VBG466"/>
      <c r="VBH466"/>
      <c r="VBI466"/>
      <c r="VBJ466"/>
      <c r="VBK466"/>
      <c r="VBL466"/>
      <c r="VBM466"/>
      <c r="VBN466"/>
      <c r="VBO466"/>
      <c r="VBP466"/>
      <c r="VBQ466"/>
      <c r="VBR466"/>
      <c r="VBS466"/>
      <c r="VBT466"/>
      <c r="VBU466"/>
      <c r="VBV466"/>
      <c r="VBW466"/>
      <c r="VBX466"/>
      <c r="VBY466"/>
      <c r="VBZ466"/>
      <c r="VCA466"/>
      <c r="VCB466"/>
      <c r="VCC466"/>
      <c r="VCD466"/>
      <c r="VCE466"/>
      <c r="VCF466"/>
      <c r="VCG466"/>
      <c r="VCH466"/>
      <c r="VCI466"/>
      <c r="VCJ466"/>
      <c r="VCK466"/>
      <c r="VCL466"/>
      <c r="VCM466"/>
      <c r="VCN466"/>
      <c r="VCO466"/>
      <c r="VCP466"/>
      <c r="VCQ466"/>
      <c r="VCR466"/>
      <c r="VCS466"/>
      <c r="VCT466"/>
      <c r="VCU466"/>
      <c r="VCV466"/>
      <c r="VCW466"/>
      <c r="VCX466"/>
      <c r="VCY466"/>
      <c r="VCZ466"/>
      <c r="VDA466"/>
      <c r="VDB466"/>
      <c r="VDC466"/>
      <c r="VDD466"/>
      <c r="VDE466"/>
      <c r="VDF466"/>
      <c r="VDG466"/>
      <c r="VDH466"/>
      <c r="VDI466"/>
      <c r="VDJ466"/>
      <c r="VDK466"/>
      <c r="VDL466"/>
      <c r="VDM466"/>
      <c r="VDN466"/>
      <c r="VDO466"/>
      <c r="VDP466"/>
      <c r="VDQ466"/>
      <c r="VDR466"/>
      <c r="VDS466"/>
      <c r="VDT466"/>
      <c r="VDU466"/>
      <c r="VDV466"/>
      <c r="VDW466"/>
      <c r="VDX466"/>
      <c r="VDY466"/>
      <c r="VDZ466"/>
      <c r="VEA466"/>
      <c r="VEB466"/>
      <c r="VEC466"/>
      <c r="VED466"/>
      <c r="VEE466"/>
      <c r="VEF466"/>
      <c r="VEG466"/>
      <c r="VEH466"/>
      <c r="VEI466"/>
      <c r="VEJ466"/>
      <c r="VEK466"/>
      <c r="VEL466"/>
      <c r="VEM466"/>
      <c r="VEN466"/>
      <c r="VEO466"/>
      <c r="VEP466"/>
      <c r="VEQ466"/>
      <c r="VER466"/>
      <c r="VES466"/>
      <c r="VET466"/>
      <c r="VEU466"/>
      <c r="VEV466"/>
      <c r="VEW466"/>
      <c r="VEX466"/>
      <c r="VEY466"/>
      <c r="VEZ466"/>
      <c r="VFA466"/>
      <c r="VFB466"/>
      <c r="VFC466"/>
      <c r="VFD466"/>
      <c r="VFE466"/>
      <c r="VFF466"/>
      <c r="VFG466"/>
      <c r="VFH466"/>
      <c r="VFI466"/>
      <c r="VFJ466"/>
      <c r="VFK466"/>
      <c r="VFL466"/>
      <c r="VFM466"/>
      <c r="VFN466"/>
      <c r="VFO466"/>
      <c r="VFP466"/>
      <c r="VFQ466"/>
      <c r="VFR466"/>
      <c r="VFS466"/>
      <c r="VFT466"/>
      <c r="VFU466"/>
      <c r="VFV466"/>
      <c r="VFW466"/>
      <c r="VFX466"/>
      <c r="VFY466"/>
      <c r="VFZ466"/>
      <c r="VGA466"/>
      <c r="VGB466"/>
      <c r="VGC466"/>
      <c r="VGD466"/>
      <c r="VGE466"/>
      <c r="VGF466"/>
      <c r="VGG466"/>
      <c r="VGH466"/>
      <c r="VGI466"/>
      <c r="VGJ466"/>
      <c r="VGK466"/>
      <c r="VGL466"/>
      <c r="VGM466"/>
      <c r="VGN466"/>
      <c r="VGO466"/>
      <c r="VGP466"/>
      <c r="VGQ466"/>
      <c r="VGR466"/>
      <c r="VGS466"/>
      <c r="VGT466"/>
      <c r="VGU466"/>
      <c r="VGV466"/>
      <c r="VGW466"/>
      <c r="VGX466"/>
      <c r="VGY466"/>
      <c r="VGZ466"/>
      <c r="VHA466"/>
      <c r="VHB466"/>
      <c r="VHC466"/>
      <c r="VHD466"/>
      <c r="VHE466"/>
      <c r="VHF466"/>
      <c r="VHG466"/>
      <c r="VHH466"/>
      <c r="VHI466"/>
      <c r="VHJ466"/>
      <c r="VHK466"/>
      <c r="VHL466"/>
      <c r="VHM466"/>
      <c r="VHN466"/>
      <c r="VHO466"/>
      <c r="VHP466"/>
      <c r="VHQ466"/>
      <c r="VHR466"/>
      <c r="VHS466"/>
      <c r="VHT466"/>
      <c r="VHU466"/>
      <c r="VHV466"/>
      <c r="VHW466"/>
      <c r="VHX466"/>
      <c r="VHY466"/>
      <c r="VHZ466"/>
      <c r="VIA466"/>
      <c r="VIB466"/>
      <c r="VIC466"/>
      <c r="VID466"/>
      <c r="VIE466"/>
      <c r="VIF466"/>
      <c r="VIG466"/>
      <c r="VIH466"/>
      <c r="VII466"/>
      <c r="VIJ466"/>
      <c r="VIK466"/>
      <c r="VIL466"/>
      <c r="VIM466"/>
      <c r="VIN466"/>
      <c r="VIO466"/>
      <c r="VIP466"/>
      <c r="VIQ466"/>
      <c r="VIR466"/>
      <c r="VIS466"/>
      <c r="VIT466"/>
      <c r="VIU466"/>
      <c r="VIV466"/>
      <c r="VIW466"/>
      <c r="VIX466"/>
      <c r="VIY466"/>
      <c r="VIZ466"/>
      <c r="VJA466"/>
      <c r="VJB466"/>
      <c r="VJC466"/>
      <c r="VJD466"/>
      <c r="VJE466"/>
      <c r="VJF466"/>
      <c r="VJG466"/>
      <c r="VJH466"/>
      <c r="VJI466"/>
      <c r="VJJ466"/>
      <c r="VJK466"/>
      <c r="VJL466"/>
      <c r="VJM466"/>
      <c r="VJN466"/>
      <c r="VJO466"/>
      <c r="VJP466"/>
      <c r="VJQ466"/>
      <c r="VJR466"/>
      <c r="VJS466"/>
      <c r="VJT466"/>
      <c r="VJU466"/>
      <c r="VJV466"/>
      <c r="VJW466"/>
      <c r="VJX466"/>
      <c r="VJY466"/>
      <c r="VJZ466"/>
      <c r="VKA466"/>
      <c r="VKB466"/>
      <c r="VKC466"/>
      <c r="VKD466"/>
      <c r="VKE466"/>
      <c r="VKF466"/>
      <c r="VKG466"/>
      <c r="VKH466"/>
      <c r="VKI466"/>
      <c r="VKJ466"/>
      <c r="VKK466"/>
      <c r="VKL466"/>
      <c r="VKM466"/>
      <c r="VKN466"/>
      <c r="VKO466"/>
      <c r="VKP466"/>
      <c r="VKQ466"/>
      <c r="VKR466"/>
      <c r="VKS466"/>
      <c r="VKT466"/>
      <c r="VKU466"/>
      <c r="VKV466"/>
      <c r="VKW466"/>
      <c r="VKX466"/>
      <c r="VKY466"/>
      <c r="VKZ466"/>
      <c r="VLA466"/>
      <c r="VLB466"/>
      <c r="VLC466"/>
      <c r="VLD466"/>
      <c r="VLE466"/>
      <c r="VLF466"/>
      <c r="VLG466"/>
      <c r="VLH466"/>
      <c r="VLI466"/>
      <c r="VLJ466"/>
      <c r="VLK466"/>
      <c r="VLL466"/>
      <c r="VLM466"/>
      <c r="VLN466"/>
      <c r="VLO466"/>
      <c r="VLP466"/>
      <c r="VLQ466"/>
      <c r="VLR466"/>
      <c r="VLS466"/>
      <c r="VLT466"/>
      <c r="VLU466"/>
      <c r="VLV466"/>
      <c r="VLW466"/>
      <c r="VLX466"/>
      <c r="VLY466"/>
      <c r="VLZ466"/>
      <c r="VMA466"/>
      <c r="VMB466"/>
      <c r="VMC466"/>
      <c r="VMD466"/>
      <c r="VME466"/>
      <c r="VMF466"/>
      <c r="VMG466"/>
      <c r="VMH466"/>
      <c r="VMI466"/>
      <c r="VMJ466"/>
      <c r="VMK466"/>
      <c r="VML466"/>
      <c r="VMM466"/>
      <c r="VMN466"/>
      <c r="VMO466"/>
      <c r="VMP466"/>
      <c r="VMQ466"/>
      <c r="VMR466"/>
      <c r="VMS466"/>
      <c r="VMT466"/>
      <c r="VMU466"/>
      <c r="VMV466"/>
      <c r="VMW466"/>
      <c r="VMX466"/>
      <c r="VMY466"/>
      <c r="VMZ466"/>
      <c r="VNA466"/>
      <c r="VNB466"/>
      <c r="VNC466"/>
      <c r="VND466"/>
      <c r="VNE466"/>
      <c r="VNF466"/>
      <c r="VNG466"/>
      <c r="VNH466"/>
      <c r="VNI466"/>
      <c r="VNJ466"/>
      <c r="VNK466"/>
      <c r="VNL466"/>
      <c r="VNM466"/>
      <c r="VNN466"/>
      <c r="VNO466"/>
      <c r="VNP466"/>
      <c r="VNQ466"/>
      <c r="VNR466"/>
      <c r="VNS466"/>
      <c r="VNT466"/>
      <c r="VNU466"/>
      <c r="VNV466"/>
      <c r="VNW466"/>
      <c r="VNX466"/>
      <c r="VNY466"/>
      <c r="VNZ466"/>
      <c r="VOA466"/>
      <c r="VOB466"/>
      <c r="VOC466"/>
      <c r="VOD466"/>
      <c r="VOE466"/>
      <c r="VOF466"/>
      <c r="VOG466"/>
      <c r="VOH466"/>
      <c r="VOI466"/>
      <c r="VOJ466"/>
      <c r="VOK466"/>
      <c r="VOL466"/>
      <c r="VOM466"/>
      <c r="VON466"/>
      <c r="VOO466"/>
      <c r="VOP466"/>
      <c r="VOQ466"/>
      <c r="VOR466"/>
      <c r="VOS466"/>
      <c r="VOT466"/>
      <c r="VOU466"/>
      <c r="VOV466"/>
      <c r="VOW466"/>
      <c r="VOX466"/>
      <c r="VOY466"/>
      <c r="VOZ466"/>
      <c r="VPA466"/>
      <c r="VPB466"/>
      <c r="VPC466"/>
      <c r="VPD466"/>
      <c r="VPE466"/>
      <c r="VPF466"/>
      <c r="VPG466"/>
      <c r="VPH466"/>
      <c r="VPI466"/>
      <c r="VPJ466"/>
      <c r="VPK466"/>
      <c r="VPL466"/>
      <c r="VPM466"/>
      <c r="VPN466"/>
      <c r="VPO466"/>
      <c r="VPP466"/>
      <c r="VPQ466"/>
      <c r="VPR466"/>
      <c r="VPS466"/>
      <c r="VPT466"/>
      <c r="VPU466"/>
      <c r="VPV466"/>
      <c r="VPW466"/>
      <c r="VPX466"/>
      <c r="VPY466"/>
      <c r="VPZ466"/>
      <c r="VQA466"/>
      <c r="VQB466"/>
      <c r="VQC466"/>
      <c r="VQD466"/>
      <c r="VQE466"/>
      <c r="VQF466"/>
      <c r="VQG466"/>
      <c r="VQH466"/>
      <c r="VQI466"/>
      <c r="VQJ466"/>
      <c r="VQK466"/>
      <c r="VQL466"/>
      <c r="VQM466"/>
      <c r="VQN466"/>
      <c r="VQO466"/>
      <c r="VQP466"/>
      <c r="VQQ466"/>
      <c r="VQR466"/>
      <c r="VQS466"/>
      <c r="VQT466"/>
      <c r="VQU466"/>
      <c r="VQV466"/>
      <c r="VQW466"/>
      <c r="VQX466"/>
      <c r="VQY466"/>
      <c r="VQZ466"/>
      <c r="VRA466"/>
      <c r="VRB466"/>
      <c r="VRC466"/>
      <c r="VRD466"/>
      <c r="VRE466"/>
      <c r="VRF466"/>
      <c r="VRG466"/>
      <c r="VRH466"/>
      <c r="VRI466"/>
      <c r="VRJ466"/>
      <c r="VRK466"/>
      <c r="VRL466"/>
      <c r="VRM466"/>
      <c r="VRN466"/>
      <c r="VRO466"/>
      <c r="VRP466"/>
      <c r="VRQ466"/>
      <c r="VRR466"/>
      <c r="VRS466"/>
      <c r="VRT466"/>
      <c r="VRU466"/>
      <c r="VRV466"/>
      <c r="VRW466"/>
      <c r="VRX466"/>
      <c r="VRY466"/>
      <c r="VRZ466"/>
      <c r="VSA466"/>
      <c r="VSB466"/>
      <c r="VSC466"/>
      <c r="VSD466"/>
      <c r="VSE466"/>
      <c r="VSF466"/>
      <c r="VSG466"/>
      <c r="VSH466"/>
      <c r="VSI466"/>
      <c r="VSJ466"/>
      <c r="VSK466"/>
      <c r="VSL466"/>
      <c r="VSM466"/>
      <c r="VSN466"/>
      <c r="VSO466"/>
      <c r="VSP466"/>
      <c r="VSQ466"/>
      <c r="VSR466"/>
      <c r="VSS466"/>
      <c r="VST466"/>
      <c r="VSU466"/>
      <c r="VSV466"/>
      <c r="VSW466"/>
      <c r="VSX466"/>
      <c r="VSY466"/>
      <c r="VSZ466"/>
      <c r="VTA466"/>
      <c r="VTB466"/>
      <c r="VTC466"/>
      <c r="VTD466"/>
      <c r="VTE466"/>
      <c r="VTF466"/>
      <c r="VTG466"/>
      <c r="VTH466"/>
      <c r="VTI466"/>
      <c r="VTJ466"/>
      <c r="VTK466"/>
      <c r="VTL466"/>
      <c r="VTM466"/>
      <c r="VTN466"/>
      <c r="VTO466"/>
      <c r="VTP466"/>
      <c r="VTQ466"/>
      <c r="VTR466"/>
      <c r="VTS466"/>
      <c r="VTT466"/>
      <c r="VTU466"/>
      <c r="VTV466"/>
      <c r="VTW466"/>
      <c r="VTX466"/>
      <c r="VTY466"/>
      <c r="VTZ466"/>
      <c r="VUA466"/>
      <c r="VUB466"/>
      <c r="VUC466"/>
      <c r="VUD466"/>
      <c r="VUE466"/>
      <c r="VUF466"/>
      <c r="VUG466"/>
      <c r="VUH466"/>
      <c r="VUI466"/>
      <c r="VUJ466"/>
      <c r="VUK466"/>
      <c r="VUL466"/>
      <c r="VUM466"/>
      <c r="VUN466"/>
      <c r="VUO466"/>
      <c r="VUP466"/>
      <c r="VUQ466"/>
      <c r="VUR466"/>
      <c r="VUS466"/>
      <c r="VUT466"/>
      <c r="VUU466"/>
      <c r="VUV466"/>
      <c r="VUW466"/>
      <c r="VUX466"/>
      <c r="VUY466"/>
      <c r="VUZ466"/>
      <c r="VVA466"/>
      <c r="VVB466"/>
      <c r="VVC466"/>
      <c r="VVD466"/>
      <c r="VVE466"/>
      <c r="VVF466"/>
      <c r="VVG466"/>
      <c r="VVH466"/>
      <c r="VVI466"/>
      <c r="VVJ466"/>
      <c r="VVK466"/>
      <c r="VVL466"/>
      <c r="VVM466"/>
      <c r="VVN466"/>
      <c r="VVO466"/>
      <c r="VVP466"/>
      <c r="VVQ466"/>
      <c r="VVR466"/>
      <c r="VVS466"/>
      <c r="VVT466"/>
      <c r="VVU466"/>
      <c r="VVV466"/>
      <c r="VVW466"/>
      <c r="VVX466"/>
      <c r="VVY466"/>
      <c r="VVZ466"/>
      <c r="VWA466"/>
      <c r="VWB466"/>
      <c r="VWC466"/>
      <c r="VWD466"/>
      <c r="VWE466"/>
      <c r="VWF466"/>
      <c r="VWG466"/>
      <c r="VWH466"/>
      <c r="VWI466"/>
      <c r="VWJ466"/>
      <c r="VWK466"/>
      <c r="VWL466"/>
      <c r="VWM466"/>
      <c r="VWN466"/>
      <c r="VWO466"/>
      <c r="VWP466"/>
      <c r="VWQ466"/>
      <c r="VWR466"/>
      <c r="VWS466"/>
      <c r="VWT466"/>
      <c r="VWU466"/>
      <c r="VWV466"/>
      <c r="VWW466"/>
      <c r="VWX466"/>
      <c r="VWY466"/>
      <c r="VWZ466"/>
      <c r="VXA466"/>
      <c r="VXB466"/>
      <c r="VXC466"/>
      <c r="VXD466"/>
      <c r="VXE466"/>
      <c r="VXF466"/>
      <c r="VXG466"/>
      <c r="VXH466"/>
      <c r="VXI466"/>
      <c r="VXJ466"/>
      <c r="VXK466"/>
      <c r="VXL466"/>
      <c r="VXM466"/>
      <c r="VXN466"/>
      <c r="VXO466"/>
      <c r="VXP466"/>
      <c r="VXQ466"/>
      <c r="VXR466"/>
      <c r="VXS466"/>
      <c r="VXT466"/>
      <c r="VXU466"/>
      <c r="VXV466"/>
      <c r="VXW466"/>
      <c r="VXX466"/>
      <c r="VXY466"/>
      <c r="VXZ466"/>
      <c r="VYA466"/>
      <c r="VYB466"/>
      <c r="VYC466"/>
      <c r="VYD466"/>
      <c r="VYE466"/>
      <c r="VYF466"/>
      <c r="VYG466"/>
      <c r="VYH466"/>
      <c r="VYI466"/>
      <c r="VYJ466"/>
      <c r="VYK466"/>
      <c r="VYL466"/>
      <c r="VYM466"/>
      <c r="VYN466"/>
      <c r="VYO466"/>
      <c r="VYP466"/>
      <c r="VYQ466"/>
      <c r="VYR466"/>
      <c r="VYS466"/>
      <c r="VYT466"/>
      <c r="VYU466"/>
      <c r="VYV466"/>
      <c r="VYW466"/>
      <c r="VYX466"/>
      <c r="VYY466"/>
      <c r="VYZ466"/>
      <c r="VZA466"/>
      <c r="VZB466"/>
      <c r="VZC466"/>
      <c r="VZD466"/>
      <c r="VZE466"/>
      <c r="VZF466"/>
      <c r="VZG466"/>
      <c r="VZH466"/>
      <c r="VZI466"/>
      <c r="VZJ466"/>
      <c r="VZK466"/>
      <c r="VZL466"/>
      <c r="VZM466"/>
      <c r="VZN466"/>
      <c r="VZO466"/>
      <c r="VZP466"/>
      <c r="VZQ466"/>
      <c r="VZR466"/>
      <c r="VZS466"/>
      <c r="VZT466"/>
      <c r="VZU466"/>
      <c r="VZV466"/>
      <c r="VZW466"/>
      <c r="VZX466"/>
      <c r="VZY466"/>
      <c r="VZZ466"/>
      <c r="WAA466"/>
      <c r="WAB466"/>
      <c r="WAC466"/>
      <c r="WAD466"/>
      <c r="WAE466"/>
      <c r="WAF466"/>
      <c r="WAG466"/>
      <c r="WAH466"/>
      <c r="WAI466"/>
      <c r="WAJ466"/>
      <c r="WAK466"/>
      <c r="WAL466"/>
      <c r="WAM466"/>
      <c r="WAN466"/>
      <c r="WAO466"/>
      <c r="WAP466"/>
      <c r="WAQ466"/>
      <c r="WAR466"/>
      <c r="WAS466"/>
      <c r="WAT466"/>
      <c r="WAU466"/>
      <c r="WAV466"/>
      <c r="WAW466"/>
      <c r="WAX466"/>
      <c r="WAY466"/>
      <c r="WAZ466"/>
      <c r="WBA466"/>
      <c r="WBB466"/>
      <c r="WBC466"/>
      <c r="WBD466"/>
      <c r="WBE466"/>
      <c r="WBF466"/>
      <c r="WBG466"/>
      <c r="WBH466"/>
      <c r="WBI466"/>
      <c r="WBJ466"/>
      <c r="WBK466"/>
      <c r="WBL466"/>
      <c r="WBM466"/>
      <c r="WBN466"/>
      <c r="WBO466"/>
      <c r="WBP466"/>
      <c r="WBQ466"/>
      <c r="WBR466"/>
      <c r="WBS466"/>
      <c r="WBT466"/>
      <c r="WBU466"/>
      <c r="WBV466"/>
      <c r="WBW466"/>
      <c r="WBX466"/>
      <c r="WBY466"/>
      <c r="WBZ466"/>
      <c r="WCA466"/>
      <c r="WCB466"/>
      <c r="WCC466"/>
      <c r="WCD466"/>
      <c r="WCE466"/>
      <c r="WCF466"/>
      <c r="WCG466"/>
      <c r="WCH466"/>
      <c r="WCI466"/>
      <c r="WCJ466"/>
      <c r="WCK466"/>
      <c r="WCL466"/>
      <c r="WCM466"/>
      <c r="WCN466"/>
      <c r="WCO466"/>
      <c r="WCP466"/>
      <c r="WCQ466"/>
      <c r="WCR466"/>
      <c r="WCS466"/>
      <c r="WCT466"/>
      <c r="WCU466"/>
      <c r="WCV466"/>
      <c r="WCW466"/>
      <c r="WCX466"/>
      <c r="WCY466"/>
      <c r="WCZ466"/>
      <c r="WDA466"/>
      <c r="WDB466"/>
      <c r="WDC466"/>
      <c r="WDD466"/>
      <c r="WDE466"/>
      <c r="WDF466"/>
      <c r="WDG466"/>
      <c r="WDH466"/>
      <c r="WDI466"/>
      <c r="WDJ466"/>
      <c r="WDK466"/>
      <c r="WDL466"/>
      <c r="WDM466"/>
      <c r="WDN466"/>
      <c r="WDO466"/>
      <c r="WDP466"/>
      <c r="WDQ466"/>
      <c r="WDR466"/>
      <c r="WDS466"/>
      <c r="WDT466"/>
      <c r="WDU466"/>
      <c r="WDV466"/>
      <c r="WDW466"/>
      <c r="WDX466"/>
      <c r="WDY466"/>
      <c r="WDZ466"/>
      <c r="WEA466"/>
      <c r="WEB466"/>
      <c r="WEC466"/>
      <c r="WED466"/>
      <c r="WEE466"/>
      <c r="WEF466"/>
      <c r="WEG466"/>
      <c r="WEH466"/>
      <c r="WEI466"/>
      <c r="WEJ466"/>
      <c r="WEK466"/>
      <c r="WEL466"/>
      <c r="WEM466"/>
      <c r="WEN466"/>
      <c r="WEO466"/>
      <c r="WEP466"/>
      <c r="WEQ466"/>
      <c r="WER466"/>
      <c r="WES466"/>
      <c r="WET466"/>
      <c r="WEU466"/>
      <c r="WEV466"/>
      <c r="WEW466"/>
      <c r="WEX466"/>
      <c r="WEY466"/>
      <c r="WEZ466"/>
      <c r="WFA466"/>
      <c r="WFB466"/>
      <c r="WFC466"/>
      <c r="WFD466"/>
      <c r="WFE466"/>
      <c r="WFF466"/>
      <c r="WFG466"/>
      <c r="WFH466"/>
      <c r="WFI466"/>
      <c r="WFJ466"/>
      <c r="WFK466"/>
      <c r="WFL466"/>
      <c r="WFM466"/>
      <c r="WFN466"/>
      <c r="WFO466"/>
      <c r="WFP466"/>
      <c r="WFQ466"/>
      <c r="WFR466"/>
      <c r="WFS466"/>
      <c r="WFT466"/>
      <c r="WFU466"/>
      <c r="WFV466"/>
      <c r="WFW466"/>
      <c r="WFX466"/>
      <c r="WFY466"/>
      <c r="WFZ466"/>
      <c r="WGA466"/>
      <c r="WGB466"/>
      <c r="WGC466"/>
      <c r="WGD466"/>
      <c r="WGE466"/>
      <c r="WGF466"/>
      <c r="WGG466"/>
      <c r="WGH466"/>
      <c r="WGI466"/>
      <c r="WGJ466"/>
      <c r="WGK466"/>
      <c r="WGL466"/>
      <c r="WGM466"/>
      <c r="WGN466"/>
      <c r="WGO466"/>
      <c r="WGP466"/>
      <c r="WGQ466"/>
      <c r="WGR466"/>
      <c r="WGS466"/>
      <c r="WGT466"/>
      <c r="WGU466"/>
      <c r="WGV466"/>
      <c r="WGW466"/>
      <c r="WGX466"/>
      <c r="WGY466"/>
      <c r="WGZ466"/>
      <c r="WHA466"/>
      <c r="WHB466"/>
      <c r="WHC466"/>
      <c r="WHD466"/>
      <c r="WHE466"/>
      <c r="WHF466"/>
      <c r="WHG466"/>
      <c r="WHH466"/>
      <c r="WHI466"/>
      <c r="WHJ466"/>
      <c r="WHK466"/>
      <c r="WHL466"/>
      <c r="WHM466"/>
      <c r="WHN466"/>
      <c r="WHO466"/>
      <c r="WHP466"/>
      <c r="WHQ466"/>
      <c r="WHR466"/>
      <c r="WHS466"/>
      <c r="WHT466"/>
      <c r="WHU466"/>
      <c r="WHV466"/>
      <c r="WHW466"/>
      <c r="WHX466"/>
      <c r="WHY466"/>
      <c r="WHZ466"/>
      <c r="WIA466"/>
      <c r="WIB466"/>
      <c r="WIC466"/>
      <c r="WID466"/>
      <c r="WIE466"/>
      <c r="WIF466"/>
      <c r="WIG466"/>
      <c r="WIH466"/>
      <c r="WII466"/>
      <c r="WIJ466"/>
      <c r="WIK466"/>
      <c r="WIL466"/>
      <c r="WIM466"/>
      <c r="WIN466"/>
      <c r="WIO466"/>
      <c r="WIP466"/>
      <c r="WIQ466"/>
      <c r="WIR466"/>
      <c r="WIS466"/>
      <c r="WIT466"/>
      <c r="WIU466"/>
      <c r="WIV466"/>
      <c r="WIW466"/>
      <c r="WIX466"/>
      <c r="WIY466"/>
      <c r="WIZ466"/>
      <c r="WJA466"/>
      <c r="WJB466"/>
      <c r="WJC466"/>
      <c r="WJD466"/>
      <c r="WJE466"/>
      <c r="WJF466"/>
      <c r="WJG466"/>
      <c r="WJH466"/>
      <c r="WJI466"/>
      <c r="WJJ466"/>
      <c r="WJK466"/>
      <c r="WJL466"/>
      <c r="WJM466"/>
      <c r="WJN466"/>
      <c r="WJO466"/>
      <c r="WJP466"/>
      <c r="WJQ466"/>
      <c r="WJR466"/>
      <c r="WJS466"/>
      <c r="WJT466"/>
      <c r="WJU466"/>
      <c r="WJV466"/>
      <c r="WJW466"/>
      <c r="WJX466"/>
      <c r="WJY466"/>
      <c r="WJZ466"/>
      <c r="WKA466"/>
      <c r="WKB466"/>
      <c r="WKC466"/>
      <c r="WKD466"/>
      <c r="WKE466"/>
      <c r="WKF466"/>
      <c r="WKG466"/>
      <c r="WKH466"/>
      <c r="WKI466"/>
      <c r="WKJ466"/>
      <c r="WKK466"/>
      <c r="WKL466"/>
      <c r="WKM466"/>
      <c r="WKN466"/>
      <c r="WKO466"/>
      <c r="WKP466"/>
      <c r="WKQ466"/>
      <c r="WKR466"/>
      <c r="WKS466"/>
      <c r="WKT466"/>
      <c r="WKU466"/>
      <c r="WKV466"/>
      <c r="WKW466"/>
      <c r="WKX466"/>
      <c r="WKY466"/>
      <c r="WKZ466"/>
      <c r="WLA466"/>
      <c r="WLB466"/>
      <c r="WLC466"/>
      <c r="WLD466"/>
      <c r="WLE466"/>
      <c r="WLF466"/>
      <c r="WLG466"/>
      <c r="WLH466"/>
      <c r="WLI466"/>
      <c r="WLJ466"/>
      <c r="WLK466"/>
      <c r="WLL466"/>
      <c r="WLM466"/>
      <c r="WLN466"/>
      <c r="WLO466"/>
      <c r="WLP466"/>
      <c r="WLQ466"/>
      <c r="WLR466"/>
      <c r="WLS466"/>
      <c r="WLT466"/>
      <c r="WLU466"/>
      <c r="WLV466"/>
      <c r="WLW466"/>
      <c r="WLX466"/>
      <c r="WLY466"/>
      <c r="WLZ466"/>
      <c r="WMA466"/>
      <c r="WMB466"/>
      <c r="WMC466"/>
      <c r="WMD466"/>
      <c r="WME466"/>
      <c r="WMF466"/>
      <c r="WMG466"/>
      <c r="WMH466"/>
      <c r="WMI466"/>
      <c r="WMJ466"/>
      <c r="WMK466"/>
      <c r="WML466"/>
      <c r="WMM466"/>
      <c r="WMN466"/>
      <c r="WMO466"/>
      <c r="WMP466"/>
      <c r="WMQ466"/>
      <c r="WMR466"/>
      <c r="WMS466"/>
      <c r="WMT466"/>
      <c r="WMU466"/>
      <c r="WMV466"/>
      <c r="WMW466"/>
      <c r="WMX466"/>
      <c r="WMY466"/>
      <c r="WMZ466"/>
      <c r="WNA466"/>
      <c r="WNB466"/>
      <c r="WNC466"/>
      <c r="WND466"/>
      <c r="WNE466"/>
      <c r="WNF466"/>
      <c r="WNG466"/>
      <c r="WNH466"/>
      <c r="WNI466"/>
      <c r="WNJ466"/>
      <c r="WNK466"/>
      <c r="WNL466"/>
      <c r="WNM466"/>
      <c r="WNN466"/>
      <c r="WNO466"/>
      <c r="WNP466"/>
      <c r="WNQ466"/>
      <c r="WNR466"/>
      <c r="WNS466"/>
      <c r="WNT466"/>
      <c r="WNU466"/>
      <c r="WNV466"/>
      <c r="WNW466"/>
      <c r="WNX466"/>
      <c r="WNY466"/>
      <c r="WNZ466"/>
      <c r="WOA466"/>
      <c r="WOB466"/>
      <c r="WOC466"/>
      <c r="WOD466"/>
      <c r="WOE466"/>
      <c r="WOF466"/>
      <c r="WOG466"/>
      <c r="WOH466"/>
      <c r="WOI466"/>
      <c r="WOJ466"/>
      <c r="WOK466"/>
      <c r="WOL466"/>
      <c r="WOM466"/>
      <c r="WON466"/>
      <c r="WOO466"/>
      <c r="WOP466"/>
      <c r="WOQ466"/>
      <c r="WOR466"/>
      <c r="WOS466"/>
      <c r="WOT466"/>
      <c r="WOU466"/>
      <c r="WOV466"/>
      <c r="WOW466"/>
      <c r="WOX466"/>
      <c r="WOY466"/>
      <c r="WOZ466"/>
      <c r="WPA466"/>
      <c r="WPB466"/>
      <c r="WPC466"/>
      <c r="WPD466"/>
      <c r="WPE466"/>
      <c r="WPF466"/>
      <c r="WPG466"/>
      <c r="WPH466"/>
      <c r="WPI466"/>
      <c r="WPJ466"/>
      <c r="WPK466"/>
      <c r="WPL466"/>
      <c r="WPM466"/>
      <c r="WPN466"/>
      <c r="WPO466"/>
      <c r="WPP466"/>
      <c r="WPQ466"/>
      <c r="WPR466"/>
      <c r="WPS466"/>
      <c r="WPT466"/>
      <c r="WPU466"/>
      <c r="WPV466"/>
      <c r="WPW466"/>
      <c r="WPX466"/>
      <c r="WPY466"/>
      <c r="WPZ466"/>
      <c r="WQA466"/>
      <c r="WQB466"/>
      <c r="WQC466"/>
      <c r="WQD466"/>
      <c r="WQE466"/>
      <c r="WQF466"/>
      <c r="WQG466"/>
      <c r="WQH466"/>
      <c r="WQI466"/>
      <c r="WQJ466"/>
      <c r="WQK466"/>
      <c r="WQL466"/>
      <c r="WQM466"/>
      <c r="WQN466"/>
      <c r="WQO466"/>
      <c r="WQP466"/>
      <c r="WQQ466"/>
      <c r="WQR466"/>
      <c r="WQS466"/>
      <c r="WQT466"/>
      <c r="WQU466"/>
      <c r="WQV466"/>
      <c r="WQW466"/>
      <c r="WQX466"/>
      <c r="WQY466"/>
      <c r="WQZ466"/>
      <c r="WRA466"/>
      <c r="WRB466"/>
      <c r="WRC466"/>
      <c r="WRD466"/>
      <c r="WRE466"/>
      <c r="WRF466"/>
      <c r="WRG466"/>
      <c r="WRH466"/>
      <c r="WRI466"/>
      <c r="WRJ466"/>
      <c r="WRK466"/>
      <c r="WRL466"/>
      <c r="WRM466"/>
      <c r="WRN466"/>
      <c r="WRO466"/>
      <c r="WRP466"/>
      <c r="WRQ466"/>
      <c r="WRR466"/>
      <c r="WRS466"/>
      <c r="WRT466"/>
      <c r="WRU466"/>
      <c r="WRV466"/>
      <c r="WRW466"/>
      <c r="WRX466"/>
      <c r="WRY466"/>
      <c r="WRZ466"/>
      <c r="WSA466"/>
      <c r="WSB466"/>
      <c r="WSC466"/>
      <c r="WSD466"/>
      <c r="WSE466"/>
      <c r="WSF466"/>
      <c r="WSG466"/>
      <c r="WSH466"/>
      <c r="WSI466"/>
      <c r="WSJ466"/>
      <c r="WSK466"/>
      <c r="WSL466"/>
      <c r="WSM466"/>
      <c r="WSN466"/>
      <c r="WSO466"/>
      <c r="WSP466"/>
      <c r="WSQ466"/>
      <c r="WSR466"/>
      <c r="WSS466"/>
      <c r="WST466"/>
      <c r="WSU466"/>
      <c r="WSV466"/>
      <c r="WSW466"/>
      <c r="WSX466"/>
      <c r="WSY466"/>
      <c r="WSZ466"/>
      <c r="WTA466"/>
      <c r="WTB466"/>
      <c r="WTC466"/>
      <c r="WTD466"/>
      <c r="WTE466"/>
      <c r="WTF466"/>
      <c r="WTG466"/>
      <c r="WTH466"/>
      <c r="WTI466"/>
      <c r="WTJ466"/>
      <c r="WTK466"/>
      <c r="WTL466"/>
      <c r="WTM466"/>
      <c r="WTN466"/>
      <c r="WTO466"/>
      <c r="WTP466"/>
      <c r="WTQ466"/>
      <c r="WTR466"/>
      <c r="WTS466"/>
      <c r="WTT466"/>
      <c r="WTU466"/>
      <c r="WTV466"/>
      <c r="WTW466"/>
      <c r="WTX466"/>
      <c r="WTY466"/>
      <c r="WTZ466"/>
      <c r="WUA466"/>
      <c r="WUB466"/>
      <c r="WUC466"/>
      <c r="WUD466"/>
      <c r="WUE466"/>
      <c r="WUF466"/>
      <c r="WUG466"/>
      <c r="WUH466"/>
      <c r="WUI466"/>
      <c r="WUJ466"/>
      <c r="WUK466"/>
      <c r="WUL466"/>
      <c r="WUM466"/>
      <c r="WUN466"/>
      <c r="WUO466"/>
      <c r="WUP466"/>
      <c r="WUQ466"/>
      <c r="WUR466"/>
      <c r="WUS466"/>
      <c r="WUT466"/>
      <c r="WUU466"/>
      <c r="WUV466"/>
      <c r="WUW466"/>
      <c r="WUX466"/>
      <c r="WUY466"/>
      <c r="WUZ466"/>
      <c r="WVA466"/>
      <c r="WVB466"/>
      <c r="WVC466"/>
      <c r="WVD466"/>
      <c r="WVE466"/>
      <c r="WVF466"/>
      <c r="WVG466"/>
      <c r="WVH466"/>
      <c r="WVI466"/>
      <c r="WVJ466"/>
      <c r="WVK466"/>
      <c r="WVL466"/>
      <c r="WVM466"/>
      <c r="WVN466"/>
      <c r="WVO466"/>
      <c r="WVP466"/>
      <c r="WVQ466"/>
      <c r="WVR466"/>
      <c r="WVS466"/>
      <c r="WVT466"/>
      <c r="WVU466"/>
      <c r="WVV466"/>
      <c r="WVW466"/>
      <c r="WVX466"/>
      <c r="WVY466"/>
      <c r="WVZ466"/>
      <c r="WWA466"/>
      <c r="WWB466"/>
      <c r="WWC466"/>
      <c r="WWD466"/>
      <c r="WWE466"/>
      <c r="WWF466"/>
      <c r="WWG466"/>
      <c r="WWH466"/>
      <c r="WWI466"/>
      <c r="WWJ466"/>
      <c r="WWK466"/>
      <c r="WWL466"/>
      <c r="WWM466"/>
      <c r="WWN466"/>
      <c r="WWO466"/>
      <c r="WWP466"/>
      <c r="WWQ466"/>
      <c r="WWR466"/>
      <c r="WWS466"/>
      <c r="WWT466"/>
      <c r="WWU466"/>
      <c r="WWV466"/>
      <c r="WWW466"/>
      <c r="WWX466"/>
      <c r="WWY466"/>
      <c r="WWZ466"/>
      <c r="WXA466"/>
      <c r="WXB466"/>
      <c r="WXC466"/>
      <c r="WXD466"/>
      <c r="WXE466"/>
      <c r="WXF466"/>
      <c r="WXG466"/>
      <c r="WXH466"/>
      <c r="WXI466"/>
      <c r="WXJ466"/>
      <c r="WXK466"/>
      <c r="WXL466"/>
      <c r="WXM466"/>
      <c r="WXN466"/>
      <c r="WXO466"/>
      <c r="WXP466"/>
      <c r="WXQ466"/>
      <c r="WXR466"/>
      <c r="WXS466"/>
      <c r="WXT466"/>
      <c r="WXU466"/>
      <c r="WXV466"/>
      <c r="WXW466"/>
      <c r="WXX466"/>
      <c r="WXY466"/>
      <c r="WXZ466"/>
      <c r="WYA466"/>
      <c r="WYB466"/>
      <c r="WYC466"/>
      <c r="WYD466"/>
      <c r="WYE466"/>
      <c r="WYF466"/>
      <c r="WYG466"/>
      <c r="WYH466"/>
      <c r="WYI466"/>
      <c r="WYJ466"/>
      <c r="WYK466"/>
      <c r="WYL466"/>
      <c r="WYM466"/>
      <c r="WYN466"/>
      <c r="WYO466"/>
      <c r="WYP466"/>
      <c r="WYQ466"/>
      <c r="WYR466"/>
      <c r="WYS466"/>
      <c r="WYT466"/>
      <c r="WYU466"/>
      <c r="WYV466"/>
      <c r="WYW466"/>
      <c r="WYX466"/>
      <c r="WYY466"/>
      <c r="WYZ466"/>
      <c r="WZA466"/>
      <c r="WZB466"/>
      <c r="WZC466"/>
      <c r="WZD466"/>
      <c r="WZE466"/>
      <c r="WZF466"/>
      <c r="WZG466"/>
      <c r="WZH466"/>
      <c r="WZI466"/>
      <c r="WZJ466"/>
      <c r="WZK466"/>
      <c r="WZL466"/>
      <c r="WZM466"/>
      <c r="WZN466"/>
      <c r="WZO466"/>
      <c r="WZP466"/>
      <c r="WZQ466"/>
      <c r="WZR466"/>
      <c r="WZS466"/>
      <c r="WZT466"/>
      <c r="WZU466"/>
      <c r="WZV466"/>
      <c r="WZW466"/>
      <c r="WZX466"/>
      <c r="WZY466"/>
      <c r="WZZ466"/>
      <c r="XAA466"/>
      <c r="XAB466"/>
      <c r="XAC466"/>
      <c r="XAD466"/>
      <c r="XAE466"/>
      <c r="XAF466"/>
      <c r="XAG466"/>
      <c r="XAH466"/>
      <c r="XAI466"/>
      <c r="XAJ466"/>
      <c r="XAK466"/>
      <c r="XAL466"/>
      <c r="XAM466"/>
      <c r="XAN466"/>
      <c r="XAO466"/>
      <c r="XAP466"/>
      <c r="XAQ466"/>
      <c r="XAR466"/>
      <c r="XAS466"/>
      <c r="XAT466"/>
      <c r="XAU466"/>
      <c r="XAV466"/>
      <c r="XAW466"/>
      <c r="XAX466"/>
      <c r="XAY466"/>
      <c r="XAZ466"/>
      <c r="XBA466"/>
      <c r="XBB466"/>
      <c r="XBC466"/>
      <c r="XBD466"/>
      <c r="XBE466"/>
      <c r="XBF466"/>
      <c r="XBG466"/>
      <c r="XBH466"/>
      <c r="XBI466"/>
      <c r="XBJ466"/>
      <c r="XBK466"/>
      <c r="XBL466"/>
      <c r="XBM466"/>
      <c r="XBN466"/>
      <c r="XBO466"/>
      <c r="XBP466"/>
      <c r="XBQ466"/>
      <c r="XBR466"/>
      <c r="XBS466"/>
      <c r="XBT466"/>
      <c r="XBU466"/>
      <c r="XBV466"/>
      <c r="XBW466"/>
      <c r="XBX466"/>
      <c r="XBY466"/>
      <c r="XBZ466"/>
      <c r="XCA466"/>
      <c r="XCB466"/>
      <c r="XCC466"/>
      <c r="XCD466"/>
      <c r="XCE466"/>
      <c r="XCF466"/>
      <c r="XCG466"/>
      <c r="XCH466"/>
      <c r="XCI466"/>
      <c r="XCJ466"/>
      <c r="XCK466"/>
      <c r="XCL466"/>
      <c r="XCM466"/>
      <c r="XCN466"/>
      <c r="XCO466"/>
      <c r="XCP466"/>
      <c r="XCQ466"/>
      <c r="XCR466"/>
      <c r="XCS466"/>
      <c r="XCT466"/>
      <c r="XCU466"/>
      <c r="XCV466"/>
      <c r="XCW466"/>
      <c r="XCX466"/>
      <c r="XCY466"/>
      <c r="XCZ466"/>
      <c r="XDA466"/>
      <c r="XDB466"/>
      <c r="XDC466"/>
      <c r="XDD466"/>
      <c r="XDE466"/>
      <c r="XDF466"/>
      <c r="XDG466"/>
      <c r="XDH466"/>
      <c r="XDI466"/>
      <c r="XDJ466"/>
      <c r="XDK466"/>
      <c r="XDL466"/>
      <c r="XDM466"/>
      <c r="XDN466"/>
      <c r="XDO466"/>
      <c r="XDP466"/>
      <c r="XDQ466"/>
      <c r="XDR466"/>
      <c r="XDS466"/>
      <c r="XDT466"/>
      <c r="XDU466"/>
      <c r="XDV466"/>
      <c r="XDW466"/>
      <c r="XDX466"/>
      <c r="XDY466"/>
      <c r="XDZ466"/>
      <c r="XEA466"/>
      <c r="XEB466"/>
      <c r="XEC466"/>
      <c r="XED466"/>
      <c r="XEE466"/>
      <c r="XEF466"/>
      <c r="XEG466"/>
      <c r="XEH466"/>
      <c r="XEI466"/>
      <c r="XEJ466"/>
      <c r="XEK466"/>
      <c r="XEL466"/>
      <c r="XEM466"/>
      <c r="XEN466"/>
      <c r="XEO466"/>
      <c r="XEP466"/>
      <c r="XEQ466"/>
      <c r="XER466"/>
      <c r="XES466"/>
      <c r="XET466"/>
      <c r="XEU466"/>
      <c r="XEV466"/>
      <c r="XEW466"/>
      <c r="XEX466"/>
      <c r="XEY466"/>
      <c r="XEZ466"/>
      <c r="XFA466"/>
      <c r="XFB466"/>
      <c r="XFC466"/>
      <c r="XFD466"/>
    </row>
    <row r="467" spans="1:16384" s="46" customFormat="1" ht="15" customHeight="1">
      <c r="A467" s="46" t="s">
        <v>7813</v>
      </c>
      <c r="B467" s="46" t="str">
        <f t="shared" ca="1" si="6"/>
        <v>Bank Control Key (Brazil)</v>
      </c>
      <c r="D467" s="46" t="s">
        <v>7813</v>
      </c>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c r="TI467"/>
      <c r="TJ467"/>
      <c r="TK467"/>
      <c r="TL467"/>
      <c r="TM467"/>
      <c r="TN467"/>
      <c r="TO467"/>
      <c r="TP467"/>
      <c r="TQ467"/>
      <c r="TR467"/>
      <c r="TS467"/>
      <c r="TT467"/>
      <c r="TU467"/>
      <c r="TV467"/>
      <c r="TW467"/>
      <c r="TX467"/>
      <c r="TY467"/>
      <c r="TZ467"/>
      <c r="UA467"/>
      <c r="UB467"/>
      <c r="UC467"/>
      <c r="UD467"/>
      <c r="UE467"/>
      <c r="UF467"/>
      <c r="UG467"/>
      <c r="UH467"/>
      <c r="UI467"/>
      <c r="UJ467"/>
      <c r="UK467"/>
      <c r="UL467"/>
      <c r="UM467"/>
      <c r="UN467"/>
      <c r="UO467"/>
      <c r="UP467"/>
      <c r="UQ467"/>
      <c r="UR467"/>
      <c r="US467"/>
      <c r="UT467"/>
      <c r="UU467"/>
      <c r="UV467"/>
      <c r="UW467"/>
      <c r="UX467"/>
      <c r="UY467"/>
      <c r="UZ467"/>
      <c r="VA467"/>
      <c r="VB467"/>
      <c r="VC467"/>
      <c r="VD467"/>
      <c r="VE467"/>
      <c r="VF467"/>
      <c r="VG467"/>
      <c r="VH467"/>
      <c r="VI467"/>
      <c r="VJ467"/>
      <c r="VK467"/>
      <c r="VL467"/>
      <c r="VM467"/>
      <c r="VN467"/>
      <c r="VO467"/>
      <c r="VP467"/>
      <c r="VQ467"/>
      <c r="VR467"/>
      <c r="VS467"/>
      <c r="VT467"/>
      <c r="VU467"/>
      <c r="VV467"/>
      <c r="VW467"/>
      <c r="VX467"/>
      <c r="VY467"/>
      <c r="VZ467"/>
      <c r="WA467"/>
      <c r="WB467"/>
      <c r="WC467"/>
      <c r="WD467"/>
      <c r="WE467"/>
      <c r="WF467"/>
      <c r="WG467"/>
      <c r="WH467"/>
      <c r="WI467"/>
      <c r="WJ467"/>
      <c r="WK467"/>
      <c r="WL467"/>
      <c r="WM467"/>
      <c r="WN467"/>
      <c r="WO467"/>
      <c r="WP467"/>
      <c r="WQ467"/>
      <c r="WR467"/>
      <c r="WS467"/>
      <c r="WT467"/>
      <c r="WU467"/>
      <c r="WV467"/>
      <c r="WW467"/>
      <c r="WX467"/>
      <c r="WY467"/>
      <c r="WZ467"/>
      <c r="XA467"/>
      <c r="XB467"/>
      <c r="XC467"/>
      <c r="XD467"/>
      <c r="XE467"/>
      <c r="XF467"/>
      <c r="XG467"/>
      <c r="XH467"/>
      <c r="XI467"/>
      <c r="XJ467"/>
      <c r="XK467"/>
      <c r="XL467"/>
      <c r="XM467"/>
      <c r="XN467"/>
      <c r="XO467"/>
      <c r="XP467"/>
      <c r="XQ467"/>
      <c r="XR467"/>
      <c r="XS467"/>
      <c r="XT467"/>
      <c r="XU467"/>
      <c r="XV467"/>
      <c r="XW467"/>
      <c r="XX467"/>
      <c r="XY467"/>
      <c r="XZ467"/>
      <c r="YA467"/>
      <c r="YB467"/>
      <c r="YC467"/>
      <c r="YD467"/>
      <c r="YE467"/>
      <c r="YF467"/>
      <c r="YG467"/>
      <c r="YH467"/>
      <c r="YI467"/>
      <c r="YJ467"/>
      <c r="YK467"/>
      <c r="YL467"/>
      <c r="YM467"/>
      <c r="YN467"/>
      <c r="YO467"/>
      <c r="YP467"/>
      <c r="YQ467"/>
      <c r="YR467"/>
      <c r="YS467"/>
      <c r="YT467"/>
      <c r="YU467"/>
      <c r="YV467"/>
      <c r="YW467"/>
      <c r="YX467"/>
      <c r="YY467"/>
      <c r="YZ467"/>
      <c r="ZA467"/>
      <c r="ZB467"/>
      <c r="ZC467"/>
      <c r="ZD467"/>
      <c r="ZE467"/>
      <c r="ZF467"/>
      <c r="ZG467"/>
      <c r="ZH467"/>
      <c r="ZI467"/>
      <c r="ZJ467"/>
      <c r="ZK467"/>
      <c r="ZL467"/>
      <c r="ZM467"/>
      <c r="ZN467"/>
      <c r="ZO467"/>
      <c r="ZP467"/>
      <c r="ZQ467"/>
      <c r="ZR467"/>
      <c r="ZS467"/>
      <c r="ZT467"/>
      <c r="ZU467"/>
      <c r="ZV467"/>
      <c r="ZW467"/>
      <c r="ZX467"/>
      <c r="ZY467"/>
      <c r="ZZ467"/>
      <c r="AAA467"/>
      <c r="AAB467"/>
      <c r="AAC467"/>
      <c r="AAD467"/>
      <c r="AAE467"/>
      <c r="AAF467"/>
      <c r="AAG467"/>
      <c r="AAH467"/>
      <c r="AAI467"/>
      <c r="AAJ467"/>
      <c r="AAK467"/>
      <c r="AAL467"/>
      <c r="AAM467"/>
      <c r="AAN467"/>
      <c r="AAO467"/>
      <c r="AAP467"/>
      <c r="AAQ467"/>
      <c r="AAR467"/>
      <c r="AAS467"/>
      <c r="AAT467"/>
      <c r="AAU467"/>
      <c r="AAV467"/>
      <c r="AAW467"/>
      <c r="AAX467"/>
      <c r="AAY467"/>
      <c r="AAZ467"/>
      <c r="ABA467"/>
      <c r="ABB467"/>
      <c r="ABC467"/>
      <c r="ABD467"/>
      <c r="ABE467"/>
      <c r="ABF467"/>
      <c r="ABG467"/>
      <c r="ABH467"/>
      <c r="ABI467"/>
      <c r="ABJ467"/>
      <c r="ABK467"/>
      <c r="ABL467"/>
      <c r="ABM467"/>
      <c r="ABN467"/>
      <c r="ABO467"/>
      <c r="ABP467"/>
      <c r="ABQ467"/>
      <c r="ABR467"/>
      <c r="ABS467"/>
      <c r="ABT467"/>
      <c r="ABU467"/>
      <c r="ABV467"/>
      <c r="ABW467"/>
      <c r="ABX467"/>
      <c r="ABY467"/>
      <c r="ABZ467"/>
      <c r="ACA467"/>
      <c r="ACB467"/>
      <c r="ACC467"/>
      <c r="ACD467"/>
      <c r="ACE467"/>
      <c r="ACF467"/>
      <c r="ACG467"/>
      <c r="ACH467"/>
      <c r="ACI467"/>
      <c r="ACJ467"/>
      <c r="ACK467"/>
      <c r="ACL467"/>
      <c r="ACM467"/>
      <c r="ACN467"/>
      <c r="ACO467"/>
      <c r="ACP467"/>
      <c r="ACQ467"/>
      <c r="ACR467"/>
      <c r="ACS467"/>
      <c r="ACT467"/>
      <c r="ACU467"/>
      <c r="ACV467"/>
      <c r="ACW467"/>
      <c r="ACX467"/>
      <c r="ACY467"/>
      <c r="ACZ467"/>
      <c r="ADA467"/>
      <c r="ADB467"/>
      <c r="ADC467"/>
      <c r="ADD467"/>
      <c r="ADE467"/>
      <c r="ADF467"/>
      <c r="ADG467"/>
      <c r="ADH467"/>
      <c r="ADI467"/>
      <c r="ADJ467"/>
      <c r="ADK467"/>
      <c r="ADL467"/>
      <c r="ADM467"/>
      <c r="ADN467"/>
      <c r="ADO467"/>
      <c r="ADP467"/>
      <c r="ADQ467"/>
      <c r="ADR467"/>
      <c r="ADS467"/>
      <c r="ADT467"/>
      <c r="ADU467"/>
      <c r="ADV467"/>
      <c r="ADW467"/>
      <c r="ADX467"/>
      <c r="ADY467"/>
      <c r="ADZ467"/>
      <c r="AEA467"/>
      <c r="AEB467"/>
      <c r="AEC467"/>
      <c r="AED467"/>
      <c r="AEE467"/>
      <c r="AEF467"/>
      <c r="AEG467"/>
      <c r="AEH467"/>
      <c r="AEI467"/>
      <c r="AEJ467"/>
      <c r="AEK467"/>
      <c r="AEL467"/>
      <c r="AEM467"/>
      <c r="AEN467"/>
      <c r="AEO467"/>
      <c r="AEP467"/>
      <c r="AEQ467"/>
      <c r="AER467"/>
      <c r="AES467"/>
      <c r="AET467"/>
      <c r="AEU467"/>
      <c r="AEV467"/>
      <c r="AEW467"/>
      <c r="AEX467"/>
      <c r="AEY467"/>
      <c r="AEZ467"/>
      <c r="AFA467"/>
      <c r="AFB467"/>
      <c r="AFC467"/>
      <c r="AFD467"/>
      <c r="AFE467"/>
      <c r="AFF467"/>
      <c r="AFG467"/>
      <c r="AFH467"/>
      <c r="AFI467"/>
      <c r="AFJ467"/>
      <c r="AFK467"/>
      <c r="AFL467"/>
      <c r="AFM467"/>
      <c r="AFN467"/>
      <c r="AFO467"/>
      <c r="AFP467"/>
      <c r="AFQ467"/>
      <c r="AFR467"/>
      <c r="AFS467"/>
      <c r="AFT467"/>
      <c r="AFU467"/>
      <c r="AFV467"/>
      <c r="AFW467"/>
      <c r="AFX467"/>
      <c r="AFY467"/>
      <c r="AFZ467"/>
      <c r="AGA467"/>
      <c r="AGB467"/>
      <c r="AGC467"/>
      <c r="AGD467"/>
      <c r="AGE467"/>
      <c r="AGF467"/>
      <c r="AGG467"/>
      <c r="AGH467"/>
      <c r="AGI467"/>
      <c r="AGJ467"/>
      <c r="AGK467"/>
      <c r="AGL467"/>
      <c r="AGM467"/>
      <c r="AGN467"/>
      <c r="AGO467"/>
      <c r="AGP467"/>
      <c r="AGQ467"/>
      <c r="AGR467"/>
      <c r="AGS467"/>
      <c r="AGT467"/>
      <c r="AGU467"/>
      <c r="AGV467"/>
      <c r="AGW467"/>
      <c r="AGX467"/>
      <c r="AGY467"/>
      <c r="AGZ467"/>
      <c r="AHA467"/>
      <c r="AHB467"/>
      <c r="AHC467"/>
      <c r="AHD467"/>
      <c r="AHE467"/>
      <c r="AHF467"/>
      <c r="AHG467"/>
      <c r="AHH467"/>
      <c r="AHI467"/>
      <c r="AHJ467"/>
      <c r="AHK467"/>
      <c r="AHL467"/>
      <c r="AHM467"/>
      <c r="AHN467"/>
      <c r="AHO467"/>
      <c r="AHP467"/>
      <c r="AHQ467"/>
      <c r="AHR467"/>
      <c r="AHS467"/>
      <c r="AHT467"/>
      <c r="AHU467"/>
      <c r="AHV467"/>
      <c r="AHW467"/>
      <c r="AHX467"/>
      <c r="AHY467"/>
      <c r="AHZ467"/>
      <c r="AIA467"/>
      <c r="AIB467"/>
      <c r="AIC467"/>
      <c r="AID467"/>
      <c r="AIE467"/>
      <c r="AIF467"/>
      <c r="AIG467"/>
      <c r="AIH467"/>
      <c r="AII467"/>
      <c r="AIJ467"/>
      <c r="AIK467"/>
      <c r="AIL467"/>
      <c r="AIM467"/>
      <c r="AIN467"/>
      <c r="AIO467"/>
      <c r="AIP467"/>
      <c r="AIQ467"/>
      <c r="AIR467"/>
      <c r="AIS467"/>
      <c r="AIT467"/>
      <c r="AIU467"/>
      <c r="AIV467"/>
      <c r="AIW467"/>
      <c r="AIX467"/>
      <c r="AIY467"/>
      <c r="AIZ467"/>
      <c r="AJA467"/>
      <c r="AJB467"/>
      <c r="AJC467"/>
      <c r="AJD467"/>
      <c r="AJE467"/>
      <c r="AJF467"/>
      <c r="AJG467"/>
      <c r="AJH467"/>
      <c r="AJI467"/>
      <c r="AJJ467"/>
      <c r="AJK467"/>
      <c r="AJL467"/>
      <c r="AJM467"/>
      <c r="AJN467"/>
      <c r="AJO467"/>
      <c r="AJP467"/>
      <c r="AJQ467"/>
      <c r="AJR467"/>
      <c r="AJS467"/>
      <c r="AJT467"/>
      <c r="AJU467"/>
      <c r="AJV467"/>
      <c r="AJW467"/>
      <c r="AJX467"/>
      <c r="AJY467"/>
      <c r="AJZ467"/>
      <c r="AKA467"/>
      <c r="AKB467"/>
      <c r="AKC467"/>
      <c r="AKD467"/>
      <c r="AKE467"/>
      <c r="AKF467"/>
      <c r="AKG467"/>
      <c r="AKH467"/>
      <c r="AKI467"/>
      <c r="AKJ467"/>
      <c r="AKK467"/>
      <c r="AKL467"/>
      <c r="AKM467"/>
      <c r="AKN467"/>
      <c r="AKO467"/>
      <c r="AKP467"/>
      <c r="AKQ467"/>
      <c r="AKR467"/>
      <c r="AKS467"/>
      <c r="AKT467"/>
      <c r="AKU467"/>
      <c r="AKV467"/>
      <c r="AKW467"/>
      <c r="AKX467"/>
      <c r="AKY467"/>
      <c r="AKZ467"/>
      <c r="ALA467"/>
      <c r="ALB467"/>
      <c r="ALC467"/>
      <c r="ALD467"/>
      <c r="ALE467"/>
      <c r="ALF467"/>
      <c r="ALG467"/>
      <c r="ALH467"/>
      <c r="ALI467"/>
      <c r="ALJ467"/>
      <c r="ALK467"/>
      <c r="ALL467"/>
      <c r="ALM467"/>
      <c r="ALN467"/>
      <c r="ALO467"/>
      <c r="ALP467"/>
      <c r="ALQ467"/>
      <c r="ALR467"/>
      <c r="ALS467"/>
      <c r="ALT467"/>
      <c r="ALU467"/>
      <c r="ALV467"/>
      <c r="ALW467"/>
      <c r="ALX467"/>
      <c r="ALY467"/>
      <c r="ALZ467"/>
      <c r="AMA467"/>
      <c r="AMB467"/>
      <c r="AMC467"/>
      <c r="AMD467"/>
      <c r="AME467"/>
      <c r="AMF467"/>
      <c r="AMG467"/>
      <c r="AMH467"/>
      <c r="AMI467"/>
      <c r="AMJ467"/>
      <c r="AMK467"/>
      <c r="AML467"/>
      <c r="AMM467"/>
      <c r="AMN467"/>
      <c r="AMO467"/>
      <c r="AMP467"/>
      <c r="AMQ467"/>
      <c r="AMR467"/>
      <c r="AMS467"/>
      <c r="AMT467"/>
      <c r="AMU467"/>
      <c r="AMV467"/>
      <c r="AMW467"/>
      <c r="AMX467"/>
      <c r="AMY467"/>
      <c r="AMZ467"/>
      <c r="ANA467"/>
      <c r="ANB467"/>
      <c r="ANC467"/>
      <c r="AND467"/>
      <c r="ANE467"/>
      <c r="ANF467"/>
      <c r="ANG467"/>
      <c r="ANH467"/>
      <c r="ANI467"/>
      <c r="ANJ467"/>
      <c r="ANK467"/>
      <c r="ANL467"/>
      <c r="ANM467"/>
      <c r="ANN467"/>
      <c r="ANO467"/>
      <c r="ANP467"/>
      <c r="ANQ467"/>
      <c r="ANR467"/>
      <c r="ANS467"/>
      <c r="ANT467"/>
      <c r="ANU467"/>
      <c r="ANV467"/>
      <c r="ANW467"/>
      <c r="ANX467"/>
      <c r="ANY467"/>
      <c r="ANZ467"/>
      <c r="AOA467"/>
      <c r="AOB467"/>
      <c r="AOC467"/>
      <c r="AOD467"/>
      <c r="AOE467"/>
      <c r="AOF467"/>
      <c r="AOG467"/>
      <c r="AOH467"/>
      <c r="AOI467"/>
      <c r="AOJ467"/>
      <c r="AOK467"/>
      <c r="AOL467"/>
      <c r="AOM467"/>
      <c r="AON467"/>
      <c r="AOO467"/>
      <c r="AOP467"/>
      <c r="AOQ467"/>
      <c r="AOR467"/>
      <c r="AOS467"/>
      <c r="AOT467"/>
      <c r="AOU467"/>
      <c r="AOV467"/>
      <c r="AOW467"/>
      <c r="AOX467"/>
      <c r="AOY467"/>
      <c r="AOZ467"/>
      <c r="APA467"/>
      <c r="APB467"/>
      <c r="APC467"/>
      <c r="APD467"/>
      <c r="APE467"/>
      <c r="APF467"/>
      <c r="APG467"/>
      <c r="APH467"/>
      <c r="API467"/>
      <c r="APJ467"/>
      <c r="APK467"/>
      <c r="APL467"/>
      <c r="APM467"/>
      <c r="APN467"/>
      <c r="APO467"/>
      <c r="APP467"/>
      <c r="APQ467"/>
      <c r="APR467"/>
      <c r="APS467"/>
      <c r="APT467"/>
      <c r="APU467"/>
      <c r="APV467"/>
      <c r="APW467"/>
      <c r="APX467"/>
      <c r="APY467"/>
      <c r="APZ467"/>
      <c r="AQA467"/>
      <c r="AQB467"/>
      <c r="AQC467"/>
      <c r="AQD467"/>
      <c r="AQE467"/>
      <c r="AQF467"/>
      <c r="AQG467"/>
      <c r="AQH467"/>
      <c r="AQI467"/>
      <c r="AQJ467"/>
      <c r="AQK467"/>
      <c r="AQL467"/>
      <c r="AQM467"/>
      <c r="AQN467"/>
      <c r="AQO467"/>
      <c r="AQP467"/>
      <c r="AQQ467"/>
      <c r="AQR467"/>
      <c r="AQS467"/>
      <c r="AQT467"/>
      <c r="AQU467"/>
      <c r="AQV467"/>
      <c r="AQW467"/>
      <c r="AQX467"/>
      <c r="AQY467"/>
      <c r="AQZ467"/>
      <c r="ARA467"/>
      <c r="ARB467"/>
      <c r="ARC467"/>
      <c r="ARD467"/>
      <c r="ARE467"/>
      <c r="ARF467"/>
      <c r="ARG467"/>
      <c r="ARH467"/>
      <c r="ARI467"/>
      <c r="ARJ467"/>
      <c r="ARK467"/>
      <c r="ARL467"/>
      <c r="ARM467"/>
      <c r="ARN467"/>
      <c r="ARO467"/>
      <c r="ARP467"/>
      <c r="ARQ467"/>
      <c r="ARR467"/>
      <c r="ARS467"/>
      <c r="ART467"/>
      <c r="ARU467"/>
      <c r="ARV467"/>
      <c r="ARW467"/>
      <c r="ARX467"/>
      <c r="ARY467"/>
      <c r="ARZ467"/>
      <c r="ASA467"/>
      <c r="ASB467"/>
      <c r="ASC467"/>
      <c r="ASD467"/>
      <c r="ASE467"/>
      <c r="ASF467"/>
      <c r="ASG467"/>
      <c r="ASH467"/>
      <c r="ASI467"/>
      <c r="ASJ467"/>
      <c r="ASK467"/>
      <c r="ASL467"/>
      <c r="ASM467"/>
      <c r="ASN467"/>
      <c r="ASO467"/>
      <c r="ASP467"/>
      <c r="ASQ467"/>
      <c r="ASR467"/>
      <c r="ASS467"/>
      <c r="AST467"/>
      <c r="ASU467"/>
      <c r="ASV467"/>
      <c r="ASW467"/>
      <c r="ASX467"/>
      <c r="ASY467"/>
      <c r="ASZ467"/>
      <c r="ATA467"/>
      <c r="ATB467"/>
      <c r="ATC467"/>
      <c r="ATD467"/>
      <c r="ATE467"/>
      <c r="ATF467"/>
      <c r="ATG467"/>
      <c r="ATH467"/>
      <c r="ATI467"/>
      <c r="ATJ467"/>
      <c r="ATK467"/>
      <c r="ATL467"/>
      <c r="ATM467"/>
      <c r="ATN467"/>
      <c r="ATO467"/>
      <c r="ATP467"/>
      <c r="ATQ467"/>
      <c r="ATR467"/>
      <c r="ATS467"/>
      <c r="ATT467"/>
      <c r="ATU467"/>
      <c r="ATV467"/>
      <c r="ATW467"/>
      <c r="ATX467"/>
      <c r="ATY467"/>
      <c r="ATZ467"/>
      <c r="AUA467"/>
      <c r="AUB467"/>
      <c r="AUC467"/>
      <c r="AUD467"/>
      <c r="AUE467"/>
      <c r="AUF467"/>
      <c r="AUG467"/>
      <c r="AUH467"/>
      <c r="AUI467"/>
      <c r="AUJ467"/>
      <c r="AUK467"/>
      <c r="AUL467"/>
      <c r="AUM467"/>
      <c r="AUN467"/>
      <c r="AUO467"/>
      <c r="AUP467"/>
      <c r="AUQ467"/>
      <c r="AUR467"/>
      <c r="AUS467"/>
      <c r="AUT467"/>
      <c r="AUU467"/>
      <c r="AUV467"/>
      <c r="AUW467"/>
      <c r="AUX467"/>
      <c r="AUY467"/>
      <c r="AUZ467"/>
      <c r="AVA467"/>
      <c r="AVB467"/>
      <c r="AVC467"/>
      <c r="AVD467"/>
      <c r="AVE467"/>
      <c r="AVF467"/>
      <c r="AVG467"/>
      <c r="AVH467"/>
      <c r="AVI467"/>
      <c r="AVJ467"/>
      <c r="AVK467"/>
      <c r="AVL467"/>
      <c r="AVM467"/>
      <c r="AVN467"/>
      <c r="AVO467"/>
      <c r="AVP467"/>
      <c r="AVQ467"/>
      <c r="AVR467"/>
      <c r="AVS467"/>
      <c r="AVT467"/>
      <c r="AVU467"/>
      <c r="AVV467"/>
      <c r="AVW467"/>
      <c r="AVX467"/>
      <c r="AVY467"/>
      <c r="AVZ467"/>
      <c r="AWA467"/>
      <c r="AWB467"/>
      <c r="AWC467"/>
      <c r="AWD467"/>
      <c r="AWE467"/>
      <c r="AWF467"/>
      <c r="AWG467"/>
      <c r="AWH467"/>
      <c r="AWI467"/>
      <c r="AWJ467"/>
      <c r="AWK467"/>
      <c r="AWL467"/>
      <c r="AWM467"/>
      <c r="AWN467"/>
      <c r="AWO467"/>
      <c r="AWP467"/>
      <c r="AWQ467"/>
      <c r="AWR467"/>
      <c r="AWS467"/>
      <c r="AWT467"/>
      <c r="AWU467"/>
      <c r="AWV467"/>
      <c r="AWW467"/>
      <c r="AWX467"/>
      <c r="AWY467"/>
      <c r="AWZ467"/>
      <c r="AXA467"/>
      <c r="AXB467"/>
      <c r="AXC467"/>
      <c r="AXD467"/>
      <c r="AXE467"/>
      <c r="AXF467"/>
      <c r="AXG467"/>
      <c r="AXH467"/>
      <c r="AXI467"/>
      <c r="AXJ467"/>
      <c r="AXK467"/>
      <c r="AXL467"/>
      <c r="AXM467"/>
      <c r="AXN467"/>
      <c r="AXO467"/>
      <c r="AXP467"/>
      <c r="AXQ467"/>
      <c r="AXR467"/>
      <c r="AXS467"/>
      <c r="AXT467"/>
      <c r="AXU467"/>
      <c r="AXV467"/>
      <c r="AXW467"/>
      <c r="AXX467"/>
      <c r="AXY467"/>
      <c r="AXZ467"/>
      <c r="AYA467"/>
      <c r="AYB467"/>
      <c r="AYC467"/>
      <c r="AYD467"/>
      <c r="AYE467"/>
      <c r="AYF467"/>
      <c r="AYG467"/>
      <c r="AYH467"/>
      <c r="AYI467"/>
      <c r="AYJ467"/>
      <c r="AYK467"/>
      <c r="AYL467"/>
      <c r="AYM467"/>
      <c r="AYN467"/>
      <c r="AYO467"/>
      <c r="AYP467"/>
      <c r="AYQ467"/>
      <c r="AYR467"/>
      <c r="AYS467"/>
      <c r="AYT467"/>
      <c r="AYU467"/>
      <c r="AYV467"/>
      <c r="AYW467"/>
      <c r="AYX467"/>
      <c r="AYY467"/>
      <c r="AYZ467"/>
      <c r="AZA467"/>
      <c r="AZB467"/>
      <c r="AZC467"/>
      <c r="AZD467"/>
      <c r="AZE467"/>
      <c r="AZF467"/>
      <c r="AZG467"/>
      <c r="AZH467"/>
      <c r="AZI467"/>
      <c r="AZJ467"/>
      <c r="AZK467"/>
      <c r="AZL467"/>
      <c r="AZM467"/>
      <c r="AZN467"/>
      <c r="AZO467"/>
      <c r="AZP467"/>
      <c r="AZQ467"/>
      <c r="AZR467"/>
      <c r="AZS467"/>
      <c r="AZT467"/>
      <c r="AZU467"/>
      <c r="AZV467"/>
      <c r="AZW467"/>
      <c r="AZX467"/>
      <c r="AZY467"/>
      <c r="AZZ467"/>
      <c r="BAA467"/>
      <c r="BAB467"/>
      <c r="BAC467"/>
      <c r="BAD467"/>
      <c r="BAE467"/>
      <c r="BAF467"/>
      <c r="BAG467"/>
      <c r="BAH467"/>
      <c r="BAI467"/>
      <c r="BAJ467"/>
      <c r="BAK467"/>
      <c r="BAL467"/>
      <c r="BAM467"/>
      <c r="BAN467"/>
      <c r="BAO467"/>
      <c r="BAP467"/>
      <c r="BAQ467"/>
      <c r="BAR467"/>
      <c r="BAS467"/>
      <c r="BAT467"/>
      <c r="BAU467"/>
      <c r="BAV467"/>
      <c r="BAW467"/>
      <c r="BAX467"/>
      <c r="BAY467"/>
      <c r="BAZ467"/>
      <c r="BBA467"/>
      <c r="BBB467"/>
      <c r="BBC467"/>
      <c r="BBD467"/>
      <c r="BBE467"/>
      <c r="BBF467"/>
      <c r="BBG467"/>
      <c r="BBH467"/>
      <c r="BBI467"/>
      <c r="BBJ467"/>
      <c r="BBK467"/>
      <c r="BBL467"/>
      <c r="BBM467"/>
      <c r="BBN467"/>
      <c r="BBO467"/>
      <c r="BBP467"/>
      <c r="BBQ467"/>
      <c r="BBR467"/>
      <c r="BBS467"/>
      <c r="BBT467"/>
      <c r="BBU467"/>
      <c r="BBV467"/>
      <c r="BBW467"/>
      <c r="BBX467"/>
      <c r="BBY467"/>
      <c r="BBZ467"/>
      <c r="BCA467"/>
      <c r="BCB467"/>
      <c r="BCC467"/>
      <c r="BCD467"/>
      <c r="BCE467"/>
      <c r="BCF467"/>
      <c r="BCG467"/>
      <c r="BCH467"/>
      <c r="BCI467"/>
      <c r="BCJ467"/>
      <c r="BCK467"/>
      <c r="BCL467"/>
      <c r="BCM467"/>
      <c r="BCN467"/>
      <c r="BCO467"/>
      <c r="BCP467"/>
      <c r="BCQ467"/>
      <c r="BCR467"/>
      <c r="BCS467"/>
      <c r="BCT467"/>
      <c r="BCU467"/>
      <c r="BCV467"/>
      <c r="BCW467"/>
      <c r="BCX467"/>
      <c r="BCY467"/>
      <c r="BCZ467"/>
      <c r="BDA467"/>
      <c r="BDB467"/>
      <c r="BDC467"/>
      <c r="BDD467"/>
      <c r="BDE467"/>
      <c r="BDF467"/>
      <c r="BDG467"/>
      <c r="BDH467"/>
      <c r="BDI467"/>
      <c r="BDJ467"/>
      <c r="BDK467"/>
      <c r="BDL467"/>
      <c r="BDM467"/>
      <c r="BDN467"/>
      <c r="BDO467"/>
      <c r="BDP467"/>
      <c r="BDQ467"/>
      <c r="BDR467"/>
      <c r="BDS467"/>
      <c r="BDT467"/>
      <c r="BDU467"/>
      <c r="BDV467"/>
      <c r="BDW467"/>
      <c r="BDX467"/>
      <c r="BDY467"/>
      <c r="BDZ467"/>
      <c r="BEA467"/>
      <c r="BEB467"/>
      <c r="BEC467"/>
      <c r="BED467"/>
      <c r="BEE467"/>
      <c r="BEF467"/>
      <c r="BEG467"/>
      <c r="BEH467"/>
      <c r="BEI467"/>
      <c r="BEJ467"/>
      <c r="BEK467"/>
      <c r="BEL467"/>
      <c r="BEM467"/>
      <c r="BEN467"/>
      <c r="BEO467"/>
      <c r="BEP467"/>
      <c r="BEQ467"/>
      <c r="BER467"/>
      <c r="BES467"/>
      <c r="BET467"/>
      <c r="BEU467"/>
      <c r="BEV467"/>
      <c r="BEW467"/>
      <c r="BEX467"/>
      <c r="BEY467"/>
      <c r="BEZ467"/>
      <c r="BFA467"/>
      <c r="BFB467"/>
      <c r="BFC467"/>
      <c r="BFD467"/>
      <c r="BFE467"/>
      <c r="BFF467"/>
      <c r="BFG467"/>
      <c r="BFH467"/>
      <c r="BFI467"/>
      <c r="BFJ467"/>
      <c r="BFK467"/>
      <c r="BFL467"/>
      <c r="BFM467"/>
      <c r="BFN467"/>
      <c r="BFO467"/>
      <c r="BFP467"/>
      <c r="BFQ467"/>
      <c r="BFR467"/>
      <c r="BFS467"/>
      <c r="BFT467"/>
      <c r="BFU467"/>
      <c r="BFV467"/>
      <c r="BFW467"/>
      <c r="BFX467"/>
      <c r="BFY467"/>
      <c r="BFZ467"/>
      <c r="BGA467"/>
      <c r="BGB467"/>
      <c r="BGC467"/>
      <c r="BGD467"/>
      <c r="BGE467"/>
      <c r="BGF467"/>
      <c r="BGG467"/>
      <c r="BGH467"/>
      <c r="BGI467"/>
      <c r="BGJ467"/>
      <c r="BGK467"/>
      <c r="BGL467"/>
      <c r="BGM467"/>
      <c r="BGN467"/>
      <c r="BGO467"/>
      <c r="BGP467"/>
      <c r="BGQ467"/>
      <c r="BGR467"/>
      <c r="BGS467"/>
      <c r="BGT467"/>
      <c r="BGU467"/>
      <c r="BGV467"/>
      <c r="BGW467"/>
      <c r="BGX467"/>
      <c r="BGY467"/>
      <c r="BGZ467"/>
      <c r="BHA467"/>
      <c r="BHB467"/>
      <c r="BHC467"/>
      <c r="BHD467"/>
      <c r="BHE467"/>
      <c r="BHF467"/>
      <c r="BHG467"/>
      <c r="BHH467"/>
      <c r="BHI467"/>
      <c r="BHJ467"/>
      <c r="BHK467"/>
      <c r="BHL467"/>
      <c r="BHM467"/>
      <c r="BHN467"/>
      <c r="BHO467"/>
      <c r="BHP467"/>
      <c r="BHQ467"/>
      <c r="BHR467"/>
      <c r="BHS467"/>
      <c r="BHT467"/>
      <c r="BHU467"/>
      <c r="BHV467"/>
      <c r="BHW467"/>
      <c r="BHX467"/>
      <c r="BHY467"/>
      <c r="BHZ467"/>
      <c r="BIA467"/>
      <c r="BIB467"/>
      <c r="BIC467"/>
      <c r="BID467"/>
      <c r="BIE467"/>
      <c r="BIF467"/>
      <c r="BIG467"/>
      <c r="BIH467"/>
      <c r="BII467"/>
      <c r="BIJ467"/>
      <c r="BIK467"/>
      <c r="BIL467"/>
      <c r="BIM467"/>
      <c r="BIN467"/>
      <c r="BIO467"/>
      <c r="BIP467"/>
      <c r="BIQ467"/>
      <c r="BIR467"/>
      <c r="BIS467"/>
      <c r="BIT467"/>
      <c r="BIU467"/>
      <c r="BIV467"/>
      <c r="BIW467"/>
      <c r="BIX467"/>
      <c r="BIY467"/>
      <c r="BIZ467"/>
      <c r="BJA467"/>
      <c r="BJB467"/>
      <c r="BJC467"/>
      <c r="BJD467"/>
      <c r="BJE467"/>
      <c r="BJF467"/>
      <c r="BJG467"/>
      <c r="BJH467"/>
      <c r="BJI467"/>
      <c r="BJJ467"/>
      <c r="BJK467"/>
      <c r="BJL467"/>
      <c r="BJM467"/>
      <c r="BJN467"/>
      <c r="BJO467"/>
      <c r="BJP467"/>
      <c r="BJQ467"/>
      <c r="BJR467"/>
      <c r="BJS467"/>
      <c r="BJT467"/>
      <c r="BJU467"/>
      <c r="BJV467"/>
      <c r="BJW467"/>
      <c r="BJX467"/>
      <c r="BJY467"/>
      <c r="BJZ467"/>
      <c r="BKA467"/>
      <c r="BKB467"/>
      <c r="BKC467"/>
      <c r="BKD467"/>
      <c r="BKE467"/>
      <c r="BKF467"/>
      <c r="BKG467"/>
      <c r="BKH467"/>
      <c r="BKI467"/>
      <c r="BKJ467"/>
      <c r="BKK467"/>
      <c r="BKL467"/>
      <c r="BKM467"/>
      <c r="BKN467"/>
      <c r="BKO467"/>
      <c r="BKP467"/>
      <c r="BKQ467"/>
      <c r="BKR467"/>
      <c r="BKS467"/>
      <c r="BKT467"/>
      <c r="BKU467"/>
      <c r="BKV467"/>
      <c r="BKW467"/>
      <c r="BKX467"/>
      <c r="BKY467"/>
      <c r="BKZ467"/>
      <c r="BLA467"/>
      <c r="BLB467"/>
      <c r="BLC467"/>
      <c r="BLD467"/>
      <c r="BLE467"/>
      <c r="BLF467"/>
      <c r="BLG467"/>
      <c r="BLH467"/>
      <c r="BLI467"/>
      <c r="BLJ467"/>
      <c r="BLK467"/>
      <c r="BLL467"/>
      <c r="BLM467"/>
      <c r="BLN467"/>
      <c r="BLO467"/>
      <c r="BLP467"/>
      <c r="BLQ467"/>
      <c r="BLR467"/>
      <c r="BLS467"/>
      <c r="BLT467"/>
      <c r="BLU467"/>
      <c r="BLV467"/>
      <c r="BLW467"/>
      <c r="BLX467"/>
      <c r="BLY467"/>
      <c r="BLZ467"/>
      <c r="BMA467"/>
      <c r="BMB467"/>
      <c r="BMC467"/>
      <c r="BMD467"/>
      <c r="BME467"/>
      <c r="BMF467"/>
      <c r="BMG467"/>
      <c r="BMH467"/>
      <c r="BMI467"/>
      <c r="BMJ467"/>
      <c r="BMK467"/>
      <c r="BML467"/>
      <c r="BMM467"/>
      <c r="BMN467"/>
      <c r="BMO467"/>
      <c r="BMP467"/>
      <c r="BMQ467"/>
      <c r="BMR467"/>
      <c r="BMS467"/>
      <c r="BMT467"/>
      <c r="BMU467"/>
      <c r="BMV467"/>
      <c r="BMW467"/>
      <c r="BMX467"/>
      <c r="BMY467"/>
      <c r="BMZ467"/>
      <c r="BNA467"/>
      <c r="BNB467"/>
      <c r="BNC467"/>
      <c r="BND467"/>
      <c r="BNE467"/>
      <c r="BNF467"/>
      <c r="BNG467"/>
      <c r="BNH467"/>
      <c r="BNI467"/>
      <c r="BNJ467"/>
      <c r="BNK467"/>
      <c r="BNL467"/>
      <c r="BNM467"/>
      <c r="BNN467"/>
      <c r="BNO467"/>
      <c r="BNP467"/>
      <c r="BNQ467"/>
      <c r="BNR467"/>
      <c r="BNS467"/>
      <c r="BNT467"/>
      <c r="BNU467"/>
      <c r="BNV467"/>
      <c r="BNW467"/>
      <c r="BNX467"/>
      <c r="BNY467"/>
      <c r="BNZ467"/>
      <c r="BOA467"/>
      <c r="BOB467"/>
      <c r="BOC467"/>
      <c r="BOD467"/>
      <c r="BOE467"/>
      <c r="BOF467"/>
      <c r="BOG467"/>
      <c r="BOH467"/>
      <c r="BOI467"/>
      <c r="BOJ467"/>
      <c r="BOK467"/>
      <c r="BOL467"/>
      <c r="BOM467"/>
      <c r="BON467"/>
      <c r="BOO467"/>
      <c r="BOP467"/>
      <c r="BOQ467"/>
      <c r="BOR467"/>
      <c r="BOS467"/>
      <c r="BOT467"/>
      <c r="BOU467"/>
      <c r="BOV467"/>
      <c r="BOW467"/>
      <c r="BOX467"/>
      <c r="BOY467"/>
      <c r="BOZ467"/>
      <c r="BPA467"/>
      <c r="BPB467"/>
      <c r="BPC467"/>
      <c r="BPD467"/>
      <c r="BPE467"/>
      <c r="BPF467"/>
      <c r="BPG467"/>
      <c r="BPH467"/>
      <c r="BPI467"/>
      <c r="BPJ467"/>
      <c r="BPK467"/>
      <c r="BPL467"/>
      <c r="BPM467"/>
      <c r="BPN467"/>
      <c r="BPO467"/>
      <c r="BPP467"/>
      <c r="BPQ467"/>
      <c r="BPR467"/>
      <c r="BPS467"/>
      <c r="BPT467"/>
      <c r="BPU467"/>
      <c r="BPV467"/>
      <c r="BPW467"/>
      <c r="BPX467"/>
      <c r="BPY467"/>
      <c r="BPZ467"/>
      <c r="BQA467"/>
      <c r="BQB467"/>
      <c r="BQC467"/>
      <c r="BQD467"/>
      <c r="BQE467"/>
      <c r="BQF467"/>
      <c r="BQG467"/>
      <c r="BQH467"/>
      <c r="BQI467"/>
      <c r="BQJ467"/>
      <c r="BQK467"/>
      <c r="BQL467"/>
      <c r="BQM467"/>
      <c r="BQN467"/>
      <c r="BQO467"/>
      <c r="BQP467"/>
      <c r="BQQ467"/>
      <c r="BQR467"/>
      <c r="BQS467"/>
      <c r="BQT467"/>
      <c r="BQU467"/>
      <c r="BQV467"/>
      <c r="BQW467"/>
      <c r="BQX467"/>
      <c r="BQY467"/>
      <c r="BQZ467"/>
      <c r="BRA467"/>
      <c r="BRB467"/>
      <c r="BRC467"/>
      <c r="BRD467"/>
      <c r="BRE467"/>
      <c r="BRF467"/>
      <c r="BRG467"/>
      <c r="BRH467"/>
      <c r="BRI467"/>
      <c r="BRJ467"/>
      <c r="BRK467"/>
      <c r="BRL467"/>
      <c r="BRM467"/>
      <c r="BRN467"/>
      <c r="BRO467"/>
      <c r="BRP467"/>
      <c r="BRQ467"/>
      <c r="BRR467"/>
      <c r="BRS467"/>
      <c r="BRT467"/>
      <c r="BRU467"/>
      <c r="BRV467"/>
      <c r="BRW467"/>
      <c r="BRX467"/>
      <c r="BRY467"/>
      <c r="BRZ467"/>
      <c r="BSA467"/>
      <c r="BSB467"/>
      <c r="BSC467"/>
      <c r="BSD467"/>
      <c r="BSE467"/>
      <c r="BSF467"/>
      <c r="BSG467"/>
      <c r="BSH467"/>
      <c r="BSI467"/>
      <c r="BSJ467"/>
      <c r="BSK467"/>
      <c r="BSL467"/>
      <c r="BSM467"/>
      <c r="BSN467"/>
      <c r="BSO467"/>
      <c r="BSP467"/>
      <c r="BSQ467"/>
      <c r="BSR467"/>
      <c r="BSS467"/>
      <c r="BST467"/>
      <c r="BSU467"/>
      <c r="BSV467"/>
      <c r="BSW467"/>
      <c r="BSX467"/>
      <c r="BSY467"/>
      <c r="BSZ467"/>
      <c r="BTA467"/>
      <c r="BTB467"/>
      <c r="BTC467"/>
      <c r="BTD467"/>
      <c r="BTE467"/>
      <c r="BTF467"/>
      <c r="BTG467"/>
      <c r="BTH467"/>
      <c r="BTI467"/>
      <c r="BTJ467"/>
      <c r="BTK467"/>
      <c r="BTL467"/>
      <c r="BTM467"/>
      <c r="BTN467"/>
      <c r="BTO467"/>
      <c r="BTP467"/>
      <c r="BTQ467"/>
      <c r="BTR467"/>
      <c r="BTS467"/>
      <c r="BTT467"/>
      <c r="BTU467"/>
      <c r="BTV467"/>
      <c r="BTW467"/>
      <c r="BTX467"/>
      <c r="BTY467"/>
      <c r="BTZ467"/>
      <c r="BUA467"/>
      <c r="BUB467"/>
      <c r="BUC467"/>
      <c r="BUD467"/>
      <c r="BUE467"/>
      <c r="BUF467"/>
      <c r="BUG467"/>
      <c r="BUH467"/>
      <c r="BUI467"/>
      <c r="BUJ467"/>
      <c r="BUK467"/>
      <c r="BUL467"/>
      <c r="BUM467"/>
      <c r="BUN467"/>
      <c r="BUO467"/>
      <c r="BUP467"/>
      <c r="BUQ467"/>
      <c r="BUR467"/>
      <c r="BUS467"/>
      <c r="BUT467"/>
      <c r="BUU467"/>
      <c r="BUV467"/>
      <c r="BUW467"/>
      <c r="BUX467"/>
      <c r="BUY467"/>
      <c r="BUZ467"/>
      <c r="BVA467"/>
      <c r="BVB467"/>
      <c r="BVC467"/>
      <c r="BVD467"/>
      <c r="BVE467"/>
      <c r="BVF467"/>
      <c r="BVG467"/>
      <c r="BVH467"/>
      <c r="BVI467"/>
      <c r="BVJ467"/>
      <c r="BVK467"/>
      <c r="BVL467"/>
      <c r="BVM467"/>
      <c r="BVN467"/>
      <c r="BVO467"/>
      <c r="BVP467"/>
      <c r="BVQ467"/>
      <c r="BVR467"/>
      <c r="BVS467"/>
      <c r="BVT467"/>
      <c r="BVU467"/>
      <c r="BVV467"/>
      <c r="BVW467"/>
      <c r="BVX467"/>
      <c r="BVY467"/>
      <c r="BVZ467"/>
      <c r="BWA467"/>
      <c r="BWB467"/>
      <c r="BWC467"/>
      <c r="BWD467"/>
      <c r="BWE467"/>
      <c r="BWF467"/>
      <c r="BWG467"/>
      <c r="BWH467"/>
      <c r="BWI467"/>
      <c r="BWJ467"/>
      <c r="BWK467"/>
      <c r="BWL467"/>
      <c r="BWM467"/>
      <c r="BWN467"/>
      <c r="BWO467"/>
      <c r="BWP467"/>
      <c r="BWQ467"/>
      <c r="BWR467"/>
      <c r="BWS467"/>
      <c r="BWT467"/>
      <c r="BWU467"/>
      <c r="BWV467"/>
      <c r="BWW467"/>
      <c r="BWX467"/>
      <c r="BWY467"/>
      <c r="BWZ467"/>
      <c r="BXA467"/>
      <c r="BXB467"/>
      <c r="BXC467"/>
      <c r="BXD467"/>
      <c r="BXE467"/>
      <c r="BXF467"/>
      <c r="BXG467"/>
      <c r="BXH467"/>
      <c r="BXI467"/>
      <c r="BXJ467"/>
      <c r="BXK467"/>
      <c r="BXL467"/>
      <c r="BXM467"/>
      <c r="BXN467"/>
      <c r="BXO467"/>
      <c r="BXP467"/>
      <c r="BXQ467"/>
      <c r="BXR467"/>
      <c r="BXS467"/>
      <c r="BXT467"/>
      <c r="BXU467"/>
      <c r="BXV467"/>
      <c r="BXW467"/>
      <c r="BXX467"/>
      <c r="BXY467"/>
      <c r="BXZ467"/>
      <c r="BYA467"/>
      <c r="BYB467"/>
      <c r="BYC467"/>
      <c r="BYD467"/>
      <c r="BYE467"/>
      <c r="BYF467"/>
      <c r="BYG467"/>
      <c r="BYH467"/>
      <c r="BYI467"/>
      <c r="BYJ467"/>
      <c r="BYK467"/>
      <c r="BYL467"/>
      <c r="BYM467"/>
      <c r="BYN467"/>
      <c r="BYO467"/>
      <c r="BYP467"/>
      <c r="BYQ467"/>
      <c r="BYR467"/>
      <c r="BYS467"/>
      <c r="BYT467"/>
      <c r="BYU467"/>
      <c r="BYV467"/>
      <c r="BYW467"/>
      <c r="BYX467"/>
      <c r="BYY467"/>
      <c r="BYZ467"/>
      <c r="BZA467"/>
      <c r="BZB467"/>
      <c r="BZC467"/>
      <c r="BZD467"/>
      <c r="BZE467"/>
      <c r="BZF467"/>
      <c r="BZG467"/>
      <c r="BZH467"/>
      <c r="BZI467"/>
      <c r="BZJ467"/>
      <c r="BZK467"/>
      <c r="BZL467"/>
      <c r="BZM467"/>
      <c r="BZN467"/>
      <c r="BZO467"/>
      <c r="BZP467"/>
      <c r="BZQ467"/>
      <c r="BZR467"/>
      <c r="BZS467"/>
      <c r="BZT467"/>
      <c r="BZU467"/>
      <c r="BZV467"/>
      <c r="BZW467"/>
      <c r="BZX467"/>
      <c r="BZY467"/>
      <c r="BZZ467"/>
      <c r="CAA467"/>
      <c r="CAB467"/>
      <c r="CAC467"/>
      <c r="CAD467"/>
      <c r="CAE467"/>
      <c r="CAF467"/>
      <c r="CAG467"/>
      <c r="CAH467"/>
      <c r="CAI467"/>
      <c r="CAJ467"/>
      <c r="CAK467"/>
      <c r="CAL467"/>
      <c r="CAM467"/>
      <c r="CAN467"/>
      <c r="CAO467"/>
      <c r="CAP467"/>
      <c r="CAQ467"/>
      <c r="CAR467"/>
      <c r="CAS467"/>
      <c r="CAT467"/>
      <c r="CAU467"/>
      <c r="CAV467"/>
      <c r="CAW467"/>
      <c r="CAX467"/>
      <c r="CAY467"/>
      <c r="CAZ467"/>
      <c r="CBA467"/>
      <c r="CBB467"/>
      <c r="CBC467"/>
      <c r="CBD467"/>
      <c r="CBE467"/>
      <c r="CBF467"/>
      <c r="CBG467"/>
      <c r="CBH467"/>
      <c r="CBI467"/>
      <c r="CBJ467"/>
      <c r="CBK467"/>
      <c r="CBL467"/>
      <c r="CBM467"/>
      <c r="CBN467"/>
      <c r="CBO467"/>
      <c r="CBP467"/>
      <c r="CBQ467"/>
      <c r="CBR467"/>
      <c r="CBS467"/>
      <c r="CBT467"/>
      <c r="CBU467"/>
      <c r="CBV467"/>
      <c r="CBW467"/>
      <c r="CBX467"/>
      <c r="CBY467"/>
      <c r="CBZ467"/>
      <c r="CCA467"/>
      <c r="CCB467"/>
      <c r="CCC467"/>
      <c r="CCD467"/>
      <c r="CCE467"/>
      <c r="CCF467"/>
      <c r="CCG467"/>
      <c r="CCH467"/>
      <c r="CCI467"/>
      <c r="CCJ467"/>
      <c r="CCK467"/>
      <c r="CCL467"/>
      <c r="CCM467"/>
      <c r="CCN467"/>
      <c r="CCO467"/>
      <c r="CCP467"/>
      <c r="CCQ467"/>
      <c r="CCR467"/>
      <c r="CCS467"/>
      <c r="CCT467"/>
      <c r="CCU467"/>
      <c r="CCV467"/>
      <c r="CCW467"/>
      <c r="CCX467"/>
      <c r="CCY467"/>
      <c r="CCZ467"/>
      <c r="CDA467"/>
      <c r="CDB467"/>
      <c r="CDC467"/>
      <c r="CDD467"/>
      <c r="CDE467"/>
      <c r="CDF467"/>
      <c r="CDG467"/>
      <c r="CDH467"/>
      <c r="CDI467"/>
      <c r="CDJ467"/>
      <c r="CDK467"/>
      <c r="CDL467"/>
      <c r="CDM467"/>
      <c r="CDN467"/>
      <c r="CDO467"/>
      <c r="CDP467"/>
      <c r="CDQ467"/>
      <c r="CDR467"/>
      <c r="CDS467"/>
      <c r="CDT467"/>
      <c r="CDU467"/>
      <c r="CDV467"/>
      <c r="CDW467"/>
      <c r="CDX467"/>
      <c r="CDY467"/>
      <c r="CDZ467"/>
      <c r="CEA467"/>
      <c r="CEB467"/>
      <c r="CEC467"/>
      <c r="CED467"/>
      <c r="CEE467"/>
      <c r="CEF467"/>
      <c r="CEG467"/>
      <c r="CEH467"/>
      <c r="CEI467"/>
      <c r="CEJ467"/>
      <c r="CEK467"/>
      <c r="CEL467"/>
      <c r="CEM467"/>
      <c r="CEN467"/>
      <c r="CEO467"/>
      <c r="CEP467"/>
      <c r="CEQ467"/>
      <c r="CER467"/>
      <c r="CES467"/>
      <c r="CET467"/>
      <c r="CEU467"/>
      <c r="CEV467"/>
      <c r="CEW467"/>
      <c r="CEX467"/>
      <c r="CEY467"/>
      <c r="CEZ467"/>
      <c r="CFA467"/>
      <c r="CFB467"/>
      <c r="CFC467"/>
      <c r="CFD467"/>
      <c r="CFE467"/>
      <c r="CFF467"/>
      <c r="CFG467"/>
      <c r="CFH467"/>
      <c r="CFI467"/>
      <c r="CFJ467"/>
      <c r="CFK467"/>
      <c r="CFL467"/>
      <c r="CFM467"/>
      <c r="CFN467"/>
      <c r="CFO467"/>
      <c r="CFP467"/>
      <c r="CFQ467"/>
      <c r="CFR467"/>
      <c r="CFS467"/>
      <c r="CFT467"/>
      <c r="CFU467"/>
      <c r="CFV467"/>
      <c r="CFW467"/>
      <c r="CFX467"/>
      <c r="CFY467"/>
      <c r="CFZ467"/>
      <c r="CGA467"/>
      <c r="CGB467"/>
      <c r="CGC467"/>
      <c r="CGD467"/>
      <c r="CGE467"/>
      <c r="CGF467"/>
      <c r="CGG467"/>
      <c r="CGH467"/>
      <c r="CGI467"/>
      <c r="CGJ467"/>
      <c r="CGK467"/>
      <c r="CGL467"/>
      <c r="CGM467"/>
      <c r="CGN467"/>
      <c r="CGO467"/>
      <c r="CGP467"/>
      <c r="CGQ467"/>
      <c r="CGR467"/>
      <c r="CGS467"/>
      <c r="CGT467"/>
      <c r="CGU467"/>
      <c r="CGV467"/>
      <c r="CGW467"/>
      <c r="CGX467"/>
      <c r="CGY467"/>
      <c r="CGZ467"/>
      <c r="CHA467"/>
      <c r="CHB467"/>
      <c r="CHC467"/>
      <c r="CHD467"/>
      <c r="CHE467"/>
      <c r="CHF467"/>
      <c r="CHG467"/>
      <c r="CHH467"/>
      <c r="CHI467"/>
      <c r="CHJ467"/>
      <c r="CHK467"/>
      <c r="CHL467"/>
      <c r="CHM467"/>
      <c r="CHN467"/>
      <c r="CHO467"/>
      <c r="CHP467"/>
      <c r="CHQ467"/>
      <c r="CHR467"/>
      <c r="CHS467"/>
      <c r="CHT467"/>
      <c r="CHU467"/>
      <c r="CHV467"/>
      <c r="CHW467"/>
      <c r="CHX467"/>
      <c r="CHY467"/>
      <c r="CHZ467"/>
      <c r="CIA467"/>
      <c r="CIB467"/>
      <c r="CIC467"/>
      <c r="CID467"/>
      <c r="CIE467"/>
      <c r="CIF467"/>
      <c r="CIG467"/>
      <c r="CIH467"/>
      <c r="CII467"/>
      <c r="CIJ467"/>
      <c r="CIK467"/>
      <c r="CIL467"/>
      <c r="CIM467"/>
      <c r="CIN467"/>
      <c r="CIO467"/>
      <c r="CIP467"/>
      <c r="CIQ467"/>
      <c r="CIR467"/>
      <c r="CIS467"/>
      <c r="CIT467"/>
      <c r="CIU467"/>
      <c r="CIV467"/>
      <c r="CIW467"/>
      <c r="CIX467"/>
      <c r="CIY467"/>
      <c r="CIZ467"/>
      <c r="CJA467"/>
      <c r="CJB467"/>
      <c r="CJC467"/>
      <c r="CJD467"/>
      <c r="CJE467"/>
      <c r="CJF467"/>
      <c r="CJG467"/>
      <c r="CJH467"/>
      <c r="CJI467"/>
      <c r="CJJ467"/>
      <c r="CJK467"/>
      <c r="CJL467"/>
      <c r="CJM467"/>
      <c r="CJN467"/>
      <c r="CJO467"/>
      <c r="CJP467"/>
      <c r="CJQ467"/>
      <c r="CJR467"/>
      <c r="CJS467"/>
      <c r="CJT467"/>
      <c r="CJU467"/>
      <c r="CJV467"/>
      <c r="CJW467"/>
      <c r="CJX467"/>
      <c r="CJY467"/>
      <c r="CJZ467"/>
      <c r="CKA467"/>
      <c r="CKB467"/>
      <c r="CKC467"/>
      <c r="CKD467"/>
      <c r="CKE467"/>
      <c r="CKF467"/>
      <c r="CKG467"/>
      <c r="CKH467"/>
      <c r="CKI467"/>
      <c r="CKJ467"/>
      <c r="CKK467"/>
      <c r="CKL467"/>
      <c r="CKM467"/>
      <c r="CKN467"/>
      <c r="CKO467"/>
      <c r="CKP467"/>
      <c r="CKQ467"/>
      <c r="CKR467"/>
      <c r="CKS467"/>
      <c r="CKT467"/>
      <c r="CKU467"/>
      <c r="CKV467"/>
      <c r="CKW467"/>
      <c r="CKX467"/>
      <c r="CKY467"/>
      <c r="CKZ467"/>
      <c r="CLA467"/>
      <c r="CLB467"/>
      <c r="CLC467"/>
      <c r="CLD467"/>
      <c r="CLE467"/>
      <c r="CLF467"/>
      <c r="CLG467"/>
      <c r="CLH467"/>
      <c r="CLI467"/>
      <c r="CLJ467"/>
      <c r="CLK467"/>
      <c r="CLL467"/>
      <c r="CLM467"/>
      <c r="CLN467"/>
      <c r="CLO467"/>
      <c r="CLP467"/>
      <c r="CLQ467"/>
      <c r="CLR467"/>
      <c r="CLS467"/>
      <c r="CLT467"/>
      <c r="CLU467"/>
      <c r="CLV467"/>
      <c r="CLW467"/>
      <c r="CLX467"/>
      <c r="CLY467"/>
      <c r="CLZ467"/>
      <c r="CMA467"/>
      <c r="CMB467"/>
      <c r="CMC467"/>
      <c r="CMD467"/>
      <c r="CME467"/>
      <c r="CMF467"/>
      <c r="CMG467"/>
      <c r="CMH467"/>
      <c r="CMI467"/>
      <c r="CMJ467"/>
      <c r="CMK467"/>
      <c r="CML467"/>
      <c r="CMM467"/>
      <c r="CMN467"/>
      <c r="CMO467"/>
      <c r="CMP467"/>
      <c r="CMQ467"/>
      <c r="CMR467"/>
      <c r="CMS467"/>
      <c r="CMT467"/>
      <c r="CMU467"/>
      <c r="CMV467"/>
      <c r="CMW467"/>
      <c r="CMX467"/>
      <c r="CMY467"/>
      <c r="CMZ467"/>
      <c r="CNA467"/>
      <c r="CNB467"/>
      <c r="CNC467"/>
      <c r="CND467"/>
      <c r="CNE467"/>
      <c r="CNF467"/>
      <c r="CNG467"/>
      <c r="CNH467"/>
      <c r="CNI467"/>
      <c r="CNJ467"/>
      <c r="CNK467"/>
      <c r="CNL467"/>
      <c r="CNM467"/>
      <c r="CNN467"/>
      <c r="CNO467"/>
      <c r="CNP467"/>
      <c r="CNQ467"/>
      <c r="CNR467"/>
      <c r="CNS467"/>
      <c r="CNT467"/>
      <c r="CNU467"/>
      <c r="CNV467"/>
      <c r="CNW467"/>
      <c r="CNX467"/>
      <c r="CNY467"/>
      <c r="CNZ467"/>
      <c r="COA467"/>
      <c r="COB467"/>
      <c r="COC467"/>
      <c r="COD467"/>
      <c r="COE467"/>
      <c r="COF467"/>
      <c r="COG467"/>
      <c r="COH467"/>
      <c r="COI467"/>
      <c r="COJ467"/>
      <c r="COK467"/>
      <c r="COL467"/>
      <c r="COM467"/>
      <c r="CON467"/>
      <c r="COO467"/>
      <c r="COP467"/>
      <c r="COQ467"/>
      <c r="COR467"/>
      <c r="COS467"/>
      <c r="COT467"/>
      <c r="COU467"/>
      <c r="COV467"/>
      <c r="COW467"/>
      <c r="COX467"/>
      <c r="COY467"/>
      <c r="COZ467"/>
      <c r="CPA467"/>
      <c r="CPB467"/>
      <c r="CPC467"/>
      <c r="CPD467"/>
      <c r="CPE467"/>
      <c r="CPF467"/>
      <c r="CPG467"/>
      <c r="CPH467"/>
      <c r="CPI467"/>
      <c r="CPJ467"/>
      <c r="CPK467"/>
      <c r="CPL467"/>
      <c r="CPM467"/>
      <c r="CPN467"/>
      <c r="CPO467"/>
      <c r="CPP467"/>
      <c r="CPQ467"/>
      <c r="CPR467"/>
      <c r="CPS467"/>
      <c r="CPT467"/>
      <c r="CPU467"/>
      <c r="CPV467"/>
      <c r="CPW467"/>
      <c r="CPX467"/>
      <c r="CPY467"/>
      <c r="CPZ467"/>
      <c r="CQA467"/>
      <c r="CQB467"/>
      <c r="CQC467"/>
      <c r="CQD467"/>
      <c r="CQE467"/>
      <c r="CQF467"/>
      <c r="CQG467"/>
      <c r="CQH467"/>
      <c r="CQI467"/>
      <c r="CQJ467"/>
      <c r="CQK467"/>
      <c r="CQL467"/>
      <c r="CQM467"/>
      <c r="CQN467"/>
      <c r="CQO467"/>
      <c r="CQP467"/>
      <c r="CQQ467"/>
      <c r="CQR467"/>
      <c r="CQS467"/>
      <c r="CQT467"/>
      <c r="CQU467"/>
      <c r="CQV467"/>
      <c r="CQW467"/>
      <c r="CQX467"/>
      <c r="CQY467"/>
      <c r="CQZ467"/>
      <c r="CRA467"/>
      <c r="CRB467"/>
      <c r="CRC467"/>
      <c r="CRD467"/>
      <c r="CRE467"/>
      <c r="CRF467"/>
      <c r="CRG467"/>
      <c r="CRH467"/>
      <c r="CRI467"/>
      <c r="CRJ467"/>
      <c r="CRK467"/>
      <c r="CRL467"/>
      <c r="CRM467"/>
      <c r="CRN467"/>
      <c r="CRO467"/>
      <c r="CRP467"/>
      <c r="CRQ467"/>
      <c r="CRR467"/>
      <c r="CRS467"/>
      <c r="CRT467"/>
      <c r="CRU467"/>
      <c r="CRV467"/>
      <c r="CRW467"/>
      <c r="CRX467"/>
      <c r="CRY467"/>
      <c r="CRZ467"/>
      <c r="CSA467"/>
      <c r="CSB467"/>
      <c r="CSC467"/>
      <c r="CSD467"/>
      <c r="CSE467"/>
      <c r="CSF467"/>
      <c r="CSG467"/>
      <c r="CSH467"/>
      <c r="CSI467"/>
      <c r="CSJ467"/>
      <c r="CSK467"/>
      <c r="CSL467"/>
      <c r="CSM467"/>
      <c r="CSN467"/>
      <c r="CSO467"/>
      <c r="CSP467"/>
      <c r="CSQ467"/>
      <c r="CSR467"/>
      <c r="CSS467"/>
      <c r="CST467"/>
      <c r="CSU467"/>
      <c r="CSV467"/>
      <c r="CSW467"/>
      <c r="CSX467"/>
      <c r="CSY467"/>
      <c r="CSZ467"/>
      <c r="CTA467"/>
      <c r="CTB467"/>
      <c r="CTC467"/>
      <c r="CTD467"/>
      <c r="CTE467"/>
      <c r="CTF467"/>
      <c r="CTG467"/>
      <c r="CTH467"/>
      <c r="CTI467"/>
      <c r="CTJ467"/>
      <c r="CTK467"/>
      <c r="CTL467"/>
      <c r="CTM467"/>
      <c r="CTN467"/>
      <c r="CTO467"/>
      <c r="CTP467"/>
      <c r="CTQ467"/>
      <c r="CTR467"/>
      <c r="CTS467"/>
      <c r="CTT467"/>
      <c r="CTU467"/>
      <c r="CTV467"/>
      <c r="CTW467"/>
      <c r="CTX467"/>
      <c r="CTY467"/>
      <c r="CTZ467"/>
      <c r="CUA467"/>
      <c r="CUB467"/>
      <c r="CUC467"/>
      <c r="CUD467"/>
      <c r="CUE467"/>
      <c r="CUF467"/>
      <c r="CUG467"/>
      <c r="CUH467"/>
      <c r="CUI467"/>
      <c r="CUJ467"/>
      <c r="CUK467"/>
      <c r="CUL467"/>
      <c r="CUM467"/>
      <c r="CUN467"/>
      <c r="CUO467"/>
      <c r="CUP467"/>
      <c r="CUQ467"/>
      <c r="CUR467"/>
      <c r="CUS467"/>
      <c r="CUT467"/>
      <c r="CUU467"/>
      <c r="CUV467"/>
      <c r="CUW467"/>
      <c r="CUX467"/>
      <c r="CUY467"/>
      <c r="CUZ467"/>
      <c r="CVA467"/>
      <c r="CVB467"/>
      <c r="CVC467"/>
      <c r="CVD467"/>
      <c r="CVE467"/>
      <c r="CVF467"/>
      <c r="CVG467"/>
      <c r="CVH467"/>
      <c r="CVI467"/>
      <c r="CVJ467"/>
      <c r="CVK467"/>
      <c r="CVL467"/>
      <c r="CVM467"/>
      <c r="CVN467"/>
      <c r="CVO467"/>
      <c r="CVP467"/>
      <c r="CVQ467"/>
      <c r="CVR467"/>
      <c r="CVS467"/>
      <c r="CVT467"/>
      <c r="CVU467"/>
      <c r="CVV467"/>
      <c r="CVW467"/>
      <c r="CVX467"/>
      <c r="CVY467"/>
      <c r="CVZ467"/>
      <c r="CWA467"/>
      <c r="CWB467"/>
      <c r="CWC467"/>
      <c r="CWD467"/>
      <c r="CWE467"/>
      <c r="CWF467"/>
      <c r="CWG467"/>
      <c r="CWH467"/>
      <c r="CWI467"/>
      <c r="CWJ467"/>
      <c r="CWK467"/>
      <c r="CWL467"/>
      <c r="CWM467"/>
      <c r="CWN467"/>
      <c r="CWO467"/>
      <c r="CWP467"/>
      <c r="CWQ467"/>
      <c r="CWR467"/>
      <c r="CWS467"/>
      <c r="CWT467"/>
      <c r="CWU467"/>
      <c r="CWV467"/>
      <c r="CWW467"/>
      <c r="CWX467"/>
      <c r="CWY467"/>
      <c r="CWZ467"/>
      <c r="CXA467"/>
      <c r="CXB467"/>
      <c r="CXC467"/>
      <c r="CXD467"/>
      <c r="CXE467"/>
      <c r="CXF467"/>
      <c r="CXG467"/>
      <c r="CXH467"/>
      <c r="CXI467"/>
      <c r="CXJ467"/>
      <c r="CXK467"/>
      <c r="CXL467"/>
      <c r="CXM467"/>
      <c r="CXN467"/>
      <c r="CXO467"/>
      <c r="CXP467"/>
      <c r="CXQ467"/>
      <c r="CXR467"/>
      <c r="CXS467"/>
      <c r="CXT467"/>
      <c r="CXU467"/>
      <c r="CXV467"/>
      <c r="CXW467"/>
      <c r="CXX467"/>
      <c r="CXY467"/>
      <c r="CXZ467"/>
      <c r="CYA467"/>
      <c r="CYB467"/>
      <c r="CYC467"/>
      <c r="CYD467"/>
      <c r="CYE467"/>
      <c r="CYF467"/>
      <c r="CYG467"/>
      <c r="CYH467"/>
      <c r="CYI467"/>
      <c r="CYJ467"/>
      <c r="CYK467"/>
      <c r="CYL467"/>
      <c r="CYM467"/>
      <c r="CYN467"/>
      <c r="CYO467"/>
      <c r="CYP467"/>
      <c r="CYQ467"/>
      <c r="CYR467"/>
      <c r="CYS467"/>
      <c r="CYT467"/>
      <c r="CYU467"/>
      <c r="CYV467"/>
      <c r="CYW467"/>
      <c r="CYX467"/>
      <c r="CYY467"/>
      <c r="CYZ467"/>
      <c r="CZA467"/>
      <c r="CZB467"/>
      <c r="CZC467"/>
      <c r="CZD467"/>
      <c r="CZE467"/>
      <c r="CZF467"/>
      <c r="CZG467"/>
      <c r="CZH467"/>
      <c r="CZI467"/>
      <c r="CZJ467"/>
      <c r="CZK467"/>
      <c r="CZL467"/>
      <c r="CZM467"/>
      <c r="CZN467"/>
      <c r="CZO467"/>
      <c r="CZP467"/>
      <c r="CZQ467"/>
      <c r="CZR467"/>
      <c r="CZS467"/>
      <c r="CZT467"/>
      <c r="CZU467"/>
      <c r="CZV467"/>
      <c r="CZW467"/>
      <c r="CZX467"/>
      <c r="CZY467"/>
      <c r="CZZ467"/>
      <c r="DAA467"/>
      <c r="DAB467"/>
      <c r="DAC467"/>
      <c r="DAD467"/>
      <c r="DAE467"/>
      <c r="DAF467"/>
      <c r="DAG467"/>
      <c r="DAH467"/>
      <c r="DAI467"/>
      <c r="DAJ467"/>
      <c r="DAK467"/>
      <c r="DAL467"/>
      <c r="DAM467"/>
      <c r="DAN467"/>
      <c r="DAO467"/>
      <c r="DAP467"/>
      <c r="DAQ467"/>
      <c r="DAR467"/>
      <c r="DAS467"/>
      <c r="DAT467"/>
      <c r="DAU467"/>
      <c r="DAV467"/>
      <c r="DAW467"/>
      <c r="DAX467"/>
      <c r="DAY467"/>
      <c r="DAZ467"/>
      <c r="DBA467"/>
      <c r="DBB467"/>
      <c r="DBC467"/>
      <c r="DBD467"/>
      <c r="DBE467"/>
      <c r="DBF467"/>
      <c r="DBG467"/>
      <c r="DBH467"/>
      <c r="DBI467"/>
      <c r="DBJ467"/>
      <c r="DBK467"/>
      <c r="DBL467"/>
      <c r="DBM467"/>
      <c r="DBN467"/>
      <c r="DBO467"/>
      <c r="DBP467"/>
      <c r="DBQ467"/>
      <c r="DBR467"/>
      <c r="DBS467"/>
      <c r="DBT467"/>
      <c r="DBU467"/>
      <c r="DBV467"/>
      <c r="DBW467"/>
      <c r="DBX467"/>
      <c r="DBY467"/>
      <c r="DBZ467"/>
      <c r="DCA467"/>
      <c r="DCB467"/>
      <c r="DCC467"/>
      <c r="DCD467"/>
      <c r="DCE467"/>
      <c r="DCF467"/>
      <c r="DCG467"/>
      <c r="DCH467"/>
      <c r="DCI467"/>
      <c r="DCJ467"/>
      <c r="DCK467"/>
      <c r="DCL467"/>
      <c r="DCM467"/>
      <c r="DCN467"/>
      <c r="DCO467"/>
      <c r="DCP467"/>
      <c r="DCQ467"/>
      <c r="DCR467"/>
      <c r="DCS467"/>
      <c r="DCT467"/>
      <c r="DCU467"/>
      <c r="DCV467"/>
      <c r="DCW467"/>
      <c r="DCX467"/>
      <c r="DCY467"/>
      <c r="DCZ467"/>
      <c r="DDA467"/>
      <c r="DDB467"/>
      <c r="DDC467"/>
      <c r="DDD467"/>
      <c r="DDE467"/>
      <c r="DDF467"/>
      <c r="DDG467"/>
      <c r="DDH467"/>
      <c r="DDI467"/>
      <c r="DDJ467"/>
      <c r="DDK467"/>
      <c r="DDL467"/>
      <c r="DDM467"/>
      <c r="DDN467"/>
      <c r="DDO467"/>
      <c r="DDP467"/>
      <c r="DDQ467"/>
      <c r="DDR467"/>
      <c r="DDS467"/>
      <c r="DDT467"/>
      <c r="DDU467"/>
      <c r="DDV467"/>
      <c r="DDW467"/>
      <c r="DDX467"/>
      <c r="DDY467"/>
      <c r="DDZ467"/>
      <c r="DEA467"/>
      <c r="DEB467"/>
      <c r="DEC467"/>
      <c r="DED467"/>
      <c r="DEE467"/>
      <c r="DEF467"/>
      <c r="DEG467"/>
      <c r="DEH467"/>
      <c r="DEI467"/>
      <c r="DEJ467"/>
      <c r="DEK467"/>
      <c r="DEL467"/>
      <c r="DEM467"/>
      <c r="DEN467"/>
      <c r="DEO467"/>
      <c r="DEP467"/>
      <c r="DEQ467"/>
      <c r="DER467"/>
      <c r="DES467"/>
      <c r="DET467"/>
      <c r="DEU467"/>
      <c r="DEV467"/>
      <c r="DEW467"/>
      <c r="DEX467"/>
      <c r="DEY467"/>
      <c r="DEZ467"/>
      <c r="DFA467"/>
      <c r="DFB467"/>
      <c r="DFC467"/>
      <c r="DFD467"/>
      <c r="DFE467"/>
      <c r="DFF467"/>
      <c r="DFG467"/>
      <c r="DFH467"/>
      <c r="DFI467"/>
      <c r="DFJ467"/>
      <c r="DFK467"/>
      <c r="DFL467"/>
      <c r="DFM467"/>
      <c r="DFN467"/>
      <c r="DFO467"/>
      <c r="DFP467"/>
      <c r="DFQ467"/>
      <c r="DFR467"/>
      <c r="DFS467"/>
      <c r="DFT467"/>
      <c r="DFU467"/>
      <c r="DFV467"/>
      <c r="DFW467"/>
      <c r="DFX467"/>
      <c r="DFY467"/>
      <c r="DFZ467"/>
      <c r="DGA467"/>
      <c r="DGB467"/>
      <c r="DGC467"/>
      <c r="DGD467"/>
      <c r="DGE467"/>
      <c r="DGF467"/>
      <c r="DGG467"/>
      <c r="DGH467"/>
      <c r="DGI467"/>
      <c r="DGJ467"/>
      <c r="DGK467"/>
      <c r="DGL467"/>
      <c r="DGM467"/>
      <c r="DGN467"/>
      <c r="DGO467"/>
      <c r="DGP467"/>
      <c r="DGQ467"/>
      <c r="DGR467"/>
      <c r="DGS467"/>
      <c r="DGT467"/>
      <c r="DGU467"/>
      <c r="DGV467"/>
      <c r="DGW467"/>
      <c r="DGX467"/>
      <c r="DGY467"/>
      <c r="DGZ467"/>
      <c r="DHA467"/>
      <c r="DHB467"/>
      <c r="DHC467"/>
      <c r="DHD467"/>
      <c r="DHE467"/>
      <c r="DHF467"/>
      <c r="DHG467"/>
      <c r="DHH467"/>
      <c r="DHI467"/>
      <c r="DHJ467"/>
      <c r="DHK467"/>
      <c r="DHL467"/>
      <c r="DHM467"/>
      <c r="DHN467"/>
      <c r="DHO467"/>
      <c r="DHP467"/>
      <c r="DHQ467"/>
      <c r="DHR467"/>
      <c r="DHS467"/>
      <c r="DHT467"/>
      <c r="DHU467"/>
      <c r="DHV467"/>
      <c r="DHW467"/>
      <c r="DHX467"/>
      <c r="DHY467"/>
      <c r="DHZ467"/>
      <c r="DIA467"/>
      <c r="DIB467"/>
      <c r="DIC467"/>
      <c r="DID467"/>
      <c r="DIE467"/>
      <c r="DIF467"/>
      <c r="DIG467"/>
      <c r="DIH467"/>
      <c r="DII467"/>
      <c r="DIJ467"/>
      <c r="DIK467"/>
      <c r="DIL467"/>
      <c r="DIM467"/>
      <c r="DIN467"/>
      <c r="DIO467"/>
      <c r="DIP467"/>
      <c r="DIQ467"/>
      <c r="DIR467"/>
      <c r="DIS467"/>
      <c r="DIT467"/>
      <c r="DIU467"/>
      <c r="DIV467"/>
      <c r="DIW467"/>
      <c r="DIX467"/>
      <c r="DIY467"/>
      <c r="DIZ467"/>
      <c r="DJA467"/>
      <c r="DJB467"/>
      <c r="DJC467"/>
      <c r="DJD467"/>
      <c r="DJE467"/>
      <c r="DJF467"/>
      <c r="DJG467"/>
      <c r="DJH467"/>
      <c r="DJI467"/>
      <c r="DJJ467"/>
      <c r="DJK467"/>
      <c r="DJL467"/>
      <c r="DJM467"/>
      <c r="DJN467"/>
      <c r="DJO467"/>
      <c r="DJP467"/>
      <c r="DJQ467"/>
      <c r="DJR467"/>
      <c r="DJS467"/>
      <c r="DJT467"/>
      <c r="DJU467"/>
      <c r="DJV467"/>
      <c r="DJW467"/>
      <c r="DJX467"/>
      <c r="DJY467"/>
      <c r="DJZ467"/>
      <c r="DKA467"/>
      <c r="DKB467"/>
      <c r="DKC467"/>
      <c r="DKD467"/>
      <c r="DKE467"/>
      <c r="DKF467"/>
      <c r="DKG467"/>
      <c r="DKH467"/>
      <c r="DKI467"/>
      <c r="DKJ467"/>
      <c r="DKK467"/>
      <c r="DKL467"/>
      <c r="DKM467"/>
      <c r="DKN467"/>
      <c r="DKO467"/>
      <c r="DKP467"/>
      <c r="DKQ467"/>
      <c r="DKR467"/>
      <c r="DKS467"/>
      <c r="DKT467"/>
      <c r="DKU467"/>
      <c r="DKV467"/>
      <c r="DKW467"/>
      <c r="DKX467"/>
      <c r="DKY467"/>
      <c r="DKZ467"/>
      <c r="DLA467"/>
      <c r="DLB467"/>
      <c r="DLC467"/>
      <c r="DLD467"/>
      <c r="DLE467"/>
      <c r="DLF467"/>
      <c r="DLG467"/>
      <c r="DLH467"/>
      <c r="DLI467"/>
      <c r="DLJ467"/>
      <c r="DLK467"/>
      <c r="DLL467"/>
      <c r="DLM467"/>
      <c r="DLN467"/>
      <c r="DLO467"/>
      <c r="DLP467"/>
      <c r="DLQ467"/>
      <c r="DLR467"/>
      <c r="DLS467"/>
      <c r="DLT467"/>
      <c r="DLU467"/>
      <c r="DLV467"/>
      <c r="DLW467"/>
      <c r="DLX467"/>
      <c r="DLY467"/>
      <c r="DLZ467"/>
      <c r="DMA467"/>
      <c r="DMB467"/>
      <c r="DMC467"/>
      <c r="DMD467"/>
      <c r="DME467"/>
      <c r="DMF467"/>
      <c r="DMG467"/>
      <c r="DMH467"/>
      <c r="DMI467"/>
      <c r="DMJ467"/>
      <c r="DMK467"/>
      <c r="DML467"/>
      <c r="DMM467"/>
      <c r="DMN467"/>
      <c r="DMO467"/>
      <c r="DMP467"/>
      <c r="DMQ467"/>
      <c r="DMR467"/>
      <c r="DMS467"/>
      <c r="DMT467"/>
      <c r="DMU467"/>
      <c r="DMV467"/>
      <c r="DMW467"/>
      <c r="DMX467"/>
      <c r="DMY467"/>
      <c r="DMZ467"/>
      <c r="DNA467"/>
      <c r="DNB467"/>
      <c r="DNC467"/>
      <c r="DND467"/>
      <c r="DNE467"/>
      <c r="DNF467"/>
      <c r="DNG467"/>
      <c r="DNH467"/>
      <c r="DNI467"/>
      <c r="DNJ467"/>
      <c r="DNK467"/>
      <c r="DNL467"/>
      <c r="DNM467"/>
      <c r="DNN467"/>
      <c r="DNO467"/>
      <c r="DNP467"/>
      <c r="DNQ467"/>
      <c r="DNR467"/>
      <c r="DNS467"/>
      <c r="DNT467"/>
      <c r="DNU467"/>
      <c r="DNV467"/>
      <c r="DNW467"/>
      <c r="DNX467"/>
      <c r="DNY467"/>
      <c r="DNZ467"/>
      <c r="DOA467"/>
      <c r="DOB467"/>
      <c r="DOC467"/>
      <c r="DOD467"/>
      <c r="DOE467"/>
      <c r="DOF467"/>
      <c r="DOG467"/>
      <c r="DOH467"/>
      <c r="DOI467"/>
      <c r="DOJ467"/>
      <c r="DOK467"/>
      <c r="DOL467"/>
      <c r="DOM467"/>
      <c r="DON467"/>
      <c r="DOO467"/>
      <c r="DOP467"/>
      <c r="DOQ467"/>
      <c r="DOR467"/>
      <c r="DOS467"/>
      <c r="DOT467"/>
      <c r="DOU467"/>
      <c r="DOV467"/>
      <c r="DOW467"/>
      <c r="DOX467"/>
      <c r="DOY467"/>
      <c r="DOZ467"/>
      <c r="DPA467"/>
      <c r="DPB467"/>
      <c r="DPC467"/>
      <c r="DPD467"/>
      <c r="DPE467"/>
      <c r="DPF467"/>
      <c r="DPG467"/>
      <c r="DPH467"/>
      <c r="DPI467"/>
      <c r="DPJ467"/>
      <c r="DPK467"/>
      <c r="DPL467"/>
      <c r="DPM467"/>
      <c r="DPN467"/>
      <c r="DPO467"/>
      <c r="DPP467"/>
      <c r="DPQ467"/>
      <c r="DPR467"/>
      <c r="DPS467"/>
      <c r="DPT467"/>
      <c r="DPU467"/>
      <c r="DPV467"/>
      <c r="DPW467"/>
      <c r="DPX467"/>
      <c r="DPY467"/>
      <c r="DPZ467"/>
      <c r="DQA467"/>
      <c r="DQB467"/>
      <c r="DQC467"/>
      <c r="DQD467"/>
      <c r="DQE467"/>
      <c r="DQF467"/>
      <c r="DQG467"/>
      <c r="DQH467"/>
      <c r="DQI467"/>
      <c r="DQJ467"/>
      <c r="DQK467"/>
      <c r="DQL467"/>
      <c r="DQM467"/>
      <c r="DQN467"/>
      <c r="DQO467"/>
      <c r="DQP467"/>
      <c r="DQQ467"/>
      <c r="DQR467"/>
      <c r="DQS467"/>
      <c r="DQT467"/>
      <c r="DQU467"/>
      <c r="DQV467"/>
      <c r="DQW467"/>
      <c r="DQX467"/>
      <c r="DQY467"/>
      <c r="DQZ467"/>
      <c r="DRA467"/>
      <c r="DRB467"/>
      <c r="DRC467"/>
      <c r="DRD467"/>
      <c r="DRE467"/>
      <c r="DRF467"/>
      <c r="DRG467"/>
      <c r="DRH467"/>
      <c r="DRI467"/>
      <c r="DRJ467"/>
      <c r="DRK467"/>
      <c r="DRL467"/>
      <c r="DRM467"/>
      <c r="DRN467"/>
      <c r="DRO467"/>
      <c r="DRP467"/>
      <c r="DRQ467"/>
      <c r="DRR467"/>
      <c r="DRS467"/>
      <c r="DRT467"/>
      <c r="DRU467"/>
      <c r="DRV467"/>
      <c r="DRW467"/>
      <c r="DRX467"/>
      <c r="DRY467"/>
      <c r="DRZ467"/>
      <c r="DSA467"/>
      <c r="DSB467"/>
      <c r="DSC467"/>
      <c r="DSD467"/>
      <c r="DSE467"/>
      <c r="DSF467"/>
      <c r="DSG467"/>
      <c r="DSH467"/>
      <c r="DSI467"/>
      <c r="DSJ467"/>
      <c r="DSK467"/>
      <c r="DSL467"/>
      <c r="DSM467"/>
      <c r="DSN467"/>
      <c r="DSO467"/>
      <c r="DSP467"/>
      <c r="DSQ467"/>
      <c r="DSR467"/>
      <c r="DSS467"/>
      <c r="DST467"/>
      <c r="DSU467"/>
      <c r="DSV467"/>
      <c r="DSW467"/>
      <c r="DSX467"/>
      <c r="DSY467"/>
      <c r="DSZ467"/>
      <c r="DTA467"/>
      <c r="DTB467"/>
      <c r="DTC467"/>
      <c r="DTD467"/>
      <c r="DTE467"/>
      <c r="DTF467"/>
      <c r="DTG467"/>
      <c r="DTH467"/>
      <c r="DTI467"/>
      <c r="DTJ467"/>
      <c r="DTK467"/>
      <c r="DTL467"/>
      <c r="DTM467"/>
      <c r="DTN467"/>
      <c r="DTO467"/>
      <c r="DTP467"/>
      <c r="DTQ467"/>
      <c r="DTR467"/>
      <c r="DTS467"/>
      <c r="DTT467"/>
      <c r="DTU467"/>
      <c r="DTV467"/>
      <c r="DTW467"/>
      <c r="DTX467"/>
      <c r="DTY467"/>
      <c r="DTZ467"/>
      <c r="DUA467"/>
      <c r="DUB467"/>
      <c r="DUC467"/>
      <c r="DUD467"/>
      <c r="DUE467"/>
      <c r="DUF467"/>
      <c r="DUG467"/>
      <c r="DUH467"/>
      <c r="DUI467"/>
      <c r="DUJ467"/>
      <c r="DUK467"/>
      <c r="DUL467"/>
      <c r="DUM467"/>
      <c r="DUN467"/>
      <c r="DUO467"/>
      <c r="DUP467"/>
      <c r="DUQ467"/>
      <c r="DUR467"/>
      <c r="DUS467"/>
      <c r="DUT467"/>
      <c r="DUU467"/>
      <c r="DUV467"/>
      <c r="DUW467"/>
      <c r="DUX467"/>
      <c r="DUY467"/>
      <c r="DUZ467"/>
      <c r="DVA467"/>
      <c r="DVB467"/>
      <c r="DVC467"/>
      <c r="DVD467"/>
      <c r="DVE467"/>
      <c r="DVF467"/>
      <c r="DVG467"/>
      <c r="DVH467"/>
      <c r="DVI467"/>
      <c r="DVJ467"/>
      <c r="DVK467"/>
      <c r="DVL467"/>
      <c r="DVM467"/>
      <c r="DVN467"/>
      <c r="DVO467"/>
      <c r="DVP467"/>
      <c r="DVQ467"/>
      <c r="DVR467"/>
      <c r="DVS467"/>
      <c r="DVT467"/>
      <c r="DVU467"/>
      <c r="DVV467"/>
      <c r="DVW467"/>
      <c r="DVX467"/>
      <c r="DVY467"/>
      <c r="DVZ467"/>
      <c r="DWA467"/>
      <c r="DWB467"/>
      <c r="DWC467"/>
      <c r="DWD467"/>
      <c r="DWE467"/>
      <c r="DWF467"/>
      <c r="DWG467"/>
      <c r="DWH467"/>
      <c r="DWI467"/>
      <c r="DWJ467"/>
      <c r="DWK467"/>
      <c r="DWL467"/>
      <c r="DWM467"/>
      <c r="DWN467"/>
      <c r="DWO467"/>
      <c r="DWP467"/>
      <c r="DWQ467"/>
      <c r="DWR467"/>
      <c r="DWS467"/>
      <c r="DWT467"/>
      <c r="DWU467"/>
      <c r="DWV467"/>
      <c r="DWW467"/>
      <c r="DWX467"/>
      <c r="DWY467"/>
      <c r="DWZ467"/>
      <c r="DXA467"/>
      <c r="DXB467"/>
      <c r="DXC467"/>
      <c r="DXD467"/>
      <c r="DXE467"/>
      <c r="DXF467"/>
      <c r="DXG467"/>
      <c r="DXH467"/>
      <c r="DXI467"/>
      <c r="DXJ467"/>
      <c r="DXK467"/>
      <c r="DXL467"/>
      <c r="DXM467"/>
      <c r="DXN467"/>
      <c r="DXO467"/>
      <c r="DXP467"/>
      <c r="DXQ467"/>
      <c r="DXR467"/>
      <c r="DXS467"/>
      <c r="DXT467"/>
      <c r="DXU467"/>
      <c r="DXV467"/>
      <c r="DXW467"/>
      <c r="DXX467"/>
      <c r="DXY467"/>
      <c r="DXZ467"/>
      <c r="DYA467"/>
      <c r="DYB467"/>
      <c r="DYC467"/>
      <c r="DYD467"/>
      <c r="DYE467"/>
      <c r="DYF467"/>
      <c r="DYG467"/>
      <c r="DYH467"/>
      <c r="DYI467"/>
      <c r="DYJ467"/>
      <c r="DYK467"/>
      <c r="DYL467"/>
      <c r="DYM467"/>
      <c r="DYN467"/>
      <c r="DYO467"/>
      <c r="DYP467"/>
      <c r="DYQ467"/>
      <c r="DYR467"/>
      <c r="DYS467"/>
      <c r="DYT467"/>
      <c r="DYU467"/>
      <c r="DYV467"/>
      <c r="DYW467"/>
      <c r="DYX467"/>
      <c r="DYY467"/>
      <c r="DYZ467"/>
      <c r="DZA467"/>
      <c r="DZB467"/>
      <c r="DZC467"/>
      <c r="DZD467"/>
      <c r="DZE467"/>
      <c r="DZF467"/>
      <c r="DZG467"/>
      <c r="DZH467"/>
      <c r="DZI467"/>
      <c r="DZJ467"/>
      <c r="DZK467"/>
      <c r="DZL467"/>
      <c r="DZM467"/>
      <c r="DZN467"/>
      <c r="DZO467"/>
      <c r="DZP467"/>
      <c r="DZQ467"/>
      <c r="DZR467"/>
      <c r="DZS467"/>
      <c r="DZT467"/>
      <c r="DZU467"/>
      <c r="DZV467"/>
      <c r="DZW467"/>
      <c r="DZX467"/>
      <c r="DZY467"/>
      <c r="DZZ467"/>
      <c r="EAA467"/>
      <c r="EAB467"/>
      <c r="EAC467"/>
      <c r="EAD467"/>
      <c r="EAE467"/>
      <c r="EAF467"/>
      <c r="EAG467"/>
      <c r="EAH467"/>
      <c r="EAI467"/>
      <c r="EAJ467"/>
      <c r="EAK467"/>
      <c r="EAL467"/>
      <c r="EAM467"/>
      <c r="EAN467"/>
      <c r="EAO467"/>
      <c r="EAP467"/>
      <c r="EAQ467"/>
      <c r="EAR467"/>
      <c r="EAS467"/>
      <c r="EAT467"/>
      <c r="EAU467"/>
      <c r="EAV467"/>
      <c r="EAW467"/>
      <c r="EAX467"/>
      <c r="EAY467"/>
      <c r="EAZ467"/>
      <c r="EBA467"/>
      <c r="EBB467"/>
      <c r="EBC467"/>
      <c r="EBD467"/>
      <c r="EBE467"/>
      <c r="EBF467"/>
      <c r="EBG467"/>
      <c r="EBH467"/>
      <c r="EBI467"/>
      <c r="EBJ467"/>
      <c r="EBK467"/>
      <c r="EBL467"/>
      <c r="EBM467"/>
      <c r="EBN467"/>
      <c r="EBO467"/>
      <c r="EBP467"/>
      <c r="EBQ467"/>
      <c r="EBR467"/>
      <c r="EBS467"/>
      <c r="EBT467"/>
      <c r="EBU467"/>
      <c r="EBV467"/>
      <c r="EBW467"/>
      <c r="EBX467"/>
      <c r="EBY467"/>
      <c r="EBZ467"/>
      <c r="ECA467"/>
      <c r="ECB467"/>
      <c r="ECC467"/>
      <c r="ECD467"/>
      <c r="ECE467"/>
      <c r="ECF467"/>
      <c r="ECG467"/>
      <c r="ECH467"/>
      <c r="ECI467"/>
      <c r="ECJ467"/>
      <c r="ECK467"/>
      <c r="ECL467"/>
      <c r="ECM467"/>
      <c r="ECN467"/>
      <c r="ECO467"/>
      <c r="ECP467"/>
      <c r="ECQ467"/>
      <c r="ECR467"/>
      <c r="ECS467"/>
      <c r="ECT467"/>
      <c r="ECU467"/>
      <c r="ECV467"/>
      <c r="ECW467"/>
      <c r="ECX467"/>
      <c r="ECY467"/>
      <c r="ECZ467"/>
      <c r="EDA467"/>
      <c r="EDB467"/>
      <c r="EDC467"/>
      <c r="EDD467"/>
      <c r="EDE467"/>
      <c r="EDF467"/>
      <c r="EDG467"/>
      <c r="EDH467"/>
      <c r="EDI467"/>
      <c r="EDJ467"/>
      <c r="EDK467"/>
      <c r="EDL467"/>
      <c r="EDM467"/>
      <c r="EDN467"/>
      <c r="EDO467"/>
      <c r="EDP467"/>
      <c r="EDQ467"/>
      <c r="EDR467"/>
      <c r="EDS467"/>
      <c r="EDT467"/>
      <c r="EDU467"/>
      <c r="EDV467"/>
      <c r="EDW467"/>
      <c r="EDX467"/>
      <c r="EDY467"/>
      <c r="EDZ467"/>
      <c r="EEA467"/>
      <c r="EEB467"/>
      <c r="EEC467"/>
      <c r="EED467"/>
      <c r="EEE467"/>
      <c r="EEF467"/>
      <c r="EEG467"/>
      <c r="EEH467"/>
      <c r="EEI467"/>
      <c r="EEJ467"/>
      <c r="EEK467"/>
      <c r="EEL467"/>
      <c r="EEM467"/>
      <c r="EEN467"/>
      <c r="EEO467"/>
      <c r="EEP467"/>
      <c r="EEQ467"/>
      <c r="EER467"/>
      <c r="EES467"/>
      <c r="EET467"/>
      <c r="EEU467"/>
      <c r="EEV467"/>
      <c r="EEW467"/>
      <c r="EEX467"/>
      <c r="EEY467"/>
      <c r="EEZ467"/>
      <c r="EFA467"/>
      <c r="EFB467"/>
      <c r="EFC467"/>
      <c r="EFD467"/>
      <c r="EFE467"/>
      <c r="EFF467"/>
      <c r="EFG467"/>
      <c r="EFH467"/>
      <c r="EFI467"/>
      <c r="EFJ467"/>
      <c r="EFK467"/>
      <c r="EFL467"/>
      <c r="EFM467"/>
      <c r="EFN467"/>
      <c r="EFO467"/>
      <c r="EFP467"/>
      <c r="EFQ467"/>
      <c r="EFR467"/>
      <c r="EFS467"/>
      <c r="EFT467"/>
      <c r="EFU467"/>
      <c r="EFV467"/>
      <c r="EFW467"/>
      <c r="EFX467"/>
      <c r="EFY467"/>
      <c r="EFZ467"/>
      <c r="EGA467"/>
      <c r="EGB467"/>
      <c r="EGC467"/>
      <c r="EGD467"/>
      <c r="EGE467"/>
      <c r="EGF467"/>
      <c r="EGG467"/>
      <c r="EGH467"/>
      <c r="EGI467"/>
      <c r="EGJ467"/>
      <c r="EGK467"/>
      <c r="EGL467"/>
      <c r="EGM467"/>
      <c r="EGN467"/>
      <c r="EGO467"/>
      <c r="EGP467"/>
      <c r="EGQ467"/>
      <c r="EGR467"/>
      <c r="EGS467"/>
      <c r="EGT467"/>
      <c r="EGU467"/>
      <c r="EGV467"/>
      <c r="EGW467"/>
      <c r="EGX467"/>
      <c r="EGY467"/>
      <c r="EGZ467"/>
      <c r="EHA467"/>
      <c r="EHB467"/>
      <c r="EHC467"/>
      <c r="EHD467"/>
      <c r="EHE467"/>
      <c r="EHF467"/>
      <c r="EHG467"/>
      <c r="EHH467"/>
      <c r="EHI467"/>
      <c r="EHJ467"/>
      <c r="EHK467"/>
      <c r="EHL467"/>
      <c r="EHM467"/>
      <c r="EHN467"/>
      <c r="EHO467"/>
      <c r="EHP467"/>
      <c r="EHQ467"/>
      <c r="EHR467"/>
      <c r="EHS467"/>
      <c r="EHT467"/>
      <c r="EHU467"/>
      <c r="EHV467"/>
      <c r="EHW467"/>
      <c r="EHX467"/>
      <c r="EHY467"/>
      <c r="EHZ467"/>
      <c r="EIA467"/>
      <c r="EIB467"/>
      <c r="EIC467"/>
      <c r="EID467"/>
      <c r="EIE467"/>
      <c r="EIF467"/>
      <c r="EIG467"/>
      <c r="EIH467"/>
      <c r="EII467"/>
      <c r="EIJ467"/>
      <c r="EIK467"/>
      <c r="EIL467"/>
      <c r="EIM467"/>
      <c r="EIN467"/>
      <c r="EIO467"/>
      <c r="EIP467"/>
      <c r="EIQ467"/>
      <c r="EIR467"/>
      <c r="EIS467"/>
      <c r="EIT467"/>
      <c r="EIU467"/>
      <c r="EIV467"/>
      <c r="EIW467"/>
      <c r="EIX467"/>
      <c r="EIY467"/>
      <c r="EIZ467"/>
      <c r="EJA467"/>
      <c r="EJB467"/>
      <c r="EJC467"/>
      <c r="EJD467"/>
      <c r="EJE467"/>
      <c r="EJF467"/>
      <c r="EJG467"/>
      <c r="EJH467"/>
      <c r="EJI467"/>
      <c r="EJJ467"/>
      <c r="EJK467"/>
      <c r="EJL467"/>
      <c r="EJM467"/>
      <c r="EJN467"/>
      <c r="EJO467"/>
      <c r="EJP467"/>
      <c r="EJQ467"/>
      <c r="EJR467"/>
      <c r="EJS467"/>
      <c r="EJT467"/>
      <c r="EJU467"/>
      <c r="EJV467"/>
      <c r="EJW467"/>
      <c r="EJX467"/>
      <c r="EJY467"/>
      <c r="EJZ467"/>
      <c r="EKA467"/>
      <c r="EKB467"/>
      <c r="EKC467"/>
      <c r="EKD467"/>
      <c r="EKE467"/>
      <c r="EKF467"/>
      <c r="EKG467"/>
      <c r="EKH467"/>
      <c r="EKI467"/>
      <c r="EKJ467"/>
      <c r="EKK467"/>
      <c r="EKL467"/>
      <c r="EKM467"/>
      <c r="EKN467"/>
      <c r="EKO467"/>
      <c r="EKP467"/>
      <c r="EKQ467"/>
      <c r="EKR467"/>
      <c r="EKS467"/>
      <c r="EKT467"/>
      <c r="EKU467"/>
      <c r="EKV467"/>
      <c r="EKW467"/>
      <c r="EKX467"/>
      <c r="EKY467"/>
      <c r="EKZ467"/>
      <c r="ELA467"/>
      <c r="ELB467"/>
      <c r="ELC467"/>
      <c r="ELD467"/>
      <c r="ELE467"/>
      <c r="ELF467"/>
      <c r="ELG467"/>
      <c r="ELH467"/>
      <c r="ELI467"/>
      <c r="ELJ467"/>
      <c r="ELK467"/>
      <c r="ELL467"/>
      <c r="ELM467"/>
      <c r="ELN467"/>
      <c r="ELO467"/>
      <c r="ELP467"/>
      <c r="ELQ467"/>
      <c r="ELR467"/>
      <c r="ELS467"/>
      <c r="ELT467"/>
      <c r="ELU467"/>
      <c r="ELV467"/>
      <c r="ELW467"/>
      <c r="ELX467"/>
      <c r="ELY467"/>
      <c r="ELZ467"/>
      <c r="EMA467"/>
      <c r="EMB467"/>
      <c r="EMC467"/>
      <c r="EMD467"/>
      <c r="EME467"/>
      <c r="EMF467"/>
      <c r="EMG467"/>
      <c r="EMH467"/>
      <c r="EMI467"/>
      <c r="EMJ467"/>
      <c r="EMK467"/>
      <c r="EML467"/>
      <c r="EMM467"/>
      <c r="EMN467"/>
      <c r="EMO467"/>
      <c r="EMP467"/>
      <c r="EMQ467"/>
      <c r="EMR467"/>
      <c r="EMS467"/>
      <c r="EMT467"/>
      <c r="EMU467"/>
      <c r="EMV467"/>
      <c r="EMW467"/>
      <c r="EMX467"/>
      <c r="EMY467"/>
      <c r="EMZ467"/>
      <c r="ENA467"/>
      <c r="ENB467"/>
      <c r="ENC467"/>
      <c r="END467"/>
      <c r="ENE467"/>
      <c r="ENF467"/>
      <c r="ENG467"/>
      <c r="ENH467"/>
      <c r="ENI467"/>
      <c r="ENJ467"/>
      <c r="ENK467"/>
      <c r="ENL467"/>
      <c r="ENM467"/>
      <c r="ENN467"/>
      <c r="ENO467"/>
      <c r="ENP467"/>
      <c r="ENQ467"/>
      <c r="ENR467"/>
      <c r="ENS467"/>
      <c r="ENT467"/>
      <c r="ENU467"/>
      <c r="ENV467"/>
      <c r="ENW467"/>
      <c r="ENX467"/>
      <c r="ENY467"/>
      <c r="ENZ467"/>
      <c r="EOA467"/>
      <c r="EOB467"/>
      <c r="EOC467"/>
      <c r="EOD467"/>
      <c r="EOE467"/>
      <c r="EOF467"/>
      <c r="EOG467"/>
      <c r="EOH467"/>
      <c r="EOI467"/>
      <c r="EOJ467"/>
      <c r="EOK467"/>
      <c r="EOL467"/>
      <c r="EOM467"/>
      <c r="EON467"/>
      <c r="EOO467"/>
      <c r="EOP467"/>
      <c r="EOQ467"/>
      <c r="EOR467"/>
      <c r="EOS467"/>
      <c r="EOT467"/>
      <c r="EOU467"/>
      <c r="EOV467"/>
      <c r="EOW467"/>
      <c r="EOX467"/>
      <c r="EOY467"/>
      <c r="EOZ467"/>
      <c r="EPA467"/>
      <c r="EPB467"/>
      <c r="EPC467"/>
      <c r="EPD467"/>
      <c r="EPE467"/>
      <c r="EPF467"/>
      <c r="EPG467"/>
      <c r="EPH467"/>
      <c r="EPI467"/>
      <c r="EPJ467"/>
      <c r="EPK467"/>
      <c r="EPL467"/>
      <c r="EPM467"/>
      <c r="EPN467"/>
      <c r="EPO467"/>
      <c r="EPP467"/>
      <c r="EPQ467"/>
      <c r="EPR467"/>
      <c r="EPS467"/>
      <c r="EPT467"/>
      <c r="EPU467"/>
      <c r="EPV467"/>
      <c r="EPW467"/>
      <c r="EPX467"/>
      <c r="EPY467"/>
      <c r="EPZ467"/>
      <c r="EQA467"/>
      <c r="EQB467"/>
      <c r="EQC467"/>
      <c r="EQD467"/>
      <c r="EQE467"/>
      <c r="EQF467"/>
      <c r="EQG467"/>
      <c r="EQH467"/>
      <c r="EQI467"/>
      <c r="EQJ467"/>
      <c r="EQK467"/>
      <c r="EQL467"/>
      <c r="EQM467"/>
      <c r="EQN467"/>
      <c r="EQO467"/>
      <c r="EQP467"/>
      <c r="EQQ467"/>
      <c r="EQR467"/>
      <c r="EQS467"/>
      <c r="EQT467"/>
      <c r="EQU467"/>
      <c r="EQV467"/>
      <c r="EQW467"/>
      <c r="EQX467"/>
      <c r="EQY467"/>
      <c r="EQZ467"/>
      <c r="ERA467"/>
      <c r="ERB467"/>
      <c r="ERC467"/>
      <c r="ERD467"/>
      <c r="ERE467"/>
      <c r="ERF467"/>
      <c r="ERG467"/>
      <c r="ERH467"/>
      <c r="ERI467"/>
      <c r="ERJ467"/>
      <c r="ERK467"/>
      <c r="ERL467"/>
      <c r="ERM467"/>
      <c r="ERN467"/>
      <c r="ERO467"/>
      <c r="ERP467"/>
      <c r="ERQ467"/>
      <c r="ERR467"/>
      <c r="ERS467"/>
      <c r="ERT467"/>
      <c r="ERU467"/>
      <c r="ERV467"/>
      <c r="ERW467"/>
      <c r="ERX467"/>
      <c r="ERY467"/>
      <c r="ERZ467"/>
      <c r="ESA467"/>
      <c r="ESB467"/>
      <c r="ESC467"/>
      <c r="ESD467"/>
      <c r="ESE467"/>
      <c r="ESF467"/>
      <c r="ESG467"/>
      <c r="ESH467"/>
      <c r="ESI467"/>
      <c r="ESJ467"/>
      <c r="ESK467"/>
      <c r="ESL467"/>
      <c r="ESM467"/>
      <c r="ESN467"/>
      <c r="ESO467"/>
      <c r="ESP467"/>
      <c r="ESQ467"/>
      <c r="ESR467"/>
      <c r="ESS467"/>
      <c r="EST467"/>
      <c r="ESU467"/>
      <c r="ESV467"/>
      <c r="ESW467"/>
      <c r="ESX467"/>
      <c r="ESY467"/>
      <c r="ESZ467"/>
      <c r="ETA467"/>
      <c r="ETB467"/>
      <c r="ETC467"/>
      <c r="ETD467"/>
      <c r="ETE467"/>
      <c r="ETF467"/>
      <c r="ETG467"/>
      <c r="ETH467"/>
      <c r="ETI467"/>
      <c r="ETJ467"/>
      <c r="ETK467"/>
      <c r="ETL467"/>
      <c r="ETM467"/>
      <c r="ETN467"/>
      <c r="ETO467"/>
      <c r="ETP467"/>
      <c r="ETQ467"/>
      <c r="ETR467"/>
      <c r="ETS467"/>
      <c r="ETT467"/>
      <c r="ETU467"/>
      <c r="ETV467"/>
      <c r="ETW467"/>
      <c r="ETX467"/>
      <c r="ETY467"/>
      <c r="ETZ467"/>
      <c r="EUA467"/>
      <c r="EUB467"/>
      <c r="EUC467"/>
      <c r="EUD467"/>
      <c r="EUE467"/>
      <c r="EUF467"/>
      <c r="EUG467"/>
      <c r="EUH467"/>
      <c r="EUI467"/>
      <c r="EUJ467"/>
      <c r="EUK467"/>
      <c r="EUL467"/>
      <c r="EUM467"/>
      <c r="EUN467"/>
      <c r="EUO467"/>
      <c r="EUP467"/>
      <c r="EUQ467"/>
      <c r="EUR467"/>
      <c r="EUS467"/>
      <c r="EUT467"/>
      <c r="EUU467"/>
      <c r="EUV467"/>
      <c r="EUW467"/>
      <c r="EUX467"/>
      <c r="EUY467"/>
      <c r="EUZ467"/>
      <c r="EVA467"/>
      <c r="EVB467"/>
      <c r="EVC467"/>
      <c r="EVD467"/>
      <c r="EVE467"/>
      <c r="EVF467"/>
      <c r="EVG467"/>
      <c r="EVH467"/>
      <c r="EVI467"/>
      <c r="EVJ467"/>
      <c r="EVK467"/>
      <c r="EVL467"/>
      <c r="EVM467"/>
      <c r="EVN467"/>
      <c r="EVO467"/>
      <c r="EVP467"/>
      <c r="EVQ467"/>
      <c r="EVR467"/>
      <c r="EVS467"/>
      <c r="EVT467"/>
      <c r="EVU467"/>
      <c r="EVV467"/>
      <c r="EVW467"/>
      <c r="EVX467"/>
      <c r="EVY467"/>
      <c r="EVZ467"/>
      <c r="EWA467"/>
      <c r="EWB467"/>
      <c r="EWC467"/>
      <c r="EWD467"/>
      <c r="EWE467"/>
      <c r="EWF467"/>
      <c r="EWG467"/>
      <c r="EWH467"/>
      <c r="EWI467"/>
      <c r="EWJ467"/>
      <c r="EWK467"/>
      <c r="EWL467"/>
      <c r="EWM467"/>
      <c r="EWN467"/>
      <c r="EWO467"/>
      <c r="EWP467"/>
      <c r="EWQ467"/>
      <c r="EWR467"/>
      <c r="EWS467"/>
      <c r="EWT467"/>
      <c r="EWU467"/>
      <c r="EWV467"/>
      <c r="EWW467"/>
      <c r="EWX467"/>
      <c r="EWY467"/>
      <c r="EWZ467"/>
      <c r="EXA467"/>
      <c r="EXB467"/>
      <c r="EXC467"/>
      <c r="EXD467"/>
      <c r="EXE467"/>
      <c r="EXF467"/>
      <c r="EXG467"/>
      <c r="EXH467"/>
      <c r="EXI467"/>
      <c r="EXJ467"/>
      <c r="EXK467"/>
      <c r="EXL467"/>
      <c r="EXM467"/>
      <c r="EXN467"/>
      <c r="EXO467"/>
      <c r="EXP467"/>
      <c r="EXQ467"/>
      <c r="EXR467"/>
      <c r="EXS467"/>
      <c r="EXT467"/>
      <c r="EXU467"/>
      <c r="EXV467"/>
      <c r="EXW467"/>
      <c r="EXX467"/>
      <c r="EXY467"/>
      <c r="EXZ467"/>
      <c r="EYA467"/>
      <c r="EYB467"/>
      <c r="EYC467"/>
      <c r="EYD467"/>
      <c r="EYE467"/>
      <c r="EYF467"/>
      <c r="EYG467"/>
      <c r="EYH467"/>
      <c r="EYI467"/>
      <c r="EYJ467"/>
      <c r="EYK467"/>
      <c r="EYL467"/>
      <c r="EYM467"/>
      <c r="EYN467"/>
      <c r="EYO467"/>
      <c r="EYP467"/>
      <c r="EYQ467"/>
      <c r="EYR467"/>
      <c r="EYS467"/>
      <c r="EYT467"/>
      <c r="EYU467"/>
      <c r="EYV467"/>
      <c r="EYW467"/>
      <c r="EYX467"/>
      <c r="EYY467"/>
      <c r="EYZ467"/>
      <c r="EZA467"/>
      <c r="EZB467"/>
      <c r="EZC467"/>
      <c r="EZD467"/>
      <c r="EZE467"/>
      <c r="EZF467"/>
      <c r="EZG467"/>
      <c r="EZH467"/>
      <c r="EZI467"/>
      <c r="EZJ467"/>
      <c r="EZK467"/>
      <c r="EZL467"/>
      <c r="EZM467"/>
      <c r="EZN467"/>
      <c r="EZO467"/>
      <c r="EZP467"/>
      <c r="EZQ467"/>
      <c r="EZR467"/>
      <c r="EZS467"/>
      <c r="EZT467"/>
      <c r="EZU467"/>
      <c r="EZV467"/>
      <c r="EZW467"/>
      <c r="EZX467"/>
      <c r="EZY467"/>
      <c r="EZZ467"/>
      <c r="FAA467"/>
      <c r="FAB467"/>
      <c r="FAC467"/>
      <c r="FAD467"/>
      <c r="FAE467"/>
      <c r="FAF467"/>
      <c r="FAG467"/>
      <c r="FAH467"/>
      <c r="FAI467"/>
      <c r="FAJ467"/>
      <c r="FAK467"/>
      <c r="FAL467"/>
      <c r="FAM467"/>
      <c r="FAN467"/>
      <c r="FAO467"/>
      <c r="FAP467"/>
      <c r="FAQ467"/>
      <c r="FAR467"/>
      <c r="FAS467"/>
      <c r="FAT467"/>
      <c r="FAU467"/>
      <c r="FAV467"/>
      <c r="FAW467"/>
      <c r="FAX467"/>
      <c r="FAY467"/>
      <c r="FAZ467"/>
      <c r="FBA467"/>
      <c r="FBB467"/>
      <c r="FBC467"/>
      <c r="FBD467"/>
      <c r="FBE467"/>
      <c r="FBF467"/>
      <c r="FBG467"/>
      <c r="FBH467"/>
      <c r="FBI467"/>
      <c r="FBJ467"/>
      <c r="FBK467"/>
      <c r="FBL467"/>
      <c r="FBM467"/>
      <c r="FBN467"/>
      <c r="FBO467"/>
      <c r="FBP467"/>
      <c r="FBQ467"/>
      <c r="FBR467"/>
      <c r="FBS467"/>
      <c r="FBT467"/>
      <c r="FBU467"/>
      <c r="FBV467"/>
      <c r="FBW467"/>
      <c r="FBX467"/>
      <c r="FBY467"/>
      <c r="FBZ467"/>
      <c r="FCA467"/>
      <c r="FCB467"/>
      <c r="FCC467"/>
      <c r="FCD467"/>
      <c r="FCE467"/>
      <c r="FCF467"/>
      <c r="FCG467"/>
      <c r="FCH467"/>
      <c r="FCI467"/>
      <c r="FCJ467"/>
      <c r="FCK467"/>
      <c r="FCL467"/>
      <c r="FCM467"/>
      <c r="FCN467"/>
      <c r="FCO467"/>
      <c r="FCP467"/>
      <c r="FCQ467"/>
      <c r="FCR467"/>
      <c r="FCS467"/>
      <c r="FCT467"/>
      <c r="FCU467"/>
      <c r="FCV467"/>
      <c r="FCW467"/>
      <c r="FCX467"/>
      <c r="FCY467"/>
      <c r="FCZ467"/>
      <c r="FDA467"/>
      <c r="FDB467"/>
      <c r="FDC467"/>
      <c r="FDD467"/>
      <c r="FDE467"/>
      <c r="FDF467"/>
      <c r="FDG467"/>
      <c r="FDH467"/>
      <c r="FDI467"/>
      <c r="FDJ467"/>
      <c r="FDK467"/>
      <c r="FDL467"/>
      <c r="FDM467"/>
      <c r="FDN467"/>
      <c r="FDO467"/>
      <c r="FDP467"/>
      <c r="FDQ467"/>
      <c r="FDR467"/>
      <c r="FDS467"/>
      <c r="FDT467"/>
      <c r="FDU467"/>
      <c r="FDV467"/>
      <c r="FDW467"/>
      <c r="FDX467"/>
      <c r="FDY467"/>
      <c r="FDZ467"/>
      <c r="FEA467"/>
      <c r="FEB467"/>
      <c r="FEC467"/>
      <c r="FED467"/>
      <c r="FEE467"/>
      <c r="FEF467"/>
      <c r="FEG467"/>
      <c r="FEH467"/>
      <c r="FEI467"/>
      <c r="FEJ467"/>
      <c r="FEK467"/>
      <c r="FEL467"/>
      <c r="FEM467"/>
      <c r="FEN467"/>
      <c r="FEO467"/>
      <c r="FEP467"/>
      <c r="FEQ467"/>
      <c r="FER467"/>
      <c r="FES467"/>
      <c r="FET467"/>
      <c r="FEU467"/>
      <c r="FEV467"/>
      <c r="FEW467"/>
      <c r="FEX467"/>
      <c r="FEY467"/>
      <c r="FEZ467"/>
      <c r="FFA467"/>
      <c r="FFB467"/>
      <c r="FFC467"/>
      <c r="FFD467"/>
      <c r="FFE467"/>
      <c r="FFF467"/>
      <c r="FFG467"/>
      <c r="FFH467"/>
      <c r="FFI467"/>
      <c r="FFJ467"/>
      <c r="FFK467"/>
      <c r="FFL467"/>
      <c r="FFM467"/>
      <c r="FFN467"/>
      <c r="FFO467"/>
      <c r="FFP467"/>
      <c r="FFQ467"/>
      <c r="FFR467"/>
      <c r="FFS467"/>
      <c r="FFT467"/>
      <c r="FFU467"/>
      <c r="FFV467"/>
      <c r="FFW467"/>
      <c r="FFX467"/>
      <c r="FFY467"/>
      <c r="FFZ467"/>
      <c r="FGA467"/>
      <c r="FGB467"/>
      <c r="FGC467"/>
      <c r="FGD467"/>
      <c r="FGE467"/>
      <c r="FGF467"/>
      <c r="FGG467"/>
      <c r="FGH467"/>
      <c r="FGI467"/>
      <c r="FGJ467"/>
      <c r="FGK467"/>
      <c r="FGL467"/>
      <c r="FGM467"/>
      <c r="FGN467"/>
      <c r="FGO467"/>
      <c r="FGP467"/>
      <c r="FGQ467"/>
      <c r="FGR467"/>
      <c r="FGS467"/>
      <c r="FGT467"/>
      <c r="FGU467"/>
      <c r="FGV467"/>
      <c r="FGW467"/>
      <c r="FGX467"/>
      <c r="FGY467"/>
      <c r="FGZ467"/>
      <c r="FHA467"/>
      <c r="FHB467"/>
      <c r="FHC467"/>
      <c r="FHD467"/>
      <c r="FHE467"/>
      <c r="FHF467"/>
      <c r="FHG467"/>
      <c r="FHH467"/>
      <c r="FHI467"/>
      <c r="FHJ467"/>
      <c r="FHK467"/>
      <c r="FHL467"/>
      <c r="FHM467"/>
      <c r="FHN467"/>
      <c r="FHO467"/>
      <c r="FHP467"/>
      <c r="FHQ467"/>
      <c r="FHR467"/>
      <c r="FHS467"/>
      <c r="FHT467"/>
      <c r="FHU467"/>
      <c r="FHV467"/>
      <c r="FHW467"/>
      <c r="FHX467"/>
      <c r="FHY467"/>
      <c r="FHZ467"/>
      <c r="FIA467"/>
      <c r="FIB467"/>
      <c r="FIC467"/>
      <c r="FID467"/>
      <c r="FIE467"/>
      <c r="FIF467"/>
      <c r="FIG467"/>
      <c r="FIH467"/>
      <c r="FII467"/>
      <c r="FIJ467"/>
      <c r="FIK467"/>
      <c r="FIL467"/>
      <c r="FIM467"/>
      <c r="FIN467"/>
      <c r="FIO467"/>
      <c r="FIP467"/>
      <c r="FIQ467"/>
      <c r="FIR467"/>
      <c r="FIS467"/>
      <c r="FIT467"/>
      <c r="FIU467"/>
      <c r="FIV467"/>
      <c r="FIW467"/>
      <c r="FIX467"/>
      <c r="FIY467"/>
      <c r="FIZ467"/>
      <c r="FJA467"/>
      <c r="FJB467"/>
      <c r="FJC467"/>
      <c r="FJD467"/>
      <c r="FJE467"/>
      <c r="FJF467"/>
      <c r="FJG467"/>
      <c r="FJH467"/>
      <c r="FJI467"/>
      <c r="FJJ467"/>
      <c r="FJK467"/>
      <c r="FJL467"/>
      <c r="FJM467"/>
      <c r="FJN467"/>
      <c r="FJO467"/>
      <c r="FJP467"/>
      <c r="FJQ467"/>
      <c r="FJR467"/>
      <c r="FJS467"/>
      <c r="FJT467"/>
      <c r="FJU467"/>
      <c r="FJV467"/>
      <c r="FJW467"/>
      <c r="FJX467"/>
      <c r="FJY467"/>
      <c r="FJZ467"/>
      <c r="FKA467"/>
      <c r="FKB467"/>
      <c r="FKC467"/>
      <c r="FKD467"/>
      <c r="FKE467"/>
      <c r="FKF467"/>
      <c r="FKG467"/>
      <c r="FKH467"/>
      <c r="FKI467"/>
      <c r="FKJ467"/>
      <c r="FKK467"/>
      <c r="FKL467"/>
      <c r="FKM467"/>
      <c r="FKN467"/>
      <c r="FKO467"/>
      <c r="FKP467"/>
      <c r="FKQ467"/>
      <c r="FKR467"/>
      <c r="FKS467"/>
      <c r="FKT467"/>
      <c r="FKU467"/>
      <c r="FKV467"/>
      <c r="FKW467"/>
      <c r="FKX467"/>
      <c r="FKY467"/>
      <c r="FKZ467"/>
      <c r="FLA467"/>
      <c r="FLB467"/>
      <c r="FLC467"/>
      <c r="FLD467"/>
      <c r="FLE467"/>
      <c r="FLF467"/>
      <c r="FLG467"/>
      <c r="FLH467"/>
      <c r="FLI467"/>
      <c r="FLJ467"/>
      <c r="FLK467"/>
      <c r="FLL467"/>
      <c r="FLM467"/>
      <c r="FLN467"/>
      <c r="FLO467"/>
      <c r="FLP467"/>
      <c r="FLQ467"/>
      <c r="FLR467"/>
      <c r="FLS467"/>
      <c r="FLT467"/>
      <c r="FLU467"/>
      <c r="FLV467"/>
      <c r="FLW467"/>
      <c r="FLX467"/>
      <c r="FLY467"/>
      <c r="FLZ467"/>
      <c r="FMA467"/>
      <c r="FMB467"/>
      <c r="FMC467"/>
      <c r="FMD467"/>
      <c r="FME467"/>
      <c r="FMF467"/>
      <c r="FMG467"/>
      <c r="FMH467"/>
      <c r="FMI467"/>
      <c r="FMJ467"/>
      <c r="FMK467"/>
      <c r="FML467"/>
      <c r="FMM467"/>
      <c r="FMN467"/>
      <c r="FMO467"/>
      <c r="FMP467"/>
      <c r="FMQ467"/>
      <c r="FMR467"/>
      <c r="FMS467"/>
      <c r="FMT467"/>
      <c r="FMU467"/>
      <c r="FMV467"/>
      <c r="FMW467"/>
      <c r="FMX467"/>
      <c r="FMY467"/>
      <c r="FMZ467"/>
      <c r="FNA467"/>
      <c r="FNB467"/>
      <c r="FNC467"/>
      <c r="FND467"/>
      <c r="FNE467"/>
      <c r="FNF467"/>
      <c r="FNG467"/>
      <c r="FNH467"/>
      <c r="FNI467"/>
      <c r="FNJ467"/>
      <c r="FNK467"/>
      <c r="FNL467"/>
      <c r="FNM467"/>
      <c r="FNN467"/>
      <c r="FNO467"/>
      <c r="FNP467"/>
      <c r="FNQ467"/>
      <c r="FNR467"/>
      <c r="FNS467"/>
      <c r="FNT467"/>
      <c r="FNU467"/>
      <c r="FNV467"/>
      <c r="FNW467"/>
      <c r="FNX467"/>
      <c r="FNY467"/>
      <c r="FNZ467"/>
      <c r="FOA467"/>
      <c r="FOB467"/>
      <c r="FOC467"/>
      <c r="FOD467"/>
      <c r="FOE467"/>
      <c r="FOF467"/>
      <c r="FOG467"/>
      <c r="FOH467"/>
      <c r="FOI467"/>
      <c r="FOJ467"/>
      <c r="FOK467"/>
      <c r="FOL467"/>
      <c r="FOM467"/>
      <c r="FON467"/>
      <c r="FOO467"/>
      <c r="FOP467"/>
      <c r="FOQ467"/>
      <c r="FOR467"/>
      <c r="FOS467"/>
      <c r="FOT467"/>
      <c r="FOU467"/>
      <c r="FOV467"/>
      <c r="FOW467"/>
      <c r="FOX467"/>
      <c r="FOY467"/>
      <c r="FOZ467"/>
      <c r="FPA467"/>
      <c r="FPB467"/>
      <c r="FPC467"/>
      <c r="FPD467"/>
      <c r="FPE467"/>
      <c r="FPF467"/>
      <c r="FPG467"/>
      <c r="FPH467"/>
      <c r="FPI467"/>
      <c r="FPJ467"/>
      <c r="FPK467"/>
      <c r="FPL467"/>
      <c r="FPM467"/>
      <c r="FPN467"/>
      <c r="FPO467"/>
      <c r="FPP467"/>
      <c r="FPQ467"/>
      <c r="FPR467"/>
      <c r="FPS467"/>
      <c r="FPT467"/>
      <c r="FPU467"/>
      <c r="FPV467"/>
      <c r="FPW467"/>
      <c r="FPX467"/>
      <c r="FPY467"/>
      <c r="FPZ467"/>
      <c r="FQA467"/>
      <c r="FQB467"/>
      <c r="FQC467"/>
      <c r="FQD467"/>
      <c r="FQE467"/>
      <c r="FQF467"/>
      <c r="FQG467"/>
      <c r="FQH467"/>
      <c r="FQI467"/>
      <c r="FQJ467"/>
      <c r="FQK467"/>
      <c r="FQL467"/>
      <c r="FQM467"/>
      <c r="FQN467"/>
      <c r="FQO467"/>
      <c r="FQP467"/>
      <c r="FQQ467"/>
      <c r="FQR467"/>
      <c r="FQS467"/>
      <c r="FQT467"/>
      <c r="FQU467"/>
      <c r="FQV467"/>
      <c r="FQW467"/>
      <c r="FQX467"/>
      <c r="FQY467"/>
      <c r="FQZ467"/>
      <c r="FRA467"/>
      <c r="FRB467"/>
      <c r="FRC467"/>
      <c r="FRD467"/>
      <c r="FRE467"/>
      <c r="FRF467"/>
      <c r="FRG467"/>
      <c r="FRH467"/>
      <c r="FRI467"/>
      <c r="FRJ467"/>
      <c r="FRK467"/>
      <c r="FRL467"/>
      <c r="FRM467"/>
      <c r="FRN467"/>
      <c r="FRO467"/>
      <c r="FRP467"/>
      <c r="FRQ467"/>
      <c r="FRR467"/>
      <c r="FRS467"/>
      <c r="FRT467"/>
      <c r="FRU467"/>
      <c r="FRV467"/>
      <c r="FRW467"/>
      <c r="FRX467"/>
      <c r="FRY467"/>
      <c r="FRZ467"/>
      <c r="FSA467"/>
      <c r="FSB467"/>
      <c r="FSC467"/>
      <c r="FSD467"/>
      <c r="FSE467"/>
      <c r="FSF467"/>
      <c r="FSG467"/>
      <c r="FSH467"/>
      <c r="FSI467"/>
      <c r="FSJ467"/>
      <c r="FSK467"/>
      <c r="FSL467"/>
      <c r="FSM467"/>
      <c r="FSN467"/>
      <c r="FSO467"/>
      <c r="FSP467"/>
      <c r="FSQ467"/>
      <c r="FSR467"/>
      <c r="FSS467"/>
      <c r="FST467"/>
      <c r="FSU467"/>
      <c r="FSV467"/>
      <c r="FSW467"/>
      <c r="FSX467"/>
      <c r="FSY467"/>
      <c r="FSZ467"/>
      <c r="FTA467"/>
      <c r="FTB467"/>
      <c r="FTC467"/>
      <c r="FTD467"/>
      <c r="FTE467"/>
      <c r="FTF467"/>
      <c r="FTG467"/>
      <c r="FTH467"/>
      <c r="FTI467"/>
      <c r="FTJ467"/>
      <c r="FTK467"/>
      <c r="FTL467"/>
      <c r="FTM467"/>
      <c r="FTN467"/>
      <c r="FTO467"/>
      <c r="FTP467"/>
      <c r="FTQ467"/>
      <c r="FTR467"/>
      <c r="FTS467"/>
      <c r="FTT467"/>
      <c r="FTU467"/>
      <c r="FTV467"/>
      <c r="FTW467"/>
      <c r="FTX467"/>
      <c r="FTY467"/>
      <c r="FTZ467"/>
      <c r="FUA467"/>
      <c r="FUB467"/>
      <c r="FUC467"/>
      <c r="FUD467"/>
      <c r="FUE467"/>
      <c r="FUF467"/>
      <c r="FUG467"/>
      <c r="FUH467"/>
      <c r="FUI467"/>
      <c r="FUJ467"/>
      <c r="FUK467"/>
      <c r="FUL467"/>
      <c r="FUM467"/>
      <c r="FUN467"/>
      <c r="FUO467"/>
      <c r="FUP467"/>
      <c r="FUQ467"/>
      <c r="FUR467"/>
      <c r="FUS467"/>
      <c r="FUT467"/>
      <c r="FUU467"/>
      <c r="FUV467"/>
      <c r="FUW467"/>
      <c r="FUX467"/>
      <c r="FUY467"/>
      <c r="FUZ467"/>
      <c r="FVA467"/>
      <c r="FVB467"/>
      <c r="FVC467"/>
      <c r="FVD467"/>
      <c r="FVE467"/>
      <c r="FVF467"/>
      <c r="FVG467"/>
      <c r="FVH467"/>
      <c r="FVI467"/>
      <c r="FVJ467"/>
      <c r="FVK467"/>
      <c r="FVL467"/>
      <c r="FVM467"/>
      <c r="FVN467"/>
      <c r="FVO467"/>
      <c r="FVP467"/>
      <c r="FVQ467"/>
      <c r="FVR467"/>
      <c r="FVS467"/>
      <c r="FVT467"/>
      <c r="FVU467"/>
      <c r="FVV467"/>
      <c r="FVW467"/>
      <c r="FVX467"/>
      <c r="FVY467"/>
      <c r="FVZ467"/>
      <c r="FWA467"/>
      <c r="FWB467"/>
      <c r="FWC467"/>
      <c r="FWD467"/>
      <c r="FWE467"/>
      <c r="FWF467"/>
      <c r="FWG467"/>
      <c r="FWH467"/>
      <c r="FWI467"/>
      <c r="FWJ467"/>
      <c r="FWK467"/>
      <c r="FWL467"/>
      <c r="FWM467"/>
      <c r="FWN467"/>
      <c r="FWO467"/>
      <c r="FWP467"/>
      <c r="FWQ467"/>
      <c r="FWR467"/>
      <c r="FWS467"/>
      <c r="FWT467"/>
      <c r="FWU467"/>
      <c r="FWV467"/>
      <c r="FWW467"/>
      <c r="FWX467"/>
      <c r="FWY467"/>
      <c r="FWZ467"/>
      <c r="FXA467"/>
      <c r="FXB467"/>
      <c r="FXC467"/>
      <c r="FXD467"/>
      <c r="FXE467"/>
      <c r="FXF467"/>
      <c r="FXG467"/>
      <c r="FXH467"/>
      <c r="FXI467"/>
      <c r="FXJ467"/>
      <c r="FXK467"/>
      <c r="FXL467"/>
      <c r="FXM467"/>
      <c r="FXN467"/>
      <c r="FXO467"/>
      <c r="FXP467"/>
      <c r="FXQ467"/>
      <c r="FXR467"/>
      <c r="FXS467"/>
      <c r="FXT467"/>
      <c r="FXU467"/>
      <c r="FXV467"/>
      <c r="FXW467"/>
      <c r="FXX467"/>
      <c r="FXY467"/>
      <c r="FXZ467"/>
      <c r="FYA467"/>
      <c r="FYB467"/>
      <c r="FYC467"/>
      <c r="FYD467"/>
      <c r="FYE467"/>
      <c r="FYF467"/>
      <c r="FYG467"/>
      <c r="FYH467"/>
      <c r="FYI467"/>
      <c r="FYJ467"/>
      <c r="FYK467"/>
      <c r="FYL467"/>
      <c r="FYM467"/>
      <c r="FYN467"/>
      <c r="FYO467"/>
      <c r="FYP467"/>
      <c r="FYQ467"/>
      <c r="FYR467"/>
      <c r="FYS467"/>
      <c r="FYT467"/>
      <c r="FYU467"/>
      <c r="FYV467"/>
      <c r="FYW467"/>
      <c r="FYX467"/>
      <c r="FYY467"/>
      <c r="FYZ467"/>
      <c r="FZA467"/>
      <c r="FZB467"/>
      <c r="FZC467"/>
      <c r="FZD467"/>
      <c r="FZE467"/>
      <c r="FZF467"/>
      <c r="FZG467"/>
      <c r="FZH467"/>
      <c r="FZI467"/>
      <c r="FZJ467"/>
      <c r="FZK467"/>
      <c r="FZL467"/>
      <c r="FZM467"/>
      <c r="FZN467"/>
      <c r="FZO467"/>
      <c r="FZP467"/>
      <c r="FZQ467"/>
      <c r="FZR467"/>
      <c r="FZS467"/>
      <c r="FZT467"/>
      <c r="FZU467"/>
      <c r="FZV467"/>
      <c r="FZW467"/>
      <c r="FZX467"/>
      <c r="FZY467"/>
      <c r="FZZ467"/>
      <c r="GAA467"/>
      <c r="GAB467"/>
      <c r="GAC467"/>
      <c r="GAD467"/>
      <c r="GAE467"/>
      <c r="GAF467"/>
      <c r="GAG467"/>
      <c r="GAH467"/>
      <c r="GAI467"/>
      <c r="GAJ467"/>
      <c r="GAK467"/>
      <c r="GAL467"/>
      <c r="GAM467"/>
      <c r="GAN467"/>
      <c r="GAO467"/>
      <c r="GAP467"/>
      <c r="GAQ467"/>
      <c r="GAR467"/>
      <c r="GAS467"/>
      <c r="GAT467"/>
      <c r="GAU467"/>
      <c r="GAV467"/>
      <c r="GAW467"/>
      <c r="GAX467"/>
      <c r="GAY467"/>
      <c r="GAZ467"/>
      <c r="GBA467"/>
      <c r="GBB467"/>
      <c r="GBC467"/>
      <c r="GBD467"/>
      <c r="GBE467"/>
      <c r="GBF467"/>
      <c r="GBG467"/>
      <c r="GBH467"/>
      <c r="GBI467"/>
      <c r="GBJ467"/>
      <c r="GBK467"/>
      <c r="GBL467"/>
      <c r="GBM467"/>
      <c r="GBN467"/>
      <c r="GBO467"/>
      <c r="GBP467"/>
      <c r="GBQ467"/>
      <c r="GBR467"/>
      <c r="GBS467"/>
      <c r="GBT467"/>
      <c r="GBU467"/>
      <c r="GBV467"/>
      <c r="GBW467"/>
      <c r="GBX467"/>
      <c r="GBY467"/>
      <c r="GBZ467"/>
      <c r="GCA467"/>
      <c r="GCB467"/>
      <c r="GCC467"/>
      <c r="GCD467"/>
      <c r="GCE467"/>
      <c r="GCF467"/>
      <c r="GCG467"/>
      <c r="GCH467"/>
      <c r="GCI467"/>
      <c r="GCJ467"/>
      <c r="GCK467"/>
      <c r="GCL467"/>
      <c r="GCM467"/>
      <c r="GCN467"/>
      <c r="GCO467"/>
      <c r="GCP467"/>
      <c r="GCQ467"/>
      <c r="GCR467"/>
      <c r="GCS467"/>
      <c r="GCT467"/>
      <c r="GCU467"/>
      <c r="GCV467"/>
      <c r="GCW467"/>
      <c r="GCX467"/>
      <c r="GCY467"/>
      <c r="GCZ467"/>
      <c r="GDA467"/>
      <c r="GDB467"/>
      <c r="GDC467"/>
      <c r="GDD467"/>
      <c r="GDE467"/>
      <c r="GDF467"/>
      <c r="GDG467"/>
      <c r="GDH467"/>
      <c r="GDI467"/>
      <c r="GDJ467"/>
      <c r="GDK467"/>
      <c r="GDL467"/>
      <c r="GDM467"/>
      <c r="GDN467"/>
      <c r="GDO467"/>
      <c r="GDP467"/>
      <c r="GDQ467"/>
      <c r="GDR467"/>
      <c r="GDS467"/>
      <c r="GDT467"/>
      <c r="GDU467"/>
      <c r="GDV467"/>
      <c r="GDW467"/>
      <c r="GDX467"/>
      <c r="GDY467"/>
      <c r="GDZ467"/>
      <c r="GEA467"/>
      <c r="GEB467"/>
      <c r="GEC467"/>
      <c r="GED467"/>
      <c r="GEE467"/>
      <c r="GEF467"/>
      <c r="GEG467"/>
      <c r="GEH467"/>
      <c r="GEI467"/>
      <c r="GEJ467"/>
      <c r="GEK467"/>
      <c r="GEL467"/>
      <c r="GEM467"/>
      <c r="GEN467"/>
      <c r="GEO467"/>
      <c r="GEP467"/>
      <c r="GEQ467"/>
      <c r="GER467"/>
      <c r="GES467"/>
      <c r="GET467"/>
      <c r="GEU467"/>
      <c r="GEV467"/>
      <c r="GEW467"/>
      <c r="GEX467"/>
      <c r="GEY467"/>
      <c r="GEZ467"/>
      <c r="GFA467"/>
      <c r="GFB467"/>
      <c r="GFC467"/>
      <c r="GFD467"/>
      <c r="GFE467"/>
      <c r="GFF467"/>
      <c r="GFG467"/>
      <c r="GFH467"/>
      <c r="GFI467"/>
      <c r="GFJ467"/>
      <c r="GFK467"/>
      <c r="GFL467"/>
      <c r="GFM467"/>
      <c r="GFN467"/>
      <c r="GFO467"/>
      <c r="GFP467"/>
      <c r="GFQ467"/>
      <c r="GFR467"/>
      <c r="GFS467"/>
      <c r="GFT467"/>
      <c r="GFU467"/>
      <c r="GFV467"/>
      <c r="GFW467"/>
      <c r="GFX467"/>
      <c r="GFY467"/>
      <c r="GFZ467"/>
      <c r="GGA467"/>
      <c r="GGB467"/>
      <c r="GGC467"/>
      <c r="GGD467"/>
      <c r="GGE467"/>
      <c r="GGF467"/>
      <c r="GGG467"/>
      <c r="GGH467"/>
      <c r="GGI467"/>
      <c r="GGJ467"/>
      <c r="GGK467"/>
      <c r="GGL467"/>
      <c r="GGM467"/>
      <c r="GGN467"/>
      <c r="GGO467"/>
      <c r="GGP467"/>
      <c r="GGQ467"/>
      <c r="GGR467"/>
      <c r="GGS467"/>
      <c r="GGT467"/>
      <c r="GGU467"/>
      <c r="GGV467"/>
      <c r="GGW467"/>
      <c r="GGX467"/>
      <c r="GGY467"/>
      <c r="GGZ467"/>
      <c r="GHA467"/>
      <c r="GHB467"/>
      <c r="GHC467"/>
      <c r="GHD467"/>
      <c r="GHE467"/>
      <c r="GHF467"/>
      <c r="GHG467"/>
      <c r="GHH467"/>
      <c r="GHI467"/>
      <c r="GHJ467"/>
      <c r="GHK467"/>
      <c r="GHL467"/>
      <c r="GHM467"/>
      <c r="GHN467"/>
      <c r="GHO467"/>
      <c r="GHP467"/>
      <c r="GHQ467"/>
      <c r="GHR467"/>
      <c r="GHS467"/>
      <c r="GHT467"/>
      <c r="GHU467"/>
      <c r="GHV467"/>
      <c r="GHW467"/>
      <c r="GHX467"/>
      <c r="GHY467"/>
      <c r="GHZ467"/>
      <c r="GIA467"/>
      <c r="GIB467"/>
      <c r="GIC467"/>
      <c r="GID467"/>
      <c r="GIE467"/>
      <c r="GIF467"/>
      <c r="GIG467"/>
      <c r="GIH467"/>
      <c r="GII467"/>
      <c r="GIJ467"/>
      <c r="GIK467"/>
      <c r="GIL467"/>
      <c r="GIM467"/>
      <c r="GIN467"/>
      <c r="GIO467"/>
      <c r="GIP467"/>
      <c r="GIQ467"/>
      <c r="GIR467"/>
      <c r="GIS467"/>
      <c r="GIT467"/>
      <c r="GIU467"/>
      <c r="GIV467"/>
      <c r="GIW467"/>
      <c r="GIX467"/>
      <c r="GIY467"/>
      <c r="GIZ467"/>
      <c r="GJA467"/>
      <c r="GJB467"/>
      <c r="GJC467"/>
      <c r="GJD467"/>
      <c r="GJE467"/>
      <c r="GJF467"/>
      <c r="GJG467"/>
      <c r="GJH467"/>
      <c r="GJI467"/>
      <c r="GJJ467"/>
      <c r="GJK467"/>
      <c r="GJL467"/>
      <c r="GJM467"/>
      <c r="GJN467"/>
      <c r="GJO467"/>
      <c r="GJP467"/>
      <c r="GJQ467"/>
      <c r="GJR467"/>
      <c r="GJS467"/>
      <c r="GJT467"/>
      <c r="GJU467"/>
      <c r="GJV467"/>
      <c r="GJW467"/>
      <c r="GJX467"/>
      <c r="GJY467"/>
      <c r="GJZ467"/>
      <c r="GKA467"/>
      <c r="GKB467"/>
      <c r="GKC467"/>
      <c r="GKD467"/>
      <c r="GKE467"/>
      <c r="GKF467"/>
      <c r="GKG467"/>
      <c r="GKH467"/>
      <c r="GKI467"/>
      <c r="GKJ467"/>
      <c r="GKK467"/>
      <c r="GKL467"/>
      <c r="GKM467"/>
      <c r="GKN467"/>
      <c r="GKO467"/>
      <c r="GKP467"/>
      <c r="GKQ467"/>
      <c r="GKR467"/>
      <c r="GKS467"/>
      <c r="GKT467"/>
      <c r="GKU467"/>
      <c r="GKV467"/>
      <c r="GKW467"/>
      <c r="GKX467"/>
      <c r="GKY467"/>
      <c r="GKZ467"/>
      <c r="GLA467"/>
      <c r="GLB467"/>
      <c r="GLC467"/>
      <c r="GLD467"/>
      <c r="GLE467"/>
      <c r="GLF467"/>
      <c r="GLG467"/>
      <c r="GLH467"/>
      <c r="GLI467"/>
      <c r="GLJ467"/>
      <c r="GLK467"/>
      <c r="GLL467"/>
      <c r="GLM467"/>
      <c r="GLN467"/>
      <c r="GLO467"/>
      <c r="GLP467"/>
      <c r="GLQ467"/>
      <c r="GLR467"/>
      <c r="GLS467"/>
      <c r="GLT467"/>
      <c r="GLU467"/>
      <c r="GLV467"/>
      <c r="GLW467"/>
      <c r="GLX467"/>
      <c r="GLY467"/>
      <c r="GLZ467"/>
      <c r="GMA467"/>
      <c r="GMB467"/>
      <c r="GMC467"/>
      <c r="GMD467"/>
      <c r="GME467"/>
      <c r="GMF467"/>
      <c r="GMG467"/>
      <c r="GMH467"/>
      <c r="GMI467"/>
      <c r="GMJ467"/>
      <c r="GMK467"/>
      <c r="GML467"/>
      <c r="GMM467"/>
      <c r="GMN467"/>
      <c r="GMO467"/>
      <c r="GMP467"/>
      <c r="GMQ467"/>
      <c r="GMR467"/>
      <c r="GMS467"/>
      <c r="GMT467"/>
      <c r="GMU467"/>
      <c r="GMV467"/>
      <c r="GMW467"/>
      <c r="GMX467"/>
      <c r="GMY467"/>
      <c r="GMZ467"/>
      <c r="GNA467"/>
      <c r="GNB467"/>
      <c r="GNC467"/>
      <c r="GND467"/>
      <c r="GNE467"/>
      <c r="GNF467"/>
      <c r="GNG467"/>
      <c r="GNH467"/>
      <c r="GNI467"/>
      <c r="GNJ467"/>
      <c r="GNK467"/>
      <c r="GNL467"/>
      <c r="GNM467"/>
      <c r="GNN467"/>
      <c r="GNO467"/>
      <c r="GNP467"/>
      <c r="GNQ467"/>
      <c r="GNR467"/>
      <c r="GNS467"/>
      <c r="GNT467"/>
      <c r="GNU467"/>
      <c r="GNV467"/>
      <c r="GNW467"/>
      <c r="GNX467"/>
      <c r="GNY467"/>
      <c r="GNZ467"/>
      <c r="GOA467"/>
      <c r="GOB467"/>
      <c r="GOC467"/>
      <c r="GOD467"/>
      <c r="GOE467"/>
      <c r="GOF467"/>
      <c r="GOG467"/>
      <c r="GOH467"/>
      <c r="GOI467"/>
      <c r="GOJ467"/>
      <c r="GOK467"/>
      <c r="GOL467"/>
      <c r="GOM467"/>
      <c r="GON467"/>
      <c r="GOO467"/>
      <c r="GOP467"/>
      <c r="GOQ467"/>
      <c r="GOR467"/>
      <c r="GOS467"/>
      <c r="GOT467"/>
      <c r="GOU467"/>
      <c r="GOV467"/>
      <c r="GOW467"/>
      <c r="GOX467"/>
      <c r="GOY467"/>
      <c r="GOZ467"/>
      <c r="GPA467"/>
      <c r="GPB467"/>
      <c r="GPC467"/>
      <c r="GPD467"/>
      <c r="GPE467"/>
      <c r="GPF467"/>
      <c r="GPG467"/>
      <c r="GPH467"/>
      <c r="GPI467"/>
      <c r="GPJ467"/>
      <c r="GPK467"/>
      <c r="GPL467"/>
      <c r="GPM467"/>
      <c r="GPN467"/>
      <c r="GPO467"/>
      <c r="GPP467"/>
      <c r="GPQ467"/>
      <c r="GPR467"/>
      <c r="GPS467"/>
      <c r="GPT467"/>
      <c r="GPU467"/>
      <c r="GPV467"/>
      <c r="GPW467"/>
      <c r="GPX467"/>
      <c r="GPY467"/>
      <c r="GPZ467"/>
      <c r="GQA467"/>
      <c r="GQB467"/>
      <c r="GQC467"/>
      <c r="GQD467"/>
      <c r="GQE467"/>
      <c r="GQF467"/>
      <c r="GQG467"/>
      <c r="GQH467"/>
      <c r="GQI467"/>
      <c r="GQJ467"/>
      <c r="GQK467"/>
      <c r="GQL467"/>
      <c r="GQM467"/>
      <c r="GQN467"/>
      <c r="GQO467"/>
      <c r="GQP467"/>
      <c r="GQQ467"/>
      <c r="GQR467"/>
      <c r="GQS467"/>
      <c r="GQT467"/>
      <c r="GQU467"/>
      <c r="GQV467"/>
      <c r="GQW467"/>
      <c r="GQX467"/>
      <c r="GQY467"/>
      <c r="GQZ467"/>
      <c r="GRA467"/>
      <c r="GRB467"/>
      <c r="GRC467"/>
      <c r="GRD467"/>
      <c r="GRE467"/>
      <c r="GRF467"/>
      <c r="GRG467"/>
      <c r="GRH467"/>
      <c r="GRI467"/>
      <c r="GRJ467"/>
      <c r="GRK467"/>
      <c r="GRL467"/>
      <c r="GRM467"/>
      <c r="GRN467"/>
      <c r="GRO467"/>
      <c r="GRP467"/>
      <c r="GRQ467"/>
      <c r="GRR467"/>
      <c r="GRS467"/>
      <c r="GRT467"/>
      <c r="GRU467"/>
      <c r="GRV467"/>
      <c r="GRW467"/>
      <c r="GRX467"/>
      <c r="GRY467"/>
      <c r="GRZ467"/>
      <c r="GSA467"/>
      <c r="GSB467"/>
      <c r="GSC467"/>
      <c r="GSD467"/>
      <c r="GSE467"/>
      <c r="GSF467"/>
      <c r="GSG467"/>
      <c r="GSH467"/>
      <c r="GSI467"/>
      <c r="GSJ467"/>
      <c r="GSK467"/>
      <c r="GSL467"/>
      <c r="GSM467"/>
      <c r="GSN467"/>
      <c r="GSO467"/>
      <c r="GSP467"/>
      <c r="GSQ467"/>
      <c r="GSR467"/>
      <c r="GSS467"/>
      <c r="GST467"/>
      <c r="GSU467"/>
      <c r="GSV467"/>
      <c r="GSW467"/>
      <c r="GSX467"/>
      <c r="GSY467"/>
      <c r="GSZ467"/>
      <c r="GTA467"/>
      <c r="GTB467"/>
      <c r="GTC467"/>
      <c r="GTD467"/>
      <c r="GTE467"/>
      <c r="GTF467"/>
      <c r="GTG467"/>
      <c r="GTH467"/>
      <c r="GTI467"/>
      <c r="GTJ467"/>
      <c r="GTK467"/>
      <c r="GTL467"/>
      <c r="GTM467"/>
      <c r="GTN467"/>
      <c r="GTO467"/>
      <c r="GTP467"/>
      <c r="GTQ467"/>
      <c r="GTR467"/>
      <c r="GTS467"/>
      <c r="GTT467"/>
      <c r="GTU467"/>
      <c r="GTV467"/>
      <c r="GTW467"/>
      <c r="GTX467"/>
      <c r="GTY467"/>
      <c r="GTZ467"/>
      <c r="GUA467"/>
      <c r="GUB467"/>
      <c r="GUC467"/>
      <c r="GUD467"/>
      <c r="GUE467"/>
      <c r="GUF467"/>
      <c r="GUG467"/>
      <c r="GUH467"/>
      <c r="GUI467"/>
      <c r="GUJ467"/>
      <c r="GUK467"/>
      <c r="GUL467"/>
      <c r="GUM467"/>
      <c r="GUN467"/>
      <c r="GUO467"/>
      <c r="GUP467"/>
      <c r="GUQ467"/>
      <c r="GUR467"/>
      <c r="GUS467"/>
      <c r="GUT467"/>
      <c r="GUU467"/>
      <c r="GUV467"/>
      <c r="GUW467"/>
      <c r="GUX467"/>
      <c r="GUY467"/>
      <c r="GUZ467"/>
      <c r="GVA467"/>
      <c r="GVB467"/>
      <c r="GVC467"/>
      <c r="GVD467"/>
      <c r="GVE467"/>
      <c r="GVF467"/>
      <c r="GVG467"/>
      <c r="GVH467"/>
      <c r="GVI467"/>
      <c r="GVJ467"/>
      <c r="GVK467"/>
      <c r="GVL467"/>
      <c r="GVM467"/>
      <c r="GVN467"/>
      <c r="GVO467"/>
      <c r="GVP467"/>
      <c r="GVQ467"/>
      <c r="GVR467"/>
      <c r="GVS467"/>
      <c r="GVT467"/>
      <c r="GVU467"/>
      <c r="GVV467"/>
      <c r="GVW467"/>
      <c r="GVX467"/>
      <c r="GVY467"/>
      <c r="GVZ467"/>
      <c r="GWA467"/>
      <c r="GWB467"/>
      <c r="GWC467"/>
      <c r="GWD467"/>
      <c r="GWE467"/>
      <c r="GWF467"/>
      <c r="GWG467"/>
      <c r="GWH467"/>
      <c r="GWI467"/>
      <c r="GWJ467"/>
      <c r="GWK467"/>
      <c r="GWL467"/>
      <c r="GWM467"/>
      <c r="GWN467"/>
      <c r="GWO467"/>
      <c r="GWP467"/>
      <c r="GWQ467"/>
      <c r="GWR467"/>
      <c r="GWS467"/>
      <c r="GWT467"/>
      <c r="GWU467"/>
      <c r="GWV467"/>
      <c r="GWW467"/>
      <c r="GWX467"/>
      <c r="GWY467"/>
      <c r="GWZ467"/>
      <c r="GXA467"/>
      <c r="GXB467"/>
      <c r="GXC467"/>
      <c r="GXD467"/>
      <c r="GXE467"/>
      <c r="GXF467"/>
      <c r="GXG467"/>
      <c r="GXH467"/>
      <c r="GXI467"/>
      <c r="GXJ467"/>
      <c r="GXK467"/>
      <c r="GXL467"/>
      <c r="GXM467"/>
      <c r="GXN467"/>
      <c r="GXO467"/>
      <c r="GXP467"/>
      <c r="GXQ467"/>
      <c r="GXR467"/>
      <c r="GXS467"/>
      <c r="GXT467"/>
      <c r="GXU467"/>
      <c r="GXV467"/>
      <c r="GXW467"/>
      <c r="GXX467"/>
      <c r="GXY467"/>
      <c r="GXZ467"/>
      <c r="GYA467"/>
      <c r="GYB467"/>
      <c r="GYC467"/>
      <c r="GYD467"/>
      <c r="GYE467"/>
      <c r="GYF467"/>
      <c r="GYG467"/>
      <c r="GYH467"/>
      <c r="GYI467"/>
      <c r="GYJ467"/>
      <c r="GYK467"/>
      <c r="GYL467"/>
      <c r="GYM467"/>
      <c r="GYN467"/>
      <c r="GYO467"/>
      <c r="GYP467"/>
      <c r="GYQ467"/>
      <c r="GYR467"/>
      <c r="GYS467"/>
      <c r="GYT467"/>
      <c r="GYU467"/>
      <c r="GYV467"/>
      <c r="GYW467"/>
      <c r="GYX467"/>
      <c r="GYY467"/>
      <c r="GYZ467"/>
      <c r="GZA467"/>
      <c r="GZB467"/>
      <c r="GZC467"/>
      <c r="GZD467"/>
      <c r="GZE467"/>
      <c r="GZF467"/>
      <c r="GZG467"/>
      <c r="GZH467"/>
      <c r="GZI467"/>
      <c r="GZJ467"/>
      <c r="GZK467"/>
      <c r="GZL467"/>
      <c r="GZM467"/>
      <c r="GZN467"/>
      <c r="GZO467"/>
      <c r="GZP467"/>
      <c r="GZQ467"/>
      <c r="GZR467"/>
      <c r="GZS467"/>
      <c r="GZT467"/>
      <c r="GZU467"/>
      <c r="GZV467"/>
      <c r="GZW467"/>
      <c r="GZX467"/>
      <c r="GZY467"/>
      <c r="GZZ467"/>
      <c r="HAA467"/>
      <c r="HAB467"/>
      <c r="HAC467"/>
      <c r="HAD467"/>
      <c r="HAE467"/>
      <c r="HAF467"/>
      <c r="HAG467"/>
      <c r="HAH467"/>
      <c r="HAI467"/>
      <c r="HAJ467"/>
      <c r="HAK467"/>
      <c r="HAL467"/>
      <c r="HAM467"/>
      <c r="HAN467"/>
      <c r="HAO467"/>
      <c r="HAP467"/>
      <c r="HAQ467"/>
      <c r="HAR467"/>
      <c r="HAS467"/>
      <c r="HAT467"/>
      <c r="HAU467"/>
      <c r="HAV467"/>
      <c r="HAW467"/>
      <c r="HAX467"/>
      <c r="HAY467"/>
      <c r="HAZ467"/>
      <c r="HBA467"/>
      <c r="HBB467"/>
      <c r="HBC467"/>
      <c r="HBD467"/>
      <c r="HBE467"/>
      <c r="HBF467"/>
      <c r="HBG467"/>
      <c r="HBH467"/>
      <c r="HBI467"/>
      <c r="HBJ467"/>
      <c r="HBK467"/>
      <c r="HBL467"/>
      <c r="HBM467"/>
      <c r="HBN467"/>
      <c r="HBO467"/>
      <c r="HBP467"/>
      <c r="HBQ467"/>
      <c r="HBR467"/>
      <c r="HBS467"/>
      <c r="HBT467"/>
      <c r="HBU467"/>
      <c r="HBV467"/>
      <c r="HBW467"/>
      <c r="HBX467"/>
      <c r="HBY467"/>
      <c r="HBZ467"/>
      <c r="HCA467"/>
      <c r="HCB467"/>
      <c r="HCC467"/>
      <c r="HCD467"/>
      <c r="HCE467"/>
      <c r="HCF467"/>
      <c r="HCG467"/>
      <c r="HCH467"/>
      <c r="HCI467"/>
      <c r="HCJ467"/>
      <c r="HCK467"/>
      <c r="HCL467"/>
      <c r="HCM467"/>
      <c r="HCN467"/>
      <c r="HCO467"/>
      <c r="HCP467"/>
      <c r="HCQ467"/>
      <c r="HCR467"/>
      <c r="HCS467"/>
      <c r="HCT467"/>
      <c r="HCU467"/>
      <c r="HCV467"/>
      <c r="HCW467"/>
      <c r="HCX467"/>
      <c r="HCY467"/>
      <c r="HCZ467"/>
      <c r="HDA467"/>
      <c r="HDB467"/>
      <c r="HDC467"/>
      <c r="HDD467"/>
      <c r="HDE467"/>
      <c r="HDF467"/>
      <c r="HDG467"/>
      <c r="HDH467"/>
      <c r="HDI467"/>
      <c r="HDJ467"/>
      <c r="HDK467"/>
      <c r="HDL467"/>
      <c r="HDM467"/>
      <c r="HDN467"/>
      <c r="HDO467"/>
      <c r="HDP467"/>
      <c r="HDQ467"/>
      <c r="HDR467"/>
      <c r="HDS467"/>
      <c r="HDT467"/>
      <c r="HDU467"/>
      <c r="HDV467"/>
      <c r="HDW467"/>
      <c r="HDX467"/>
      <c r="HDY467"/>
      <c r="HDZ467"/>
      <c r="HEA467"/>
      <c r="HEB467"/>
      <c r="HEC467"/>
      <c r="HED467"/>
      <c r="HEE467"/>
      <c r="HEF467"/>
      <c r="HEG467"/>
      <c r="HEH467"/>
      <c r="HEI467"/>
      <c r="HEJ467"/>
      <c r="HEK467"/>
      <c r="HEL467"/>
      <c r="HEM467"/>
      <c r="HEN467"/>
      <c r="HEO467"/>
      <c r="HEP467"/>
      <c r="HEQ467"/>
      <c r="HER467"/>
      <c r="HES467"/>
      <c r="HET467"/>
      <c r="HEU467"/>
      <c r="HEV467"/>
      <c r="HEW467"/>
      <c r="HEX467"/>
      <c r="HEY467"/>
      <c r="HEZ467"/>
      <c r="HFA467"/>
      <c r="HFB467"/>
      <c r="HFC467"/>
      <c r="HFD467"/>
      <c r="HFE467"/>
      <c r="HFF467"/>
      <c r="HFG467"/>
      <c r="HFH467"/>
      <c r="HFI467"/>
      <c r="HFJ467"/>
      <c r="HFK467"/>
      <c r="HFL467"/>
      <c r="HFM467"/>
      <c r="HFN467"/>
      <c r="HFO467"/>
      <c r="HFP467"/>
      <c r="HFQ467"/>
      <c r="HFR467"/>
      <c r="HFS467"/>
      <c r="HFT467"/>
      <c r="HFU467"/>
      <c r="HFV467"/>
      <c r="HFW467"/>
      <c r="HFX467"/>
      <c r="HFY467"/>
      <c r="HFZ467"/>
      <c r="HGA467"/>
      <c r="HGB467"/>
      <c r="HGC467"/>
      <c r="HGD467"/>
      <c r="HGE467"/>
      <c r="HGF467"/>
      <c r="HGG467"/>
      <c r="HGH467"/>
      <c r="HGI467"/>
      <c r="HGJ467"/>
      <c r="HGK467"/>
      <c r="HGL467"/>
      <c r="HGM467"/>
      <c r="HGN467"/>
      <c r="HGO467"/>
      <c r="HGP467"/>
      <c r="HGQ467"/>
      <c r="HGR467"/>
      <c r="HGS467"/>
      <c r="HGT467"/>
      <c r="HGU467"/>
      <c r="HGV467"/>
      <c r="HGW467"/>
      <c r="HGX467"/>
      <c r="HGY467"/>
      <c r="HGZ467"/>
      <c r="HHA467"/>
      <c r="HHB467"/>
      <c r="HHC467"/>
      <c r="HHD467"/>
      <c r="HHE467"/>
      <c r="HHF467"/>
      <c r="HHG467"/>
      <c r="HHH467"/>
      <c r="HHI467"/>
      <c r="HHJ467"/>
      <c r="HHK467"/>
      <c r="HHL467"/>
      <c r="HHM467"/>
      <c r="HHN467"/>
      <c r="HHO467"/>
      <c r="HHP467"/>
      <c r="HHQ467"/>
      <c r="HHR467"/>
      <c r="HHS467"/>
      <c r="HHT467"/>
      <c r="HHU467"/>
      <c r="HHV467"/>
      <c r="HHW467"/>
      <c r="HHX467"/>
      <c r="HHY467"/>
      <c r="HHZ467"/>
      <c r="HIA467"/>
      <c r="HIB467"/>
      <c r="HIC467"/>
      <c r="HID467"/>
      <c r="HIE467"/>
      <c r="HIF467"/>
      <c r="HIG467"/>
      <c r="HIH467"/>
      <c r="HII467"/>
      <c r="HIJ467"/>
      <c r="HIK467"/>
      <c r="HIL467"/>
      <c r="HIM467"/>
      <c r="HIN467"/>
      <c r="HIO467"/>
      <c r="HIP467"/>
      <c r="HIQ467"/>
      <c r="HIR467"/>
      <c r="HIS467"/>
      <c r="HIT467"/>
      <c r="HIU467"/>
      <c r="HIV467"/>
      <c r="HIW467"/>
      <c r="HIX467"/>
      <c r="HIY467"/>
      <c r="HIZ467"/>
      <c r="HJA467"/>
      <c r="HJB467"/>
      <c r="HJC467"/>
      <c r="HJD467"/>
      <c r="HJE467"/>
      <c r="HJF467"/>
      <c r="HJG467"/>
      <c r="HJH467"/>
      <c r="HJI467"/>
      <c r="HJJ467"/>
      <c r="HJK467"/>
      <c r="HJL467"/>
      <c r="HJM467"/>
      <c r="HJN467"/>
      <c r="HJO467"/>
      <c r="HJP467"/>
      <c r="HJQ467"/>
      <c r="HJR467"/>
      <c r="HJS467"/>
      <c r="HJT467"/>
      <c r="HJU467"/>
      <c r="HJV467"/>
      <c r="HJW467"/>
      <c r="HJX467"/>
      <c r="HJY467"/>
      <c r="HJZ467"/>
      <c r="HKA467"/>
      <c r="HKB467"/>
      <c r="HKC467"/>
      <c r="HKD467"/>
      <c r="HKE467"/>
      <c r="HKF467"/>
      <c r="HKG467"/>
      <c r="HKH467"/>
      <c r="HKI467"/>
      <c r="HKJ467"/>
      <c r="HKK467"/>
      <c r="HKL467"/>
      <c r="HKM467"/>
      <c r="HKN467"/>
      <c r="HKO467"/>
      <c r="HKP467"/>
      <c r="HKQ467"/>
      <c r="HKR467"/>
      <c r="HKS467"/>
      <c r="HKT467"/>
      <c r="HKU467"/>
      <c r="HKV467"/>
      <c r="HKW467"/>
      <c r="HKX467"/>
      <c r="HKY467"/>
      <c r="HKZ467"/>
      <c r="HLA467"/>
      <c r="HLB467"/>
      <c r="HLC467"/>
      <c r="HLD467"/>
      <c r="HLE467"/>
      <c r="HLF467"/>
      <c r="HLG467"/>
      <c r="HLH467"/>
      <c r="HLI467"/>
      <c r="HLJ467"/>
      <c r="HLK467"/>
      <c r="HLL467"/>
      <c r="HLM467"/>
      <c r="HLN467"/>
      <c r="HLO467"/>
      <c r="HLP467"/>
      <c r="HLQ467"/>
      <c r="HLR467"/>
      <c r="HLS467"/>
      <c r="HLT467"/>
      <c r="HLU467"/>
      <c r="HLV467"/>
      <c r="HLW467"/>
      <c r="HLX467"/>
      <c r="HLY467"/>
      <c r="HLZ467"/>
      <c r="HMA467"/>
      <c r="HMB467"/>
      <c r="HMC467"/>
      <c r="HMD467"/>
      <c r="HME467"/>
      <c r="HMF467"/>
      <c r="HMG467"/>
      <c r="HMH467"/>
      <c r="HMI467"/>
      <c r="HMJ467"/>
      <c r="HMK467"/>
      <c r="HML467"/>
      <c r="HMM467"/>
      <c r="HMN467"/>
      <c r="HMO467"/>
      <c r="HMP467"/>
      <c r="HMQ467"/>
      <c r="HMR467"/>
      <c r="HMS467"/>
      <c r="HMT467"/>
      <c r="HMU467"/>
      <c r="HMV467"/>
      <c r="HMW467"/>
      <c r="HMX467"/>
      <c r="HMY467"/>
      <c r="HMZ467"/>
      <c r="HNA467"/>
      <c r="HNB467"/>
      <c r="HNC467"/>
      <c r="HND467"/>
      <c r="HNE467"/>
      <c r="HNF467"/>
      <c r="HNG467"/>
      <c r="HNH467"/>
      <c r="HNI467"/>
      <c r="HNJ467"/>
      <c r="HNK467"/>
      <c r="HNL467"/>
      <c r="HNM467"/>
      <c r="HNN467"/>
      <c r="HNO467"/>
      <c r="HNP467"/>
      <c r="HNQ467"/>
      <c r="HNR467"/>
      <c r="HNS467"/>
      <c r="HNT467"/>
      <c r="HNU467"/>
      <c r="HNV467"/>
      <c r="HNW467"/>
      <c r="HNX467"/>
      <c r="HNY467"/>
      <c r="HNZ467"/>
      <c r="HOA467"/>
      <c r="HOB467"/>
      <c r="HOC467"/>
      <c r="HOD467"/>
      <c r="HOE467"/>
      <c r="HOF467"/>
      <c r="HOG467"/>
      <c r="HOH467"/>
      <c r="HOI467"/>
      <c r="HOJ467"/>
      <c r="HOK467"/>
      <c r="HOL467"/>
      <c r="HOM467"/>
      <c r="HON467"/>
      <c r="HOO467"/>
      <c r="HOP467"/>
      <c r="HOQ467"/>
      <c r="HOR467"/>
      <c r="HOS467"/>
      <c r="HOT467"/>
      <c r="HOU467"/>
      <c r="HOV467"/>
      <c r="HOW467"/>
      <c r="HOX467"/>
      <c r="HOY467"/>
      <c r="HOZ467"/>
      <c r="HPA467"/>
      <c r="HPB467"/>
      <c r="HPC467"/>
      <c r="HPD467"/>
      <c r="HPE467"/>
      <c r="HPF467"/>
      <c r="HPG467"/>
      <c r="HPH467"/>
      <c r="HPI467"/>
      <c r="HPJ467"/>
      <c r="HPK467"/>
      <c r="HPL467"/>
      <c r="HPM467"/>
      <c r="HPN467"/>
      <c r="HPO467"/>
      <c r="HPP467"/>
      <c r="HPQ467"/>
      <c r="HPR467"/>
      <c r="HPS467"/>
      <c r="HPT467"/>
      <c r="HPU467"/>
      <c r="HPV467"/>
      <c r="HPW467"/>
      <c r="HPX467"/>
      <c r="HPY467"/>
      <c r="HPZ467"/>
      <c r="HQA467"/>
      <c r="HQB467"/>
      <c r="HQC467"/>
      <c r="HQD467"/>
      <c r="HQE467"/>
      <c r="HQF467"/>
      <c r="HQG467"/>
      <c r="HQH467"/>
      <c r="HQI467"/>
      <c r="HQJ467"/>
      <c r="HQK467"/>
      <c r="HQL467"/>
      <c r="HQM467"/>
      <c r="HQN467"/>
      <c r="HQO467"/>
      <c r="HQP467"/>
      <c r="HQQ467"/>
      <c r="HQR467"/>
      <c r="HQS467"/>
      <c r="HQT467"/>
      <c r="HQU467"/>
      <c r="HQV467"/>
      <c r="HQW467"/>
      <c r="HQX467"/>
      <c r="HQY467"/>
      <c r="HQZ467"/>
      <c r="HRA467"/>
      <c r="HRB467"/>
      <c r="HRC467"/>
      <c r="HRD467"/>
      <c r="HRE467"/>
      <c r="HRF467"/>
      <c r="HRG467"/>
      <c r="HRH467"/>
      <c r="HRI467"/>
      <c r="HRJ467"/>
      <c r="HRK467"/>
      <c r="HRL467"/>
      <c r="HRM467"/>
      <c r="HRN467"/>
      <c r="HRO467"/>
      <c r="HRP467"/>
      <c r="HRQ467"/>
      <c r="HRR467"/>
      <c r="HRS467"/>
      <c r="HRT467"/>
      <c r="HRU467"/>
      <c r="HRV467"/>
      <c r="HRW467"/>
      <c r="HRX467"/>
      <c r="HRY467"/>
      <c r="HRZ467"/>
      <c r="HSA467"/>
      <c r="HSB467"/>
      <c r="HSC467"/>
      <c r="HSD467"/>
      <c r="HSE467"/>
      <c r="HSF467"/>
      <c r="HSG467"/>
      <c r="HSH467"/>
      <c r="HSI467"/>
      <c r="HSJ467"/>
      <c r="HSK467"/>
      <c r="HSL467"/>
      <c r="HSM467"/>
      <c r="HSN467"/>
      <c r="HSO467"/>
      <c r="HSP467"/>
      <c r="HSQ467"/>
      <c r="HSR467"/>
      <c r="HSS467"/>
      <c r="HST467"/>
      <c r="HSU467"/>
      <c r="HSV467"/>
      <c r="HSW467"/>
      <c r="HSX467"/>
      <c r="HSY467"/>
      <c r="HSZ467"/>
      <c r="HTA467"/>
      <c r="HTB467"/>
      <c r="HTC467"/>
      <c r="HTD467"/>
      <c r="HTE467"/>
      <c r="HTF467"/>
      <c r="HTG467"/>
      <c r="HTH467"/>
      <c r="HTI467"/>
      <c r="HTJ467"/>
      <c r="HTK467"/>
      <c r="HTL467"/>
      <c r="HTM467"/>
      <c r="HTN467"/>
      <c r="HTO467"/>
      <c r="HTP467"/>
      <c r="HTQ467"/>
      <c r="HTR467"/>
      <c r="HTS467"/>
      <c r="HTT467"/>
      <c r="HTU467"/>
      <c r="HTV467"/>
      <c r="HTW467"/>
      <c r="HTX467"/>
      <c r="HTY467"/>
      <c r="HTZ467"/>
      <c r="HUA467"/>
      <c r="HUB467"/>
      <c r="HUC467"/>
      <c r="HUD467"/>
      <c r="HUE467"/>
      <c r="HUF467"/>
      <c r="HUG467"/>
      <c r="HUH467"/>
      <c r="HUI467"/>
      <c r="HUJ467"/>
      <c r="HUK467"/>
      <c r="HUL467"/>
      <c r="HUM467"/>
      <c r="HUN467"/>
      <c r="HUO467"/>
      <c r="HUP467"/>
      <c r="HUQ467"/>
      <c r="HUR467"/>
      <c r="HUS467"/>
      <c r="HUT467"/>
      <c r="HUU467"/>
      <c r="HUV467"/>
      <c r="HUW467"/>
      <c r="HUX467"/>
      <c r="HUY467"/>
      <c r="HUZ467"/>
      <c r="HVA467"/>
      <c r="HVB467"/>
      <c r="HVC467"/>
      <c r="HVD467"/>
      <c r="HVE467"/>
      <c r="HVF467"/>
      <c r="HVG467"/>
      <c r="HVH467"/>
      <c r="HVI467"/>
      <c r="HVJ467"/>
      <c r="HVK467"/>
      <c r="HVL467"/>
      <c r="HVM467"/>
      <c r="HVN467"/>
      <c r="HVO467"/>
      <c r="HVP467"/>
      <c r="HVQ467"/>
      <c r="HVR467"/>
      <c r="HVS467"/>
      <c r="HVT467"/>
      <c r="HVU467"/>
      <c r="HVV467"/>
      <c r="HVW467"/>
      <c r="HVX467"/>
      <c r="HVY467"/>
      <c r="HVZ467"/>
      <c r="HWA467"/>
      <c r="HWB467"/>
      <c r="HWC467"/>
      <c r="HWD467"/>
      <c r="HWE467"/>
      <c r="HWF467"/>
      <c r="HWG467"/>
      <c r="HWH467"/>
      <c r="HWI467"/>
      <c r="HWJ467"/>
      <c r="HWK467"/>
      <c r="HWL467"/>
      <c r="HWM467"/>
      <c r="HWN467"/>
      <c r="HWO467"/>
      <c r="HWP467"/>
      <c r="HWQ467"/>
      <c r="HWR467"/>
      <c r="HWS467"/>
      <c r="HWT467"/>
      <c r="HWU467"/>
      <c r="HWV467"/>
      <c r="HWW467"/>
      <c r="HWX467"/>
      <c r="HWY467"/>
      <c r="HWZ467"/>
      <c r="HXA467"/>
      <c r="HXB467"/>
      <c r="HXC467"/>
      <c r="HXD467"/>
      <c r="HXE467"/>
      <c r="HXF467"/>
      <c r="HXG467"/>
      <c r="HXH467"/>
      <c r="HXI467"/>
      <c r="HXJ467"/>
      <c r="HXK467"/>
      <c r="HXL467"/>
      <c r="HXM467"/>
      <c r="HXN467"/>
      <c r="HXO467"/>
      <c r="HXP467"/>
      <c r="HXQ467"/>
      <c r="HXR467"/>
      <c r="HXS467"/>
      <c r="HXT467"/>
      <c r="HXU467"/>
      <c r="HXV467"/>
      <c r="HXW467"/>
      <c r="HXX467"/>
      <c r="HXY467"/>
      <c r="HXZ467"/>
      <c r="HYA467"/>
      <c r="HYB467"/>
      <c r="HYC467"/>
      <c r="HYD467"/>
      <c r="HYE467"/>
      <c r="HYF467"/>
      <c r="HYG467"/>
      <c r="HYH467"/>
      <c r="HYI467"/>
      <c r="HYJ467"/>
      <c r="HYK467"/>
      <c r="HYL467"/>
      <c r="HYM467"/>
      <c r="HYN467"/>
      <c r="HYO467"/>
      <c r="HYP467"/>
      <c r="HYQ467"/>
      <c r="HYR467"/>
      <c r="HYS467"/>
      <c r="HYT467"/>
      <c r="HYU467"/>
      <c r="HYV467"/>
      <c r="HYW467"/>
      <c r="HYX467"/>
      <c r="HYY467"/>
      <c r="HYZ467"/>
      <c r="HZA467"/>
      <c r="HZB467"/>
      <c r="HZC467"/>
      <c r="HZD467"/>
      <c r="HZE467"/>
      <c r="HZF467"/>
      <c r="HZG467"/>
      <c r="HZH467"/>
      <c r="HZI467"/>
      <c r="HZJ467"/>
      <c r="HZK467"/>
      <c r="HZL467"/>
      <c r="HZM467"/>
      <c r="HZN467"/>
      <c r="HZO467"/>
      <c r="HZP467"/>
      <c r="HZQ467"/>
      <c r="HZR467"/>
      <c r="HZS467"/>
      <c r="HZT467"/>
      <c r="HZU467"/>
      <c r="HZV467"/>
      <c r="HZW467"/>
      <c r="HZX467"/>
      <c r="HZY467"/>
      <c r="HZZ467"/>
      <c r="IAA467"/>
      <c r="IAB467"/>
      <c r="IAC467"/>
      <c r="IAD467"/>
      <c r="IAE467"/>
      <c r="IAF467"/>
      <c r="IAG467"/>
      <c r="IAH467"/>
      <c r="IAI467"/>
      <c r="IAJ467"/>
      <c r="IAK467"/>
      <c r="IAL467"/>
      <c r="IAM467"/>
      <c r="IAN467"/>
      <c r="IAO467"/>
      <c r="IAP467"/>
      <c r="IAQ467"/>
      <c r="IAR467"/>
      <c r="IAS467"/>
      <c r="IAT467"/>
      <c r="IAU467"/>
      <c r="IAV467"/>
      <c r="IAW467"/>
      <c r="IAX467"/>
      <c r="IAY467"/>
      <c r="IAZ467"/>
      <c r="IBA467"/>
      <c r="IBB467"/>
      <c r="IBC467"/>
      <c r="IBD467"/>
      <c r="IBE467"/>
      <c r="IBF467"/>
      <c r="IBG467"/>
      <c r="IBH467"/>
      <c r="IBI467"/>
      <c r="IBJ467"/>
      <c r="IBK467"/>
      <c r="IBL467"/>
      <c r="IBM467"/>
      <c r="IBN467"/>
      <c r="IBO467"/>
      <c r="IBP467"/>
      <c r="IBQ467"/>
      <c r="IBR467"/>
      <c r="IBS467"/>
      <c r="IBT467"/>
      <c r="IBU467"/>
      <c r="IBV467"/>
      <c r="IBW467"/>
      <c r="IBX467"/>
      <c r="IBY467"/>
      <c r="IBZ467"/>
      <c r="ICA467"/>
      <c r="ICB467"/>
      <c r="ICC467"/>
      <c r="ICD467"/>
      <c r="ICE467"/>
      <c r="ICF467"/>
      <c r="ICG467"/>
      <c r="ICH467"/>
      <c r="ICI467"/>
      <c r="ICJ467"/>
      <c r="ICK467"/>
      <c r="ICL467"/>
      <c r="ICM467"/>
      <c r="ICN467"/>
      <c r="ICO467"/>
      <c r="ICP467"/>
      <c r="ICQ467"/>
      <c r="ICR467"/>
      <c r="ICS467"/>
      <c r="ICT467"/>
      <c r="ICU467"/>
      <c r="ICV467"/>
      <c r="ICW467"/>
      <c r="ICX467"/>
      <c r="ICY467"/>
      <c r="ICZ467"/>
      <c r="IDA467"/>
      <c r="IDB467"/>
      <c r="IDC467"/>
      <c r="IDD467"/>
      <c r="IDE467"/>
      <c r="IDF467"/>
      <c r="IDG467"/>
      <c r="IDH467"/>
      <c r="IDI467"/>
      <c r="IDJ467"/>
      <c r="IDK467"/>
      <c r="IDL467"/>
      <c r="IDM467"/>
      <c r="IDN467"/>
      <c r="IDO467"/>
      <c r="IDP467"/>
      <c r="IDQ467"/>
      <c r="IDR467"/>
      <c r="IDS467"/>
      <c r="IDT467"/>
      <c r="IDU467"/>
      <c r="IDV467"/>
      <c r="IDW467"/>
      <c r="IDX467"/>
      <c r="IDY467"/>
      <c r="IDZ467"/>
      <c r="IEA467"/>
      <c r="IEB467"/>
      <c r="IEC467"/>
      <c r="IED467"/>
      <c r="IEE467"/>
      <c r="IEF467"/>
      <c r="IEG467"/>
      <c r="IEH467"/>
      <c r="IEI467"/>
      <c r="IEJ467"/>
      <c r="IEK467"/>
      <c r="IEL467"/>
      <c r="IEM467"/>
      <c r="IEN467"/>
      <c r="IEO467"/>
      <c r="IEP467"/>
      <c r="IEQ467"/>
      <c r="IER467"/>
      <c r="IES467"/>
      <c r="IET467"/>
      <c r="IEU467"/>
      <c r="IEV467"/>
      <c r="IEW467"/>
      <c r="IEX467"/>
      <c r="IEY467"/>
      <c r="IEZ467"/>
      <c r="IFA467"/>
      <c r="IFB467"/>
      <c r="IFC467"/>
      <c r="IFD467"/>
      <c r="IFE467"/>
      <c r="IFF467"/>
      <c r="IFG467"/>
      <c r="IFH467"/>
      <c r="IFI467"/>
      <c r="IFJ467"/>
      <c r="IFK467"/>
      <c r="IFL467"/>
      <c r="IFM467"/>
      <c r="IFN467"/>
      <c r="IFO467"/>
      <c r="IFP467"/>
      <c r="IFQ467"/>
      <c r="IFR467"/>
      <c r="IFS467"/>
      <c r="IFT467"/>
      <c r="IFU467"/>
      <c r="IFV467"/>
      <c r="IFW467"/>
      <c r="IFX467"/>
      <c r="IFY467"/>
      <c r="IFZ467"/>
      <c r="IGA467"/>
      <c r="IGB467"/>
      <c r="IGC467"/>
      <c r="IGD467"/>
      <c r="IGE467"/>
      <c r="IGF467"/>
      <c r="IGG467"/>
      <c r="IGH467"/>
      <c r="IGI467"/>
      <c r="IGJ467"/>
      <c r="IGK467"/>
      <c r="IGL467"/>
      <c r="IGM467"/>
      <c r="IGN467"/>
      <c r="IGO467"/>
      <c r="IGP467"/>
      <c r="IGQ467"/>
      <c r="IGR467"/>
      <c r="IGS467"/>
      <c r="IGT467"/>
      <c r="IGU467"/>
      <c r="IGV467"/>
      <c r="IGW467"/>
      <c r="IGX467"/>
      <c r="IGY467"/>
      <c r="IGZ467"/>
      <c r="IHA467"/>
      <c r="IHB467"/>
      <c r="IHC467"/>
      <c r="IHD467"/>
      <c r="IHE467"/>
      <c r="IHF467"/>
      <c r="IHG467"/>
      <c r="IHH467"/>
      <c r="IHI467"/>
      <c r="IHJ467"/>
      <c r="IHK467"/>
      <c r="IHL467"/>
      <c r="IHM467"/>
      <c r="IHN467"/>
      <c r="IHO467"/>
      <c r="IHP467"/>
      <c r="IHQ467"/>
      <c r="IHR467"/>
      <c r="IHS467"/>
      <c r="IHT467"/>
      <c r="IHU467"/>
      <c r="IHV467"/>
      <c r="IHW467"/>
      <c r="IHX467"/>
      <c r="IHY467"/>
      <c r="IHZ467"/>
      <c r="IIA467"/>
      <c r="IIB467"/>
      <c r="IIC467"/>
      <c r="IID467"/>
      <c r="IIE467"/>
      <c r="IIF467"/>
      <c r="IIG467"/>
      <c r="IIH467"/>
      <c r="III467"/>
      <c r="IIJ467"/>
      <c r="IIK467"/>
      <c r="IIL467"/>
      <c r="IIM467"/>
      <c r="IIN467"/>
      <c r="IIO467"/>
      <c r="IIP467"/>
      <c r="IIQ467"/>
      <c r="IIR467"/>
      <c r="IIS467"/>
      <c r="IIT467"/>
      <c r="IIU467"/>
      <c r="IIV467"/>
      <c r="IIW467"/>
      <c r="IIX467"/>
      <c r="IIY467"/>
      <c r="IIZ467"/>
      <c r="IJA467"/>
      <c r="IJB467"/>
      <c r="IJC467"/>
      <c r="IJD467"/>
      <c r="IJE467"/>
      <c r="IJF467"/>
      <c r="IJG467"/>
      <c r="IJH467"/>
      <c r="IJI467"/>
      <c r="IJJ467"/>
      <c r="IJK467"/>
      <c r="IJL467"/>
      <c r="IJM467"/>
      <c r="IJN467"/>
      <c r="IJO467"/>
      <c r="IJP467"/>
      <c r="IJQ467"/>
      <c r="IJR467"/>
      <c r="IJS467"/>
      <c r="IJT467"/>
      <c r="IJU467"/>
      <c r="IJV467"/>
      <c r="IJW467"/>
      <c r="IJX467"/>
      <c r="IJY467"/>
      <c r="IJZ467"/>
      <c r="IKA467"/>
      <c r="IKB467"/>
      <c r="IKC467"/>
      <c r="IKD467"/>
      <c r="IKE467"/>
      <c r="IKF467"/>
      <c r="IKG467"/>
      <c r="IKH467"/>
      <c r="IKI467"/>
      <c r="IKJ467"/>
      <c r="IKK467"/>
      <c r="IKL467"/>
      <c r="IKM467"/>
      <c r="IKN467"/>
      <c r="IKO467"/>
      <c r="IKP467"/>
      <c r="IKQ467"/>
      <c r="IKR467"/>
      <c r="IKS467"/>
      <c r="IKT467"/>
      <c r="IKU467"/>
      <c r="IKV467"/>
      <c r="IKW467"/>
      <c r="IKX467"/>
      <c r="IKY467"/>
      <c r="IKZ467"/>
      <c r="ILA467"/>
      <c r="ILB467"/>
      <c r="ILC467"/>
      <c r="ILD467"/>
      <c r="ILE467"/>
      <c r="ILF467"/>
      <c r="ILG467"/>
      <c r="ILH467"/>
      <c r="ILI467"/>
      <c r="ILJ467"/>
      <c r="ILK467"/>
      <c r="ILL467"/>
      <c r="ILM467"/>
      <c r="ILN467"/>
      <c r="ILO467"/>
      <c r="ILP467"/>
      <c r="ILQ467"/>
      <c r="ILR467"/>
      <c r="ILS467"/>
      <c r="ILT467"/>
      <c r="ILU467"/>
      <c r="ILV467"/>
      <c r="ILW467"/>
      <c r="ILX467"/>
      <c r="ILY467"/>
      <c r="ILZ467"/>
      <c r="IMA467"/>
      <c r="IMB467"/>
      <c r="IMC467"/>
      <c r="IMD467"/>
      <c r="IME467"/>
      <c r="IMF467"/>
      <c r="IMG467"/>
      <c r="IMH467"/>
      <c r="IMI467"/>
      <c r="IMJ467"/>
      <c r="IMK467"/>
      <c r="IML467"/>
      <c r="IMM467"/>
      <c r="IMN467"/>
      <c r="IMO467"/>
      <c r="IMP467"/>
      <c r="IMQ467"/>
      <c r="IMR467"/>
      <c r="IMS467"/>
      <c r="IMT467"/>
      <c r="IMU467"/>
      <c r="IMV467"/>
      <c r="IMW467"/>
      <c r="IMX467"/>
      <c r="IMY467"/>
      <c r="IMZ467"/>
      <c r="INA467"/>
      <c r="INB467"/>
      <c r="INC467"/>
      <c r="IND467"/>
      <c r="INE467"/>
      <c r="INF467"/>
      <c r="ING467"/>
      <c r="INH467"/>
      <c r="INI467"/>
      <c r="INJ467"/>
      <c r="INK467"/>
      <c r="INL467"/>
      <c r="INM467"/>
      <c r="INN467"/>
      <c r="INO467"/>
      <c r="INP467"/>
      <c r="INQ467"/>
      <c r="INR467"/>
      <c r="INS467"/>
      <c r="INT467"/>
      <c r="INU467"/>
      <c r="INV467"/>
      <c r="INW467"/>
      <c r="INX467"/>
      <c r="INY467"/>
      <c r="INZ467"/>
      <c r="IOA467"/>
      <c r="IOB467"/>
      <c r="IOC467"/>
      <c r="IOD467"/>
      <c r="IOE467"/>
      <c r="IOF467"/>
      <c r="IOG467"/>
      <c r="IOH467"/>
      <c r="IOI467"/>
      <c r="IOJ467"/>
      <c r="IOK467"/>
      <c r="IOL467"/>
      <c r="IOM467"/>
      <c r="ION467"/>
      <c r="IOO467"/>
      <c r="IOP467"/>
      <c r="IOQ467"/>
      <c r="IOR467"/>
      <c r="IOS467"/>
      <c r="IOT467"/>
      <c r="IOU467"/>
      <c r="IOV467"/>
      <c r="IOW467"/>
      <c r="IOX467"/>
      <c r="IOY467"/>
      <c r="IOZ467"/>
      <c r="IPA467"/>
      <c r="IPB467"/>
      <c r="IPC467"/>
      <c r="IPD467"/>
      <c r="IPE467"/>
      <c r="IPF467"/>
      <c r="IPG467"/>
      <c r="IPH467"/>
      <c r="IPI467"/>
      <c r="IPJ467"/>
      <c r="IPK467"/>
      <c r="IPL467"/>
      <c r="IPM467"/>
      <c r="IPN467"/>
      <c r="IPO467"/>
      <c r="IPP467"/>
      <c r="IPQ467"/>
      <c r="IPR467"/>
      <c r="IPS467"/>
      <c r="IPT467"/>
      <c r="IPU467"/>
      <c r="IPV467"/>
      <c r="IPW467"/>
      <c r="IPX467"/>
      <c r="IPY467"/>
      <c r="IPZ467"/>
      <c r="IQA467"/>
      <c r="IQB467"/>
      <c r="IQC467"/>
      <c r="IQD467"/>
      <c r="IQE467"/>
      <c r="IQF467"/>
      <c r="IQG467"/>
      <c r="IQH467"/>
      <c r="IQI467"/>
      <c r="IQJ467"/>
      <c r="IQK467"/>
      <c r="IQL467"/>
      <c r="IQM467"/>
      <c r="IQN467"/>
      <c r="IQO467"/>
      <c r="IQP467"/>
      <c r="IQQ467"/>
      <c r="IQR467"/>
      <c r="IQS467"/>
      <c r="IQT467"/>
      <c r="IQU467"/>
      <c r="IQV467"/>
      <c r="IQW467"/>
      <c r="IQX467"/>
      <c r="IQY467"/>
      <c r="IQZ467"/>
      <c r="IRA467"/>
      <c r="IRB467"/>
      <c r="IRC467"/>
      <c r="IRD467"/>
      <c r="IRE467"/>
      <c r="IRF467"/>
      <c r="IRG467"/>
      <c r="IRH467"/>
      <c r="IRI467"/>
      <c r="IRJ467"/>
      <c r="IRK467"/>
      <c r="IRL467"/>
      <c r="IRM467"/>
      <c r="IRN467"/>
      <c r="IRO467"/>
      <c r="IRP467"/>
      <c r="IRQ467"/>
      <c r="IRR467"/>
      <c r="IRS467"/>
      <c r="IRT467"/>
      <c r="IRU467"/>
      <c r="IRV467"/>
      <c r="IRW467"/>
      <c r="IRX467"/>
      <c r="IRY467"/>
      <c r="IRZ467"/>
      <c r="ISA467"/>
      <c r="ISB467"/>
      <c r="ISC467"/>
      <c r="ISD467"/>
      <c r="ISE467"/>
      <c r="ISF467"/>
      <c r="ISG467"/>
      <c r="ISH467"/>
      <c r="ISI467"/>
      <c r="ISJ467"/>
      <c r="ISK467"/>
      <c r="ISL467"/>
      <c r="ISM467"/>
      <c r="ISN467"/>
      <c r="ISO467"/>
      <c r="ISP467"/>
      <c r="ISQ467"/>
      <c r="ISR467"/>
      <c r="ISS467"/>
      <c r="IST467"/>
      <c r="ISU467"/>
      <c r="ISV467"/>
      <c r="ISW467"/>
      <c r="ISX467"/>
      <c r="ISY467"/>
      <c r="ISZ467"/>
      <c r="ITA467"/>
      <c r="ITB467"/>
      <c r="ITC467"/>
      <c r="ITD467"/>
      <c r="ITE467"/>
      <c r="ITF467"/>
      <c r="ITG467"/>
      <c r="ITH467"/>
      <c r="ITI467"/>
      <c r="ITJ467"/>
      <c r="ITK467"/>
      <c r="ITL467"/>
      <c r="ITM467"/>
      <c r="ITN467"/>
      <c r="ITO467"/>
      <c r="ITP467"/>
      <c r="ITQ467"/>
      <c r="ITR467"/>
      <c r="ITS467"/>
      <c r="ITT467"/>
      <c r="ITU467"/>
      <c r="ITV467"/>
      <c r="ITW467"/>
      <c r="ITX467"/>
      <c r="ITY467"/>
      <c r="ITZ467"/>
      <c r="IUA467"/>
      <c r="IUB467"/>
      <c r="IUC467"/>
      <c r="IUD467"/>
      <c r="IUE467"/>
      <c r="IUF467"/>
      <c r="IUG467"/>
      <c r="IUH467"/>
      <c r="IUI467"/>
      <c r="IUJ467"/>
      <c r="IUK467"/>
      <c r="IUL467"/>
      <c r="IUM467"/>
      <c r="IUN467"/>
      <c r="IUO467"/>
      <c r="IUP467"/>
      <c r="IUQ467"/>
      <c r="IUR467"/>
      <c r="IUS467"/>
      <c r="IUT467"/>
      <c r="IUU467"/>
      <c r="IUV467"/>
      <c r="IUW467"/>
      <c r="IUX467"/>
      <c r="IUY467"/>
      <c r="IUZ467"/>
      <c r="IVA467"/>
      <c r="IVB467"/>
      <c r="IVC467"/>
      <c r="IVD467"/>
      <c r="IVE467"/>
      <c r="IVF467"/>
      <c r="IVG467"/>
      <c r="IVH467"/>
      <c r="IVI467"/>
      <c r="IVJ467"/>
      <c r="IVK467"/>
      <c r="IVL467"/>
      <c r="IVM467"/>
      <c r="IVN467"/>
      <c r="IVO467"/>
      <c r="IVP467"/>
      <c r="IVQ467"/>
      <c r="IVR467"/>
      <c r="IVS467"/>
      <c r="IVT467"/>
      <c r="IVU467"/>
      <c r="IVV467"/>
      <c r="IVW467"/>
      <c r="IVX467"/>
      <c r="IVY467"/>
      <c r="IVZ467"/>
      <c r="IWA467"/>
      <c r="IWB467"/>
      <c r="IWC467"/>
      <c r="IWD467"/>
      <c r="IWE467"/>
      <c r="IWF467"/>
      <c r="IWG467"/>
      <c r="IWH467"/>
      <c r="IWI467"/>
      <c r="IWJ467"/>
      <c r="IWK467"/>
      <c r="IWL467"/>
      <c r="IWM467"/>
      <c r="IWN467"/>
      <c r="IWO467"/>
      <c r="IWP467"/>
      <c r="IWQ467"/>
      <c r="IWR467"/>
      <c r="IWS467"/>
      <c r="IWT467"/>
      <c r="IWU467"/>
      <c r="IWV467"/>
      <c r="IWW467"/>
      <c r="IWX467"/>
      <c r="IWY467"/>
      <c r="IWZ467"/>
      <c r="IXA467"/>
      <c r="IXB467"/>
      <c r="IXC467"/>
      <c r="IXD467"/>
      <c r="IXE467"/>
      <c r="IXF467"/>
      <c r="IXG467"/>
      <c r="IXH467"/>
      <c r="IXI467"/>
      <c r="IXJ467"/>
      <c r="IXK467"/>
      <c r="IXL467"/>
      <c r="IXM467"/>
      <c r="IXN467"/>
      <c r="IXO467"/>
      <c r="IXP467"/>
      <c r="IXQ467"/>
      <c r="IXR467"/>
      <c r="IXS467"/>
      <c r="IXT467"/>
      <c r="IXU467"/>
      <c r="IXV467"/>
      <c r="IXW467"/>
      <c r="IXX467"/>
      <c r="IXY467"/>
      <c r="IXZ467"/>
      <c r="IYA467"/>
      <c r="IYB467"/>
      <c r="IYC467"/>
      <c r="IYD467"/>
      <c r="IYE467"/>
      <c r="IYF467"/>
      <c r="IYG467"/>
      <c r="IYH467"/>
      <c r="IYI467"/>
      <c r="IYJ467"/>
      <c r="IYK467"/>
      <c r="IYL467"/>
      <c r="IYM467"/>
      <c r="IYN467"/>
      <c r="IYO467"/>
      <c r="IYP467"/>
      <c r="IYQ467"/>
      <c r="IYR467"/>
      <c r="IYS467"/>
      <c r="IYT467"/>
      <c r="IYU467"/>
      <c r="IYV467"/>
      <c r="IYW467"/>
      <c r="IYX467"/>
      <c r="IYY467"/>
      <c r="IYZ467"/>
      <c r="IZA467"/>
      <c r="IZB467"/>
      <c r="IZC467"/>
      <c r="IZD467"/>
      <c r="IZE467"/>
      <c r="IZF467"/>
      <c r="IZG467"/>
      <c r="IZH467"/>
      <c r="IZI467"/>
      <c r="IZJ467"/>
      <c r="IZK467"/>
      <c r="IZL467"/>
      <c r="IZM467"/>
      <c r="IZN467"/>
      <c r="IZO467"/>
      <c r="IZP467"/>
      <c r="IZQ467"/>
      <c r="IZR467"/>
      <c r="IZS467"/>
      <c r="IZT467"/>
      <c r="IZU467"/>
      <c r="IZV467"/>
      <c r="IZW467"/>
      <c r="IZX467"/>
      <c r="IZY467"/>
      <c r="IZZ467"/>
      <c r="JAA467"/>
      <c r="JAB467"/>
      <c r="JAC467"/>
      <c r="JAD467"/>
      <c r="JAE467"/>
      <c r="JAF467"/>
      <c r="JAG467"/>
      <c r="JAH467"/>
      <c r="JAI467"/>
      <c r="JAJ467"/>
      <c r="JAK467"/>
      <c r="JAL467"/>
      <c r="JAM467"/>
      <c r="JAN467"/>
      <c r="JAO467"/>
      <c r="JAP467"/>
      <c r="JAQ467"/>
      <c r="JAR467"/>
      <c r="JAS467"/>
      <c r="JAT467"/>
      <c r="JAU467"/>
      <c r="JAV467"/>
      <c r="JAW467"/>
      <c r="JAX467"/>
      <c r="JAY467"/>
      <c r="JAZ467"/>
      <c r="JBA467"/>
      <c r="JBB467"/>
      <c r="JBC467"/>
      <c r="JBD467"/>
      <c r="JBE467"/>
      <c r="JBF467"/>
      <c r="JBG467"/>
      <c r="JBH467"/>
      <c r="JBI467"/>
      <c r="JBJ467"/>
      <c r="JBK467"/>
      <c r="JBL467"/>
      <c r="JBM467"/>
      <c r="JBN467"/>
      <c r="JBO467"/>
      <c r="JBP467"/>
      <c r="JBQ467"/>
      <c r="JBR467"/>
      <c r="JBS467"/>
      <c r="JBT467"/>
      <c r="JBU467"/>
      <c r="JBV467"/>
      <c r="JBW467"/>
      <c r="JBX467"/>
      <c r="JBY467"/>
      <c r="JBZ467"/>
      <c r="JCA467"/>
      <c r="JCB467"/>
      <c r="JCC467"/>
      <c r="JCD467"/>
      <c r="JCE467"/>
      <c r="JCF467"/>
      <c r="JCG467"/>
      <c r="JCH467"/>
      <c r="JCI467"/>
      <c r="JCJ467"/>
      <c r="JCK467"/>
      <c r="JCL467"/>
      <c r="JCM467"/>
      <c r="JCN467"/>
      <c r="JCO467"/>
      <c r="JCP467"/>
      <c r="JCQ467"/>
      <c r="JCR467"/>
      <c r="JCS467"/>
      <c r="JCT467"/>
      <c r="JCU467"/>
      <c r="JCV467"/>
      <c r="JCW467"/>
      <c r="JCX467"/>
      <c r="JCY467"/>
      <c r="JCZ467"/>
      <c r="JDA467"/>
      <c r="JDB467"/>
      <c r="JDC467"/>
      <c r="JDD467"/>
      <c r="JDE467"/>
      <c r="JDF467"/>
      <c r="JDG467"/>
      <c r="JDH467"/>
      <c r="JDI467"/>
      <c r="JDJ467"/>
      <c r="JDK467"/>
      <c r="JDL467"/>
      <c r="JDM467"/>
      <c r="JDN467"/>
      <c r="JDO467"/>
      <c r="JDP467"/>
      <c r="JDQ467"/>
      <c r="JDR467"/>
      <c r="JDS467"/>
      <c r="JDT467"/>
      <c r="JDU467"/>
      <c r="JDV467"/>
      <c r="JDW467"/>
      <c r="JDX467"/>
      <c r="JDY467"/>
      <c r="JDZ467"/>
      <c r="JEA467"/>
      <c r="JEB467"/>
      <c r="JEC467"/>
      <c r="JED467"/>
      <c r="JEE467"/>
      <c r="JEF467"/>
      <c r="JEG467"/>
      <c r="JEH467"/>
      <c r="JEI467"/>
      <c r="JEJ467"/>
      <c r="JEK467"/>
      <c r="JEL467"/>
      <c r="JEM467"/>
      <c r="JEN467"/>
      <c r="JEO467"/>
      <c r="JEP467"/>
      <c r="JEQ467"/>
      <c r="JER467"/>
      <c r="JES467"/>
      <c r="JET467"/>
      <c r="JEU467"/>
      <c r="JEV467"/>
      <c r="JEW467"/>
      <c r="JEX467"/>
      <c r="JEY467"/>
      <c r="JEZ467"/>
      <c r="JFA467"/>
      <c r="JFB467"/>
      <c r="JFC467"/>
      <c r="JFD467"/>
      <c r="JFE467"/>
      <c r="JFF467"/>
      <c r="JFG467"/>
      <c r="JFH467"/>
      <c r="JFI467"/>
      <c r="JFJ467"/>
      <c r="JFK467"/>
      <c r="JFL467"/>
      <c r="JFM467"/>
      <c r="JFN467"/>
      <c r="JFO467"/>
      <c r="JFP467"/>
      <c r="JFQ467"/>
      <c r="JFR467"/>
      <c r="JFS467"/>
      <c r="JFT467"/>
      <c r="JFU467"/>
      <c r="JFV467"/>
      <c r="JFW467"/>
      <c r="JFX467"/>
      <c r="JFY467"/>
      <c r="JFZ467"/>
      <c r="JGA467"/>
      <c r="JGB467"/>
      <c r="JGC467"/>
      <c r="JGD467"/>
      <c r="JGE467"/>
      <c r="JGF467"/>
      <c r="JGG467"/>
      <c r="JGH467"/>
      <c r="JGI467"/>
      <c r="JGJ467"/>
      <c r="JGK467"/>
      <c r="JGL467"/>
      <c r="JGM467"/>
      <c r="JGN467"/>
      <c r="JGO467"/>
      <c r="JGP467"/>
      <c r="JGQ467"/>
      <c r="JGR467"/>
      <c r="JGS467"/>
      <c r="JGT467"/>
      <c r="JGU467"/>
      <c r="JGV467"/>
      <c r="JGW467"/>
      <c r="JGX467"/>
      <c r="JGY467"/>
      <c r="JGZ467"/>
      <c r="JHA467"/>
      <c r="JHB467"/>
      <c r="JHC467"/>
      <c r="JHD467"/>
      <c r="JHE467"/>
      <c r="JHF467"/>
      <c r="JHG467"/>
      <c r="JHH467"/>
      <c r="JHI467"/>
      <c r="JHJ467"/>
      <c r="JHK467"/>
      <c r="JHL467"/>
      <c r="JHM467"/>
      <c r="JHN467"/>
      <c r="JHO467"/>
      <c r="JHP467"/>
      <c r="JHQ467"/>
      <c r="JHR467"/>
      <c r="JHS467"/>
      <c r="JHT467"/>
      <c r="JHU467"/>
      <c r="JHV467"/>
      <c r="JHW467"/>
      <c r="JHX467"/>
      <c r="JHY467"/>
      <c r="JHZ467"/>
      <c r="JIA467"/>
      <c r="JIB467"/>
      <c r="JIC467"/>
      <c r="JID467"/>
      <c r="JIE467"/>
      <c r="JIF467"/>
      <c r="JIG467"/>
      <c r="JIH467"/>
      <c r="JII467"/>
      <c r="JIJ467"/>
      <c r="JIK467"/>
      <c r="JIL467"/>
      <c r="JIM467"/>
      <c r="JIN467"/>
      <c r="JIO467"/>
      <c r="JIP467"/>
      <c r="JIQ467"/>
      <c r="JIR467"/>
      <c r="JIS467"/>
      <c r="JIT467"/>
      <c r="JIU467"/>
      <c r="JIV467"/>
      <c r="JIW467"/>
      <c r="JIX467"/>
      <c r="JIY467"/>
      <c r="JIZ467"/>
      <c r="JJA467"/>
      <c r="JJB467"/>
      <c r="JJC467"/>
      <c r="JJD467"/>
      <c r="JJE467"/>
      <c r="JJF467"/>
      <c r="JJG467"/>
      <c r="JJH467"/>
      <c r="JJI467"/>
      <c r="JJJ467"/>
      <c r="JJK467"/>
      <c r="JJL467"/>
      <c r="JJM467"/>
      <c r="JJN467"/>
      <c r="JJO467"/>
      <c r="JJP467"/>
      <c r="JJQ467"/>
      <c r="JJR467"/>
      <c r="JJS467"/>
      <c r="JJT467"/>
      <c r="JJU467"/>
      <c r="JJV467"/>
      <c r="JJW467"/>
      <c r="JJX467"/>
      <c r="JJY467"/>
      <c r="JJZ467"/>
      <c r="JKA467"/>
      <c r="JKB467"/>
      <c r="JKC467"/>
      <c r="JKD467"/>
      <c r="JKE467"/>
      <c r="JKF467"/>
      <c r="JKG467"/>
      <c r="JKH467"/>
      <c r="JKI467"/>
      <c r="JKJ467"/>
      <c r="JKK467"/>
      <c r="JKL467"/>
      <c r="JKM467"/>
      <c r="JKN467"/>
      <c r="JKO467"/>
      <c r="JKP467"/>
      <c r="JKQ467"/>
      <c r="JKR467"/>
      <c r="JKS467"/>
      <c r="JKT467"/>
      <c r="JKU467"/>
      <c r="JKV467"/>
      <c r="JKW467"/>
      <c r="JKX467"/>
      <c r="JKY467"/>
      <c r="JKZ467"/>
      <c r="JLA467"/>
      <c r="JLB467"/>
      <c r="JLC467"/>
      <c r="JLD467"/>
      <c r="JLE467"/>
      <c r="JLF467"/>
      <c r="JLG467"/>
      <c r="JLH467"/>
      <c r="JLI467"/>
      <c r="JLJ467"/>
      <c r="JLK467"/>
      <c r="JLL467"/>
      <c r="JLM467"/>
      <c r="JLN467"/>
      <c r="JLO467"/>
      <c r="JLP467"/>
      <c r="JLQ467"/>
      <c r="JLR467"/>
      <c r="JLS467"/>
      <c r="JLT467"/>
      <c r="JLU467"/>
      <c r="JLV467"/>
      <c r="JLW467"/>
      <c r="JLX467"/>
      <c r="JLY467"/>
      <c r="JLZ467"/>
      <c r="JMA467"/>
      <c r="JMB467"/>
      <c r="JMC467"/>
      <c r="JMD467"/>
      <c r="JME467"/>
      <c r="JMF467"/>
      <c r="JMG467"/>
      <c r="JMH467"/>
      <c r="JMI467"/>
      <c r="JMJ467"/>
      <c r="JMK467"/>
      <c r="JML467"/>
      <c r="JMM467"/>
      <c r="JMN467"/>
      <c r="JMO467"/>
      <c r="JMP467"/>
      <c r="JMQ467"/>
      <c r="JMR467"/>
      <c r="JMS467"/>
      <c r="JMT467"/>
      <c r="JMU467"/>
      <c r="JMV467"/>
      <c r="JMW467"/>
      <c r="JMX467"/>
      <c r="JMY467"/>
      <c r="JMZ467"/>
      <c r="JNA467"/>
      <c r="JNB467"/>
      <c r="JNC467"/>
      <c r="JND467"/>
      <c r="JNE467"/>
      <c r="JNF467"/>
      <c r="JNG467"/>
      <c r="JNH467"/>
      <c r="JNI467"/>
      <c r="JNJ467"/>
      <c r="JNK467"/>
      <c r="JNL467"/>
      <c r="JNM467"/>
      <c r="JNN467"/>
      <c r="JNO467"/>
      <c r="JNP467"/>
      <c r="JNQ467"/>
      <c r="JNR467"/>
      <c r="JNS467"/>
      <c r="JNT467"/>
      <c r="JNU467"/>
      <c r="JNV467"/>
      <c r="JNW467"/>
      <c r="JNX467"/>
      <c r="JNY467"/>
      <c r="JNZ467"/>
      <c r="JOA467"/>
      <c r="JOB467"/>
      <c r="JOC467"/>
      <c r="JOD467"/>
      <c r="JOE467"/>
      <c r="JOF467"/>
      <c r="JOG467"/>
      <c r="JOH467"/>
      <c r="JOI467"/>
      <c r="JOJ467"/>
      <c r="JOK467"/>
      <c r="JOL467"/>
      <c r="JOM467"/>
      <c r="JON467"/>
      <c r="JOO467"/>
      <c r="JOP467"/>
      <c r="JOQ467"/>
      <c r="JOR467"/>
      <c r="JOS467"/>
      <c r="JOT467"/>
      <c r="JOU467"/>
      <c r="JOV467"/>
      <c r="JOW467"/>
      <c r="JOX467"/>
      <c r="JOY467"/>
      <c r="JOZ467"/>
      <c r="JPA467"/>
      <c r="JPB467"/>
      <c r="JPC467"/>
      <c r="JPD467"/>
      <c r="JPE467"/>
      <c r="JPF467"/>
      <c r="JPG467"/>
      <c r="JPH467"/>
      <c r="JPI467"/>
      <c r="JPJ467"/>
      <c r="JPK467"/>
      <c r="JPL467"/>
      <c r="JPM467"/>
      <c r="JPN467"/>
      <c r="JPO467"/>
      <c r="JPP467"/>
      <c r="JPQ467"/>
      <c r="JPR467"/>
      <c r="JPS467"/>
      <c r="JPT467"/>
      <c r="JPU467"/>
      <c r="JPV467"/>
      <c r="JPW467"/>
      <c r="JPX467"/>
      <c r="JPY467"/>
      <c r="JPZ467"/>
      <c r="JQA467"/>
      <c r="JQB467"/>
      <c r="JQC467"/>
      <c r="JQD467"/>
      <c r="JQE467"/>
      <c r="JQF467"/>
      <c r="JQG467"/>
      <c r="JQH467"/>
      <c r="JQI467"/>
      <c r="JQJ467"/>
      <c r="JQK467"/>
      <c r="JQL467"/>
      <c r="JQM467"/>
      <c r="JQN467"/>
      <c r="JQO467"/>
      <c r="JQP467"/>
      <c r="JQQ467"/>
      <c r="JQR467"/>
      <c r="JQS467"/>
      <c r="JQT467"/>
      <c r="JQU467"/>
      <c r="JQV467"/>
      <c r="JQW467"/>
      <c r="JQX467"/>
      <c r="JQY467"/>
      <c r="JQZ467"/>
      <c r="JRA467"/>
      <c r="JRB467"/>
      <c r="JRC467"/>
      <c r="JRD467"/>
      <c r="JRE467"/>
      <c r="JRF467"/>
      <c r="JRG467"/>
      <c r="JRH467"/>
      <c r="JRI467"/>
      <c r="JRJ467"/>
      <c r="JRK467"/>
      <c r="JRL467"/>
      <c r="JRM467"/>
      <c r="JRN467"/>
      <c r="JRO467"/>
      <c r="JRP467"/>
      <c r="JRQ467"/>
      <c r="JRR467"/>
      <c r="JRS467"/>
      <c r="JRT467"/>
      <c r="JRU467"/>
      <c r="JRV467"/>
      <c r="JRW467"/>
      <c r="JRX467"/>
      <c r="JRY467"/>
      <c r="JRZ467"/>
      <c r="JSA467"/>
      <c r="JSB467"/>
      <c r="JSC467"/>
      <c r="JSD467"/>
      <c r="JSE467"/>
      <c r="JSF467"/>
      <c r="JSG467"/>
      <c r="JSH467"/>
      <c r="JSI467"/>
      <c r="JSJ467"/>
      <c r="JSK467"/>
      <c r="JSL467"/>
      <c r="JSM467"/>
      <c r="JSN467"/>
      <c r="JSO467"/>
      <c r="JSP467"/>
      <c r="JSQ467"/>
      <c r="JSR467"/>
      <c r="JSS467"/>
      <c r="JST467"/>
      <c r="JSU467"/>
      <c r="JSV467"/>
      <c r="JSW467"/>
      <c r="JSX467"/>
      <c r="JSY467"/>
      <c r="JSZ467"/>
      <c r="JTA467"/>
      <c r="JTB467"/>
      <c r="JTC467"/>
      <c r="JTD467"/>
      <c r="JTE467"/>
      <c r="JTF467"/>
      <c r="JTG467"/>
      <c r="JTH467"/>
      <c r="JTI467"/>
      <c r="JTJ467"/>
      <c r="JTK467"/>
      <c r="JTL467"/>
      <c r="JTM467"/>
      <c r="JTN467"/>
      <c r="JTO467"/>
      <c r="JTP467"/>
      <c r="JTQ467"/>
      <c r="JTR467"/>
      <c r="JTS467"/>
      <c r="JTT467"/>
      <c r="JTU467"/>
      <c r="JTV467"/>
      <c r="JTW467"/>
      <c r="JTX467"/>
      <c r="JTY467"/>
      <c r="JTZ467"/>
      <c r="JUA467"/>
      <c r="JUB467"/>
      <c r="JUC467"/>
      <c r="JUD467"/>
      <c r="JUE467"/>
      <c r="JUF467"/>
      <c r="JUG467"/>
      <c r="JUH467"/>
      <c r="JUI467"/>
      <c r="JUJ467"/>
      <c r="JUK467"/>
      <c r="JUL467"/>
      <c r="JUM467"/>
      <c r="JUN467"/>
      <c r="JUO467"/>
      <c r="JUP467"/>
      <c r="JUQ467"/>
      <c r="JUR467"/>
      <c r="JUS467"/>
      <c r="JUT467"/>
      <c r="JUU467"/>
      <c r="JUV467"/>
      <c r="JUW467"/>
      <c r="JUX467"/>
      <c r="JUY467"/>
      <c r="JUZ467"/>
      <c r="JVA467"/>
      <c r="JVB467"/>
      <c r="JVC467"/>
      <c r="JVD467"/>
      <c r="JVE467"/>
      <c r="JVF467"/>
      <c r="JVG467"/>
      <c r="JVH467"/>
      <c r="JVI467"/>
      <c r="JVJ467"/>
      <c r="JVK467"/>
      <c r="JVL467"/>
      <c r="JVM467"/>
      <c r="JVN467"/>
      <c r="JVO467"/>
      <c r="JVP467"/>
      <c r="JVQ467"/>
      <c r="JVR467"/>
      <c r="JVS467"/>
      <c r="JVT467"/>
      <c r="JVU467"/>
      <c r="JVV467"/>
      <c r="JVW467"/>
      <c r="JVX467"/>
      <c r="JVY467"/>
      <c r="JVZ467"/>
      <c r="JWA467"/>
      <c r="JWB467"/>
      <c r="JWC467"/>
      <c r="JWD467"/>
      <c r="JWE467"/>
      <c r="JWF467"/>
      <c r="JWG467"/>
      <c r="JWH467"/>
      <c r="JWI467"/>
      <c r="JWJ467"/>
      <c r="JWK467"/>
      <c r="JWL467"/>
      <c r="JWM467"/>
      <c r="JWN467"/>
      <c r="JWO467"/>
      <c r="JWP467"/>
      <c r="JWQ467"/>
      <c r="JWR467"/>
      <c r="JWS467"/>
      <c r="JWT467"/>
      <c r="JWU467"/>
      <c r="JWV467"/>
      <c r="JWW467"/>
      <c r="JWX467"/>
      <c r="JWY467"/>
      <c r="JWZ467"/>
      <c r="JXA467"/>
      <c r="JXB467"/>
      <c r="JXC467"/>
      <c r="JXD467"/>
      <c r="JXE467"/>
      <c r="JXF467"/>
      <c r="JXG467"/>
      <c r="JXH467"/>
      <c r="JXI467"/>
      <c r="JXJ467"/>
      <c r="JXK467"/>
      <c r="JXL467"/>
      <c r="JXM467"/>
      <c r="JXN467"/>
      <c r="JXO467"/>
      <c r="JXP467"/>
      <c r="JXQ467"/>
      <c r="JXR467"/>
      <c r="JXS467"/>
      <c r="JXT467"/>
      <c r="JXU467"/>
      <c r="JXV467"/>
      <c r="JXW467"/>
      <c r="JXX467"/>
      <c r="JXY467"/>
      <c r="JXZ467"/>
      <c r="JYA467"/>
      <c r="JYB467"/>
      <c r="JYC467"/>
      <c r="JYD467"/>
      <c r="JYE467"/>
      <c r="JYF467"/>
      <c r="JYG467"/>
      <c r="JYH467"/>
      <c r="JYI467"/>
      <c r="JYJ467"/>
      <c r="JYK467"/>
      <c r="JYL467"/>
      <c r="JYM467"/>
      <c r="JYN467"/>
      <c r="JYO467"/>
      <c r="JYP467"/>
      <c r="JYQ467"/>
      <c r="JYR467"/>
      <c r="JYS467"/>
      <c r="JYT467"/>
      <c r="JYU467"/>
      <c r="JYV467"/>
      <c r="JYW467"/>
      <c r="JYX467"/>
      <c r="JYY467"/>
      <c r="JYZ467"/>
      <c r="JZA467"/>
      <c r="JZB467"/>
      <c r="JZC467"/>
      <c r="JZD467"/>
      <c r="JZE467"/>
      <c r="JZF467"/>
      <c r="JZG467"/>
      <c r="JZH467"/>
      <c r="JZI467"/>
      <c r="JZJ467"/>
      <c r="JZK467"/>
      <c r="JZL467"/>
      <c r="JZM467"/>
      <c r="JZN467"/>
      <c r="JZO467"/>
      <c r="JZP467"/>
      <c r="JZQ467"/>
      <c r="JZR467"/>
      <c r="JZS467"/>
      <c r="JZT467"/>
      <c r="JZU467"/>
      <c r="JZV467"/>
      <c r="JZW467"/>
      <c r="JZX467"/>
      <c r="JZY467"/>
      <c r="JZZ467"/>
      <c r="KAA467"/>
      <c r="KAB467"/>
      <c r="KAC467"/>
      <c r="KAD467"/>
      <c r="KAE467"/>
      <c r="KAF467"/>
      <c r="KAG467"/>
      <c r="KAH467"/>
      <c r="KAI467"/>
      <c r="KAJ467"/>
      <c r="KAK467"/>
      <c r="KAL467"/>
      <c r="KAM467"/>
      <c r="KAN467"/>
      <c r="KAO467"/>
      <c r="KAP467"/>
      <c r="KAQ467"/>
      <c r="KAR467"/>
      <c r="KAS467"/>
      <c r="KAT467"/>
      <c r="KAU467"/>
      <c r="KAV467"/>
      <c r="KAW467"/>
      <c r="KAX467"/>
      <c r="KAY467"/>
      <c r="KAZ467"/>
      <c r="KBA467"/>
      <c r="KBB467"/>
      <c r="KBC467"/>
      <c r="KBD467"/>
      <c r="KBE467"/>
      <c r="KBF467"/>
      <c r="KBG467"/>
      <c r="KBH467"/>
      <c r="KBI467"/>
      <c r="KBJ467"/>
      <c r="KBK467"/>
      <c r="KBL467"/>
      <c r="KBM467"/>
      <c r="KBN467"/>
      <c r="KBO467"/>
      <c r="KBP467"/>
      <c r="KBQ467"/>
      <c r="KBR467"/>
      <c r="KBS467"/>
      <c r="KBT467"/>
      <c r="KBU467"/>
      <c r="KBV467"/>
      <c r="KBW467"/>
      <c r="KBX467"/>
      <c r="KBY467"/>
      <c r="KBZ467"/>
      <c r="KCA467"/>
      <c r="KCB467"/>
      <c r="KCC467"/>
      <c r="KCD467"/>
      <c r="KCE467"/>
      <c r="KCF467"/>
      <c r="KCG467"/>
      <c r="KCH467"/>
      <c r="KCI467"/>
      <c r="KCJ467"/>
      <c r="KCK467"/>
      <c r="KCL467"/>
      <c r="KCM467"/>
      <c r="KCN467"/>
      <c r="KCO467"/>
      <c r="KCP467"/>
      <c r="KCQ467"/>
      <c r="KCR467"/>
      <c r="KCS467"/>
      <c r="KCT467"/>
      <c r="KCU467"/>
      <c r="KCV467"/>
      <c r="KCW467"/>
      <c r="KCX467"/>
      <c r="KCY467"/>
      <c r="KCZ467"/>
      <c r="KDA467"/>
      <c r="KDB467"/>
      <c r="KDC467"/>
      <c r="KDD467"/>
      <c r="KDE467"/>
      <c r="KDF467"/>
      <c r="KDG467"/>
      <c r="KDH467"/>
      <c r="KDI467"/>
      <c r="KDJ467"/>
      <c r="KDK467"/>
      <c r="KDL467"/>
      <c r="KDM467"/>
      <c r="KDN467"/>
      <c r="KDO467"/>
      <c r="KDP467"/>
      <c r="KDQ467"/>
      <c r="KDR467"/>
      <c r="KDS467"/>
      <c r="KDT467"/>
      <c r="KDU467"/>
      <c r="KDV467"/>
      <c r="KDW467"/>
      <c r="KDX467"/>
      <c r="KDY467"/>
      <c r="KDZ467"/>
      <c r="KEA467"/>
      <c r="KEB467"/>
      <c r="KEC467"/>
      <c r="KED467"/>
      <c r="KEE467"/>
      <c r="KEF467"/>
      <c r="KEG467"/>
      <c r="KEH467"/>
      <c r="KEI467"/>
      <c r="KEJ467"/>
      <c r="KEK467"/>
      <c r="KEL467"/>
      <c r="KEM467"/>
      <c r="KEN467"/>
      <c r="KEO467"/>
      <c r="KEP467"/>
      <c r="KEQ467"/>
      <c r="KER467"/>
      <c r="KES467"/>
      <c r="KET467"/>
      <c r="KEU467"/>
      <c r="KEV467"/>
      <c r="KEW467"/>
      <c r="KEX467"/>
      <c r="KEY467"/>
      <c r="KEZ467"/>
      <c r="KFA467"/>
      <c r="KFB467"/>
      <c r="KFC467"/>
      <c r="KFD467"/>
      <c r="KFE467"/>
      <c r="KFF467"/>
      <c r="KFG467"/>
      <c r="KFH467"/>
      <c r="KFI467"/>
      <c r="KFJ467"/>
      <c r="KFK467"/>
      <c r="KFL467"/>
      <c r="KFM467"/>
      <c r="KFN467"/>
      <c r="KFO467"/>
      <c r="KFP467"/>
      <c r="KFQ467"/>
      <c r="KFR467"/>
      <c r="KFS467"/>
      <c r="KFT467"/>
      <c r="KFU467"/>
      <c r="KFV467"/>
      <c r="KFW467"/>
      <c r="KFX467"/>
      <c r="KFY467"/>
      <c r="KFZ467"/>
      <c r="KGA467"/>
      <c r="KGB467"/>
      <c r="KGC467"/>
      <c r="KGD467"/>
      <c r="KGE467"/>
      <c r="KGF467"/>
      <c r="KGG467"/>
      <c r="KGH467"/>
      <c r="KGI467"/>
      <c r="KGJ467"/>
      <c r="KGK467"/>
      <c r="KGL467"/>
      <c r="KGM467"/>
      <c r="KGN467"/>
      <c r="KGO467"/>
      <c r="KGP467"/>
      <c r="KGQ467"/>
      <c r="KGR467"/>
      <c r="KGS467"/>
      <c r="KGT467"/>
      <c r="KGU467"/>
      <c r="KGV467"/>
      <c r="KGW467"/>
      <c r="KGX467"/>
      <c r="KGY467"/>
      <c r="KGZ467"/>
      <c r="KHA467"/>
      <c r="KHB467"/>
      <c r="KHC467"/>
      <c r="KHD467"/>
      <c r="KHE467"/>
      <c r="KHF467"/>
      <c r="KHG467"/>
      <c r="KHH467"/>
      <c r="KHI467"/>
      <c r="KHJ467"/>
      <c r="KHK467"/>
      <c r="KHL467"/>
      <c r="KHM467"/>
      <c r="KHN467"/>
      <c r="KHO467"/>
      <c r="KHP467"/>
      <c r="KHQ467"/>
      <c r="KHR467"/>
      <c r="KHS467"/>
      <c r="KHT467"/>
      <c r="KHU467"/>
      <c r="KHV467"/>
      <c r="KHW467"/>
      <c r="KHX467"/>
      <c r="KHY467"/>
      <c r="KHZ467"/>
      <c r="KIA467"/>
      <c r="KIB467"/>
      <c r="KIC467"/>
      <c r="KID467"/>
      <c r="KIE467"/>
      <c r="KIF467"/>
      <c r="KIG467"/>
      <c r="KIH467"/>
      <c r="KII467"/>
      <c r="KIJ467"/>
      <c r="KIK467"/>
      <c r="KIL467"/>
      <c r="KIM467"/>
      <c r="KIN467"/>
      <c r="KIO467"/>
      <c r="KIP467"/>
      <c r="KIQ467"/>
      <c r="KIR467"/>
      <c r="KIS467"/>
      <c r="KIT467"/>
      <c r="KIU467"/>
      <c r="KIV467"/>
      <c r="KIW467"/>
      <c r="KIX467"/>
      <c r="KIY467"/>
      <c r="KIZ467"/>
      <c r="KJA467"/>
      <c r="KJB467"/>
      <c r="KJC467"/>
      <c r="KJD467"/>
      <c r="KJE467"/>
      <c r="KJF467"/>
      <c r="KJG467"/>
      <c r="KJH467"/>
      <c r="KJI467"/>
      <c r="KJJ467"/>
      <c r="KJK467"/>
      <c r="KJL467"/>
      <c r="KJM467"/>
      <c r="KJN467"/>
      <c r="KJO467"/>
      <c r="KJP467"/>
      <c r="KJQ467"/>
      <c r="KJR467"/>
      <c r="KJS467"/>
      <c r="KJT467"/>
      <c r="KJU467"/>
      <c r="KJV467"/>
      <c r="KJW467"/>
      <c r="KJX467"/>
      <c r="KJY467"/>
      <c r="KJZ467"/>
      <c r="KKA467"/>
      <c r="KKB467"/>
      <c r="KKC467"/>
      <c r="KKD467"/>
      <c r="KKE467"/>
      <c r="KKF467"/>
      <c r="KKG467"/>
      <c r="KKH467"/>
      <c r="KKI467"/>
      <c r="KKJ467"/>
      <c r="KKK467"/>
      <c r="KKL467"/>
      <c r="KKM467"/>
      <c r="KKN467"/>
      <c r="KKO467"/>
      <c r="KKP467"/>
      <c r="KKQ467"/>
      <c r="KKR467"/>
      <c r="KKS467"/>
      <c r="KKT467"/>
      <c r="KKU467"/>
      <c r="KKV467"/>
      <c r="KKW467"/>
      <c r="KKX467"/>
      <c r="KKY467"/>
      <c r="KKZ467"/>
      <c r="KLA467"/>
      <c r="KLB467"/>
      <c r="KLC467"/>
      <c r="KLD467"/>
      <c r="KLE467"/>
      <c r="KLF467"/>
      <c r="KLG467"/>
      <c r="KLH467"/>
      <c r="KLI467"/>
      <c r="KLJ467"/>
      <c r="KLK467"/>
      <c r="KLL467"/>
      <c r="KLM467"/>
      <c r="KLN467"/>
      <c r="KLO467"/>
      <c r="KLP467"/>
      <c r="KLQ467"/>
      <c r="KLR467"/>
      <c r="KLS467"/>
      <c r="KLT467"/>
      <c r="KLU467"/>
      <c r="KLV467"/>
      <c r="KLW467"/>
      <c r="KLX467"/>
      <c r="KLY467"/>
      <c r="KLZ467"/>
      <c r="KMA467"/>
      <c r="KMB467"/>
      <c r="KMC467"/>
      <c r="KMD467"/>
      <c r="KME467"/>
      <c r="KMF467"/>
      <c r="KMG467"/>
      <c r="KMH467"/>
      <c r="KMI467"/>
      <c r="KMJ467"/>
      <c r="KMK467"/>
      <c r="KML467"/>
      <c r="KMM467"/>
      <c r="KMN467"/>
      <c r="KMO467"/>
      <c r="KMP467"/>
      <c r="KMQ467"/>
      <c r="KMR467"/>
      <c r="KMS467"/>
      <c r="KMT467"/>
      <c r="KMU467"/>
      <c r="KMV467"/>
      <c r="KMW467"/>
      <c r="KMX467"/>
      <c r="KMY467"/>
      <c r="KMZ467"/>
      <c r="KNA467"/>
      <c r="KNB467"/>
      <c r="KNC467"/>
      <c r="KND467"/>
      <c r="KNE467"/>
      <c r="KNF467"/>
      <c r="KNG467"/>
      <c r="KNH467"/>
      <c r="KNI467"/>
      <c r="KNJ467"/>
      <c r="KNK467"/>
      <c r="KNL467"/>
      <c r="KNM467"/>
      <c r="KNN467"/>
      <c r="KNO467"/>
      <c r="KNP467"/>
      <c r="KNQ467"/>
      <c r="KNR467"/>
      <c r="KNS467"/>
      <c r="KNT467"/>
      <c r="KNU467"/>
      <c r="KNV467"/>
      <c r="KNW467"/>
      <c r="KNX467"/>
      <c r="KNY467"/>
      <c r="KNZ467"/>
      <c r="KOA467"/>
      <c r="KOB467"/>
      <c r="KOC467"/>
      <c r="KOD467"/>
      <c r="KOE467"/>
      <c r="KOF467"/>
      <c r="KOG467"/>
      <c r="KOH467"/>
      <c r="KOI467"/>
      <c r="KOJ467"/>
      <c r="KOK467"/>
      <c r="KOL467"/>
      <c r="KOM467"/>
      <c r="KON467"/>
      <c r="KOO467"/>
      <c r="KOP467"/>
      <c r="KOQ467"/>
      <c r="KOR467"/>
      <c r="KOS467"/>
      <c r="KOT467"/>
      <c r="KOU467"/>
      <c r="KOV467"/>
      <c r="KOW467"/>
      <c r="KOX467"/>
      <c r="KOY467"/>
      <c r="KOZ467"/>
      <c r="KPA467"/>
      <c r="KPB467"/>
      <c r="KPC467"/>
      <c r="KPD467"/>
      <c r="KPE467"/>
      <c r="KPF467"/>
      <c r="KPG467"/>
      <c r="KPH467"/>
      <c r="KPI467"/>
      <c r="KPJ467"/>
      <c r="KPK467"/>
      <c r="KPL467"/>
      <c r="KPM467"/>
      <c r="KPN467"/>
      <c r="KPO467"/>
      <c r="KPP467"/>
      <c r="KPQ467"/>
      <c r="KPR467"/>
      <c r="KPS467"/>
      <c r="KPT467"/>
      <c r="KPU467"/>
      <c r="KPV467"/>
      <c r="KPW467"/>
      <c r="KPX467"/>
      <c r="KPY467"/>
      <c r="KPZ467"/>
      <c r="KQA467"/>
      <c r="KQB467"/>
      <c r="KQC467"/>
      <c r="KQD467"/>
      <c r="KQE467"/>
      <c r="KQF467"/>
      <c r="KQG467"/>
      <c r="KQH467"/>
      <c r="KQI467"/>
      <c r="KQJ467"/>
      <c r="KQK467"/>
      <c r="KQL467"/>
      <c r="KQM467"/>
      <c r="KQN467"/>
      <c r="KQO467"/>
      <c r="KQP467"/>
      <c r="KQQ467"/>
      <c r="KQR467"/>
      <c r="KQS467"/>
      <c r="KQT467"/>
      <c r="KQU467"/>
      <c r="KQV467"/>
      <c r="KQW467"/>
      <c r="KQX467"/>
      <c r="KQY467"/>
      <c r="KQZ467"/>
      <c r="KRA467"/>
      <c r="KRB467"/>
      <c r="KRC467"/>
      <c r="KRD467"/>
      <c r="KRE467"/>
      <c r="KRF467"/>
      <c r="KRG467"/>
      <c r="KRH467"/>
      <c r="KRI467"/>
      <c r="KRJ467"/>
      <c r="KRK467"/>
      <c r="KRL467"/>
      <c r="KRM467"/>
      <c r="KRN467"/>
      <c r="KRO467"/>
      <c r="KRP467"/>
      <c r="KRQ467"/>
      <c r="KRR467"/>
      <c r="KRS467"/>
      <c r="KRT467"/>
      <c r="KRU467"/>
      <c r="KRV467"/>
      <c r="KRW467"/>
      <c r="KRX467"/>
      <c r="KRY467"/>
      <c r="KRZ467"/>
      <c r="KSA467"/>
      <c r="KSB467"/>
      <c r="KSC467"/>
      <c r="KSD467"/>
      <c r="KSE467"/>
      <c r="KSF467"/>
      <c r="KSG467"/>
      <c r="KSH467"/>
      <c r="KSI467"/>
      <c r="KSJ467"/>
      <c r="KSK467"/>
      <c r="KSL467"/>
      <c r="KSM467"/>
      <c r="KSN467"/>
      <c r="KSO467"/>
      <c r="KSP467"/>
      <c r="KSQ467"/>
      <c r="KSR467"/>
      <c r="KSS467"/>
      <c r="KST467"/>
      <c r="KSU467"/>
      <c r="KSV467"/>
      <c r="KSW467"/>
      <c r="KSX467"/>
      <c r="KSY467"/>
      <c r="KSZ467"/>
      <c r="KTA467"/>
      <c r="KTB467"/>
      <c r="KTC467"/>
      <c r="KTD467"/>
      <c r="KTE467"/>
      <c r="KTF467"/>
      <c r="KTG467"/>
      <c r="KTH467"/>
      <c r="KTI467"/>
      <c r="KTJ467"/>
      <c r="KTK467"/>
      <c r="KTL467"/>
      <c r="KTM467"/>
      <c r="KTN467"/>
      <c r="KTO467"/>
      <c r="KTP467"/>
      <c r="KTQ467"/>
      <c r="KTR467"/>
      <c r="KTS467"/>
      <c r="KTT467"/>
      <c r="KTU467"/>
      <c r="KTV467"/>
      <c r="KTW467"/>
      <c r="KTX467"/>
      <c r="KTY467"/>
      <c r="KTZ467"/>
      <c r="KUA467"/>
      <c r="KUB467"/>
      <c r="KUC467"/>
      <c r="KUD467"/>
      <c r="KUE467"/>
      <c r="KUF467"/>
      <c r="KUG467"/>
      <c r="KUH467"/>
      <c r="KUI467"/>
      <c r="KUJ467"/>
      <c r="KUK467"/>
      <c r="KUL467"/>
      <c r="KUM467"/>
      <c r="KUN467"/>
      <c r="KUO467"/>
      <c r="KUP467"/>
      <c r="KUQ467"/>
      <c r="KUR467"/>
      <c r="KUS467"/>
      <c r="KUT467"/>
      <c r="KUU467"/>
      <c r="KUV467"/>
      <c r="KUW467"/>
      <c r="KUX467"/>
      <c r="KUY467"/>
      <c r="KUZ467"/>
      <c r="KVA467"/>
      <c r="KVB467"/>
      <c r="KVC467"/>
      <c r="KVD467"/>
      <c r="KVE467"/>
      <c r="KVF467"/>
      <c r="KVG467"/>
      <c r="KVH467"/>
      <c r="KVI467"/>
      <c r="KVJ467"/>
      <c r="KVK467"/>
      <c r="KVL467"/>
      <c r="KVM467"/>
      <c r="KVN467"/>
      <c r="KVO467"/>
      <c r="KVP467"/>
      <c r="KVQ467"/>
      <c r="KVR467"/>
      <c r="KVS467"/>
      <c r="KVT467"/>
      <c r="KVU467"/>
      <c r="KVV467"/>
      <c r="KVW467"/>
      <c r="KVX467"/>
      <c r="KVY467"/>
      <c r="KVZ467"/>
      <c r="KWA467"/>
      <c r="KWB467"/>
      <c r="KWC467"/>
      <c r="KWD467"/>
      <c r="KWE467"/>
      <c r="KWF467"/>
      <c r="KWG467"/>
      <c r="KWH467"/>
      <c r="KWI467"/>
      <c r="KWJ467"/>
      <c r="KWK467"/>
      <c r="KWL467"/>
      <c r="KWM467"/>
      <c r="KWN467"/>
      <c r="KWO467"/>
      <c r="KWP467"/>
      <c r="KWQ467"/>
      <c r="KWR467"/>
      <c r="KWS467"/>
      <c r="KWT467"/>
      <c r="KWU467"/>
      <c r="KWV467"/>
      <c r="KWW467"/>
      <c r="KWX467"/>
      <c r="KWY467"/>
      <c r="KWZ467"/>
      <c r="KXA467"/>
      <c r="KXB467"/>
      <c r="KXC467"/>
      <c r="KXD467"/>
      <c r="KXE467"/>
      <c r="KXF467"/>
      <c r="KXG467"/>
      <c r="KXH467"/>
      <c r="KXI467"/>
      <c r="KXJ467"/>
      <c r="KXK467"/>
      <c r="KXL467"/>
      <c r="KXM467"/>
      <c r="KXN467"/>
      <c r="KXO467"/>
      <c r="KXP467"/>
      <c r="KXQ467"/>
      <c r="KXR467"/>
      <c r="KXS467"/>
      <c r="KXT467"/>
      <c r="KXU467"/>
      <c r="KXV467"/>
      <c r="KXW467"/>
      <c r="KXX467"/>
      <c r="KXY467"/>
      <c r="KXZ467"/>
      <c r="KYA467"/>
      <c r="KYB467"/>
      <c r="KYC467"/>
      <c r="KYD467"/>
      <c r="KYE467"/>
      <c r="KYF467"/>
      <c r="KYG467"/>
      <c r="KYH467"/>
      <c r="KYI467"/>
      <c r="KYJ467"/>
      <c r="KYK467"/>
      <c r="KYL467"/>
      <c r="KYM467"/>
      <c r="KYN467"/>
      <c r="KYO467"/>
      <c r="KYP467"/>
      <c r="KYQ467"/>
      <c r="KYR467"/>
      <c r="KYS467"/>
      <c r="KYT467"/>
      <c r="KYU467"/>
      <c r="KYV467"/>
      <c r="KYW467"/>
      <c r="KYX467"/>
      <c r="KYY467"/>
      <c r="KYZ467"/>
      <c r="KZA467"/>
      <c r="KZB467"/>
      <c r="KZC467"/>
      <c r="KZD467"/>
      <c r="KZE467"/>
      <c r="KZF467"/>
      <c r="KZG467"/>
      <c r="KZH467"/>
      <c r="KZI467"/>
      <c r="KZJ467"/>
      <c r="KZK467"/>
      <c r="KZL467"/>
      <c r="KZM467"/>
      <c r="KZN467"/>
      <c r="KZO467"/>
      <c r="KZP467"/>
      <c r="KZQ467"/>
      <c r="KZR467"/>
      <c r="KZS467"/>
      <c r="KZT467"/>
      <c r="KZU467"/>
      <c r="KZV467"/>
      <c r="KZW467"/>
      <c r="KZX467"/>
      <c r="KZY467"/>
      <c r="KZZ467"/>
      <c r="LAA467"/>
      <c r="LAB467"/>
      <c r="LAC467"/>
      <c r="LAD467"/>
      <c r="LAE467"/>
      <c r="LAF467"/>
      <c r="LAG467"/>
      <c r="LAH467"/>
      <c r="LAI467"/>
      <c r="LAJ467"/>
      <c r="LAK467"/>
      <c r="LAL467"/>
      <c r="LAM467"/>
      <c r="LAN467"/>
      <c r="LAO467"/>
      <c r="LAP467"/>
      <c r="LAQ467"/>
      <c r="LAR467"/>
      <c r="LAS467"/>
      <c r="LAT467"/>
      <c r="LAU467"/>
      <c r="LAV467"/>
      <c r="LAW467"/>
      <c r="LAX467"/>
      <c r="LAY467"/>
      <c r="LAZ467"/>
      <c r="LBA467"/>
      <c r="LBB467"/>
      <c r="LBC467"/>
      <c r="LBD467"/>
      <c r="LBE467"/>
      <c r="LBF467"/>
      <c r="LBG467"/>
      <c r="LBH467"/>
      <c r="LBI467"/>
      <c r="LBJ467"/>
      <c r="LBK467"/>
      <c r="LBL467"/>
      <c r="LBM467"/>
      <c r="LBN467"/>
      <c r="LBO467"/>
      <c r="LBP467"/>
      <c r="LBQ467"/>
      <c r="LBR467"/>
      <c r="LBS467"/>
      <c r="LBT467"/>
      <c r="LBU467"/>
      <c r="LBV467"/>
      <c r="LBW467"/>
      <c r="LBX467"/>
      <c r="LBY467"/>
      <c r="LBZ467"/>
      <c r="LCA467"/>
      <c r="LCB467"/>
      <c r="LCC467"/>
      <c r="LCD467"/>
      <c r="LCE467"/>
      <c r="LCF467"/>
      <c r="LCG467"/>
      <c r="LCH467"/>
      <c r="LCI467"/>
      <c r="LCJ467"/>
      <c r="LCK467"/>
      <c r="LCL467"/>
      <c r="LCM467"/>
      <c r="LCN467"/>
      <c r="LCO467"/>
      <c r="LCP467"/>
      <c r="LCQ467"/>
      <c r="LCR467"/>
      <c r="LCS467"/>
      <c r="LCT467"/>
      <c r="LCU467"/>
      <c r="LCV467"/>
      <c r="LCW467"/>
      <c r="LCX467"/>
      <c r="LCY467"/>
      <c r="LCZ467"/>
      <c r="LDA467"/>
      <c r="LDB467"/>
      <c r="LDC467"/>
      <c r="LDD467"/>
      <c r="LDE467"/>
      <c r="LDF467"/>
      <c r="LDG467"/>
      <c r="LDH467"/>
      <c r="LDI467"/>
      <c r="LDJ467"/>
      <c r="LDK467"/>
      <c r="LDL467"/>
      <c r="LDM467"/>
      <c r="LDN467"/>
      <c r="LDO467"/>
      <c r="LDP467"/>
      <c r="LDQ467"/>
      <c r="LDR467"/>
      <c r="LDS467"/>
      <c r="LDT467"/>
      <c r="LDU467"/>
      <c r="LDV467"/>
      <c r="LDW467"/>
      <c r="LDX467"/>
      <c r="LDY467"/>
      <c r="LDZ467"/>
      <c r="LEA467"/>
      <c r="LEB467"/>
      <c r="LEC467"/>
      <c r="LED467"/>
      <c r="LEE467"/>
      <c r="LEF467"/>
      <c r="LEG467"/>
      <c r="LEH467"/>
      <c r="LEI467"/>
      <c r="LEJ467"/>
      <c r="LEK467"/>
      <c r="LEL467"/>
      <c r="LEM467"/>
      <c r="LEN467"/>
      <c r="LEO467"/>
      <c r="LEP467"/>
      <c r="LEQ467"/>
      <c r="LER467"/>
      <c r="LES467"/>
      <c r="LET467"/>
      <c r="LEU467"/>
      <c r="LEV467"/>
      <c r="LEW467"/>
      <c r="LEX467"/>
      <c r="LEY467"/>
      <c r="LEZ467"/>
      <c r="LFA467"/>
      <c r="LFB467"/>
      <c r="LFC467"/>
      <c r="LFD467"/>
      <c r="LFE467"/>
      <c r="LFF467"/>
      <c r="LFG467"/>
      <c r="LFH467"/>
      <c r="LFI467"/>
      <c r="LFJ467"/>
      <c r="LFK467"/>
      <c r="LFL467"/>
      <c r="LFM467"/>
      <c r="LFN467"/>
      <c r="LFO467"/>
      <c r="LFP467"/>
      <c r="LFQ467"/>
      <c r="LFR467"/>
      <c r="LFS467"/>
      <c r="LFT467"/>
      <c r="LFU467"/>
      <c r="LFV467"/>
      <c r="LFW467"/>
      <c r="LFX467"/>
      <c r="LFY467"/>
      <c r="LFZ467"/>
      <c r="LGA467"/>
      <c r="LGB467"/>
      <c r="LGC467"/>
      <c r="LGD467"/>
      <c r="LGE467"/>
      <c r="LGF467"/>
      <c r="LGG467"/>
      <c r="LGH467"/>
      <c r="LGI467"/>
      <c r="LGJ467"/>
      <c r="LGK467"/>
      <c r="LGL467"/>
      <c r="LGM467"/>
      <c r="LGN467"/>
      <c r="LGO467"/>
      <c r="LGP467"/>
      <c r="LGQ467"/>
      <c r="LGR467"/>
      <c r="LGS467"/>
      <c r="LGT467"/>
      <c r="LGU467"/>
      <c r="LGV467"/>
      <c r="LGW467"/>
      <c r="LGX467"/>
      <c r="LGY467"/>
      <c r="LGZ467"/>
      <c r="LHA467"/>
      <c r="LHB467"/>
      <c r="LHC467"/>
      <c r="LHD467"/>
      <c r="LHE467"/>
      <c r="LHF467"/>
      <c r="LHG467"/>
      <c r="LHH467"/>
      <c r="LHI467"/>
      <c r="LHJ467"/>
      <c r="LHK467"/>
      <c r="LHL467"/>
      <c r="LHM467"/>
      <c r="LHN467"/>
      <c r="LHO467"/>
      <c r="LHP467"/>
      <c r="LHQ467"/>
      <c r="LHR467"/>
      <c r="LHS467"/>
      <c r="LHT467"/>
      <c r="LHU467"/>
      <c r="LHV467"/>
      <c r="LHW467"/>
      <c r="LHX467"/>
      <c r="LHY467"/>
      <c r="LHZ467"/>
      <c r="LIA467"/>
      <c r="LIB467"/>
      <c r="LIC467"/>
      <c r="LID467"/>
      <c r="LIE467"/>
      <c r="LIF467"/>
      <c r="LIG467"/>
      <c r="LIH467"/>
      <c r="LII467"/>
      <c r="LIJ467"/>
      <c r="LIK467"/>
      <c r="LIL467"/>
      <c r="LIM467"/>
      <c r="LIN467"/>
      <c r="LIO467"/>
      <c r="LIP467"/>
      <c r="LIQ467"/>
      <c r="LIR467"/>
      <c r="LIS467"/>
      <c r="LIT467"/>
      <c r="LIU467"/>
      <c r="LIV467"/>
      <c r="LIW467"/>
      <c r="LIX467"/>
      <c r="LIY467"/>
      <c r="LIZ467"/>
      <c r="LJA467"/>
      <c r="LJB467"/>
      <c r="LJC467"/>
      <c r="LJD467"/>
      <c r="LJE467"/>
      <c r="LJF467"/>
      <c r="LJG467"/>
      <c r="LJH467"/>
      <c r="LJI467"/>
      <c r="LJJ467"/>
      <c r="LJK467"/>
      <c r="LJL467"/>
      <c r="LJM467"/>
      <c r="LJN467"/>
      <c r="LJO467"/>
      <c r="LJP467"/>
      <c r="LJQ467"/>
      <c r="LJR467"/>
      <c r="LJS467"/>
      <c r="LJT467"/>
      <c r="LJU467"/>
      <c r="LJV467"/>
      <c r="LJW467"/>
      <c r="LJX467"/>
      <c r="LJY467"/>
      <c r="LJZ467"/>
      <c r="LKA467"/>
      <c r="LKB467"/>
      <c r="LKC467"/>
      <c r="LKD467"/>
      <c r="LKE467"/>
      <c r="LKF467"/>
      <c r="LKG467"/>
      <c r="LKH467"/>
      <c r="LKI467"/>
      <c r="LKJ467"/>
      <c r="LKK467"/>
      <c r="LKL467"/>
      <c r="LKM467"/>
      <c r="LKN467"/>
      <c r="LKO467"/>
      <c r="LKP467"/>
      <c r="LKQ467"/>
      <c r="LKR467"/>
      <c r="LKS467"/>
      <c r="LKT467"/>
      <c r="LKU467"/>
      <c r="LKV467"/>
      <c r="LKW467"/>
      <c r="LKX467"/>
      <c r="LKY467"/>
      <c r="LKZ467"/>
      <c r="LLA467"/>
      <c r="LLB467"/>
      <c r="LLC467"/>
      <c r="LLD467"/>
      <c r="LLE467"/>
      <c r="LLF467"/>
      <c r="LLG467"/>
      <c r="LLH467"/>
      <c r="LLI467"/>
      <c r="LLJ467"/>
      <c r="LLK467"/>
      <c r="LLL467"/>
      <c r="LLM467"/>
      <c r="LLN467"/>
      <c r="LLO467"/>
      <c r="LLP467"/>
      <c r="LLQ467"/>
      <c r="LLR467"/>
      <c r="LLS467"/>
      <c r="LLT467"/>
      <c r="LLU467"/>
      <c r="LLV467"/>
      <c r="LLW467"/>
      <c r="LLX467"/>
      <c r="LLY467"/>
      <c r="LLZ467"/>
      <c r="LMA467"/>
      <c r="LMB467"/>
      <c r="LMC467"/>
      <c r="LMD467"/>
      <c r="LME467"/>
      <c r="LMF467"/>
      <c r="LMG467"/>
      <c r="LMH467"/>
      <c r="LMI467"/>
      <c r="LMJ467"/>
      <c r="LMK467"/>
      <c r="LML467"/>
      <c r="LMM467"/>
      <c r="LMN467"/>
      <c r="LMO467"/>
      <c r="LMP467"/>
      <c r="LMQ467"/>
      <c r="LMR467"/>
      <c r="LMS467"/>
      <c r="LMT467"/>
      <c r="LMU467"/>
      <c r="LMV467"/>
      <c r="LMW467"/>
      <c r="LMX467"/>
      <c r="LMY467"/>
      <c r="LMZ467"/>
      <c r="LNA467"/>
      <c r="LNB467"/>
      <c r="LNC467"/>
      <c r="LND467"/>
      <c r="LNE467"/>
      <c r="LNF467"/>
      <c r="LNG467"/>
      <c r="LNH467"/>
      <c r="LNI467"/>
      <c r="LNJ467"/>
      <c r="LNK467"/>
      <c r="LNL467"/>
      <c r="LNM467"/>
      <c r="LNN467"/>
      <c r="LNO467"/>
      <c r="LNP467"/>
      <c r="LNQ467"/>
      <c r="LNR467"/>
      <c r="LNS467"/>
      <c r="LNT467"/>
      <c r="LNU467"/>
      <c r="LNV467"/>
      <c r="LNW467"/>
      <c r="LNX467"/>
      <c r="LNY467"/>
      <c r="LNZ467"/>
      <c r="LOA467"/>
      <c r="LOB467"/>
      <c r="LOC467"/>
      <c r="LOD467"/>
      <c r="LOE467"/>
      <c r="LOF467"/>
      <c r="LOG467"/>
      <c r="LOH467"/>
      <c r="LOI467"/>
      <c r="LOJ467"/>
      <c r="LOK467"/>
      <c r="LOL467"/>
      <c r="LOM467"/>
      <c r="LON467"/>
      <c r="LOO467"/>
      <c r="LOP467"/>
      <c r="LOQ467"/>
      <c r="LOR467"/>
      <c r="LOS467"/>
      <c r="LOT467"/>
      <c r="LOU467"/>
      <c r="LOV467"/>
      <c r="LOW467"/>
      <c r="LOX467"/>
      <c r="LOY467"/>
      <c r="LOZ467"/>
      <c r="LPA467"/>
      <c r="LPB467"/>
      <c r="LPC467"/>
      <c r="LPD467"/>
      <c r="LPE467"/>
      <c r="LPF467"/>
      <c r="LPG467"/>
      <c r="LPH467"/>
      <c r="LPI467"/>
      <c r="LPJ467"/>
      <c r="LPK467"/>
      <c r="LPL467"/>
      <c r="LPM467"/>
      <c r="LPN467"/>
      <c r="LPO467"/>
      <c r="LPP467"/>
      <c r="LPQ467"/>
      <c r="LPR467"/>
      <c r="LPS467"/>
      <c r="LPT467"/>
      <c r="LPU467"/>
      <c r="LPV467"/>
      <c r="LPW467"/>
      <c r="LPX467"/>
      <c r="LPY467"/>
      <c r="LPZ467"/>
      <c r="LQA467"/>
      <c r="LQB467"/>
      <c r="LQC467"/>
      <c r="LQD467"/>
      <c r="LQE467"/>
      <c r="LQF467"/>
      <c r="LQG467"/>
      <c r="LQH467"/>
      <c r="LQI467"/>
      <c r="LQJ467"/>
      <c r="LQK467"/>
      <c r="LQL467"/>
      <c r="LQM467"/>
      <c r="LQN467"/>
      <c r="LQO467"/>
      <c r="LQP467"/>
      <c r="LQQ467"/>
      <c r="LQR467"/>
      <c r="LQS467"/>
      <c r="LQT467"/>
      <c r="LQU467"/>
      <c r="LQV467"/>
      <c r="LQW467"/>
      <c r="LQX467"/>
      <c r="LQY467"/>
      <c r="LQZ467"/>
      <c r="LRA467"/>
      <c r="LRB467"/>
      <c r="LRC467"/>
      <c r="LRD467"/>
      <c r="LRE467"/>
      <c r="LRF467"/>
      <c r="LRG467"/>
      <c r="LRH467"/>
      <c r="LRI467"/>
      <c r="LRJ467"/>
      <c r="LRK467"/>
      <c r="LRL467"/>
      <c r="LRM467"/>
      <c r="LRN467"/>
      <c r="LRO467"/>
      <c r="LRP467"/>
      <c r="LRQ467"/>
      <c r="LRR467"/>
      <c r="LRS467"/>
      <c r="LRT467"/>
      <c r="LRU467"/>
      <c r="LRV467"/>
      <c r="LRW467"/>
      <c r="LRX467"/>
      <c r="LRY467"/>
      <c r="LRZ467"/>
      <c r="LSA467"/>
      <c r="LSB467"/>
      <c r="LSC467"/>
      <c r="LSD467"/>
      <c r="LSE467"/>
      <c r="LSF467"/>
      <c r="LSG467"/>
      <c r="LSH467"/>
      <c r="LSI467"/>
      <c r="LSJ467"/>
      <c r="LSK467"/>
      <c r="LSL467"/>
      <c r="LSM467"/>
      <c r="LSN467"/>
      <c r="LSO467"/>
      <c r="LSP467"/>
      <c r="LSQ467"/>
      <c r="LSR467"/>
      <c r="LSS467"/>
      <c r="LST467"/>
      <c r="LSU467"/>
      <c r="LSV467"/>
      <c r="LSW467"/>
      <c r="LSX467"/>
      <c r="LSY467"/>
      <c r="LSZ467"/>
      <c r="LTA467"/>
      <c r="LTB467"/>
      <c r="LTC467"/>
      <c r="LTD467"/>
      <c r="LTE467"/>
      <c r="LTF467"/>
      <c r="LTG467"/>
      <c r="LTH467"/>
      <c r="LTI467"/>
      <c r="LTJ467"/>
      <c r="LTK467"/>
      <c r="LTL467"/>
      <c r="LTM467"/>
      <c r="LTN467"/>
      <c r="LTO467"/>
      <c r="LTP467"/>
      <c r="LTQ467"/>
      <c r="LTR467"/>
      <c r="LTS467"/>
      <c r="LTT467"/>
      <c r="LTU467"/>
      <c r="LTV467"/>
      <c r="LTW467"/>
      <c r="LTX467"/>
      <c r="LTY467"/>
      <c r="LTZ467"/>
      <c r="LUA467"/>
      <c r="LUB467"/>
      <c r="LUC467"/>
      <c r="LUD467"/>
      <c r="LUE467"/>
      <c r="LUF467"/>
      <c r="LUG467"/>
      <c r="LUH467"/>
      <c r="LUI467"/>
      <c r="LUJ467"/>
      <c r="LUK467"/>
      <c r="LUL467"/>
      <c r="LUM467"/>
      <c r="LUN467"/>
      <c r="LUO467"/>
      <c r="LUP467"/>
      <c r="LUQ467"/>
      <c r="LUR467"/>
      <c r="LUS467"/>
      <c r="LUT467"/>
      <c r="LUU467"/>
      <c r="LUV467"/>
      <c r="LUW467"/>
      <c r="LUX467"/>
      <c r="LUY467"/>
      <c r="LUZ467"/>
      <c r="LVA467"/>
      <c r="LVB467"/>
      <c r="LVC467"/>
      <c r="LVD467"/>
      <c r="LVE467"/>
      <c r="LVF467"/>
      <c r="LVG467"/>
      <c r="LVH467"/>
      <c r="LVI467"/>
      <c r="LVJ467"/>
      <c r="LVK467"/>
      <c r="LVL467"/>
      <c r="LVM467"/>
      <c r="LVN467"/>
      <c r="LVO467"/>
      <c r="LVP467"/>
      <c r="LVQ467"/>
      <c r="LVR467"/>
      <c r="LVS467"/>
      <c r="LVT467"/>
      <c r="LVU467"/>
      <c r="LVV467"/>
      <c r="LVW467"/>
      <c r="LVX467"/>
      <c r="LVY467"/>
      <c r="LVZ467"/>
      <c r="LWA467"/>
      <c r="LWB467"/>
      <c r="LWC467"/>
      <c r="LWD467"/>
      <c r="LWE467"/>
      <c r="LWF467"/>
      <c r="LWG467"/>
      <c r="LWH467"/>
      <c r="LWI467"/>
      <c r="LWJ467"/>
      <c r="LWK467"/>
      <c r="LWL467"/>
      <c r="LWM467"/>
      <c r="LWN467"/>
      <c r="LWO467"/>
      <c r="LWP467"/>
      <c r="LWQ467"/>
      <c r="LWR467"/>
      <c r="LWS467"/>
      <c r="LWT467"/>
      <c r="LWU467"/>
      <c r="LWV467"/>
      <c r="LWW467"/>
      <c r="LWX467"/>
      <c r="LWY467"/>
      <c r="LWZ467"/>
      <c r="LXA467"/>
      <c r="LXB467"/>
      <c r="LXC467"/>
      <c r="LXD467"/>
      <c r="LXE467"/>
      <c r="LXF467"/>
      <c r="LXG467"/>
      <c r="LXH467"/>
      <c r="LXI467"/>
      <c r="LXJ467"/>
      <c r="LXK467"/>
      <c r="LXL467"/>
      <c r="LXM467"/>
      <c r="LXN467"/>
      <c r="LXO467"/>
      <c r="LXP467"/>
      <c r="LXQ467"/>
      <c r="LXR467"/>
      <c r="LXS467"/>
      <c r="LXT467"/>
      <c r="LXU467"/>
      <c r="LXV467"/>
      <c r="LXW467"/>
      <c r="LXX467"/>
      <c r="LXY467"/>
      <c r="LXZ467"/>
      <c r="LYA467"/>
      <c r="LYB467"/>
      <c r="LYC467"/>
      <c r="LYD467"/>
      <c r="LYE467"/>
      <c r="LYF467"/>
      <c r="LYG467"/>
      <c r="LYH467"/>
      <c r="LYI467"/>
      <c r="LYJ467"/>
      <c r="LYK467"/>
      <c r="LYL467"/>
      <c r="LYM467"/>
      <c r="LYN467"/>
      <c r="LYO467"/>
      <c r="LYP467"/>
      <c r="LYQ467"/>
      <c r="LYR467"/>
      <c r="LYS467"/>
      <c r="LYT467"/>
      <c r="LYU467"/>
      <c r="LYV467"/>
      <c r="LYW467"/>
      <c r="LYX467"/>
      <c r="LYY467"/>
      <c r="LYZ467"/>
      <c r="LZA467"/>
      <c r="LZB467"/>
      <c r="LZC467"/>
      <c r="LZD467"/>
      <c r="LZE467"/>
      <c r="LZF467"/>
      <c r="LZG467"/>
      <c r="LZH467"/>
      <c r="LZI467"/>
      <c r="LZJ467"/>
      <c r="LZK467"/>
      <c r="LZL467"/>
      <c r="LZM467"/>
      <c r="LZN467"/>
      <c r="LZO467"/>
      <c r="LZP467"/>
      <c r="LZQ467"/>
      <c r="LZR467"/>
      <c r="LZS467"/>
      <c r="LZT467"/>
      <c r="LZU467"/>
      <c r="LZV467"/>
      <c r="LZW467"/>
      <c r="LZX467"/>
      <c r="LZY467"/>
      <c r="LZZ467"/>
      <c r="MAA467"/>
      <c r="MAB467"/>
      <c r="MAC467"/>
      <c r="MAD467"/>
      <c r="MAE467"/>
      <c r="MAF467"/>
      <c r="MAG467"/>
      <c r="MAH467"/>
      <c r="MAI467"/>
      <c r="MAJ467"/>
      <c r="MAK467"/>
      <c r="MAL467"/>
      <c r="MAM467"/>
      <c r="MAN467"/>
      <c r="MAO467"/>
      <c r="MAP467"/>
      <c r="MAQ467"/>
      <c r="MAR467"/>
      <c r="MAS467"/>
      <c r="MAT467"/>
      <c r="MAU467"/>
      <c r="MAV467"/>
      <c r="MAW467"/>
      <c r="MAX467"/>
      <c r="MAY467"/>
      <c r="MAZ467"/>
      <c r="MBA467"/>
      <c r="MBB467"/>
      <c r="MBC467"/>
      <c r="MBD467"/>
      <c r="MBE467"/>
      <c r="MBF467"/>
      <c r="MBG467"/>
      <c r="MBH467"/>
      <c r="MBI467"/>
      <c r="MBJ467"/>
      <c r="MBK467"/>
      <c r="MBL467"/>
      <c r="MBM467"/>
      <c r="MBN467"/>
      <c r="MBO467"/>
      <c r="MBP467"/>
      <c r="MBQ467"/>
      <c r="MBR467"/>
      <c r="MBS467"/>
      <c r="MBT467"/>
      <c r="MBU467"/>
      <c r="MBV467"/>
      <c r="MBW467"/>
      <c r="MBX467"/>
      <c r="MBY467"/>
      <c r="MBZ467"/>
      <c r="MCA467"/>
      <c r="MCB467"/>
      <c r="MCC467"/>
      <c r="MCD467"/>
      <c r="MCE467"/>
      <c r="MCF467"/>
      <c r="MCG467"/>
      <c r="MCH467"/>
      <c r="MCI467"/>
      <c r="MCJ467"/>
      <c r="MCK467"/>
      <c r="MCL467"/>
      <c r="MCM467"/>
      <c r="MCN467"/>
      <c r="MCO467"/>
      <c r="MCP467"/>
      <c r="MCQ467"/>
      <c r="MCR467"/>
      <c r="MCS467"/>
      <c r="MCT467"/>
      <c r="MCU467"/>
      <c r="MCV467"/>
      <c r="MCW467"/>
      <c r="MCX467"/>
      <c r="MCY467"/>
      <c r="MCZ467"/>
      <c r="MDA467"/>
      <c r="MDB467"/>
      <c r="MDC467"/>
      <c r="MDD467"/>
      <c r="MDE467"/>
      <c r="MDF467"/>
      <c r="MDG467"/>
      <c r="MDH467"/>
      <c r="MDI467"/>
      <c r="MDJ467"/>
      <c r="MDK467"/>
      <c r="MDL467"/>
      <c r="MDM467"/>
      <c r="MDN467"/>
      <c r="MDO467"/>
      <c r="MDP467"/>
      <c r="MDQ467"/>
      <c r="MDR467"/>
      <c r="MDS467"/>
      <c r="MDT467"/>
      <c r="MDU467"/>
      <c r="MDV467"/>
      <c r="MDW467"/>
      <c r="MDX467"/>
      <c r="MDY467"/>
      <c r="MDZ467"/>
      <c r="MEA467"/>
      <c r="MEB467"/>
      <c r="MEC467"/>
      <c r="MED467"/>
      <c r="MEE467"/>
      <c r="MEF467"/>
      <c r="MEG467"/>
      <c r="MEH467"/>
      <c r="MEI467"/>
      <c r="MEJ467"/>
      <c r="MEK467"/>
      <c r="MEL467"/>
      <c r="MEM467"/>
      <c r="MEN467"/>
      <c r="MEO467"/>
      <c r="MEP467"/>
      <c r="MEQ467"/>
      <c r="MER467"/>
      <c r="MES467"/>
      <c r="MET467"/>
      <c r="MEU467"/>
      <c r="MEV467"/>
      <c r="MEW467"/>
      <c r="MEX467"/>
      <c r="MEY467"/>
      <c r="MEZ467"/>
      <c r="MFA467"/>
      <c r="MFB467"/>
      <c r="MFC467"/>
      <c r="MFD467"/>
      <c r="MFE467"/>
      <c r="MFF467"/>
      <c r="MFG467"/>
      <c r="MFH467"/>
      <c r="MFI467"/>
      <c r="MFJ467"/>
      <c r="MFK467"/>
      <c r="MFL467"/>
      <c r="MFM467"/>
      <c r="MFN467"/>
      <c r="MFO467"/>
      <c r="MFP467"/>
      <c r="MFQ467"/>
      <c r="MFR467"/>
      <c r="MFS467"/>
      <c r="MFT467"/>
      <c r="MFU467"/>
      <c r="MFV467"/>
      <c r="MFW467"/>
      <c r="MFX467"/>
      <c r="MFY467"/>
      <c r="MFZ467"/>
      <c r="MGA467"/>
      <c r="MGB467"/>
      <c r="MGC467"/>
      <c r="MGD467"/>
      <c r="MGE467"/>
      <c r="MGF467"/>
      <c r="MGG467"/>
      <c r="MGH467"/>
      <c r="MGI467"/>
      <c r="MGJ467"/>
      <c r="MGK467"/>
      <c r="MGL467"/>
      <c r="MGM467"/>
      <c r="MGN467"/>
      <c r="MGO467"/>
      <c r="MGP467"/>
      <c r="MGQ467"/>
      <c r="MGR467"/>
      <c r="MGS467"/>
      <c r="MGT467"/>
      <c r="MGU467"/>
      <c r="MGV467"/>
      <c r="MGW467"/>
      <c r="MGX467"/>
      <c r="MGY467"/>
      <c r="MGZ467"/>
      <c r="MHA467"/>
      <c r="MHB467"/>
      <c r="MHC467"/>
      <c r="MHD467"/>
      <c r="MHE467"/>
      <c r="MHF467"/>
      <c r="MHG467"/>
      <c r="MHH467"/>
      <c r="MHI467"/>
      <c r="MHJ467"/>
      <c r="MHK467"/>
      <c r="MHL467"/>
      <c r="MHM467"/>
      <c r="MHN467"/>
      <c r="MHO467"/>
      <c r="MHP467"/>
      <c r="MHQ467"/>
      <c r="MHR467"/>
      <c r="MHS467"/>
      <c r="MHT467"/>
      <c r="MHU467"/>
      <c r="MHV467"/>
      <c r="MHW467"/>
      <c r="MHX467"/>
      <c r="MHY467"/>
      <c r="MHZ467"/>
      <c r="MIA467"/>
      <c r="MIB467"/>
      <c r="MIC467"/>
      <c r="MID467"/>
      <c r="MIE467"/>
      <c r="MIF467"/>
      <c r="MIG467"/>
      <c r="MIH467"/>
      <c r="MII467"/>
      <c r="MIJ467"/>
      <c r="MIK467"/>
      <c r="MIL467"/>
      <c r="MIM467"/>
      <c r="MIN467"/>
      <c r="MIO467"/>
      <c r="MIP467"/>
      <c r="MIQ467"/>
      <c r="MIR467"/>
      <c r="MIS467"/>
      <c r="MIT467"/>
      <c r="MIU467"/>
      <c r="MIV467"/>
      <c r="MIW467"/>
      <c r="MIX467"/>
      <c r="MIY467"/>
      <c r="MIZ467"/>
      <c r="MJA467"/>
      <c r="MJB467"/>
      <c r="MJC467"/>
      <c r="MJD467"/>
      <c r="MJE467"/>
      <c r="MJF467"/>
      <c r="MJG467"/>
      <c r="MJH467"/>
      <c r="MJI467"/>
      <c r="MJJ467"/>
      <c r="MJK467"/>
      <c r="MJL467"/>
      <c r="MJM467"/>
      <c r="MJN467"/>
      <c r="MJO467"/>
      <c r="MJP467"/>
      <c r="MJQ467"/>
      <c r="MJR467"/>
      <c r="MJS467"/>
      <c r="MJT467"/>
      <c r="MJU467"/>
      <c r="MJV467"/>
      <c r="MJW467"/>
      <c r="MJX467"/>
      <c r="MJY467"/>
      <c r="MJZ467"/>
      <c r="MKA467"/>
      <c r="MKB467"/>
      <c r="MKC467"/>
      <c r="MKD467"/>
      <c r="MKE467"/>
      <c r="MKF467"/>
      <c r="MKG467"/>
      <c r="MKH467"/>
      <c r="MKI467"/>
      <c r="MKJ467"/>
      <c r="MKK467"/>
      <c r="MKL467"/>
      <c r="MKM467"/>
      <c r="MKN467"/>
      <c r="MKO467"/>
      <c r="MKP467"/>
      <c r="MKQ467"/>
      <c r="MKR467"/>
      <c r="MKS467"/>
      <c r="MKT467"/>
      <c r="MKU467"/>
      <c r="MKV467"/>
      <c r="MKW467"/>
      <c r="MKX467"/>
      <c r="MKY467"/>
      <c r="MKZ467"/>
      <c r="MLA467"/>
      <c r="MLB467"/>
      <c r="MLC467"/>
      <c r="MLD467"/>
      <c r="MLE467"/>
      <c r="MLF467"/>
      <c r="MLG467"/>
      <c r="MLH467"/>
      <c r="MLI467"/>
      <c r="MLJ467"/>
      <c r="MLK467"/>
      <c r="MLL467"/>
      <c r="MLM467"/>
      <c r="MLN467"/>
      <c r="MLO467"/>
      <c r="MLP467"/>
      <c r="MLQ467"/>
      <c r="MLR467"/>
      <c r="MLS467"/>
      <c r="MLT467"/>
      <c r="MLU467"/>
      <c r="MLV467"/>
      <c r="MLW467"/>
      <c r="MLX467"/>
      <c r="MLY467"/>
      <c r="MLZ467"/>
      <c r="MMA467"/>
      <c r="MMB467"/>
      <c r="MMC467"/>
      <c r="MMD467"/>
      <c r="MME467"/>
      <c r="MMF467"/>
      <c r="MMG467"/>
      <c r="MMH467"/>
      <c r="MMI467"/>
      <c r="MMJ467"/>
      <c r="MMK467"/>
      <c r="MML467"/>
      <c r="MMM467"/>
      <c r="MMN467"/>
      <c r="MMO467"/>
      <c r="MMP467"/>
      <c r="MMQ467"/>
      <c r="MMR467"/>
      <c r="MMS467"/>
      <c r="MMT467"/>
      <c r="MMU467"/>
      <c r="MMV467"/>
      <c r="MMW467"/>
      <c r="MMX467"/>
      <c r="MMY467"/>
      <c r="MMZ467"/>
      <c r="MNA467"/>
      <c r="MNB467"/>
      <c r="MNC467"/>
      <c r="MND467"/>
      <c r="MNE467"/>
      <c r="MNF467"/>
      <c r="MNG467"/>
      <c r="MNH467"/>
      <c r="MNI467"/>
      <c r="MNJ467"/>
      <c r="MNK467"/>
      <c r="MNL467"/>
      <c r="MNM467"/>
      <c r="MNN467"/>
      <c r="MNO467"/>
      <c r="MNP467"/>
      <c r="MNQ467"/>
      <c r="MNR467"/>
      <c r="MNS467"/>
      <c r="MNT467"/>
      <c r="MNU467"/>
      <c r="MNV467"/>
      <c r="MNW467"/>
      <c r="MNX467"/>
      <c r="MNY467"/>
      <c r="MNZ467"/>
      <c r="MOA467"/>
      <c r="MOB467"/>
      <c r="MOC467"/>
      <c r="MOD467"/>
      <c r="MOE467"/>
      <c r="MOF467"/>
      <c r="MOG467"/>
      <c r="MOH467"/>
      <c r="MOI467"/>
      <c r="MOJ467"/>
      <c r="MOK467"/>
      <c r="MOL467"/>
      <c r="MOM467"/>
      <c r="MON467"/>
      <c r="MOO467"/>
      <c r="MOP467"/>
      <c r="MOQ467"/>
      <c r="MOR467"/>
      <c r="MOS467"/>
      <c r="MOT467"/>
      <c r="MOU467"/>
      <c r="MOV467"/>
      <c r="MOW467"/>
      <c r="MOX467"/>
      <c r="MOY467"/>
      <c r="MOZ467"/>
      <c r="MPA467"/>
      <c r="MPB467"/>
      <c r="MPC467"/>
      <c r="MPD467"/>
      <c r="MPE467"/>
      <c r="MPF467"/>
      <c r="MPG467"/>
      <c r="MPH467"/>
      <c r="MPI467"/>
      <c r="MPJ467"/>
      <c r="MPK467"/>
      <c r="MPL467"/>
      <c r="MPM467"/>
      <c r="MPN467"/>
      <c r="MPO467"/>
      <c r="MPP467"/>
      <c r="MPQ467"/>
      <c r="MPR467"/>
      <c r="MPS467"/>
      <c r="MPT467"/>
      <c r="MPU467"/>
      <c r="MPV467"/>
      <c r="MPW467"/>
      <c r="MPX467"/>
      <c r="MPY467"/>
      <c r="MPZ467"/>
      <c r="MQA467"/>
      <c r="MQB467"/>
      <c r="MQC467"/>
      <c r="MQD467"/>
      <c r="MQE467"/>
      <c r="MQF467"/>
      <c r="MQG467"/>
      <c r="MQH467"/>
      <c r="MQI467"/>
      <c r="MQJ467"/>
      <c r="MQK467"/>
      <c r="MQL467"/>
      <c r="MQM467"/>
      <c r="MQN467"/>
      <c r="MQO467"/>
      <c r="MQP467"/>
      <c r="MQQ467"/>
      <c r="MQR467"/>
      <c r="MQS467"/>
      <c r="MQT467"/>
      <c r="MQU467"/>
      <c r="MQV467"/>
      <c r="MQW467"/>
      <c r="MQX467"/>
      <c r="MQY467"/>
      <c r="MQZ467"/>
      <c r="MRA467"/>
      <c r="MRB467"/>
      <c r="MRC467"/>
      <c r="MRD467"/>
      <c r="MRE467"/>
      <c r="MRF467"/>
      <c r="MRG467"/>
      <c r="MRH467"/>
      <c r="MRI467"/>
      <c r="MRJ467"/>
      <c r="MRK467"/>
      <c r="MRL467"/>
      <c r="MRM467"/>
      <c r="MRN467"/>
      <c r="MRO467"/>
      <c r="MRP467"/>
      <c r="MRQ467"/>
      <c r="MRR467"/>
      <c r="MRS467"/>
      <c r="MRT467"/>
      <c r="MRU467"/>
      <c r="MRV467"/>
      <c r="MRW467"/>
      <c r="MRX467"/>
      <c r="MRY467"/>
      <c r="MRZ467"/>
      <c r="MSA467"/>
      <c r="MSB467"/>
      <c r="MSC467"/>
      <c r="MSD467"/>
      <c r="MSE467"/>
      <c r="MSF467"/>
      <c r="MSG467"/>
      <c r="MSH467"/>
      <c r="MSI467"/>
      <c r="MSJ467"/>
      <c r="MSK467"/>
      <c r="MSL467"/>
      <c r="MSM467"/>
      <c r="MSN467"/>
      <c r="MSO467"/>
      <c r="MSP467"/>
      <c r="MSQ467"/>
      <c r="MSR467"/>
      <c r="MSS467"/>
      <c r="MST467"/>
      <c r="MSU467"/>
      <c r="MSV467"/>
      <c r="MSW467"/>
      <c r="MSX467"/>
      <c r="MSY467"/>
      <c r="MSZ467"/>
      <c r="MTA467"/>
      <c r="MTB467"/>
      <c r="MTC467"/>
      <c r="MTD467"/>
      <c r="MTE467"/>
      <c r="MTF467"/>
      <c r="MTG467"/>
      <c r="MTH467"/>
      <c r="MTI467"/>
      <c r="MTJ467"/>
      <c r="MTK467"/>
      <c r="MTL467"/>
      <c r="MTM467"/>
      <c r="MTN467"/>
      <c r="MTO467"/>
      <c r="MTP467"/>
      <c r="MTQ467"/>
      <c r="MTR467"/>
      <c r="MTS467"/>
      <c r="MTT467"/>
      <c r="MTU467"/>
      <c r="MTV467"/>
      <c r="MTW467"/>
      <c r="MTX467"/>
      <c r="MTY467"/>
      <c r="MTZ467"/>
      <c r="MUA467"/>
      <c r="MUB467"/>
      <c r="MUC467"/>
      <c r="MUD467"/>
      <c r="MUE467"/>
      <c r="MUF467"/>
      <c r="MUG467"/>
      <c r="MUH467"/>
      <c r="MUI467"/>
      <c r="MUJ467"/>
      <c r="MUK467"/>
      <c r="MUL467"/>
      <c r="MUM467"/>
      <c r="MUN467"/>
      <c r="MUO467"/>
      <c r="MUP467"/>
      <c r="MUQ467"/>
      <c r="MUR467"/>
      <c r="MUS467"/>
      <c r="MUT467"/>
      <c r="MUU467"/>
      <c r="MUV467"/>
      <c r="MUW467"/>
      <c r="MUX467"/>
      <c r="MUY467"/>
      <c r="MUZ467"/>
      <c r="MVA467"/>
      <c r="MVB467"/>
      <c r="MVC467"/>
      <c r="MVD467"/>
      <c r="MVE467"/>
      <c r="MVF467"/>
      <c r="MVG467"/>
      <c r="MVH467"/>
      <c r="MVI467"/>
      <c r="MVJ467"/>
      <c r="MVK467"/>
      <c r="MVL467"/>
      <c r="MVM467"/>
      <c r="MVN467"/>
      <c r="MVO467"/>
      <c r="MVP467"/>
      <c r="MVQ467"/>
      <c r="MVR467"/>
      <c r="MVS467"/>
      <c r="MVT467"/>
      <c r="MVU467"/>
      <c r="MVV467"/>
      <c r="MVW467"/>
      <c r="MVX467"/>
      <c r="MVY467"/>
      <c r="MVZ467"/>
      <c r="MWA467"/>
      <c r="MWB467"/>
      <c r="MWC467"/>
      <c r="MWD467"/>
      <c r="MWE467"/>
      <c r="MWF467"/>
      <c r="MWG467"/>
      <c r="MWH467"/>
      <c r="MWI467"/>
      <c r="MWJ467"/>
      <c r="MWK467"/>
      <c r="MWL467"/>
      <c r="MWM467"/>
      <c r="MWN467"/>
      <c r="MWO467"/>
      <c r="MWP467"/>
      <c r="MWQ467"/>
      <c r="MWR467"/>
      <c r="MWS467"/>
      <c r="MWT467"/>
      <c r="MWU467"/>
      <c r="MWV467"/>
      <c r="MWW467"/>
      <c r="MWX467"/>
      <c r="MWY467"/>
      <c r="MWZ467"/>
      <c r="MXA467"/>
      <c r="MXB467"/>
      <c r="MXC467"/>
      <c r="MXD467"/>
      <c r="MXE467"/>
      <c r="MXF467"/>
      <c r="MXG467"/>
      <c r="MXH467"/>
      <c r="MXI467"/>
      <c r="MXJ467"/>
      <c r="MXK467"/>
      <c r="MXL467"/>
      <c r="MXM467"/>
      <c r="MXN467"/>
      <c r="MXO467"/>
      <c r="MXP467"/>
      <c r="MXQ467"/>
      <c r="MXR467"/>
      <c r="MXS467"/>
      <c r="MXT467"/>
      <c r="MXU467"/>
      <c r="MXV467"/>
      <c r="MXW467"/>
      <c r="MXX467"/>
      <c r="MXY467"/>
      <c r="MXZ467"/>
      <c r="MYA467"/>
      <c r="MYB467"/>
      <c r="MYC467"/>
      <c r="MYD467"/>
      <c r="MYE467"/>
      <c r="MYF467"/>
      <c r="MYG467"/>
      <c r="MYH467"/>
      <c r="MYI467"/>
      <c r="MYJ467"/>
      <c r="MYK467"/>
      <c r="MYL467"/>
      <c r="MYM467"/>
      <c r="MYN467"/>
      <c r="MYO467"/>
      <c r="MYP467"/>
      <c r="MYQ467"/>
      <c r="MYR467"/>
      <c r="MYS467"/>
      <c r="MYT467"/>
      <c r="MYU467"/>
      <c r="MYV467"/>
      <c r="MYW467"/>
      <c r="MYX467"/>
      <c r="MYY467"/>
      <c r="MYZ467"/>
      <c r="MZA467"/>
      <c r="MZB467"/>
      <c r="MZC467"/>
      <c r="MZD467"/>
      <c r="MZE467"/>
      <c r="MZF467"/>
      <c r="MZG467"/>
      <c r="MZH467"/>
      <c r="MZI467"/>
      <c r="MZJ467"/>
      <c r="MZK467"/>
      <c r="MZL467"/>
      <c r="MZM467"/>
      <c r="MZN467"/>
      <c r="MZO467"/>
      <c r="MZP467"/>
      <c r="MZQ467"/>
      <c r="MZR467"/>
      <c r="MZS467"/>
      <c r="MZT467"/>
      <c r="MZU467"/>
      <c r="MZV467"/>
      <c r="MZW467"/>
      <c r="MZX467"/>
      <c r="MZY467"/>
      <c r="MZZ467"/>
      <c r="NAA467"/>
      <c r="NAB467"/>
      <c r="NAC467"/>
      <c r="NAD467"/>
      <c r="NAE467"/>
      <c r="NAF467"/>
      <c r="NAG467"/>
      <c r="NAH467"/>
      <c r="NAI467"/>
      <c r="NAJ467"/>
      <c r="NAK467"/>
      <c r="NAL467"/>
      <c r="NAM467"/>
      <c r="NAN467"/>
      <c r="NAO467"/>
      <c r="NAP467"/>
      <c r="NAQ467"/>
      <c r="NAR467"/>
      <c r="NAS467"/>
      <c r="NAT467"/>
      <c r="NAU467"/>
      <c r="NAV467"/>
      <c r="NAW467"/>
      <c r="NAX467"/>
      <c r="NAY467"/>
      <c r="NAZ467"/>
      <c r="NBA467"/>
      <c r="NBB467"/>
      <c r="NBC467"/>
      <c r="NBD467"/>
      <c r="NBE467"/>
      <c r="NBF467"/>
      <c r="NBG467"/>
      <c r="NBH467"/>
      <c r="NBI467"/>
      <c r="NBJ467"/>
      <c r="NBK467"/>
      <c r="NBL467"/>
      <c r="NBM467"/>
      <c r="NBN467"/>
      <c r="NBO467"/>
      <c r="NBP467"/>
      <c r="NBQ467"/>
      <c r="NBR467"/>
      <c r="NBS467"/>
      <c r="NBT467"/>
      <c r="NBU467"/>
      <c r="NBV467"/>
      <c r="NBW467"/>
      <c r="NBX467"/>
      <c r="NBY467"/>
      <c r="NBZ467"/>
      <c r="NCA467"/>
      <c r="NCB467"/>
      <c r="NCC467"/>
      <c r="NCD467"/>
      <c r="NCE467"/>
      <c r="NCF467"/>
      <c r="NCG467"/>
      <c r="NCH467"/>
      <c r="NCI467"/>
      <c r="NCJ467"/>
      <c r="NCK467"/>
      <c r="NCL467"/>
      <c r="NCM467"/>
      <c r="NCN467"/>
      <c r="NCO467"/>
      <c r="NCP467"/>
      <c r="NCQ467"/>
      <c r="NCR467"/>
      <c r="NCS467"/>
      <c r="NCT467"/>
      <c r="NCU467"/>
      <c r="NCV467"/>
      <c r="NCW467"/>
      <c r="NCX467"/>
      <c r="NCY467"/>
      <c r="NCZ467"/>
      <c r="NDA467"/>
      <c r="NDB467"/>
      <c r="NDC467"/>
      <c r="NDD467"/>
      <c r="NDE467"/>
      <c r="NDF467"/>
      <c r="NDG467"/>
      <c r="NDH467"/>
      <c r="NDI467"/>
      <c r="NDJ467"/>
      <c r="NDK467"/>
      <c r="NDL467"/>
      <c r="NDM467"/>
      <c r="NDN467"/>
      <c r="NDO467"/>
      <c r="NDP467"/>
      <c r="NDQ467"/>
      <c r="NDR467"/>
      <c r="NDS467"/>
      <c r="NDT467"/>
      <c r="NDU467"/>
      <c r="NDV467"/>
      <c r="NDW467"/>
      <c r="NDX467"/>
      <c r="NDY467"/>
      <c r="NDZ467"/>
      <c r="NEA467"/>
      <c r="NEB467"/>
      <c r="NEC467"/>
      <c r="NED467"/>
      <c r="NEE467"/>
      <c r="NEF467"/>
      <c r="NEG467"/>
      <c r="NEH467"/>
      <c r="NEI467"/>
      <c r="NEJ467"/>
      <c r="NEK467"/>
      <c r="NEL467"/>
      <c r="NEM467"/>
      <c r="NEN467"/>
      <c r="NEO467"/>
      <c r="NEP467"/>
      <c r="NEQ467"/>
      <c r="NER467"/>
      <c r="NES467"/>
      <c r="NET467"/>
      <c r="NEU467"/>
      <c r="NEV467"/>
      <c r="NEW467"/>
      <c r="NEX467"/>
      <c r="NEY467"/>
      <c r="NEZ467"/>
      <c r="NFA467"/>
      <c r="NFB467"/>
      <c r="NFC467"/>
      <c r="NFD467"/>
      <c r="NFE467"/>
      <c r="NFF467"/>
      <c r="NFG467"/>
      <c r="NFH467"/>
      <c r="NFI467"/>
      <c r="NFJ467"/>
      <c r="NFK467"/>
      <c r="NFL467"/>
      <c r="NFM467"/>
      <c r="NFN467"/>
      <c r="NFO467"/>
      <c r="NFP467"/>
      <c r="NFQ467"/>
      <c r="NFR467"/>
      <c r="NFS467"/>
      <c r="NFT467"/>
      <c r="NFU467"/>
      <c r="NFV467"/>
      <c r="NFW467"/>
      <c r="NFX467"/>
      <c r="NFY467"/>
      <c r="NFZ467"/>
      <c r="NGA467"/>
      <c r="NGB467"/>
      <c r="NGC467"/>
      <c r="NGD467"/>
      <c r="NGE467"/>
      <c r="NGF467"/>
      <c r="NGG467"/>
      <c r="NGH467"/>
      <c r="NGI467"/>
      <c r="NGJ467"/>
      <c r="NGK467"/>
      <c r="NGL467"/>
      <c r="NGM467"/>
      <c r="NGN467"/>
      <c r="NGO467"/>
      <c r="NGP467"/>
      <c r="NGQ467"/>
      <c r="NGR467"/>
      <c r="NGS467"/>
      <c r="NGT467"/>
      <c r="NGU467"/>
      <c r="NGV467"/>
      <c r="NGW467"/>
      <c r="NGX467"/>
      <c r="NGY467"/>
      <c r="NGZ467"/>
      <c r="NHA467"/>
      <c r="NHB467"/>
      <c r="NHC467"/>
      <c r="NHD467"/>
      <c r="NHE467"/>
      <c r="NHF467"/>
      <c r="NHG467"/>
      <c r="NHH467"/>
      <c r="NHI467"/>
      <c r="NHJ467"/>
      <c r="NHK467"/>
      <c r="NHL467"/>
      <c r="NHM467"/>
      <c r="NHN467"/>
      <c r="NHO467"/>
      <c r="NHP467"/>
      <c r="NHQ467"/>
      <c r="NHR467"/>
      <c r="NHS467"/>
      <c r="NHT467"/>
      <c r="NHU467"/>
      <c r="NHV467"/>
      <c r="NHW467"/>
      <c r="NHX467"/>
      <c r="NHY467"/>
      <c r="NHZ467"/>
      <c r="NIA467"/>
      <c r="NIB467"/>
      <c r="NIC467"/>
      <c r="NID467"/>
      <c r="NIE467"/>
      <c r="NIF467"/>
      <c r="NIG467"/>
      <c r="NIH467"/>
      <c r="NII467"/>
      <c r="NIJ467"/>
      <c r="NIK467"/>
      <c r="NIL467"/>
      <c r="NIM467"/>
      <c r="NIN467"/>
      <c r="NIO467"/>
      <c r="NIP467"/>
      <c r="NIQ467"/>
      <c r="NIR467"/>
      <c r="NIS467"/>
      <c r="NIT467"/>
      <c r="NIU467"/>
      <c r="NIV467"/>
      <c r="NIW467"/>
      <c r="NIX467"/>
      <c r="NIY467"/>
      <c r="NIZ467"/>
      <c r="NJA467"/>
      <c r="NJB467"/>
      <c r="NJC467"/>
      <c r="NJD467"/>
      <c r="NJE467"/>
      <c r="NJF467"/>
      <c r="NJG467"/>
      <c r="NJH467"/>
      <c r="NJI467"/>
      <c r="NJJ467"/>
      <c r="NJK467"/>
      <c r="NJL467"/>
      <c r="NJM467"/>
      <c r="NJN467"/>
      <c r="NJO467"/>
      <c r="NJP467"/>
      <c r="NJQ467"/>
      <c r="NJR467"/>
      <c r="NJS467"/>
      <c r="NJT467"/>
      <c r="NJU467"/>
      <c r="NJV467"/>
      <c r="NJW467"/>
      <c r="NJX467"/>
      <c r="NJY467"/>
      <c r="NJZ467"/>
      <c r="NKA467"/>
      <c r="NKB467"/>
      <c r="NKC467"/>
      <c r="NKD467"/>
      <c r="NKE467"/>
      <c r="NKF467"/>
      <c r="NKG467"/>
      <c r="NKH467"/>
      <c r="NKI467"/>
      <c r="NKJ467"/>
      <c r="NKK467"/>
      <c r="NKL467"/>
      <c r="NKM467"/>
      <c r="NKN467"/>
      <c r="NKO467"/>
      <c r="NKP467"/>
      <c r="NKQ467"/>
      <c r="NKR467"/>
      <c r="NKS467"/>
      <c r="NKT467"/>
      <c r="NKU467"/>
      <c r="NKV467"/>
      <c r="NKW467"/>
      <c r="NKX467"/>
      <c r="NKY467"/>
      <c r="NKZ467"/>
      <c r="NLA467"/>
      <c r="NLB467"/>
      <c r="NLC467"/>
      <c r="NLD467"/>
      <c r="NLE467"/>
      <c r="NLF467"/>
      <c r="NLG467"/>
      <c r="NLH467"/>
      <c r="NLI467"/>
      <c r="NLJ467"/>
      <c r="NLK467"/>
      <c r="NLL467"/>
      <c r="NLM467"/>
      <c r="NLN467"/>
      <c r="NLO467"/>
      <c r="NLP467"/>
      <c r="NLQ467"/>
      <c r="NLR467"/>
      <c r="NLS467"/>
      <c r="NLT467"/>
      <c r="NLU467"/>
      <c r="NLV467"/>
      <c r="NLW467"/>
      <c r="NLX467"/>
      <c r="NLY467"/>
      <c r="NLZ467"/>
      <c r="NMA467"/>
      <c r="NMB467"/>
      <c r="NMC467"/>
      <c r="NMD467"/>
      <c r="NME467"/>
      <c r="NMF467"/>
      <c r="NMG467"/>
      <c r="NMH467"/>
      <c r="NMI467"/>
      <c r="NMJ467"/>
      <c r="NMK467"/>
      <c r="NML467"/>
      <c r="NMM467"/>
      <c r="NMN467"/>
      <c r="NMO467"/>
      <c r="NMP467"/>
      <c r="NMQ467"/>
      <c r="NMR467"/>
      <c r="NMS467"/>
      <c r="NMT467"/>
      <c r="NMU467"/>
      <c r="NMV467"/>
      <c r="NMW467"/>
      <c r="NMX467"/>
      <c r="NMY467"/>
      <c r="NMZ467"/>
      <c r="NNA467"/>
      <c r="NNB467"/>
      <c r="NNC467"/>
      <c r="NND467"/>
      <c r="NNE467"/>
      <c r="NNF467"/>
      <c r="NNG467"/>
      <c r="NNH467"/>
      <c r="NNI467"/>
      <c r="NNJ467"/>
      <c r="NNK467"/>
      <c r="NNL467"/>
      <c r="NNM467"/>
      <c r="NNN467"/>
      <c r="NNO467"/>
      <c r="NNP467"/>
      <c r="NNQ467"/>
      <c r="NNR467"/>
      <c r="NNS467"/>
      <c r="NNT467"/>
      <c r="NNU467"/>
      <c r="NNV467"/>
      <c r="NNW467"/>
      <c r="NNX467"/>
      <c r="NNY467"/>
      <c r="NNZ467"/>
      <c r="NOA467"/>
      <c r="NOB467"/>
      <c r="NOC467"/>
      <c r="NOD467"/>
      <c r="NOE467"/>
      <c r="NOF467"/>
      <c r="NOG467"/>
      <c r="NOH467"/>
      <c r="NOI467"/>
      <c r="NOJ467"/>
      <c r="NOK467"/>
      <c r="NOL467"/>
      <c r="NOM467"/>
      <c r="NON467"/>
      <c r="NOO467"/>
      <c r="NOP467"/>
      <c r="NOQ467"/>
      <c r="NOR467"/>
      <c r="NOS467"/>
      <c r="NOT467"/>
      <c r="NOU467"/>
      <c r="NOV467"/>
      <c r="NOW467"/>
      <c r="NOX467"/>
      <c r="NOY467"/>
      <c r="NOZ467"/>
      <c r="NPA467"/>
      <c r="NPB467"/>
      <c r="NPC467"/>
      <c r="NPD467"/>
      <c r="NPE467"/>
      <c r="NPF467"/>
      <c r="NPG467"/>
      <c r="NPH467"/>
      <c r="NPI467"/>
      <c r="NPJ467"/>
      <c r="NPK467"/>
      <c r="NPL467"/>
      <c r="NPM467"/>
      <c r="NPN467"/>
      <c r="NPO467"/>
      <c r="NPP467"/>
      <c r="NPQ467"/>
      <c r="NPR467"/>
      <c r="NPS467"/>
      <c r="NPT467"/>
      <c r="NPU467"/>
      <c r="NPV467"/>
      <c r="NPW467"/>
      <c r="NPX467"/>
      <c r="NPY467"/>
      <c r="NPZ467"/>
      <c r="NQA467"/>
      <c r="NQB467"/>
      <c r="NQC467"/>
      <c r="NQD467"/>
      <c r="NQE467"/>
      <c r="NQF467"/>
      <c r="NQG467"/>
      <c r="NQH467"/>
      <c r="NQI467"/>
      <c r="NQJ467"/>
      <c r="NQK467"/>
      <c r="NQL467"/>
      <c r="NQM467"/>
      <c r="NQN467"/>
      <c r="NQO467"/>
      <c r="NQP467"/>
      <c r="NQQ467"/>
      <c r="NQR467"/>
      <c r="NQS467"/>
      <c r="NQT467"/>
      <c r="NQU467"/>
      <c r="NQV467"/>
      <c r="NQW467"/>
      <c r="NQX467"/>
      <c r="NQY467"/>
      <c r="NQZ467"/>
      <c r="NRA467"/>
      <c r="NRB467"/>
      <c r="NRC467"/>
      <c r="NRD467"/>
      <c r="NRE467"/>
      <c r="NRF467"/>
      <c r="NRG467"/>
      <c r="NRH467"/>
      <c r="NRI467"/>
      <c r="NRJ467"/>
      <c r="NRK467"/>
      <c r="NRL467"/>
      <c r="NRM467"/>
      <c r="NRN467"/>
      <c r="NRO467"/>
      <c r="NRP467"/>
      <c r="NRQ467"/>
      <c r="NRR467"/>
      <c r="NRS467"/>
      <c r="NRT467"/>
      <c r="NRU467"/>
      <c r="NRV467"/>
      <c r="NRW467"/>
      <c r="NRX467"/>
      <c r="NRY467"/>
      <c r="NRZ467"/>
      <c r="NSA467"/>
      <c r="NSB467"/>
      <c r="NSC467"/>
      <c r="NSD467"/>
      <c r="NSE467"/>
      <c r="NSF467"/>
      <c r="NSG467"/>
      <c r="NSH467"/>
      <c r="NSI467"/>
      <c r="NSJ467"/>
      <c r="NSK467"/>
      <c r="NSL467"/>
      <c r="NSM467"/>
      <c r="NSN467"/>
      <c r="NSO467"/>
      <c r="NSP467"/>
      <c r="NSQ467"/>
      <c r="NSR467"/>
      <c r="NSS467"/>
      <c r="NST467"/>
      <c r="NSU467"/>
      <c r="NSV467"/>
      <c r="NSW467"/>
      <c r="NSX467"/>
      <c r="NSY467"/>
      <c r="NSZ467"/>
      <c r="NTA467"/>
      <c r="NTB467"/>
      <c r="NTC467"/>
      <c r="NTD467"/>
      <c r="NTE467"/>
      <c r="NTF467"/>
      <c r="NTG467"/>
      <c r="NTH467"/>
      <c r="NTI467"/>
      <c r="NTJ467"/>
      <c r="NTK467"/>
      <c r="NTL467"/>
      <c r="NTM467"/>
      <c r="NTN467"/>
      <c r="NTO467"/>
      <c r="NTP467"/>
      <c r="NTQ467"/>
      <c r="NTR467"/>
      <c r="NTS467"/>
      <c r="NTT467"/>
      <c r="NTU467"/>
      <c r="NTV467"/>
      <c r="NTW467"/>
      <c r="NTX467"/>
      <c r="NTY467"/>
      <c r="NTZ467"/>
      <c r="NUA467"/>
      <c r="NUB467"/>
      <c r="NUC467"/>
      <c r="NUD467"/>
      <c r="NUE467"/>
      <c r="NUF467"/>
      <c r="NUG467"/>
      <c r="NUH467"/>
      <c r="NUI467"/>
      <c r="NUJ467"/>
      <c r="NUK467"/>
      <c r="NUL467"/>
      <c r="NUM467"/>
      <c r="NUN467"/>
      <c r="NUO467"/>
      <c r="NUP467"/>
      <c r="NUQ467"/>
      <c r="NUR467"/>
      <c r="NUS467"/>
      <c r="NUT467"/>
      <c r="NUU467"/>
      <c r="NUV467"/>
      <c r="NUW467"/>
      <c r="NUX467"/>
      <c r="NUY467"/>
      <c r="NUZ467"/>
      <c r="NVA467"/>
      <c r="NVB467"/>
      <c r="NVC467"/>
      <c r="NVD467"/>
      <c r="NVE467"/>
      <c r="NVF467"/>
      <c r="NVG467"/>
      <c r="NVH467"/>
      <c r="NVI467"/>
      <c r="NVJ467"/>
      <c r="NVK467"/>
      <c r="NVL467"/>
      <c r="NVM467"/>
      <c r="NVN467"/>
      <c r="NVO467"/>
      <c r="NVP467"/>
      <c r="NVQ467"/>
      <c r="NVR467"/>
      <c r="NVS467"/>
      <c r="NVT467"/>
      <c r="NVU467"/>
      <c r="NVV467"/>
      <c r="NVW467"/>
      <c r="NVX467"/>
      <c r="NVY467"/>
      <c r="NVZ467"/>
      <c r="NWA467"/>
      <c r="NWB467"/>
      <c r="NWC467"/>
      <c r="NWD467"/>
      <c r="NWE467"/>
      <c r="NWF467"/>
      <c r="NWG467"/>
      <c r="NWH467"/>
      <c r="NWI467"/>
      <c r="NWJ467"/>
      <c r="NWK467"/>
      <c r="NWL467"/>
      <c r="NWM467"/>
      <c r="NWN467"/>
      <c r="NWO467"/>
      <c r="NWP467"/>
      <c r="NWQ467"/>
      <c r="NWR467"/>
      <c r="NWS467"/>
      <c r="NWT467"/>
      <c r="NWU467"/>
      <c r="NWV467"/>
      <c r="NWW467"/>
      <c r="NWX467"/>
      <c r="NWY467"/>
      <c r="NWZ467"/>
      <c r="NXA467"/>
      <c r="NXB467"/>
      <c r="NXC467"/>
      <c r="NXD467"/>
      <c r="NXE467"/>
      <c r="NXF467"/>
      <c r="NXG467"/>
      <c r="NXH467"/>
      <c r="NXI467"/>
      <c r="NXJ467"/>
      <c r="NXK467"/>
      <c r="NXL467"/>
      <c r="NXM467"/>
      <c r="NXN467"/>
      <c r="NXO467"/>
      <c r="NXP467"/>
      <c r="NXQ467"/>
      <c r="NXR467"/>
      <c r="NXS467"/>
      <c r="NXT467"/>
      <c r="NXU467"/>
      <c r="NXV467"/>
      <c r="NXW467"/>
      <c r="NXX467"/>
      <c r="NXY467"/>
      <c r="NXZ467"/>
      <c r="NYA467"/>
      <c r="NYB467"/>
      <c r="NYC467"/>
      <c r="NYD467"/>
      <c r="NYE467"/>
      <c r="NYF467"/>
      <c r="NYG467"/>
      <c r="NYH467"/>
      <c r="NYI467"/>
      <c r="NYJ467"/>
      <c r="NYK467"/>
      <c r="NYL467"/>
      <c r="NYM467"/>
      <c r="NYN467"/>
      <c r="NYO467"/>
      <c r="NYP467"/>
      <c r="NYQ467"/>
      <c r="NYR467"/>
      <c r="NYS467"/>
      <c r="NYT467"/>
      <c r="NYU467"/>
      <c r="NYV467"/>
      <c r="NYW467"/>
      <c r="NYX467"/>
      <c r="NYY467"/>
      <c r="NYZ467"/>
      <c r="NZA467"/>
      <c r="NZB467"/>
      <c r="NZC467"/>
      <c r="NZD467"/>
      <c r="NZE467"/>
      <c r="NZF467"/>
      <c r="NZG467"/>
      <c r="NZH467"/>
      <c r="NZI467"/>
      <c r="NZJ467"/>
      <c r="NZK467"/>
      <c r="NZL467"/>
      <c r="NZM467"/>
      <c r="NZN467"/>
      <c r="NZO467"/>
      <c r="NZP467"/>
      <c r="NZQ467"/>
      <c r="NZR467"/>
      <c r="NZS467"/>
      <c r="NZT467"/>
      <c r="NZU467"/>
      <c r="NZV467"/>
      <c r="NZW467"/>
      <c r="NZX467"/>
      <c r="NZY467"/>
      <c r="NZZ467"/>
      <c r="OAA467"/>
      <c r="OAB467"/>
      <c r="OAC467"/>
      <c r="OAD467"/>
      <c r="OAE467"/>
      <c r="OAF467"/>
      <c r="OAG467"/>
      <c r="OAH467"/>
      <c r="OAI467"/>
      <c r="OAJ467"/>
      <c r="OAK467"/>
      <c r="OAL467"/>
      <c r="OAM467"/>
      <c r="OAN467"/>
      <c r="OAO467"/>
      <c r="OAP467"/>
      <c r="OAQ467"/>
      <c r="OAR467"/>
      <c r="OAS467"/>
      <c r="OAT467"/>
      <c r="OAU467"/>
      <c r="OAV467"/>
      <c r="OAW467"/>
      <c r="OAX467"/>
      <c r="OAY467"/>
      <c r="OAZ467"/>
      <c r="OBA467"/>
      <c r="OBB467"/>
      <c r="OBC467"/>
      <c r="OBD467"/>
      <c r="OBE467"/>
      <c r="OBF467"/>
      <c r="OBG467"/>
      <c r="OBH467"/>
      <c r="OBI467"/>
      <c r="OBJ467"/>
      <c r="OBK467"/>
      <c r="OBL467"/>
      <c r="OBM467"/>
      <c r="OBN467"/>
      <c r="OBO467"/>
      <c r="OBP467"/>
      <c r="OBQ467"/>
      <c r="OBR467"/>
      <c r="OBS467"/>
      <c r="OBT467"/>
      <c r="OBU467"/>
      <c r="OBV467"/>
      <c r="OBW467"/>
      <c r="OBX467"/>
      <c r="OBY467"/>
      <c r="OBZ467"/>
      <c r="OCA467"/>
      <c r="OCB467"/>
      <c r="OCC467"/>
      <c r="OCD467"/>
      <c r="OCE467"/>
      <c r="OCF467"/>
      <c r="OCG467"/>
      <c r="OCH467"/>
      <c r="OCI467"/>
      <c r="OCJ467"/>
      <c r="OCK467"/>
      <c r="OCL467"/>
      <c r="OCM467"/>
      <c r="OCN467"/>
      <c r="OCO467"/>
      <c r="OCP467"/>
      <c r="OCQ467"/>
      <c r="OCR467"/>
      <c r="OCS467"/>
      <c r="OCT467"/>
      <c r="OCU467"/>
      <c r="OCV467"/>
      <c r="OCW467"/>
      <c r="OCX467"/>
      <c r="OCY467"/>
      <c r="OCZ467"/>
      <c r="ODA467"/>
      <c r="ODB467"/>
      <c r="ODC467"/>
      <c r="ODD467"/>
      <c r="ODE467"/>
      <c r="ODF467"/>
      <c r="ODG467"/>
      <c r="ODH467"/>
      <c r="ODI467"/>
      <c r="ODJ467"/>
      <c r="ODK467"/>
      <c r="ODL467"/>
      <c r="ODM467"/>
      <c r="ODN467"/>
      <c r="ODO467"/>
      <c r="ODP467"/>
      <c r="ODQ467"/>
      <c r="ODR467"/>
      <c r="ODS467"/>
      <c r="ODT467"/>
      <c r="ODU467"/>
      <c r="ODV467"/>
      <c r="ODW467"/>
      <c r="ODX467"/>
      <c r="ODY467"/>
      <c r="ODZ467"/>
      <c r="OEA467"/>
      <c r="OEB467"/>
      <c r="OEC467"/>
      <c r="OED467"/>
      <c r="OEE467"/>
      <c r="OEF467"/>
      <c r="OEG467"/>
      <c r="OEH467"/>
      <c r="OEI467"/>
      <c r="OEJ467"/>
      <c r="OEK467"/>
      <c r="OEL467"/>
      <c r="OEM467"/>
      <c r="OEN467"/>
      <c r="OEO467"/>
      <c r="OEP467"/>
      <c r="OEQ467"/>
      <c r="OER467"/>
      <c r="OES467"/>
      <c r="OET467"/>
      <c r="OEU467"/>
      <c r="OEV467"/>
      <c r="OEW467"/>
      <c r="OEX467"/>
      <c r="OEY467"/>
      <c r="OEZ467"/>
      <c r="OFA467"/>
      <c r="OFB467"/>
      <c r="OFC467"/>
      <c r="OFD467"/>
      <c r="OFE467"/>
      <c r="OFF467"/>
      <c r="OFG467"/>
      <c r="OFH467"/>
      <c r="OFI467"/>
      <c r="OFJ467"/>
      <c r="OFK467"/>
      <c r="OFL467"/>
      <c r="OFM467"/>
      <c r="OFN467"/>
      <c r="OFO467"/>
      <c r="OFP467"/>
      <c r="OFQ467"/>
      <c r="OFR467"/>
      <c r="OFS467"/>
      <c r="OFT467"/>
      <c r="OFU467"/>
      <c r="OFV467"/>
      <c r="OFW467"/>
      <c r="OFX467"/>
      <c r="OFY467"/>
      <c r="OFZ467"/>
      <c r="OGA467"/>
      <c r="OGB467"/>
      <c r="OGC467"/>
      <c r="OGD467"/>
      <c r="OGE467"/>
      <c r="OGF467"/>
      <c r="OGG467"/>
      <c r="OGH467"/>
      <c r="OGI467"/>
      <c r="OGJ467"/>
      <c r="OGK467"/>
      <c r="OGL467"/>
      <c r="OGM467"/>
      <c r="OGN467"/>
      <c r="OGO467"/>
      <c r="OGP467"/>
      <c r="OGQ467"/>
      <c r="OGR467"/>
      <c r="OGS467"/>
      <c r="OGT467"/>
      <c r="OGU467"/>
      <c r="OGV467"/>
      <c r="OGW467"/>
      <c r="OGX467"/>
      <c r="OGY467"/>
      <c r="OGZ467"/>
      <c r="OHA467"/>
      <c r="OHB467"/>
      <c r="OHC467"/>
      <c r="OHD467"/>
      <c r="OHE467"/>
      <c r="OHF467"/>
      <c r="OHG467"/>
      <c r="OHH467"/>
      <c r="OHI467"/>
      <c r="OHJ467"/>
      <c r="OHK467"/>
      <c r="OHL467"/>
      <c r="OHM467"/>
      <c r="OHN467"/>
      <c r="OHO467"/>
      <c r="OHP467"/>
      <c r="OHQ467"/>
      <c r="OHR467"/>
      <c r="OHS467"/>
      <c r="OHT467"/>
      <c r="OHU467"/>
      <c r="OHV467"/>
      <c r="OHW467"/>
      <c r="OHX467"/>
      <c r="OHY467"/>
      <c r="OHZ467"/>
      <c r="OIA467"/>
      <c r="OIB467"/>
      <c r="OIC467"/>
      <c r="OID467"/>
      <c r="OIE467"/>
      <c r="OIF467"/>
      <c r="OIG467"/>
      <c r="OIH467"/>
      <c r="OII467"/>
      <c r="OIJ467"/>
      <c r="OIK467"/>
      <c r="OIL467"/>
      <c r="OIM467"/>
      <c r="OIN467"/>
      <c r="OIO467"/>
      <c r="OIP467"/>
      <c r="OIQ467"/>
      <c r="OIR467"/>
      <c r="OIS467"/>
      <c r="OIT467"/>
      <c r="OIU467"/>
      <c r="OIV467"/>
      <c r="OIW467"/>
      <c r="OIX467"/>
      <c r="OIY467"/>
      <c r="OIZ467"/>
      <c r="OJA467"/>
      <c r="OJB467"/>
      <c r="OJC467"/>
      <c r="OJD467"/>
      <c r="OJE467"/>
      <c r="OJF467"/>
      <c r="OJG467"/>
      <c r="OJH467"/>
      <c r="OJI467"/>
      <c r="OJJ467"/>
      <c r="OJK467"/>
      <c r="OJL467"/>
      <c r="OJM467"/>
      <c r="OJN467"/>
      <c r="OJO467"/>
      <c r="OJP467"/>
      <c r="OJQ467"/>
      <c r="OJR467"/>
      <c r="OJS467"/>
      <c r="OJT467"/>
      <c r="OJU467"/>
      <c r="OJV467"/>
      <c r="OJW467"/>
      <c r="OJX467"/>
      <c r="OJY467"/>
      <c r="OJZ467"/>
      <c r="OKA467"/>
      <c r="OKB467"/>
      <c r="OKC467"/>
      <c r="OKD467"/>
      <c r="OKE467"/>
      <c r="OKF467"/>
      <c r="OKG467"/>
      <c r="OKH467"/>
      <c r="OKI467"/>
      <c r="OKJ467"/>
      <c r="OKK467"/>
      <c r="OKL467"/>
      <c r="OKM467"/>
      <c r="OKN467"/>
      <c r="OKO467"/>
      <c r="OKP467"/>
      <c r="OKQ467"/>
      <c r="OKR467"/>
      <c r="OKS467"/>
      <c r="OKT467"/>
      <c r="OKU467"/>
      <c r="OKV467"/>
      <c r="OKW467"/>
      <c r="OKX467"/>
      <c r="OKY467"/>
      <c r="OKZ467"/>
      <c r="OLA467"/>
      <c r="OLB467"/>
      <c r="OLC467"/>
      <c r="OLD467"/>
      <c r="OLE467"/>
      <c r="OLF467"/>
      <c r="OLG467"/>
      <c r="OLH467"/>
      <c r="OLI467"/>
      <c r="OLJ467"/>
      <c r="OLK467"/>
      <c r="OLL467"/>
      <c r="OLM467"/>
      <c r="OLN467"/>
      <c r="OLO467"/>
      <c r="OLP467"/>
      <c r="OLQ467"/>
      <c r="OLR467"/>
      <c r="OLS467"/>
      <c r="OLT467"/>
      <c r="OLU467"/>
      <c r="OLV467"/>
      <c r="OLW467"/>
      <c r="OLX467"/>
      <c r="OLY467"/>
      <c r="OLZ467"/>
      <c r="OMA467"/>
      <c r="OMB467"/>
      <c r="OMC467"/>
      <c r="OMD467"/>
      <c r="OME467"/>
      <c r="OMF467"/>
      <c r="OMG467"/>
      <c r="OMH467"/>
      <c r="OMI467"/>
      <c r="OMJ467"/>
      <c r="OMK467"/>
      <c r="OML467"/>
      <c r="OMM467"/>
      <c r="OMN467"/>
      <c r="OMO467"/>
      <c r="OMP467"/>
      <c r="OMQ467"/>
      <c r="OMR467"/>
      <c r="OMS467"/>
      <c r="OMT467"/>
      <c r="OMU467"/>
      <c r="OMV467"/>
      <c r="OMW467"/>
      <c r="OMX467"/>
      <c r="OMY467"/>
      <c r="OMZ467"/>
      <c r="ONA467"/>
      <c r="ONB467"/>
      <c r="ONC467"/>
      <c r="OND467"/>
      <c r="ONE467"/>
      <c r="ONF467"/>
      <c r="ONG467"/>
      <c r="ONH467"/>
      <c r="ONI467"/>
      <c r="ONJ467"/>
      <c r="ONK467"/>
      <c r="ONL467"/>
      <c r="ONM467"/>
      <c r="ONN467"/>
      <c r="ONO467"/>
      <c r="ONP467"/>
      <c r="ONQ467"/>
      <c r="ONR467"/>
      <c r="ONS467"/>
      <c r="ONT467"/>
      <c r="ONU467"/>
      <c r="ONV467"/>
      <c r="ONW467"/>
      <c r="ONX467"/>
      <c r="ONY467"/>
      <c r="ONZ467"/>
      <c r="OOA467"/>
      <c r="OOB467"/>
      <c r="OOC467"/>
      <c r="OOD467"/>
      <c r="OOE467"/>
      <c r="OOF467"/>
      <c r="OOG467"/>
      <c r="OOH467"/>
      <c r="OOI467"/>
      <c r="OOJ467"/>
      <c r="OOK467"/>
      <c r="OOL467"/>
      <c r="OOM467"/>
      <c r="OON467"/>
      <c r="OOO467"/>
      <c r="OOP467"/>
      <c r="OOQ467"/>
      <c r="OOR467"/>
      <c r="OOS467"/>
      <c r="OOT467"/>
      <c r="OOU467"/>
      <c r="OOV467"/>
      <c r="OOW467"/>
      <c r="OOX467"/>
      <c r="OOY467"/>
      <c r="OOZ467"/>
      <c r="OPA467"/>
      <c r="OPB467"/>
      <c r="OPC467"/>
      <c r="OPD467"/>
      <c r="OPE467"/>
      <c r="OPF467"/>
      <c r="OPG467"/>
      <c r="OPH467"/>
      <c r="OPI467"/>
      <c r="OPJ467"/>
      <c r="OPK467"/>
      <c r="OPL467"/>
      <c r="OPM467"/>
      <c r="OPN467"/>
      <c r="OPO467"/>
      <c r="OPP467"/>
      <c r="OPQ467"/>
      <c r="OPR467"/>
      <c r="OPS467"/>
      <c r="OPT467"/>
      <c r="OPU467"/>
      <c r="OPV467"/>
      <c r="OPW467"/>
      <c r="OPX467"/>
      <c r="OPY467"/>
      <c r="OPZ467"/>
      <c r="OQA467"/>
      <c r="OQB467"/>
      <c r="OQC467"/>
      <c r="OQD467"/>
      <c r="OQE467"/>
      <c r="OQF467"/>
      <c r="OQG467"/>
      <c r="OQH467"/>
      <c r="OQI467"/>
      <c r="OQJ467"/>
      <c r="OQK467"/>
      <c r="OQL467"/>
      <c r="OQM467"/>
      <c r="OQN467"/>
      <c r="OQO467"/>
      <c r="OQP467"/>
      <c r="OQQ467"/>
      <c r="OQR467"/>
      <c r="OQS467"/>
      <c r="OQT467"/>
      <c r="OQU467"/>
      <c r="OQV467"/>
      <c r="OQW467"/>
      <c r="OQX467"/>
      <c r="OQY467"/>
      <c r="OQZ467"/>
      <c r="ORA467"/>
      <c r="ORB467"/>
      <c r="ORC467"/>
      <c r="ORD467"/>
      <c r="ORE467"/>
      <c r="ORF467"/>
      <c r="ORG467"/>
      <c r="ORH467"/>
      <c r="ORI467"/>
      <c r="ORJ467"/>
      <c r="ORK467"/>
      <c r="ORL467"/>
      <c r="ORM467"/>
      <c r="ORN467"/>
      <c r="ORO467"/>
      <c r="ORP467"/>
      <c r="ORQ467"/>
      <c r="ORR467"/>
      <c r="ORS467"/>
      <c r="ORT467"/>
      <c r="ORU467"/>
      <c r="ORV467"/>
      <c r="ORW467"/>
      <c r="ORX467"/>
      <c r="ORY467"/>
      <c r="ORZ467"/>
      <c r="OSA467"/>
      <c r="OSB467"/>
      <c r="OSC467"/>
      <c r="OSD467"/>
      <c r="OSE467"/>
      <c r="OSF467"/>
      <c r="OSG467"/>
      <c r="OSH467"/>
      <c r="OSI467"/>
      <c r="OSJ467"/>
      <c r="OSK467"/>
      <c r="OSL467"/>
      <c r="OSM467"/>
      <c r="OSN467"/>
      <c r="OSO467"/>
      <c r="OSP467"/>
      <c r="OSQ467"/>
      <c r="OSR467"/>
      <c r="OSS467"/>
      <c r="OST467"/>
      <c r="OSU467"/>
      <c r="OSV467"/>
      <c r="OSW467"/>
      <c r="OSX467"/>
      <c r="OSY467"/>
      <c r="OSZ467"/>
      <c r="OTA467"/>
      <c r="OTB467"/>
      <c r="OTC467"/>
      <c r="OTD467"/>
      <c r="OTE467"/>
      <c r="OTF467"/>
      <c r="OTG467"/>
      <c r="OTH467"/>
      <c r="OTI467"/>
      <c r="OTJ467"/>
      <c r="OTK467"/>
      <c r="OTL467"/>
      <c r="OTM467"/>
      <c r="OTN467"/>
      <c r="OTO467"/>
      <c r="OTP467"/>
      <c r="OTQ467"/>
      <c r="OTR467"/>
      <c r="OTS467"/>
      <c r="OTT467"/>
      <c r="OTU467"/>
      <c r="OTV467"/>
      <c r="OTW467"/>
      <c r="OTX467"/>
      <c r="OTY467"/>
      <c r="OTZ467"/>
      <c r="OUA467"/>
      <c r="OUB467"/>
      <c r="OUC467"/>
      <c r="OUD467"/>
      <c r="OUE467"/>
      <c r="OUF467"/>
      <c r="OUG467"/>
      <c r="OUH467"/>
      <c r="OUI467"/>
      <c r="OUJ467"/>
      <c r="OUK467"/>
      <c r="OUL467"/>
      <c r="OUM467"/>
      <c r="OUN467"/>
      <c r="OUO467"/>
      <c r="OUP467"/>
      <c r="OUQ467"/>
      <c r="OUR467"/>
      <c r="OUS467"/>
      <c r="OUT467"/>
      <c r="OUU467"/>
      <c r="OUV467"/>
      <c r="OUW467"/>
      <c r="OUX467"/>
      <c r="OUY467"/>
      <c r="OUZ467"/>
      <c r="OVA467"/>
      <c r="OVB467"/>
      <c r="OVC467"/>
      <c r="OVD467"/>
      <c r="OVE467"/>
      <c r="OVF467"/>
      <c r="OVG467"/>
      <c r="OVH467"/>
      <c r="OVI467"/>
      <c r="OVJ467"/>
      <c r="OVK467"/>
      <c r="OVL467"/>
      <c r="OVM467"/>
      <c r="OVN467"/>
      <c r="OVO467"/>
      <c r="OVP467"/>
      <c r="OVQ467"/>
      <c r="OVR467"/>
      <c r="OVS467"/>
      <c r="OVT467"/>
      <c r="OVU467"/>
      <c r="OVV467"/>
      <c r="OVW467"/>
      <c r="OVX467"/>
      <c r="OVY467"/>
      <c r="OVZ467"/>
      <c r="OWA467"/>
      <c r="OWB467"/>
      <c r="OWC467"/>
      <c r="OWD467"/>
      <c r="OWE467"/>
      <c r="OWF467"/>
      <c r="OWG467"/>
      <c r="OWH467"/>
      <c r="OWI467"/>
      <c r="OWJ467"/>
      <c r="OWK467"/>
      <c r="OWL467"/>
      <c r="OWM467"/>
      <c r="OWN467"/>
      <c r="OWO467"/>
      <c r="OWP467"/>
      <c r="OWQ467"/>
      <c r="OWR467"/>
      <c r="OWS467"/>
      <c r="OWT467"/>
      <c r="OWU467"/>
      <c r="OWV467"/>
      <c r="OWW467"/>
      <c r="OWX467"/>
      <c r="OWY467"/>
      <c r="OWZ467"/>
      <c r="OXA467"/>
      <c r="OXB467"/>
      <c r="OXC467"/>
      <c r="OXD467"/>
      <c r="OXE467"/>
      <c r="OXF467"/>
      <c r="OXG467"/>
      <c r="OXH467"/>
      <c r="OXI467"/>
      <c r="OXJ467"/>
      <c r="OXK467"/>
      <c r="OXL467"/>
      <c r="OXM467"/>
      <c r="OXN467"/>
      <c r="OXO467"/>
      <c r="OXP467"/>
      <c r="OXQ467"/>
      <c r="OXR467"/>
      <c r="OXS467"/>
      <c r="OXT467"/>
      <c r="OXU467"/>
      <c r="OXV467"/>
      <c r="OXW467"/>
      <c r="OXX467"/>
      <c r="OXY467"/>
      <c r="OXZ467"/>
      <c r="OYA467"/>
      <c r="OYB467"/>
      <c r="OYC467"/>
      <c r="OYD467"/>
      <c r="OYE467"/>
      <c r="OYF467"/>
      <c r="OYG467"/>
      <c r="OYH467"/>
      <c r="OYI467"/>
      <c r="OYJ467"/>
      <c r="OYK467"/>
      <c r="OYL467"/>
      <c r="OYM467"/>
      <c r="OYN467"/>
      <c r="OYO467"/>
      <c r="OYP467"/>
      <c r="OYQ467"/>
      <c r="OYR467"/>
      <c r="OYS467"/>
      <c r="OYT467"/>
      <c r="OYU467"/>
      <c r="OYV467"/>
      <c r="OYW467"/>
      <c r="OYX467"/>
      <c r="OYY467"/>
      <c r="OYZ467"/>
      <c r="OZA467"/>
      <c r="OZB467"/>
      <c r="OZC467"/>
      <c r="OZD467"/>
      <c r="OZE467"/>
      <c r="OZF467"/>
      <c r="OZG467"/>
      <c r="OZH467"/>
      <c r="OZI467"/>
      <c r="OZJ467"/>
      <c r="OZK467"/>
      <c r="OZL467"/>
      <c r="OZM467"/>
      <c r="OZN467"/>
      <c r="OZO467"/>
      <c r="OZP467"/>
      <c r="OZQ467"/>
      <c r="OZR467"/>
      <c r="OZS467"/>
      <c r="OZT467"/>
      <c r="OZU467"/>
      <c r="OZV467"/>
      <c r="OZW467"/>
      <c r="OZX467"/>
      <c r="OZY467"/>
      <c r="OZZ467"/>
      <c r="PAA467"/>
      <c r="PAB467"/>
      <c r="PAC467"/>
      <c r="PAD467"/>
      <c r="PAE467"/>
      <c r="PAF467"/>
      <c r="PAG467"/>
      <c r="PAH467"/>
      <c r="PAI467"/>
      <c r="PAJ467"/>
      <c r="PAK467"/>
      <c r="PAL467"/>
      <c r="PAM467"/>
      <c r="PAN467"/>
      <c r="PAO467"/>
      <c r="PAP467"/>
      <c r="PAQ467"/>
      <c r="PAR467"/>
      <c r="PAS467"/>
      <c r="PAT467"/>
      <c r="PAU467"/>
      <c r="PAV467"/>
      <c r="PAW467"/>
      <c r="PAX467"/>
      <c r="PAY467"/>
      <c r="PAZ467"/>
      <c r="PBA467"/>
      <c r="PBB467"/>
      <c r="PBC467"/>
      <c r="PBD467"/>
      <c r="PBE467"/>
      <c r="PBF467"/>
      <c r="PBG467"/>
      <c r="PBH467"/>
      <c r="PBI467"/>
      <c r="PBJ467"/>
      <c r="PBK467"/>
      <c r="PBL467"/>
      <c r="PBM467"/>
      <c r="PBN467"/>
      <c r="PBO467"/>
      <c r="PBP467"/>
      <c r="PBQ467"/>
      <c r="PBR467"/>
      <c r="PBS467"/>
      <c r="PBT467"/>
      <c r="PBU467"/>
      <c r="PBV467"/>
      <c r="PBW467"/>
      <c r="PBX467"/>
      <c r="PBY467"/>
      <c r="PBZ467"/>
      <c r="PCA467"/>
      <c r="PCB467"/>
      <c r="PCC467"/>
      <c r="PCD467"/>
      <c r="PCE467"/>
      <c r="PCF467"/>
      <c r="PCG467"/>
      <c r="PCH467"/>
      <c r="PCI467"/>
      <c r="PCJ467"/>
      <c r="PCK467"/>
      <c r="PCL467"/>
      <c r="PCM467"/>
      <c r="PCN467"/>
      <c r="PCO467"/>
      <c r="PCP467"/>
      <c r="PCQ467"/>
      <c r="PCR467"/>
      <c r="PCS467"/>
      <c r="PCT467"/>
      <c r="PCU467"/>
      <c r="PCV467"/>
      <c r="PCW467"/>
      <c r="PCX467"/>
      <c r="PCY467"/>
      <c r="PCZ467"/>
      <c r="PDA467"/>
      <c r="PDB467"/>
      <c r="PDC467"/>
      <c r="PDD467"/>
      <c r="PDE467"/>
      <c r="PDF467"/>
      <c r="PDG467"/>
      <c r="PDH467"/>
      <c r="PDI467"/>
      <c r="PDJ467"/>
      <c r="PDK467"/>
      <c r="PDL467"/>
      <c r="PDM467"/>
      <c r="PDN467"/>
      <c r="PDO467"/>
      <c r="PDP467"/>
      <c r="PDQ467"/>
      <c r="PDR467"/>
      <c r="PDS467"/>
      <c r="PDT467"/>
      <c r="PDU467"/>
      <c r="PDV467"/>
      <c r="PDW467"/>
      <c r="PDX467"/>
      <c r="PDY467"/>
      <c r="PDZ467"/>
      <c r="PEA467"/>
      <c r="PEB467"/>
      <c r="PEC467"/>
      <c r="PED467"/>
      <c r="PEE467"/>
      <c r="PEF467"/>
      <c r="PEG467"/>
      <c r="PEH467"/>
      <c r="PEI467"/>
      <c r="PEJ467"/>
      <c r="PEK467"/>
      <c r="PEL467"/>
      <c r="PEM467"/>
      <c r="PEN467"/>
      <c r="PEO467"/>
      <c r="PEP467"/>
      <c r="PEQ467"/>
      <c r="PER467"/>
      <c r="PES467"/>
      <c r="PET467"/>
      <c r="PEU467"/>
      <c r="PEV467"/>
      <c r="PEW467"/>
      <c r="PEX467"/>
      <c r="PEY467"/>
      <c r="PEZ467"/>
      <c r="PFA467"/>
      <c r="PFB467"/>
      <c r="PFC467"/>
      <c r="PFD467"/>
      <c r="PFE467"/>
      <c r="PFF467"/>
      <c r="PFG467"/>
      <c r="PFH467"/>
      <c r="PFI467"/>
      <c r="PFJ467"/>
      <c r="PFK467"/>
      <c r="PFL467"/>
      <c r="PFM467"/>
      <c r="PFN467"/>
      <c r="PFO467"/>
      <c r="PFP467"/>
      <c r="PFQ467"/>
      <c r="PFR467"/>
      <c r="PFS467"/>
      <c r="PFT467"/>
      <c r="PFU467"/>
      <c r="PFV467"/>
      <c r="PFW467"/>
      <c r="PFX467"/>
      <c r="PFY467"/>
      <c r="PFZ467"/>
      <c r="PGA467"/>
      <c r="PGB467"/>
      <c r="PGC467"/>
      <c r="PGD467"/>
      <c r="PGE467"/>
      <c r="PGF467"/>
      <c r="PGG467"/>
      <c r="PGH467"/>
      <c r="PGI467"/>
      <c r="PGJ467"/>
      <c r="PGK467"/>
      <c r="PGL467"/>
      <c r="PGM467"/>
      <c r="PGN467"/>
      <c r="PGO467"/>
      <c r="PGP467"/>
      <c r="PGQ467"/>
      <c r="PGR467"/>
      <c r="PGS467"/>
      <c r="PGT467"/>
      <c r="PGU467"/>
      <c r="PGV467"/>
      <c r="PGW467"/>
      <c r="PGX467"/>
      <c r="PGY467"/>
      <c r="PGZ467"/>
      <c r="PHA467"/>
      <c r="PHB467"/>
      <c r="PHC467"/>
      <c r="PHD467"/>
      <c r="PHE467"/>
      <c r="PHF467"/>
      <c r="PHG467"/>
      <c r="PHH467"/>
      <c r="PHI467"/>
      <c r="PHJ467"/>
      <c r="PHK467"/>
      <c r="PHL467"/>
      <c r="PHM467"/>
      <c r="PHN467"/>
      <c r="PHO467"/>
      <c r="PHP467"/>
      <c r="PHQ467"/>
      <c r="PHR467"/>
      <c r="PHS467"/>
      <c r="PHT467"/>
      <c r="PHU467"/>
      <c r="PHV467"/>
      <c r="PHW467"/>
      <c r="PHX467"/>
      <c r="PHY467"/>
      <c r="PHZ467"/>
      <c r="PIA467"/>
      <c r="PIB467"/>
      <c r="PIC467"/>
      <c r="PID467"/>
      <c r="PIE467"/>
      <c r="PIF467"/>
      <c r="PIG467"/>
      <c r="PIH467"/>
      <c r="PII467"/>
      <c r="PIJ467"/>
      <c r="PIK467"/>
      <c r="PIL467"/>
      <c r="PIM467"/>
      <c r="PIN467"/>
      <c r="PIO467"/>
      <c r="PIP467"/>
      <c r="PIQ467"/>
      <c r="PIR467"/>
      <c r="PIS467"/>
      <c r="PIT467"/>
      <c r="PIU467"/>
      <c r="PIV467"/>
      <c r="PIW467"/>
      <c r="PIX467"/>
      <c r="PIY467"/>
      <c r="PIZ467"/>
      <c r="PJA467"/>
      <c r="PJB467"/>
      <c r="PJC467"/>
      <c r="PJD467"/>
      <c r="PJE467"/>
      <c r="PJF467"/>
      <c r="PJG467"/>
      <c r="PJH467"/>
      <c r="PJI467"/>
      <c r="PJJ467"/>
      <c r="PJK467"/>
      <c r="PJL467"/>
      <c r="PJM467"/>
      <c r="PJN467"/>
      <c r="PJO467"/>
      <c r="PJP467"/>
      <c r="PJQ467"/>
      <c r="PJR467"/>
      <c r="PJS467"/>
      <c r="PJT467"/>
      <c r="PJU467"/>
      <c r="PJV467"/>
      <c r="PJW467"/>
      <c r="PJX467"/>
      <c r="PJY467"/>
      <c r="PJZ467"/>
      <c r="PKA467"/>
      <c r="PKB467"/>
      <c r="PKC467"/>
      <c r="PKD467"/>
      <c r="PKE467"/>
      <c r="PKF467"/>
      <c r="PKG467"/>
      <c r="PKH467"/>
      <c r="PKI467"/>
      <c r="PKJ467"/>
      <c r="PKK467"/>
      <c r="PKL467"/>
      <c r="PKM467"/>
      <c r="PKN467"/>
      <c r="PKO467"/>
      <c r="PKP467"/>
      <c r="PKQ467"/>
      <c r="PKR467"/>
      <c r="PKS467"/>
      <c r="PKT467"/>
      <c r="PKU467"/>
      <c r="PKV467"/>
      <c r="PKW467"/>
      <c r="PKX467"/>
      <c r="PKY467"/>
      <c r="PKZ467"/>
      <c r="PLA467"/>
      <c r="PLB467"/>
      <c r="PLC467"/>
      <c r="PLD467"/>
      <c r="PLE467"/>
      <c r="PLF467"/>
      <c r="PLG467"/>
      <c r="PLH467"/>
      <c r="PLI467"/>
      <c r="PLJ467"/>
      <c r="PLK467"/>
      <c r="PLL467"/>
      <c r="PLM467"/>
      <c r="PLN467"/>
      <c r="PLO467"/>
      <c r="PLP467"/>
      <c r="PLQ467"/>
      <c r="PLR467"/>
      <c r="PLS467"/>
      <c r="PLT467"/>
      <c r="PLU467"/>
      <c r="PLV467"/>
      <c r="PLW467"/>
      <c r="PLX467"/>
      <c r="PLY467"/>
      <c r="PLZ467"/>
      <c r="PMA467"/>
      <c r="PMB467"/>
      <c r="PMC467"/>
      <c r="PMD467"/>
      <c r="PME467"/>
      <c r="PMF467"/>
      <c r="PMG467"/>
      <c r="PMH467"/>
      <c r="PMI467"/>
      <c r="PMJ467"/>
      <c r="PMK467"/>
      <c r="PML467"/>
      <c r="PMM467"/>
      <c r="PMN467"/>
      <c r="PMO467"/>
      <c r="PMP467"/>
      <c r="PMQ467"/>
      <c r="PMR467"/>
      <c r="PMS467"/>
      <c r="PMT467"/>
      <c r="PMU467"/>
      <c r="PMV467"/>
      <c r="PMW467"/>
      <c r="PMX467"/>
      <c r="PMY467"/>
      <c r="PMZ467"/>
      <c r="PNA467"/>
      <c r="PNB467"/>
      <c r="PNC467"/>
      <c r="PND467"/>
      <c r="PNE467"/>
      <c r="PNF467"/>
      <c r="PNG467"/>
      <c r="PNH467"/>
      <c r="PNI467"/>
      <c r="PNJ467"/>
      <c r="PNK467"/>
      <c r="PNL467"/>
      <c r="PNM467"/>
      <c r="PNN467"/>
      <c r="PNO467"/>
      <c r="PNP467"/>
      <c r="PNQ467"/>
      <c r="PNR467"/>
      <c r="PNS467"/>
      <c r="PNT467"/>
      <c r="PNU467"/>
      <c r="PNV467"/>
      <c r="PNW467"/>
      <c r="PNX467"/>
      <c r="PNY467"/>
      <c r="PNZ467"/>
      <c r="POA467"/>
      <c r="POB467"/>
      <c r="POC467"/>
      <c r="POD467"/>
      <c r="POE467"/>
      <c r="POF467"/>
      <c r="POG467"/>
      <c r="POH467"/>
      <c r="POI467"/>
      <c r="POJ467"/>
      <c r="POK467"/>
      <c r="POL467"/>
      <c r="POM467"/>
      <c r="PON467"/>
      <c r="POO467"/>
      <c r="POP467"/>
      <c r="POQ467"/>
      <c r="POR467"/>
      <c r="POS467"/>
      <c r="POT467"/>
      <c r="POU467"/>
      <c r="POV467"/>
      <c r="POW467"/>
      <c r="POX467"/>
      <c r="POY467"/>
      <c r="POZ467"/>
      <c r="PPA467"/>
      <c r="PPB467"/>
      <c r="PPC467"/>
      <c r="PPD467"/>
      <c r="PPE467"/>
      <c r="PPF467"/>
      <c r="PPG467"/>
      <c r="PPH467"/>
      <c r="PPI467"/>
      <c r="PPJ467"/>
      <c r="PPK467"/>
      <c r="PPL467"/>
      <c r="PPM467"/>
      <c r="PPN467"/>
      <c r="PPO467"/>
      <c r="PPP467"/>
      <c r="PPQ467"/>
      <c r="PPR467"/>
      <c r="PPS467"/>
      <c r="PPT467"/>
      <c r="PPU467"/>
      <c r="PPV467"/>
      <c r="PPW467"/>
      <c r="PPX467"/>
      <c r="PPY467"/>
      <c r="PPZ467"/>
      <c r="PQA467"/>
      <c r="PQB467"/>
      <c r="PQC467"/>
      <c r="PQD467"/>
      <c r="PQE467"/>
      <c r="PQF467"/>
      <c r="PQG467"/>
      <c r="PQH467"/>
      <c r="PQI467"/>
      <c r="PQJ467"/>
      <c r="PQK467"/>
      <c r="PQL467"/>
      <c r="PQM467"/>
      <c r="PQN467"/>
      <c r="PQO467"/>
      <c r="PQP467"/>
      <c r="PQQ467"/>
      <c r="PQR467"/>
      <c r="PQS467"/>
      <c r="PQT467"/>
      <c r="PQU467"/>
      <c r="PQV467"/>
      <c r="PQW467"/>
      <c r="PQX467"/>
      <c r="PQY467"/>
      <c r="PQZ467"/>
      <c r="PRA467"/>
      <c r="PRB467"/>
      <c r="PRC467"/>
      <c r="PRD467"/>
      <c r="PRE467"/>
      <c r="PRF467"/>
      <c r="PRG467"/>
      <c r="PRH467"/>
      <c r="PRI467"/>
      <c r="PRJ467"/>
      <c r="PRK467"/>
      <c r="PRL467"/>
      <c r="PRM467"/>
      <c r="PRN467"/>
      <c r="PRO467"/>
      <c r="PRP467"/>
      <c r="PRQ467"/>
      <c r="PRR467"/>
      <c r="PRS467"/>
      <c r="PRT467"/>
      <c r="PRU467"/>
      <c r="PRV467"/>
      <c r="PRW467"/>
      <c r="PRX467"/>
      <c r="PRY467"/>
      <c r="PRZ467"/>
      <c r="PSA467"/>
      <c r="PSB467"/>
      <c r="PSC467"/>
      <c r="PSD467"/>
      <c r="PSE467"/>
      <c r="PSF467"/>
      <c r="PSG467"/>
      <c r="PSH467"/>
      <c r="PSI467"/>
      <c r="PSJ467"/>
      <c r="PSK467"/>
      <c r="PSL467"/>
      <c r="PSM467"/>
      <c r="PSN467"/>
      <c r="PSO467"/>
      <c r="PSP467"/>
      <c r="PSQ467"/>
      <c r="PSR467"/>
      <c r="PSS467"/>
      <c r="PST467"/>
      <c r="PSU467"/>
      <c r="PSV467"/>
      <c r="PSW467"/>
      <c r="PSX467"/>
      <c r="PSY467"/>
      <c r="PSZ467"/>
      <c r="PTA467"/>
      <c r="PTB467"/>
      <c r="PTC467"/>
      <c r="PTD467"/>
      <c r="PTE467"/>
      <c r="PTF467"/>
      <c r="PTG467"/>
      <c r="PTH467"/>
      <c r="PTI467"/>
      <c r="PTJ467"/>
      <c r="PTK467"/>
      <c r="PTL467"/>
      <c r="PTM467"/>
      <c r="PTN467"/>
      <c r="PTO467"/>
      <c r="PTP467"/>
      <c r="PTQ467"/>
      <c r="PTR467"/>
      <c r="PTS467"/>
      <c r="PTT467"/>
      <c r="PTU467"/>
      <c r="PTV467"/>
      <c r="PTW467"/>
      <c r="PTX467"/>
      <c r="PTY467"/>
      <c r="PTZ467"/>
      <c r="PUA467"/>
      <c r="PUB467"/>
      <c r="PUC467"/>
      <c r="PUD467"/>
      <c r="PUE467"/>
      <c r="PUF467"/>
      <c r="PUG467"/>
      <c r="PUH467"/>
      <c r="PUI467"/>
      <c r="PUJ467"/>
      <c r="PUK467"/>
      <c r="PUL467"/>
      <c r="PUM467"/>
      <c r="PUN467"/>
      <c r="PUO467"/>
      <c r="PUP467"/>
      <c r="PUQ467"/>
      <c r="PUR467"/>
      <c r="PUS467"/>
      <c r="PUT467"/>
      <c r="PUU467"/>
      <c r="PUV467"/>
      <c r="PUW467"/>
      <c r="PUX467"/>
      <c r="PUY467"/>
      <c r="PUZ467"/>
      <c r="PVA467"/>
      <c r="PVB467"/>
      <c r="PVC467"/>
      <c r="PVD467"/>
      <c r="PVE467"/>
      <c r="PVF467"/>
      <c r="PVG467"/>
      <c r="PVH467"/>
      <c r="PVI467"/>
      <c r="PVJ467"/>
      <c r="PVK467"/>
      <c r="PVL467"/>
      <c r="PVM467"/>
      <c r="PVN467"/>
      <c r="PVO467"/>
      <c r="PVP467"/>
      <c r="PVQ467"/>
      <c r="PVR467"/>
      <c r="PVS467"/>
      <c r="PVT467"/>
      <c r="PVU467"/>
      <c r="PVV467"/>
      <c r="PVW467"/>
      <c r="PVX467"/>
      <c r="PVY467"/>
      <c r="PVZ467"/>
      <c r="PWA467"/>
      <c r="PWB467"/>
      <c r="PWC467"/>
      <c r="PWD467"/>
      <c r="PWE467"/>
      <c r="PWF467"/>
      <c r="PWG467"/>
      <c r="PWH467"/>
      <c r="PWI467"/>
      <c r="PWJ467"/>
      <c r="PWK467"/>
      <c r="PWL467"/>
      <c r="PWM467"/>
      <c r="PWN467"/>
      <c r="PWO467"/>
      <c r="PWP467"/>
      <c r="PWQ467"/>
      <c r="PWR467"/>
      <c r="PWS467"/>
      <c r="PWT467"/>
      <c r="PWU467"/>
      <c r="PWV467"/>
      <c r="PWW467"/>
      <c r="PWX467"/>
      <c r="PWY467"/>
      <c r="PWZ467"/>
      <c r="PXA467"/>
      <c r="PXB467"/>
      <c r="PXC467"/>
      <c r="PXD467"/>
      <c r="PXE467"/>
      <c r="PXF467"/>
      <c r="PXG467"/>
      <c r="PXH467"/>
      <c r="PXI467"/>
      <c r="PXJ467"/>
      <c r="PXK467"/>
      <c r="PXL467"/>
      <c r="PXM467"/>
      <c r="PXN467"/>
      <c r="PXO467"/>
      <c r="PXP467"/>
      <c r="PXQ467"/>
      <c r="PXR467"/>
      <c r="PXS467"/>
      <c r="PXT467"/>
      <c r="PXU467"/>
      <c r="PXV467"/>
      <c r="PXW467"/>
      <c r="PXX467"/>
      <c r="PXY467"/>
      <c r="PXZ467"/>
      <c r="PYA467"/>
      <c r="PYB467"/>
      <c r="PYC467"/>
      <c r="PYD467"/>
      <c r="PYE467"/>
      <c r="PYF467"/>
      <c r="PYG467"/>
      <c r="PYH467"/>
      <c r="PYI467"/>
      <c r="PYJ467"/>
      <c r="PYK467"/>
      <c r="PYL467"/>
      <c r="PYM467"/>
      <c r="PYN467"/>
      <c r="PYO467"/>
      <c r="PYP467"/>
      <c r="PYQ467"/>
      <c r="PYR467"/>
      <c r="PYS467"/>
      <c r="PYT467"/>
      <c r="PYU467"/>
      <c r="PYV467"/>
      <c r="PYW467"/>
      <c r="PYX467"/>
      <c r="PYY467"/>
      <c r="PYZ467"/>
      <c r="PZA467"/>
      <c r="PZB467"/>
      <c r="PZC467"/>
      <c r="PZD467"/>
      <c r="PZE467"/>
      <c r="PZF467"/>
      <c r="PZG467"/>
      <c r="PZH467"/>
      <c r="PZI467"/>
      <c r="PZJ467"/>
      <c r="PZK467"/>
      <c r="PZL467"/>
      <c r="PZM467"/>
      <c r="PZN467"/>
      <c r="PZO467"/>
      <c r="PZP467"/>
      <c r="PZQ467"/>
      <c r="PZR467"/>
      <c r="PZS467"/>
      <c r="PZT467"/>
      <c r="PZU467"/>
      <c r="PZV467"/>
      <c r="PZW467"/>
      <c r="PZX467"/>
      <c r="PZY467"/>
      <c r="PZZ467"/>
      <c r="QAA467"/>
      <c r="QAB467"/>
      <c r="QAC467"/>
      <c r="QAD467"/>
      <c r="QAE467"/>
      <c r="QAF467"/>
      <c r="QAG467"/>
      <c r="QAH467"/>
      <c r="QAI467"/>
      <c r="QAJ467"/>
      <c r="QAK467"/>
      <c r="QAL467"/>
      <c r="QAM467"/>
      <c r="QAN467"/>
      <c r="QAO467"/>
      <c r="QAP467"/>
      <c r="QAQ467"/>
      <c r="QAR467"/>
      <c r="QAS467"/>
      <c r="QAT467"/>
      <c r="QAU467"/>
      <c r="QAV467"/>
      <c r="QAW467"/>
      <c r="QAX467"/>
      <c r="QAY467"/>
      <c r="QAZ467"/>
      <c r="QBA467"/>
      <c r="QBB467"/>
      <c r="QBC467"/>
      <c r="QBD467"/>
      <c r="QBE467"/>
      <c r="QBF467"/>
      <c r="QBG467"/>
      <c r="QBH467"/>
      <c r="QBI467"/>
      <c r="QBJ467"/>
      <c r="QBK467"/>
      <c r="QBL467"/>
      <c r="QBM467"/>
      <c r="QBN467"/>
      <c r="QBO467"/>
      <c r="QBP467"/>
      <c r="QBQ467"/>
      <c r="QBR467"/>
      <c r="QBS467"/>
      <c r="QBT467"/>
      <c r="QBU467"/>
      <c r="QBV467"/>
      <c r="QBW467"/>
      <c r="QBX467"/>
      <c r="QBY467"/>
      <c r="QBZ467"/>
      <c r="QCA467"/>
      <c r="QCB467"/>
      <c r="QCC467"/>
      <c r="QCD467"/>
      <c r="QCE467"/>
      <c r="QCF467"/>
      <c r="QCG467"/>
      <c r="QCH467"/>
      <c r="QCI467"/>
      <c r="QCJ467"/>
      <c r="QCK467"/>
      <c r="QCL467"/>
      <c r="QCM467"/>
      <c r="QCN467"/>
      <c r="QCO467"/>
      <c r="QCP467"/>
      <c r="QCQ467"/>
      <c r="QCR467"/>
      <c r="QCS467"/>
      <c r="QCT467"/>
      <c r="QCU467"/>
      <c r="QCV467"/>
      <c r="QCW467"/>
      <c r="QCX467"/>
      <c r="QCY467"/>
      <c r="QCZ467"/>
      <c r="QDA467"/>
      <c r="QDB467"/>
      <c r="QDC467"/>
      <c r="QDD467"/>
      <c r="QDE467"/>
      <c r="QDF467"/>
      <c r="QDG467"/>
      <c r="QDH467"/>
      <c r="QDI467"/>
      <c r="QDJ467"/>
      <c r="QDK467"/>
      <c r="QDL467"/>
      <c r="QDM467"/>
      <c r="QDN467"/>
      <c r="QDO467"/>
      <c r="QDP467"/>
      <c r="QDQ467"/>
      <c r="QDR467"/>
      <c r="QDS467"/>
      <c r="QDT467"/>
      <c r="QDU467"/>
      <c r="QDV467"/>
      <c r="QDW467"/>
      <c r="QDX467"/>
      <c r="QDY467"/>
      <c r="QDZ467"/>
      <c r="QEA467"/>
      <c r="QEB467"/>
      <c r="QEC467"/>
      <c r="QED467"/>
      <c r="QEE467"/>
      <c r="QEF467"/>
      <c r="QEG467"/>
      <c r="QEH467"/>
      <c r="QEI467"/>
      <c r="QEJ467"/>
      <c r="QEK467"/>
      <c r="QEL467"/>
      <c r="QEM467"/>
      <c r="QEN467"/>
      <c r="QEO467"/>
      <c r="QEP467"/>
      <c r="QEQ467"/>
      <c r="QER467"/>
      <c r="QES467"/>
      <c r="QET467"/>
      <c r="QEU467"/>
      <c r="QEV467"/>
      <c r="QEW467"/>
      <c r="QEX467"/>
      <c r="QEY467"/>
      <c r="QEZ467"/>
      <c r="QFA467"/>
      <c r="QFB467"/>
      <c r="QFC467"/>
      <c r="QFD467"/>
      <c r="QFE467"/>
      <c r="QFF467"/>
      <c r="QFG467"/>
      <c r="QFH467"/>
      <c r="QFI467"/>
      <c r="QFJ467"/>
      <c r="QFK467"/>
      <c r="QFL467"/>
      <c r="QFM467"/>
      <c r="QFN467"/>
      <c r="QFO467"/>
      <c r="QFP467"/>
      <c r="QFQ467"/>
      <c r="QFR467"/>
      <c r="QFS467"/>
      <c r="QFT467"/>
      <c r="QFU467"/>
      <c r="QFV467"/>
      <c r="QFW467"/>
      <c r="QFX467"/>
      <c r="QFY467"/>
      <c r="QFZ467"/>
      <c r="QGA467"/>
      <c r="QGB467"/>
      <c r="QGC467"/>
      <c r="QGD467"/>
      <c r="QGE467"/>
      <c r="QGF467"/>
      <c r="QGG467"/>
      <c r="QGH467"/>
      <c r="QGI467"/>
      <c r="QGJ467"/>
      <c r="QGK467"/>
      <c r="QGL467"/>
      <c r="QGM467"/>
      <c r="QGN467"/>
      <c r="QGO467"/>
      <c r="QGP467"/>
      <c r="QGQ467"/>
      <c r="QGR467"/>
      <c r="QGS467"/>
      <c r="QGT467"/>
      <c r="QGU467"/>
      <c r="QGV467"/>
      <c r="QGW467"/>
      <c r="QGX467"/>
      <c r="QGY467"/>
      <c r="QGZ467"/>
      <c r="QHA467"/>
      <c r="QHB467"/>
      <c r="QHC467"/>
      <c r="QHD467"/>
      <c r="QHE467"/>
      <c r="QHF467"/>
      <c r="QHG467"/>
      <c r="QHH467"/>
      <c r="QHI467"/>
      <c r="QHJ467"/>
      <c r="QHK467"/>
      <c r="QHL467"/>
      <c r="QHM467"/>
      <c r="QHN467"/>
      <c r="QHO467"/>
      <c r="QHP467"/>
      <c r="QHQ467"/>
      <c r="QHR467"/>
      <c r="QHS467"/>
      <c r="QHT467"/>
      <c r="QHU467"/>
      <c r="QHV467"/>
      <c r="QHW467"/>
      <c r="QHX467"/>
      <c r="QHY467"/>
      <c r="QHZ467"/>
      <c r="QIA467"/>
      <c r="QIB467"/>
      <c r="QIC467"/>
      <c r="QID467"/>
      <c r="QIE467"/>
      <c r="QIF467"/>
      <c r="QIG467"/>
      <c r="QIH467"/>
      <c r="QII467"/>
      <c r="QIJ467"/>
      <c r="QIK467"/>
      <c r="QIL467"/>
      <c r="QIM467"/>
      <c r="QIN467"/>
      <c r="QIO467"/>
      <c r="QIP467"/>
      <c r="QIQ467"/>
      <c r="QIR467"/>
      <c r="QIS467"/>
      <c r="QIT467"/>
      <c r="QIU467"/>
      <c r="QIV467"/>
      <c r="QIW467"/>
      <c r="QIX467"/>
      <c r="QIY467"/>
      <c r="QIZ467"/>
      <c r="QJA467"/>
      <c r="QJB467"/>
      <c r="QJC467"/>
      <c r="QJD467"/>
      <c r="QJE467"/>
      <c r="QJF467"/>
      <c r="QJG467"/>
      <c r="QJH467"/>
      <c r="QJI467"/>
      <c r="QJJ467"/>
      <c r="QJK467"/>
      <c r="QJL467"/>
      <c r="QJM467"/>
      <c r="QJN467"/>
      <c r="QJO467"/>
      <c r="QJP467"/>
      <c r="QJQ467"/>
      <c r="QJR467"/>
      <c r="QJS467"/>
      <c r="QJT467"/>
      <c r="QJU467"/>
      <c r="QJV467"/>
      <c r="QJW467"/>
      <c r="QJX467"/>
      <c r="QJY467"/>
      <c r="QJZ467"/>
      <c r="QKA467"/>
      <c r="QKB467"/>
      <c r="QKC467"/>
      <c r="QKD467"/>
      <c r="QKE467"/>
      <c r="QKF467"/>
      <c r="QKG467"/>
      <c r="QKH467"/>
      <c r="QKI467"/>
      <c r="QKJ467"/>
      <c r="QKK467"/>
      <c r="QKL467"/>
      <c r="QKM467"/>
      <c r="QKN467"/>
      <c r="QKO467"/>
      <c r="QKP467"/>
      <c r="QKQ467"/>
      <c r="QKR467"/>
      <c r="QKS467"/>
      <c r="QKT467"/>
      <c r="QKU467"/>
      <c r="QKV467"/>
      <c r="QKW467"/>
      <c r="QKX467"/>
      <c r="QKY467"/>
      <c r="QKZ467"/>
      <c r="QLA467"/>
      <c r="QLB467"/>
      <c r="QLC467"/>
      <c r="QLD467"/>
      <c r="QLE467"/>
      <c r="QLF467"/>
      <c r="QLG467"/>
      <c r="QLH467"/>
      <c r="QLI467"/>
      <c r="QLJ467"/>
      <c r="QLK467"/>
      <c r="QLL467"/>
      <c r="QLM467"/>
      <c r="QLN467"/>
      <c r="QLO467"/>
      <c r="QLP467"/>
      <c r="QLQ467"/>
      <c r="QLR467"/>
      <c r="QLS467"/>
      <c r="QLT467"/>
      <c r="QLU467"/>
      <c r="QLV467"/>
      <c r="QLW467"/>
      <c r="QLX467"/>
      <c r="QLY467"/>
      <c r="QLZ467"/>
      <c r="QMA467"/>
      <c r="QMB467"/>
      <c r="QMC467"/>
      <c r="QMD467"/>
      <c r="QME467"/>
      <c r="QMF467"/>
      <c r="QMG467"/>
      <c r="QMH467"/>
      <c r="QMI467"/>
      <c r="QMJ467"/>
      <c r="QMK467"/>
      <c r="QML467"/>
      <c r="QMM467"/>
      <c r="QMN467"/>
      <c r="QMO467"/>
      <c r="QMP467"/>
      <c r="QMQ467"/>
      <c r="QMR467"/>
      <c r="QMS467"/>
      <c r="QMT467"/>
      <c r="QMU467"/>
      <c r="QMV467"/>
      <c r="QMW467"/>
      <c r="QMX467"/>
      <c r="QMY467"/>
      <c r="QMZ467"/>
      <c r="QNA467"/>
      <c r="QNB467"/>
      <c r="QNC467"/>
      <c r="QND467"/>
      <c r="QNE467"/>
      <c r="QNF467"/>
      <c r="QNG467"/>
      <c r="QNH467"/>
      <c r="QNI467"/>
      <c r="QNJ467"/>
      <c r="QNK467"/>
      <c r="QNL467"/>
      <c r="QNM467"/>
      <c r="QNN467"/>
      <c r="QNO467"/>
      <c r="QNP467"/>
      <c r="QNQ467"/>
      <c r="QNR467"/>
      <c r="QNS467"/>
      <c r="QNT467"/>
      <c r="QNU467"/>
      <c r="QNV467"/>
      <c r="QNW467"/>
      <c r="QNX467"/>
      <c r="QNY467"/>
      <c r="QNZ467"/>
      <c r="QOA467"/>
      <c r="QOB467"/>
      <c r="QOC467"/>
      <c r="QOD467"/>
      <c r="QOE467"/>
      <c r="QOF467"/>
      <c r="QOG467"/>
      <c r="QOH467"/>
      <c r="QOI467"/>
      <c r="QOJ467"/>
      <c r="QOK467"/>
      <c r="QOL467"/>
      <c r="QOM467"/>
      <c r="QON467"/>
      <c r="QOO467"/>
      <c r="QOP467"/>
      <c r="QOQ467"/>
      <c r="QOR467"/>
      <c r="QOS467"/>
      <c r="QOT467"/>
      <c r="QOU467"/>
      <c r="QOV467"/>
      <c r="QOW467"/>
      <c r="QOX467"/>
      <c r="QOY467"/>
      <c r="QOZ467"/>
      <c r="QPA467"/>
      <c r="QPB467"/>
      <c r="QPC467"/>
      <c r="QPD467"/>
      <c r="QPE467"/>
      <c r="QPF467"/>
      <c r="QPG467"/>
      <c r="QPH467"/>
      <c r="QPI467"/>
      <c r="QPJ467"/>
      <c r="QPK467"/>
      <c r="QPL467"/>
      <c r="QPM467"/>
      <c r="QPN467"/>
      <c r="QPO467"/>
      <c r="QPP467"/>
      <c r="QPQ467"/>
      <c r="QPR467"/>
      <c r="QPS467"/>
      <c r="QPT467"/>
      <c r="QPU467"/>
      <c r="QPV467"/>
      <c r="QPW467"/>
      <c r="QPX467"/>
      <c r="QPY467"/>
      <c r="QPZ467"/>
      <c r="QQA467"/>
      <c r="QQB467"/>
      <c r="QQC467"/>
      <c r="QQD467"/>
      <c r="QQE467"/>
      <c r="QQF467"/>
      <c r="QQG467"/>
      <c r="QQH467"/>
      <c r="QQI467"/>
      <c r="QQJ467"/>
      <c r="QQK467"/>
      <c r="QQL467"/>
      <c r="QQM467"/>
      <c r="QQN467"/>
      <c r="QQO467"/>
      <c r="QQP467"/>
      <c r="QQQ467"/>
      <c r="QQR467"/>
      <c r="QQS467"/>
      <c r="QQT467"/>
      <c r="QQU467"/>
      <c r="QQV467"/>
      <c r="QQW467"/>
      <c r="QQX467"/>
      <c r="QQY467"/>
      <c r="QQZ467"/>
      <c r="QRA467"/>
      <c r="QRB467"/>
      <c r="QRC467"/>
      <c r="QRD467"/>
      <c r="QRE467"/>
      <c r="QRF467"/>
      <c r="QRG467"/>
      <c r="QRH467"/>
      <c r="QRI467"/>
      <c r="QRJ467"/>
      <c r="QRK467"/>
      <c r="QRL467"/>
      <c r="QRM467"/>
      <c r="QRN467"/>
      <c r="QRO467"/>
      <c r="QRP467"/>
      <c r="QRQ467"/>
      <c r="QRR467"/>
      <c r="QRS467"/>
      <c r="QRT467"/>
      <c r="QRU467"/>
      <c r="QRV467"/>
      <c r="QRW467"/>
      <c r="QRX467"/>
      <c r="QRY467"/>
      <c r="QRZ467"/>
      <c r="QSA467"/>
      <c r="QSB467"/>
      <c r="QSC467"/>
      <c r="QSD467"/>
      <c r="QSE467"/>
      <c r="QSF467"/>
      <c r="QSG467"/>
      <c r="QSH467"/>
      <c r="QSI467"/>
      <c r="QSJ467"/>
      <c r="QSK467"/>
      <c r="QSL467"/>
      <c r="QSM467"/>
      <c r="QSN467"/>
      <c r="QSO467"/>
      <c r="QSP467"/>
      <c r="QSQ467"/>
      <c r="QSR467"/>
      <c r="QSS467"/>
      <c r="QST467"/>
      <c r="QSU467"/>
      <c r="QSV467"/>
      <c r="QSW467"/>
      <c r="QSX467"/>
      <c r="QSY467"/>
      <c r="QSZ467"/>
      <c r="QTA467"/>
      <c r="QTB467"/>
      <c r="QTC467"/>
      <c r="QTD467"/>
      <c r="QTE467"/>
      <c r="QTF467"/>
      <c r="QTG467"/>
      <c r="QTH467"/>
      <c r="QTI467"/>
      <c r="QTJ467"/>
      <c r="QTK467"/>
      <c r="QTL467"/>
      <c r="QTM467"/>
      <c r="QTN467"/>
      <c r="QTO467"/>
      <c r="QTP467"/>
      <c r="QTQ467"/>
      <c r="QTR467"/>
      <c r="QTS467"/>
      <c r="QTT467"/>
      <c r="QTU467"/>
      <c r="QTV467"/>
      <c r="QTW467"/>
      <c r="QTX467"/>
      <c r="QTY467"/>
      <c r="QTZ467"/>
      <c r="QUA467"/>
      <c r="QUB467"/>
      <c r="QUC467"/>
      <c r="QUD467"/>
      <c r="QUE467"/>
      <c r="QUF467"/>
      <c r="QUG467"/>
      <c r="QUH467"/>
      <c r="QUI467"/>
      <c r="QUJ467"/>
      <c r="QUK467"/>
      <c r="QUL467"/>
      <c r="QUM467"/>
      <c r="QUN467"/>
      <c r="QUO467"/>
      <c r="QUP467"/>
      <c r="QUQ467"/>
      <c r="QUR467"/>
      <c r="QUS467"/>
      <c r="QUT467"/>
      <c r="QUU467"/>
      <c r="QUV467"/>
      <c r="QUW467"/>
      <c r="QUX467"/>
      <c r="QUY467"/>
      <c r="QUZ467"/>
      <c r="QVA467"/>
      <c r="QVB467"/>
      <c r="QVC467"/>
      <c r="QVD467"/>
      <c r="QVE467"/>
      <c r="QVF467"/>
      <c r="QVG467"/>
      <c r="QVH467"/>
      <c r="QVI467"/>
      <c r="QVJ467"/>
      <c r="QVK467"/>
      <c r="QVL467"/>
      <c r="QVM467"/>
      <c r="QVN467"/>
      <c r="QVO467"/>
      <c r="QVP467"/>
      <c r="QVQ467"/>
      <c r="QVR467"/>
      <c r="QVS467"/>
      <c r="QVT467"/>
      <c r="QVU467"/>
      <c r="QVV467"/>
      <c r="QVW467"/>
      <c r="QVX467"/>
      <c r="QVY467"/>
      <c r="QVZ467"/>
      <c r="QWA467"/>
      <c r="QWB467"/>
      <c r="QWC467"/>
      <c r="QWD467"/>
      <c r="QWE467"/>
      <c r="QWF467"/>
      <c r="QWG467"/>
      <c r="QWH467"/>
      <c r="QWI467"/>
      <c r="QWJ467"/>
      <c r="QWK467"/>
      <c r="QWL467"/>
      <c r="QWM467"/>
      <c r="QWN467"/>
      <c r="QWO467"/>
      <c r="QWP467"/>
      <c r="QWQ467"/>
      <c r="QWR467"/>
      <c r="QWS467"/>
      <c r="QWT467"/>
      <c r="QWU467"/>
      <c r="QWV467"/>
      <c r="QWW467"/>
      <c r="QWX467"/>
      <c r="QWY467"/>
      <c r="QWZ467"/>
      <c r="QXA467"/>
      <c r="QXB467"/>
      <c r="QXC467"/>
      <c r="QXD467"/>
      <c r="QXE467"/>
      <c r="QXF467"/>
      <c r="QXG467"/>
      <c r="QXH467"/>
      <c r="QXI467"/>
      <c r="QXJ467"/>
      <c r="QXK467"/>
      <c r="QXL467"/>
      <c r="QXM467"/>
      <c r="QXN467"/>
      <c r="QXO467"/>
      <c r="QXP467"/>
      <c r="QXQ467"/>
      <c r="QXR467"/>
      <c r="QXS467"/>
      <c r="QXT467"/>
      <c r="QXU467"/>
      <c r="QXV467"/>
      <c r="QXW467"/>
      <c r="QXX467"/>
      <c r="QXY467"/>
      <c r="QXZ467"/>
      <c r="QYA467"/>
      <c r="QYB467"/>
      <c r="QYC467"/>
      <c r="QYD467"/>
      <c r="QYE467"/>
      <c r="QYF467"/>
      <c r="QYG467"/>
      <c r="QYH467"/>
      <c r="QYI467"/>
      <c r="QYJ467"/>
      <c r="QYK467"/>
      <c r="QYL467"/>
      <c r="QYM467"/>
      <c r="QYN467"/>
      <c r="QYO467"/>
      <c r="QYP467"/>
      <c r="QYQ467"/>
      <c r="QYR467"/>
      <c r="QYS467"/>
      <c r="QYT467"/>
      <c r="QYU467"/>
      <c r="QYV467"/>
      <c r="QYW467"/>
      <c r="QYX467"/>
      <c r="QYY467"/>
      <c r="QYZ467"/>
      <c r="QZA467"/>
      <c r="QZB467"/>
      <c r="QZC467"/>
      <c r="QZD467"/>
      <c r="QZE467"/>
      <c r="QZF467"/>
      <c r="QZG467"/>
      <c r="QZH467"/>
      <c r="QZI467"/>
      <c r="QZJ467"/>
      <c r="QZK467"/>
      <c r="QZL467"/>
      <c r="QZM467"/>
      <c r="QZN467"/>
      <c r="QZO467"/>
      <c r="QZP467"/>
      <c r="QZQ467"/>
      <c r="QZR467"/>
      <c r="QZS467"/>
      <c r="QZT467"/>
      <c r="QZU467"/>
      <c r="QZV467"/>
      <c r="QZW467"/>
      <c r="QZX467"/>
      <c r="QZY467"/>
      <c r="QZZ467"/>
      <c r="RAA467"/>
      <c r="RAB467"/>
      <c r="RAC467"/>
      <c r="RAD467"/>
      <c r="RAE467"/>
      <c r="RAF467"/>
      <c r="RAG467"/>
      <c r="RAH467"/>
      <c r="RAI467"/>
      <c r="RAJ467"/>
      <c r="RAK467"/>
      <c r="RAL467"/>
      <c r="RAM467"/>
      <c r="RAN467"/>
      <c r="RAO467"/>
      <c r="RAP467"/>
      <c r="RAQ467"/>
      <c r="RAR467"/>
      <c r="RAS467"/>
      <c r="RAT467"/>
      <c r="RAU467"/>
      <c r="RAV467"/>
      <c r="RAW467"/>
      <c r="RAX467"/>
      <c r="RAY467"/>
      <c r="RAZ467"/>
      <c r="RBA467"/>
      <c r="RBB467"/>
      <c r="RBC467"/>
      <c r="RBD467"/>
      <c r="RBE467"/>
      <c r="RBF467"/>
      <c r="RBG467"/>
      <c r="RBH467"/>
      <c r="RBI467"/>
      <c r="RBJ467"/>
      <c r="RBK467"/>
      <c r="RBL467"/>
      <c r="RBM467"/>
      <c r="RBN467"/>
      <c r="RBO467"/>
      <c r="RBP467"/>
      <c r="RBQ467"/>
      <c r="RBR467"/>
      <c r="RBS467"/>
      <c r="RBT467"/>
      <c r="RBU467"/>
      <c r="RBV467"/>
      <c r="RBW467"/>
      <c r="RBX467"/>
      <c r="RBY467"/>
      <c r="RBZ467"/>
      <c r="RCA467"/>
      <c r="RCB467"/>
      <c r="RCC467"/>
      <c r="RCD467"/>
      <c r="RCE467"/>
      <c r="RCF467"/>
      <c r="RCG467"/>
      <c r="RCH467"/>
      <c r="RCI467"/>
      <c r="RCJ467"/>
      <c r="RCK467"/>
      <c r="RCL467"/>
      <c r="RCM467"/>
      <c r="RCN467"/>
      <c r="RCO467"/>
      <c r="RCP467"/>
      <c r="RCQ467"/>
      <c r="RCR467"/>
      <c r="RCS467"/>
      <c r="RCT467"/>
      <c r="RCU467"/>
      <c r="RCV467"/>
      <c r="RCW467"/>
      <c r="RCX467"/>
      <c r="RCY467"/>
      <c r="RCZ467"/>
      <c r="RDA467"/>
      <c r="RDB467"/>
      <c r="RDC467"/>
      <c r="RDD467"/>
      <c r="RDE467"/>
      <c r="RDF467"/>
      <c r="RDG467"/>
      <c r="RDH467"/>
      <c r="RDI467"/>
      <c r="RDJ467"/>
      <c r="RDK467"/>
      <c r="RDL467"/>
      <c r="RDM467"/>
      <c r="RDN467"/>
      <c r="RDO467"/>
      <c r="RDP467"/>
      <c r="RDQ467"/>
      <c r="RDR467"/>
      <c r="RDS467"/>
      <c r="RDT467"/>
      <c r="RDU467"/>
      <c r="RDV467"/>
      <c r="RDW467"/>
      <c r="RDX467"/>
      <c r="RDY467"/>
      <c r="RDZ467"/>
      <c r="REA467"/>
      <c r="REB467"/>
      <c r="REC467"/>
      <c r="RED467"/>
      <c r="REE467"/>
      <c r="REF467"/>
      <c r="REG467"/>
      <c r="REH467"/>
      <c r="REI467"/>
      <c r="REJ467"/>
      <c r="REK467"/>
      <c r="REL467"/>
      <c r="REM467"/>
      <c r="REN467"/>
      <c r="REO467"/>
      <c r="REP467"/>
      <c r="REQ467"/>
      <c r="RER467"/>
      <c r="RES467"/>
      <c r="RET467"/>
      <c r="REU467"/>
      <c r="REV467"/>
      <c r="REW467"/>
      <c r="REX467"/>
      <c r="REY467"/>
      <c r="REZ467"/>
      <c r="RFA467"/>
      <c r="RFB467"/>
      <c r="RFC467"/>
      <c r="RFD467"/>
      <c r="RFE467"/>
      <c r="RFF467"/>
      <c r="RFG467"/>
      <c r="RFH467"/>
      <c r="RFI467"/>
      <c r="RFJ467"/>
      <c r="RFK467"/>
      <c r="RFL467"/>
      <c r="RFM467"/>
      <c r="RFN467"/>
      <c r="RFO467"/>
      <c r="RFP467"/>
      <c r="RFQ467"/>
      <c r="RFR467"/>
      <c r="RFS467"/>
      <c r="RFT467"/>
      <c r="RFU467"/>
      <c r="RFV467"/>
      <c r="RFW467"/>
      <c r="RFX467"/>
      <c r="RFY467"/>
      <c r="RFZ467"/>
      <c r="RGA467"/>
      <c r="RGB467"/>
      <c r="RGC467"/>
      <c r="RGD467"/>
      <c r="RGE467"/>
      <c r="RGF467"/>
      <c r="RGG467"/>
      <c r="RGH467"/>
      <c r="RGI467"/>
      <c r="RGJ467"/>
      <c r="RGK467"/>
      <c r="RGL467"/>
      <c r="RGM467"/>
      <c r="RGN467"/>
      <c r="RGO467"/>
      <c r="RGP467"/>
      <c r="RGQ467"/>
      <c r="RGR467"/>
      <c r="RGS467"/>
      <c r="RGT467"/>
      <c r="RGU467"/>
      <c r="RGV467"/>
      <c r="RGW467"/>
      <c r="RGX467"/>
      <c r="RGY467"/>
      <c r="RGZ467"/>
      <c r="RHA467"/>
      <c r="RHB467"/>
      <c r="RHC467"/>
      <c r="RHD467"/>
      <c r="RHE467"/>
      <c r="RHF467"/>
      <c r="RHG467"/>
      <c r="RHH467"/>
      <c r="RHI467"/>
      <c r="RHJ467"/>
      <c r="RHK467"/>
      <c r="RHL467"/>
      <c r="RHM467"/>
      <c r="RHN467"/>
      <c r="RHO467"/>
      <c r="RHP467"/>
      <c r="RHQ467"/>
      <c r="RHR467"/>
      <c r="RHS467"/>
      <c r="RHT467"/>
      <c r="RHU467"/>
      <c r="RHV467"/>
      <c r="RHW467"/>
      <c r="RHX467"/>
      <c r="RHY467"/>
      <c r="RHZ467"/>
      <c r="RIA467"/>
      <c r="RIB467"/>
      <c r="RIC467"/>
      <c r="RID467"/>
      <c r="RIE467"/>
      <c r="RIF467"/>
      <c r="RIG467"/>
      <c r="RIH467"/>
      <c r="RII467"/>
      <c r="RIJ467"/>
      <c r="RIK467"/>
      <c r="RIL467"/>
      <c r="RIM467"/>
      <c r="RIN467"/>
      <c r="RIO467"/>
      <c r="RIP467"/>
      <c r="RIQ467"/>
      <c r="RIR467"/>
      <c r="RIS467"/>
      <c r="RIT467"/>
      <c r="RIU467"/>
      <c r="RIV467"/>
      <c r="RIW467"/>
      <c r="RIX467"/>
      <c r="RIY467"/>
      <c r="RIZ467"/>
      <c r="RJA467"/>
      <c r="RJB467"/>
      <c r="RJC467"/>
      <c r="RJD467"/>
      <c r="RJE467"/>
      <c r="RJF467"/>
      <c r="RJG467"/>
      <c r="RJH467"/>
      <c r="RJI467"/>
      <c r="RJJ467"/>
      <c r="RJK467"/>
      <c r="RJL467"/>
      <c r="RJM467"/>
      <c r="RJN467"/>
      <c r="RJO467"/>
      <c r="RJP467"/>
      <c r="RJQ467"/>
      <c r="RJR467"/>
      <c r="RJS467"/>
      <c r="RJT467"/>
      <c r="RJU467"/>
      <c r="RJV467"/>
      <c r="RJW467"/>
      <c r="RJX467"/>
      <c r="RJY467"/>
      <c r="RJZ467"/>
      <c r="RKA467"/>
      <c r="RKB467"/>
      <c r="RKC467"/>
      <c r="RKD467"/>
      <c r="RKE467"/>
      <c r="RKF467"/>
      <c r="RKG467"/>
      <c r="RKH467"/>
      <c r="RKI467"/>
      <c r="RKJ467"/>
      <c r="RKK467"/>
      <c r="RKL467"/>
      <c r="RKM467"/>
      <c r="RKN467"/>
      <c r="RKO467"/>
      <c r="RKP467"/>
      <c r="RKQ467"/>
      <c r="RKR467"/>
      <c r="RKS467"/>
      <c r="RKT467"/>
      <c r="RKU467"/>
      <c r="RKV467"/>
      <c r="RKW467"/>
      <c r="RKX467"/>
      <c r="RKY467"/>
      <c r="RKZ467"/>
      <c r="RLA467"/>
      <c r="RLB467"/>
      <c r="RLC467"/>
      <c r="RLD467"/>
      <c r="RLE467"/>
      <c r="RLF467"/>
      <c r="RLG467"/>
      <c r="RLH467"/>
      <c r="RLI467"/>
      <c r="RLJ467"/>
      <c r="RLK467"/>
      <c r="RLL467"/>
      <c r="RLM467"/>
      <c r="RLN467"/>
      <c r="RLO467"/>
      <c r="RLP467"/>
      <c r="RLQ467"/>
      <c r="RLR467"/>
      <c r="RLS467"/>
      <c r="RLT467"/>
      <c r="RLU467"/>
      <c r="RLV467"/>
      <c r="RLW467"/>
      <c r="RLX467"/>
      <c r="RLY467"/>
      <c r="RLZ467"/>
      <c r="RMA467"/>
      <c r="RMB467"/>
      <c r="RMC467"/>
      <c r="RMD467"/>
      <c r="RME467"/>
      <c r="RMF467"/>
      <c r="RMG467"/>
      <c r="RMH467"/>
      <c r="RMI467"/>
      <c r="RMJ467"/>
      <c r="RMK467"/>
      <c r="RML467"/>
      <c r="RMM467"/>
      <c r="RMN467"/>
      <c r="RMO467"/>
      <c r="RMP467"/>
      <c r="RMQ467"/>
      <c r="RMR467"/>
      <c r="RMS467"/>
      <c r="RMT467"/>
      <c r="RMU467"/>
      <c r="RMV467"/>
      <c r="RMW467"/>
      <c r="RMX467"/>
      <c r="RMY467"/>
      <c r="RMZ467"/>
      <c r="RNA467"/>
      <c r="RNB467"/>
      <c r="RNC467"/>
      <c r="RND467"/>
      <c r="RNE467"/>
      <c r="RNF467"/>
      <c r="RNG467"/>
      <c r="RNH467"/>
      <c r="RNI467"/>
      <c r="RNJ467"/>
      <c r="RNK467"/>
      <c r="RNL467"/>
      <c r="RNM467"/>
      <c r="RNN467"/>
      <c r="RNO467"/>
      <c r="RNP467"/>
      <c r="RNQ467"/>
      <c r="RNR467"/>
      <c r="RNS467"/>
      <c r="RNT467"/>
      <c r="RNU467"/>
      <c r="RNV467"/>
      <c r="RNW467"/>
      <c r="RNX467"/>
      <c r="RNY467"/>
      <c r="RNZ467"/>
      <c r="ROA467"/>
      <c r="ROB467"/>
      <c r="ROC467"/>
      <c r="ROD467"/>
      <c r="ROE467"/>
      <c r="ROF467"/>
      <c r="ROG467"/>
      <c r="ROH467"/>
      <c r="ROI467"/>
      <c r="ROJ467"/>
      <c r="ROK467"/>
      <c r="ROL467"/>
      <c r="ROM467"/>
      <c r="RON467"/>
      <c r="ROO467"/>
      <c r="ROP467"/>
      <c r="ROQ467"/>
      <c r="ROR467"/>
      <c r="ROS467"/>
      <c r="ROT467"/>
      <c r="ROU467"/>
      <c r="ROV467"/>
      <c r="ROW467"/>
      <c r="ROX467"/>
      <c r="ROY467"/>
      <c r="ROZ467"/>
      <c r="RPA467"/>
      <c r="RPB467"/>
      <c r="RPC467"/>
      <c r="RPD467"/>
      <c r="RPE467"/>
      <c r="RPF467"/>
      <c r="RPG467"/>
      <c r="RPH467"/>
      <c r="RPI467"/>
      <c r="RPJ467"/>
      <c r="RPK467"/>
      <c r="RPL467"/>
      <c r="RPM467"/>
      <c r="RPN467"/>
      <c r="RPO467"/>
      <c r="RPP467"/>
      <c r="RPQ467"/>
      <c r="RPR467"/>
      <c r="RPS467"/>
      <c r="RPT467"/>
      <c r="RPU467"/>
      <c r="RPV467"/>
      <c r="RPW467"/>
      <c r="RPX467"/>
      <c r="RPY467"/>
      <c r="RPZ467"/>
      <c r="RQA467"/>
      <c r="RQB467"/>
      <c r="RQC467"/>
      <c r="RQD467"/>
      <c r="RQE467"/>
      <c r="RQF467"/>
      <c r="RQG467"/>
      <c r="RQH467"/>
      <c r="RQI467"/>
      <c r="RQJ467"/>
      <c r="RQK467"/>
      <c r="RQL467"/>
      <c r="RQM467"/>
      <c r="RQN467"/>
      <c r="RQO467"/>
      <c r="RQP467"/>
      <c r="RQQ467"/>
      <c r="RQR467"/>
      <c r="RQS467"/>
      <c r="RQT467"/>
      <c r="RQU467"/>
      <c r="RQV467"/>
      <c r="RQW467"/>
      <c r="RQX467"/>
      <c r="RQY467"/>
      <c r="RQZ467"/>
      <c r="RRA467"/>
      <c r="RRB467"/>
      <c r="RRC467"/>
      <c r="RRD467"/>
      <c r="RRE467"/>
      <c r="RRF467"/>
      <c r="RRG467"/>
      <c r="RRH467"/>
      <c r="RRI467"/>
      <c r="RRJ467"/>
      <c r="RRK467"/>
      <c r="RRL467"/>
      <c r="RRM467"/>
      <c r="RRN467"/>
      <c r="RRO467"/>
      <c r="RRP467"/>
      <c r="RRQ467"/>
      <c r="RRR467"/>
      <c r="RRS467"/>
      <c r="RRT467"/>
      <c r="RRU467"/>
      <c r="RRV467"/>
      <c r="RRW467"/>
      <c r="RRX467"/>
      <c r="RRY467"/>
      <c r="RRZ467"/>
      <c r="RSA467"/>
      <c r="RSB467"/>
      <c r="RSC467"/>
      <c r="RSD467"/>
      <c r="RSE467"/>
      <c r="RSF467"/>
      <c r="RSG467"/>
      <c r="RSH467"/>
      <c r="RSI467"/>
      <c r="RSJ467"/>
      <c r="RSK467"/>
      <c r="RSL467"/>
      <c r="RSM467"/>
      <c r="RSN467"/>
      <c r="RSO467"/>
      <c r="RSP467"/>
      <c r="RSQ467"/>
      <c r="RSR467"/>
      <c r="RSS467"/>
      <c r="RST467"/>
      <c r="RSU467"/>
      <c r="RSV467"/>
      <c r="RSW467"/>
      <c r="RSX467"/>
      <c r="RSY467"/>
      <c r="RSZ467"/>
      <c r="RTA467"/>
      <c r="RTB467"/>
      <c r="RTC467"/>
      <c r="RTD467"/>
      <c r="RTE467"/>
      <c r="RTF467"/>
      <c r="RTG467"/>
      <c r="RTH467"/>
      <c r="RTI467"/>
      <c r="RTJ467"/>
      <c r="RTK467"/>
      <c r="RTL467"/>
      <c r="RTM467"/>
      <c r="RTN467"/>
      <c r="RTO467"/>
      <c r="RTP467"/>
      <c r="RTQ467"/>
      <c r="RTR467"/>
      <c r="RTS467"/>
      <c r="RTT467"/>
      <c r="RTU467"/>
      <c r="RTV467"/>
      <c r="RTW467"/>
      <c r="RTX467"/>
      <c r="RTY467"/>
      <c r="RTZ467"/>
      <c r="RUA467"/>
      <c r="RUB467"/>
      <c r="RUC467"/>
      <c r="RUD467"/>
      <c r="RUE467"/>
      <c r="RUF467"/>
      <c r="RUG467"/>
      <c r="RUH467"/>
      <c r="RUI467"/>
      <c r="RUJ467"/>
      <c r="RUK467"/>
      <c r="RUL467"/>
      <c r="RUM467"/>
      <c r="RUN467"/>
      <c r="RUO467"/>
      <c r="RUP467"/>
      <c r="RUQ467"/>
      <c r="RUR467"/>
      <c r="RUS467"/>
      <c r="RUT467"/>
      <c r="RUU467"/>
      <c r="RUV467"/>
      <c r="RUW467"/>
      <c r="RUX467"/>
      <c r="RUY467"/>
      <c r="RUZ467"/>
      <c r="RVA467"/>
      <c r="RVB467"/>
      <c r="RVC467"/>
      <c r="RVD467"/>
      <c r="RVE467"/>
      <c r="RVF467"/>
      <c r="RVG467"/>
      <c r="RVH467"/>
      <c r="RVI467"/>
      <c r="RVJ467"/>
      <c r="RVK467"/>
      <c r="RVL467"/>
      <c r="RVM467"/>
      <c r="RVN467"/>
      <c r="RVO467"/>
      <c r="RVP467"/>
      <c r="RVQ467"/>
      <c r="RVR467"/>
      <c r="RVS467"/>
      <c r="RVT467"/>
      <c r="RVU467"/>
      <c r="RVV467"/>
      <c r="RVW467"/>
      <c r="RVX467"/>
      <c r="RVY467"/>
      <c r="RVZ467"/>
      <c r="RWA467"/>
      <c r="RWB467"/>
      <c r="RWC467"/>
      <c r="RWD467"/>
      <c r="RWE467"/>
      <c r="RWF467"/>
      <c r="RWG467"/>
      <c r="RWH467"/>
      <c r="RWI467"/>
      <c r="RWJ467"/>
      <c r="RWK467"/>
      <c r="RWL467"/>
      <c r="RWM467"/>
      <c r="RWN467"/>
      <c r="RWO467"/>
      <c r="RWP467"/>
      <c r="RWQ467"/>
      <c r="RWR467"/>
      <c r="RWS467"/>
      <c r="RWT467"/>
      <c r="RWU467"/>
      <c r="RWV467"/>
      <c r="RWW467"/>
      <c r="RWX467"/>
      <c r="RWY467"/>
      <c r="RWZ467"/>
      <c r="RXA467"/>
      <c r="RXB467"/>
      <c r="RXC467"/>
      <c r="RXD467"/>
      <c r="RXE467"/>
      <c r="RXF467"/>
      <c r="RXG467"/>
      <c r="RXH467"/>
      <c r="RXI467"/>
      <c r="RXJ467"/>
      <c r="RXK467"/>
      <c r="RXL467"/>
      <c r="RXM467"/>
      <c r="RXN467"/>
      <c r="RXO467"/>
      <c r="RXP467"/>
      <c r="RXQ467"/>
      <c r="RXR467"/>
      <c r="RXS467"/>
      <c r="RXT467"/>
      <c r="RXU467"/>
      <c r="RXV467"/>
      <c r="RXW467"/>
      <c r="RXX467"/>
      <c r="RXY467"/>
      <c r="RXZ467"/>
      <c r="RYA467"/>
      <c r="RYB467"/>
      <c r="RYC467"/>
      <c r="RYD467"/>
      <c r="RYE467"/>
      <c r="RYF467"/>
      <c r="RYG467"/>
      <c r="RYH467"/>
      <c r="RYI467"/>
      <c r="RYJ467"/>
      <c r="RYK467"/>
      <c r="RYL467"/>
      <c r="RYM467"/>
      <c r="RYN467"/>
      <c r="RYO467"/>
      <c r="RYP467"/>
      <c r="RYQ467"/>
      <c r="RYR467"/>
      <c r="RYS467"/>
      <c r="RYT467"/>
      <c r="RYU467"/>
      <c r="RYV467"/>
      <c r="RYW467"/>
      <c r="RYX467"/>
      <c r="RYY467"/>
      <c r="RYZ467"/>
      <c r="RZA467"/>
      <c r="RZB467"/>
      <c r="RZC467"/>
      <c r="RZD467"/>
      <c r="RZE467"/>
      <c r="RZF467"/>
      <c r="RZG467"/>
      <c r="RZH467"/>
      <c r="RZI467"/>
      <c r="RZJ467"/>
      <c r="RZK467"/>
      <c r="RZL467"/>
      <c r="RZM467"/>
      <c r="RZN467"/>
      <c r="RZO467"/>
      <c r="RZP467"/>
      <c r="RZQ467"/>
      <c r="RZR467"/>
      <c r="RZS467"/>
      <c r="RZT467"/>
      <c r="RZU467"/>
      <c r="RZV467"/>
      <c r="RZW467"/>
      <c r="RZX467"/>
      <c r="RZY467"/>
      <c r="RZZ467"/>
      <c r="SAA467"/>
      <c r="SAB467"/>
      <c r="SAC467"/>
      <c r="SAD467"/>
      <c r="SAE467"/>
      <c r="SAF467"/>
      <c r="SAG467"/>
      <c r="SAH467"/>
      <c r="SAI467"/>
      <c r="SAJ467"/>
      <c r="SAK467"/>
      <c r="SAL467"/>
      <c r="SAM467"/>
      <c r="SAN467"/>
      <c r="SAO467"/>
      <c r="SAP467"/>
      <c r="SAQ467"/>
      <c r="SAR467"/>
      <c r="SAS467"/>
      <c r="SAT467"/>
      <c r="SAU467"/>
      <c r="SAV467"/>
      <c r="SAW467"/>
      <c r="SAX467"/>
      <c r="SAY467"/>
      <c r="SAZ467"/>
      <c r="SBA467"/>
      <c r="SBB467"/>
      <c r="SBC467"/>
      <c r="SBD467"/>
      <c r="SBE467"/>
      <c r="SBF467"/>
      <c r="SBG467"/>
      <c r="SBH467"/>
      <c r="SBI467"/>
      <c r="SBJ467"/>
      <c r="SBK467"/>
      <c r="SBL467"/>
      <c r="SBM467"/>
      <c r="SBN467"/>
      <c r="SBO467"/>
      <c r="SBP467"/>
      <c r="SBQ467"/>
      <c r="SBR467"/>
      <c r="SBS467"/>
      <c r="SBT467"/>
      <c r="SBU467"/>
      <c r="SBV467"/>
      <c r="SBW467"/>
      <c r="SBX467"/>
      <c r="SBY467"/>
      <c r="SBZ467"/>
      <c r="SCA467"/>
      <c r="SCB467"/>
      <c r="SCC467"/>
      <c r="SCD467"/>
      <c r="SCE467"/>
      <c r="SCF467"/>
      <c r="SCG467"/>
      <c r="SCH467"/>
      <c r="SCI467"/>
      <c r="SCJ467"/>
      <c r="SCK467"/>
      <c r="SCL467"/>
      <c r="SCM467"/>
      <c r="SCN467"/>
      <c r="SCO467"/>
      <c r="SCP467"/>
      <c r="SCQ467"/>
      <c r="SCR467"/>
      <c r="SCS467"/>
      <c r="SCT467"/>
      <c r="SCU467"/>
      <c r="SCV467"/>
      <c r="SCW467"/>
      <c r="SCX467"/>
      <c r="SCY467"/>
      <c r="SCZ467"/>
      <c r="SDA467"/>
      <c r="SDB467"/>
      <c r="SDC467"/>
      <c r="SDD467"/>
      <c r="SDE467"/>
      <c r="SDF467"/>
      <c r="SDG467"/>
      <c r="SDH467"/>
      <c r="SDI467"/>
      <c r="SDJ467"/>
      <c r="SDK467"/>
      <c r="SDL467"/>
      <c r="SDM467"/>
      <c r="SDN467"/>
      <c r="SDO467"/>
      <c r="SDP467"/>
      <c r="SDQ467"/>
      <c r="SDR467"/>
      <c r="SDS467"/>
      <c r="SDT467"/>
      <c r="SDU467"/>
      <c r="SDV467"/>
      <c r="SDW467"/>
      <c r="SDX467"/>
      <c r="SDY467"/>
      <c r="SDZ467"/>
      <c r="SEA467"/>
      <c r="SEB467"/>
      <c r="SEC467"/>
      <c r="SED467"/>
      <c r="SEE467"/>
      <c r="SEF467"/>
      <c r="SEG467"/>
      <c r="SEH467"/>
      <c r="SEI467"/>
      <c r="SEJ467"/>
      <c r="SEK467"/>
      <c r="SEL467"/>
      <c r="SEM467"/>
      <c r="SEN467"/>
      <c r="SEO467"/>
      <c r="SEP467"/>
      <c r="SEQ467"/>
      <c r="SER467"/>
      <c r="SES467"/>
      <c r="SET467"/>
      <c r="SEU467"/>
      <c r="SEV467"/>
      <c r="SEW467"/>
      <c r="SEX467"/>
      <c r="SEY467"/>
      <c r="SEZ467"/>
      <c r="SFA467"/>
      <c r="SFB467"/>
      <c r="SFC467"/>
      <c r="SFD467"/>
      <c r="SFE467"/>
      <c r="SFF467"/>
      <c r="SFG467"/>
      <c r="SFH467"/>
      <c r="SFI467"/>
      <c r="SFJ467"/>
      <c r="SFK467"/>
      <c r="SFL467"/>
      <c r="SFM467"/>
      <c r="SFN467"/>
      <c r="SFO467"/>
      <c r="SFP467"/>
      <c r="SFQ467"/>
      <c r="SFR467"/>
      <c r="SFS467"/>
      <c r="SFT467"/>
      <c r="SFU467"/>
      <c r="SFV467"/>
      <c r="SFW467"/>
      <c r="SFX467"/>
      <c r="SFY467"/>
      <c r="SFZ467"/>
      <c r="SGA467"/>
      <c r="SGB467"/>
      <c r="SGC467"/>
      <c r="SGD467"/>
      <c r="SGE467"/>
      <c r="SGF467"/>
      <c r="SGG467"/>
      <c r="SGH467"/>
      <c r="SGI467"/>
      <c r="SGJ467"/>
      <c r="SGK467"/>
      <c r="SGL467"/>
      <c r="SGM467"/>
      <c r="SGN467"/>
      <c r="SGO467"/>
      <c r="SGP467"/>
      <c r="SGQ467"/>
      <c r="SGR467"/>
      <c r="SGS467"/>
      <c r="SGT467"/>
      <c r="SGU467"/>
      <c r="SGV467"/>
      <c r="SGW467"/>
      <c r="SGX467"/>
      <c r="SGY467"/>
      <c r="SGZ467"/>
      <c r="SHA467"/>
      <c r="SHB467"/>
      <c r="SHC467"/>
      <c r="SHD467"/>
      <c r="SHE467"/>
      <c r="SHF467"/>
      <c r="SHG467"/>
      <c r="SHH467"/>
      <c r="SHI467"/>
      <c r="SHJ467"/>
      <c r="SHK467"/>
      <c r="SHL467"/>
      <c r="SHM467"/>
      <c r="SHN467"/>
      <c r="SHO467"/>
      <c r="SHP467"/>
      <c r="SHQ467"/>
      <c r="SHR467"/>
      <c r="SHS467"/>
      <c r="SHT467"/>
      <c r="SHU467"/>
      <c r="SHV467"/>
      <c r="SHW467"/>
      <c r="SHX467"/>
      <c r="SHY467"/>
      <c r="SHZ467"/>
      <c r="SIA467"/>
      <c r="SIB467"/>
      <c r="SIC467"/>
      <c r="SID467"/>
      <c r="SIE467"/>
      <c r="SIF467"/>
      <c r="SIG467"/>
      <c r="SIH467"/>
      <c r="SII467"/>
      <c r="SIJ467"/>
      <c r="SIK467"/>
      <c r="SIL467"/>
      <c r="SIM467"/>
      <c r="SIN467"/>
      <c r="SIO467"/>
      <c r="SIP467"/>
      <c r="SIQ467"/>
      <c r="SIR467"/>
      <c r="SIS467"/>
      <c r="SIT467"/>
      <c r="SIU467"/>
      <c r="SIV467"/>
      <c r="SIW467"/>
      <c r="SIX467"/>
      <c r="SIY467"/>
      <c r="SIZ467"/>
      <c r="SJA467"/>
      <c r="SJB467"/>
      <c r="SJC467"/>
      <c r="SJD467"/>
      <c r="SJE467"/>
      <c r="SJF467"/>
      <c r="SJG467"/>
      <c r="SJH467"/>
      <c r="SJI467"/>
      <c r="SJJ467"/>
      <c r="SJK467"/>
      <c r="SJL467"/>
      <c r="SJM467"/>
      <c r="SJN467"/>
      <c r="SJO467"/>
      <c r="SJP467"/>
      <c r="SJQ467"/>
      <c r="SJR467"/>
      <c r="SJS467"/>
      <c r="SJT467"/>
      <c r="SJU467"/>
      <c r="SJV467"/>
      <c r="SJW467"/>
      <c r="SJX467"/>
      <c r="SJY467"/>
      <c r="SJZ467"/>
      <c r="SKA467"/>
      <c r="SKB467"/>
      <c r="SKC467"/>
      <c r="SKD467"/>
      <c r="SKE467"/>
      <c r="SKF467"/>
      <c r="SKG467"/>
      <c r="SKH467"/>
      <c r="SKI467"/>
      <c r="SKJ467"/>
      <c r="SKK467"/>
      <c r="SKL467"/>
      <c r="SKM467"/>
      <c r="SKN467"/>
      <c r="SKO467"/>
      <c r="SKP467"/>
      <c r="SKQ467"/>
      <c r="SKR467"/>
      <c r="SKS467"/>
      <c r="SKT467"/>
      <c r="SKU467"/>
      <c r="SKV467"/>
      <c r="SKW467"/>
      <c r="SKX467"/>
      <c r="SKY467"/>
      <c r="SKZ467"/>
      <c r="SLA467"/>
      <c r="SLB467"/>
      <c r="SLC467"/>
      <c r="SLD467"/>
      <c r="SLE467"/>
      <c r="SLF467"/>
      <c r="SLG467"/>
      <c r="SLH467"/>
      <c r="SLI467"/>
      <c r="SLJ467"/>
      <c r="SLK467"/>
      <c r="SLL467"/>
      <c r="SLM467"/>
      <c r="SLN467"/>
      <c r="SLO467"/>
      <c r="SLP467"/>
      <c r="SLQ467"/>
      <c r="SLR467"/>
      <c r="SLS467"/>
      <c r="SLT467"/>
      <c r="SLU467"/>
      <c r="SLV467"/>
      <c r="SLW467"/>
      <c r="SLX467"/>
      <c r="SLY467"/>
      <c r="SLZ467"/>
      <c r="SMA467"/>
      <c r="SMB467"/>
      <c r="SMC467"/>
      <c r="SMD467"/>
      <c r="SME467"/>
      <c r="SMF467"/>
      <c r="SMG467"/>
      <c r="SMH467"/>
      <c r="SMI467"/>
      <c r="SMJ467"/>
      <c r="SMK467"/>
      <c r="SML467"/>
      <c r="SMM467"/>
      <c r="SMN467"/>
      <c r="SMO467"/>
      <c r="SMP467"/>
      <c r="SMQ467"/>
      <c r="SMR467"/>
      <c r="SMS467"/>
      <c r="SMT467"/>
      <c r="SMU467"/>
      <c r="SMV467"/>
      <c r="SMW467"/>
      <c r="SMX467"/>
      <c r="SMY467"/>
      <c r="SMZ467"/>
      <c r="SNA467"/>
      <c r="SNB467"/>
      <c r="SNC467"/>
      <c r="SND467"/>
      <c r="SNE467"/>
      <c r="SNF467"/>
      <c r="SNG467"/>
      <c r="SNH467"/>
      <c r="SNI467"/>
      <c r="SNJ467"/>
      <c r="SNK467"/>
      <c r="SNL467"/>
      <c r="SNM467"/>
      <c r="SNN467"/>
      <c r="SNO467"/>
      <c r="SNP467"/>
      <c r="SNQ467"/>
      <c r="SNR467"/>
      <c r="SNS467"/>
      <c r="SNT467"/>
      <c r="SNU467"/>
      <c r="SNV467"/>
      <c r="SNW467"/>
      <c r="SNX467"/>
      <c r="SNY467"/>
      <c r="SNZ467"/>
      <c r="SOA467"/>
      <c r="SOB467"/>
      <c r="SOC467"/>
      <c r="SOD467"/>
      <c r="SOE467"/>
      <c r="SOF467"/>
      <c r="SOG467"/>
      <c r="SOH467"/>
      <c r="SOI467"/>
      <c r="SOJ467"/>
      <c r="SOK467"/>
      <c r="SOL467"/>
      <c r="SOM467"/>
      <c r="SON467"/>
      <c r="SOO467"/>
      <c r="SOP467"/>
      <c r="SOQ467"/>
      <c r="SOR467"/>
      <c r="SOS467"/>
      <c r="SOT467"/>
      <c r="SOU467"/>
      <c r="SOV467"/>
      <c r="SOW467"/>
      <c r="SOX467"/>
      <c r="SOY467"/>
      <c r="SOZ467"/>
      <c r="SPA467"/>
      <c r="SPB467"/>
      <c r="SPC467"/>
      <c r="SPD467"/>
      <c r="SPE467"/>
      <c r="SPF467"/>
      <c r="SPG467"/>
      <c r="SPH467"/>
      <c r="SPI467"/>
      <c r="SPJ467"/>
      <c r="SPK467"/>
      <c r="SPL467"/>
      <c r="SPM467"/>
      <c r="SPN467"/>
      <c r="SPO467"/>
      <c r="SPP467"/>
      <c r="SPQ467"/>
      <c r="SPR467"/>
      <c r="SPS467"/>
      <c r="SPT467"/>
      <c r="SPU467"/>
      <c r="SPV467"/>
      <c r="SPW467"/>
      <c r="SPX467"/>
      <c r="SPY467"/>
      <c r="SPZ467"/>
      <c r="SQA467"/>
      <c r="SQB467"/>
      <c r="SQC467"/>
      <c r="SQD467"/>
      <c r="SQE467"/>
      <c r="SQF467"/>
      <c r="SQG467"/>
      <c r="SQH467"/>
      <c r="SQI467"/>
      <c r="SQJ467"/>
      <c r="SQK467"/>
      <c r="SQL467"/>
      <c r="SQM467"/>
      <c r="SQN467"/>
      <c r="SQO467"/>
      <c r="SQP467"/>
      <c r="SQQ467"/>
      <c r="SQR467"/>
      <c r="SQS467"/>
      <c r="SQT467"/>
      <c r="SQU467"/>
      <c r="SQV467"/>
      <c r="SQW467"/>
      <c r="SQX467"/>
      <c r="SQY467"/>
      <c r="SQZ467"/>
      <c r="SRA467"/>
      <c r="SRB467"/>
      <c r="SRC467"/>
      <c r="SRD467"/>
      <c r="SRE467"/>
      <c r="SRF467"/>
      <c r="SRG467"/>
      <c r="SRH467"/>
      <c r="SRI467"/>
      <c r="SRJ467"/>
      <c r="SRK467"/>
      <c r="SRL467"/>
      <c r="SRM467"/>
      <c r="SRN467"/>
      <c r="SRO467"/>
      <c r="SRP467"/>
      <c r="SRQ467"/>
      <c r="SRR467"/>
      <c r="SRS467"/>
      <c r="SRT467"/>
      <c r="SRU467"/>
      <c r="SRV467"/>
      <c r="SRW467"/>
      <c r="SRX467"/>
      <c r="SRY467"/>
      <c r="SRZ467"/>
      <c r="SSA467"/>
      <c r="SSB467"/>
      <c r="SSC467"/>
      <c r="SSD467"/>
      <c r="SSE467"/>
      <c r="SSF467"/>
      <c r="SSG467"/>
      <c r="SSH467"/>
      <c r="SSI467"/>
      <c r="SSJ467"/>
      <c r="SSK467"/>
      <c r="SSL467"/>
      <c r="SSM467"/>
      <c r="SSN467"/>
      <c r="SSO467"/>
      <c r="SSP467"/>
      <c r="SSQ467"/>
      <c r="SSR467"/>
      <c r="SSS467"/>
      <c r="SST467"/>
      <c r="SSU467"/>
      <c r="SSV467"/>
      <c r="SSW467"/>
      <c r="SSX467"/>
      <c r="SSY467"/>
      <c r="SSZ467"/>
      <c r="STA467"/>
      <c r="STB467"/>
      <c r="STC467"/>
      <c r="STD467"/>
      <c r="STE467"/>
      <c r="STF467"/>
      <c r="STG467"/>
      <c r="STH467"/>
      <c r="STI467"/>
      <c r="STJ467"/>
      <c r="STK467"/>
      <c r="STL467"/>
      <c r="STM467"/>
      <c r="STN467"/>
      <c r="STO467"/>
      <c r="STP467"/>
      <c r="STQ467"/>
      <c r="STR467"/>
      <c r="STS467"/>
      <c r="STT467"/>
      <c r="STU467"/>
      <c r="STV467"/>
      <c r="STW467"/>
      <c r="STX467"/>
      <c r="STY467"/>
      <c r="STZ467"/>
      <c r="SUA467"/>
      <c r="SUB467"/>
      <c r="SUC467"/>
      <c r="SUD467"/>
      <c r="SUE467"/>
      <c r="SUF467"/>
      <c r="SUG467"/>
      <c r="SUH467"/>
      <c r="SUI467"/>
      <c r="SUJ467"/>
      <c r="SUK467"/>
      <c r="SUL467"/>
      <c r="SUM467"/>
      <c r="SUN467"/>
      <c r="SUO467"/>
      <c r="SUP467"/>
      <c r="SUQ467"/>
      <c r="SUR467"/>
      <c r="SUS467"/>
      <c r="SUT467"/>
      <c r="SUU467"/>
      <c r="SUV467"/>
      <c r="SUW467"/>
      <c r="SUX467"/>
      <c r="SUY467"/>
      <c r="SUZ467"/>
      <c r="SVA467"/>
      <c r="SVB467"/>
      <c r="SVC467"/>
      <c r="SVD467"/>
      <c r="SVE467"/>
      <c r="SVF467"/>
      <c r="SVG467"/>
      <c r="SVH467"/>
      <c r="SVI467"/>
      <c r="SVJ467"/>
      <c r="SVK467"/>
      <c r="SVL467"/>
      <c r="SVM467"/>
      <c r="SVN467"/>
      <c r="SVO467"/>
      <c r="SVP467"/>
      <c r="SVQ467"/>
      <c r="SVR467"/>
      <c r="SVS467"/>
      <c r="SVT467"/>
      <c r="SVU467"/>
      <c r="SVV467"/>
      <c r="SVW467"/>
      <c r="SVX467"/>
      <c r="SVY467"/>
      <c r="SVZ467"/>
      <c r="SWA467"/>
      <c r="SWB467"/>
      <c r="SWC467"/>
      <c r="SWD467"/>
      <c r="SWE467"/>
      <c r="SWF467"/>
      <c r="SWG467"/>
      <c r="SWH467"/>
      <c r="SWI467"/>
      <c r="SWJ467"/>
      <c r="SWK467"/>
      <c r="SWL467"/>
      <c r="SWM467"/>
      <c r="SWN467"/>
      <c r="SWO467"/>
      <c r="SWP467"/>
      <c r="SWQ467"/>
      <c r="SWR467"/>
      <c r="SWS467"/>
      <c r="SWT467"/>
      <c r="SWU467"/>
      <c r="SWV467"/>
      <c r="SWW467"/>
      <c r="SWX467"/>
      <c r="SWY467"/>
      <c r="SWZ467"/>
      <c r="SXA467"/>
      <c r="SXB467"/>
      <c r="SXC467"/>
      <c r="SXD467"/>
      <c r="SXE467"/>
      <c r="SXF467"/>
      <c r="SXG467"/>
      <c r="SXH467"/>
      <c r="SXI467"/>
      <c r="SXJ467"/>
      <c r="SXK467"/>
      <c r="SXL467"/>
      <c r="SXM467"/>
      <c r="SXN467"/>
      <c r="SXO467"/>
      <c r="SXP467"/>
      <c r="SXQ467"/>
      <c r="SXR467"/>
      <c r="SXS467"/>
      <c r="SXT467"/>
      <c r="SXU467"/>
      <c r="SXV467"/>
      <c r="SXW467"/>
      <c r="SXX467"/>
      <c r="SXY467"/>
      <c r="SXZ467"/>
      <c r="SYA467"/>
      <c r="SYB467"/>
      <c r="SYC467"/>
      <c r="SYD467"/>
      <c r="SYE467"/>
      <c r="SYF467"/>
      <c r="SYG467"/>
      <c r="SYH467"/>
      <c r="SYI467"/>
      <c r="SYJ467"/>
      <c r="SYK467"/>
      <c r="SYL467"/>
      <c r="SYM467"/>
      <c r="SYN467"/>
      <c r="SYO467"/>
      <c r="SYP467"/>
      <c r="SYQ467"/>
      <c r="SYR467"/>
      <c r="SYS467"/>
      <c r="SYT467"/>
      <c r="SYU467"/>
      <c r="SYV467"/>
      <c r="SYW467"/>
      <c r="SYX467"/>
      <c r="SYY467"/>
      <c r="SYZ467"/>
      <c r="SZA467"/>
      <c r="SZB467"/>
      <c r="SZC467"/>
      <c r="SZD467"/>
      <c r="SZE467"/>
      <c r="SZF467"/>
      <c r="SZG467"/>
      <c r="SZH467"/>
      <c r="SZI467"/>
      <c r="SZJ467"/>
      <c r="SZK467"/>
      <c r="SZL467"/>
      <c r="SZM467"/>
      <c r="SZN467"/>
      <c r="SZO467"/>
      <c r="SZP467"/>
      <c r="SZQ467"/>
      <c r="SZR467"/>
      <c r="SZS467"/>
      <c r="SZT467"/>
      <c r="SZU467"/>
      <c r="SZV467"/>
      <c r="SZW467"/>
      <c r="SZX467"/>
      <c r="SZY467"/>
      <c r="SZZ467"/>
      <c r="TAA467"/>
      <c r="TAB467"/>
      <c r="TAC467"/>
      <c r="TAD467"/>
      <c r="TAE467"/>
      <c r="TAF467"/>
      <c r="TAG467"/>
      <c r="TAH467"/>
      <c r="TAI467"/>
      <c r="TAJ467"/>
      <c r="TAK467"/>
      <c r="TAL467"/>
      <c r="TAM467"/>
      <c r="TAN467"/>
      <c r="TAO467"/>
      <c r="TAP467"/>
      <c r="TAQ467"/>
      <c r="TAR467"/>
      <c r="TAS467"/>
      <c r="TAT467"/>
      <c r="TAU467"/>
      <c r="TAV467"/>
      <c r="TAW467"/>
      <c r="TAX467"/>
      <c r="TAY467"/>
      <c r="TAZ467"/>
      <c r="TBA467"/>
      <c r="TBB467"/>
      <c r="TBC467"/>
      <c r="TBD467"/>
      <c r="TBE467"/>
      <c r="TBF467"/>
      <c r="TBG467"/>
      <c r="TBH467"/>
      <c r="TBI467"/>
      <c r="TBJ467"/>
      <c r="TBK467"/>
      <c r="TBL467"/>
      <c r="TBM467"/>
      <c r="TBN467"/>
      <c r="TBO467"/>
      <c r="TBP467"/>
      <c r="TBQ467"/>
      <c r="TBR467"/>
      <c r="TBS467"/>
      <c r="TBT467"/>
      <c r="TBU467"/>
      <c r="TBV467"/>
      <c r="TBW467"/>
      <c r="TBX467"/>
      <c r="TBY467"/>
      <c r="TBZ467"/>
      <c r="TCA467"/>
      <c r="TCB467"/>
      <c r="TCC467"/>
      <c r="TCD467"/>
      <c r="TCE467"/>
      <c r="TCF467"/>
      <c r="TCG467"/>
      <c r="TCH467"/>
      <c r="TCI467"/>
      <c r="TCJ467"/>
      <c r="TCK467"/>
      <c r="TCL467"/>
      <c r="TCM467"/>
      <c r="TCN467"/>
      <c r="TCO467"/>
      <c r="TCP467"/>
      <c r="TCQ467"/>
      <c r="TCR467"/>
      <c r="TCS467"/>
      <c r="TCT467"/>
      <c r="TCU467"/>
      <c r="TCV467"/>
      <c r="TCW467"/>
      <c r="TCX467"/>
      <c r="TCY467"/>
      <c r="TCZ467"/>
      <c r="TDA467"/>
      <c r="TDB467"/>
      <c r="TDC467"/>
      <c r="TDD467"/>
      <c r="TDE467"/>
      <c r="TDF467"/>
      <c r="TDG467"/>
      <c r="TDH467"/>
      <c r="TDI467"/>
      <c r="TDJ467"/>
      <c r="TDK467"/>
      <c r="TDL467"/>
      <c r="TDM467"/>
      <c r="TDN467"/>
      <c r="TDO467"/>
      <c r="TDP467"/>
      <c r="TDQ467"/>
      <c r="TDR467"/>
      <c r="TDS467"/>
      <c r="TDT467"/>
      <c r="TDU467"/>
      <c r="TDV467"/>
      <c r="TDW467"/>
      <c r="TDX467"/>
      <c r="TDY467"/>
      <c r="TDZ467"/>
      <c r="TEA467"/>
      <c r="TEB467"/>
      <c r="TEC467"/>
      <c r="TED467"/>
      <c r="TEE467"/>
      <c r="TEF467"/>
      <c r="TEG467"/>
      <c r="TEH467"/>
      <c r="TEI467"/>
      <c r="TEJ467"/>
      <c r="TEK467"/>
      <c r="TEL467"/>
      <c r="TEM467"/>
      <c r="TEN467"/>
      <c r="TEO467"/>
      <c r="TEP467"/>
      <c r="TEQ467"/>
      <c r="TER467"/>
      <c r="TES467"/>
      <c r="TET467"/>
      <c r="TEU467"/>
      <c r="TEV467"/>
      <c r="TEW467"/>
      <c r="TEX467"/>
      <c r="TEY467"/>
      <c r="TEZ467"/>
      <c r="TFA467"/>
      <c r="TFB467"/>
      <c r="TFC467"/>
      <c r="TFD467"/>
      <c r="TFE467"/>
      <c r="TFF467"/>
      <c r="TFG467"/>
      <c r="TFH467"/>
      <c r="TFI467"/>
      <c r="TFJ467"/>
      <c r="TFK467"/>
      <c r="TFL467"/>
      <c r="TFM467"/>
      <c r="TFN467"/>
      <c r="TFO467"/>
      <c r="TFP467"/>
      <c r="TFQ467"/>
      <c r="TFR467"/>
      <c r="TFS467"/>
      <c r="TFT467"/>
      <c r="TFU467"/>
      <c r="TFV467"/>
      <c r="TFW467"/>
      <c r="TFX467"/>
      <c r="TFY467"/>
      <c r="TFZ467"/>
      <c r="TGA467"/>
      <c r="TGB467"/>
      <c r="TGC467"/>
      <c r="TGD467"/>
      <c r="TGE467"/>
      <c r="TGF467"/>
      <c r="TGG467"/>
      <c r="TGH467"/>
      <c r="TGI467"/>
      <c r="TGJ467"/>
      <c r="TGK467"/>
      <c r="TGL467"/>
      <c r="TGM467"/>
      <c r="TGN467"/>
      <c r="TGO467"/>
      <c r="TGP467"/>
      <c r="TGQ467"/>
      <c r="TGR467"/>
      <c r="TGS467"/>
      <c r="TGT467"/>
      <c r="TGU467"/>
      <c r="TGV467"/>
      <c r="TGW467"/>
      <c r="TGX467"/>
      <c r="TGY467"/>
      <c r="TGZ467"/>
      <c r="THA467"/>
      <c r="THB467"/>
      <c r="THC467"/>
      <c r="THD467"/>
      <c r="THE467"/>
      <c r="THF467"/>
      <c r="THG467"/>
      <c r="THH467"/>
      <c r="THI467"/>
      <c r="THJ467"/>
      <c r="THK467"/>
      <c r="THL467"/>
      <c r="THM467"/>
      <c r="THN467"/>
      <c r="THO467"/>
      <c r="THP467"/>
      <c r="THQ467"/>
      <c r="THR467"/>
      <c r="THS467"/>
      <c r="THT467"/>
      <c r="THU467"/>
      <c r="THV467"/>
      <c r="THW467"/>
      <c r="THX467"/>
      <c r="THY467"/>
      <c r="THZ467"/>
      <c r="TIA467"/>
      <c r="TIB467"/>
      <c r="TIC467"/>
      <c r="TID467"/>
      <c r="TIE467"/>
      <c r="TIF467"/>
      <c r="TIG467"/>
      <c r="TIH467"/>
      <c r="TII467"/>
      <c r="TIJ467"/>
      <c r="TIK467"/>
      <c r="TIL467"/>
      <c r="TIM467"/>
      <c r="TIN467"/>
      <c r="TIO467"/>
      <c r="TIP467"/>
      <c r="TIQ467"/>
      <c r="TIR467"/>
      <c r="TIS467"/>
      <c r="TIT467"/>
      <c r="TIU467"/>
      <c r="TIV467"/>
      <c r="TIW467"/>
      <c r="TIX467"/>
      <c r="TIY467"/>
      <c r="TIZ467"/>
      <c r="TJA467"/>
      <c r="TJB467"/>
      <c r="TJC467"/>
      <c r="TJD467"/>
      <c r="TJE467"/>
      <c r="TJF467"/>
      <c r="TJG467"/>
      <c r="TJH467"/>
      <c r="TJI467"/>
      <c r="TJJ467"/>
      <c r="TJK467"/>
      <c r="TJL467"/>
      <c r="TJM467"/>
      <c r="TJN467"/>
      <c r="TJO467"/>
      <c r="TJP467"/>
      <c r="TJQ467"/>
      <c r="TJR467"/>
      <c r="TJS467"/>
      <c r="TJT467"/>
      <c r="TJU467"/>
      <c r="TJV467"/>
      <c r="TJW467"/>
      <c r="TJX467"/>
      <c r="TJY467"/>
      <c r="TJZ467"/>
      <c r="TKA467"/>
      <c r="TKB467"/>
      <c r="TKC467"/>
      <c r="TKD467"/>
      <c r="TKE467"/>
      <c r="TKF467"/>
      <c r="TKG467"/>
      <c r="TKH467"/>
      <c r="TKI467"/>
      <c r="TKJ467"/>
      <c r="TKK467"/>
      <c r="TKL467"/>
      <c r="TKM467"/>
      <c r="TKN467"/>
      <c r="TKO467"/>
      <c r="TKP467"/>
      <c r="TKQ467"/>
      <c r="TKR467"/>
      <c r="TKS467"/>
      <c r="TKT467"/>
      <c r="TKU467"/>
      <c r="TKV467"/>
      <c r="TKW467"/>
      <c r="TKX467"/>
      <c r="TKY467"/>
      <c r="TKZ467"/>
      <c r="TLA467"/>
      <c r="TLB467"/>
      <c r="TLC467"/>
      <c r="TLD467"/>
      <c r="TLE467"/>
      <c r="TLF467"/>
      <c r="TLG467"/>
      <c r="TLH467"/>
      <c r="TLI467"/>
      <c r="TLJ467"/>
      <c r="TLK467"/>
      <c r="TLL467"/>
      <c r="TLM467"/>
      <c r="TLN467"/>
      <c r="TLO467"/>
      <c r="TLP467"/>
      <c r="TLQ467"/>
      <c r="TLR467"/>
      <c r="TLS467"/>
      <c r="TLT467"/>
      <c r="TLU467"/>
      <c r="TLV467"/>
      <c r="TLW467"/>
      <c r="TLX467"/>
      <c r="TLY467"/>
      <c r="TLZ467"/>
      <c r="TMA467"/>
      <c r="TMB467"/>
      <c r="TMC467"/>
      <c r="TMD467"/>
      <c r="TME467"/>
      <c r="TMF467"/>
      <c r="TMG467"/>
      <c r="TMH467"/>
      <c r="TMI467"/>
      <c r="TMJ467"/>
      <c r="TMK467"/>
      <c r="TML467"/>
      <c r="TMM467"/>
      <c r="TMN467"/>
      <c r="TMO467"/>
      <c r="TMP467"/>
      <c r="TMQ467"/>
      <c r="TMR467"/>
      <c r="TMS467"/>
      <c r="TMT467"/>
      <c r="TMU467"/>
      <c r="TMV467"/>
      <c r="TMW467"/>
      <c r="TMX467"/>
      <c r="TMY467"/>
      <c r="TMZ467"/>
      <c r="TNA467"/>
      <c r="TNB467"/>
      <c r="TNC467"/>
      <c r="TND467"/>
      <c r="TNE467"/>
      <c r="TNF467"/>
      <c r="TNG467"/>
      <c r="TNH467"/>
      <c r="TNI467"/>
      <c r="TNJ467"/>
      <c r="TNK467"/>
      <c r="TNL467"/>
      <c r="TNM467"/>
      <c r="TNN467"/>
      <c r="TNO467"/>
      <c r="TNP467"/>
      <c r="TNQ467"/>
      <c r="TNR467"/>
      <c r="TNS467"/>
      <c r="TNT467"/>
      <c r="TNU467"/>
      <c r="TNV467"/>
      <c r="TNW467"/>
      <c r="TNX467"/>
      <c r="TNY467"/>
      <c r="TNZ467"/>
      <c r="TOA467"/>
      <c r="TOB467"/>
      <c r="TOC467"/>
      <c r="TOD467"/>
      <c r="TOE467"/>
      <c r="TOF467"/>
      <c r="TOG467"/>
      <c r="TOH467"/>
      <c r="TOI467"/>
      <c r="TOJ467"/>
      <c r="TOK467"/>
      <c r="TOL467"/>
      <c r="TOM467"/>
      <c r="TON467"/>
      <c r="TOO467"/>
      <c r="TOP467"/>
      <c r="TOQ467"/>
      <c r="TOR467"/>
      <c r="TOS467"/>
      <c r="TOT467"/>
      <c r="TOU467"/>
      <c r="TOV467"/>
      <c r="TOW467"/>
      <c r="TOX467"/>
      <c r="TOY467"/>
      <c r="TOZ467"/>
      <c r="TPA467"/>
      <c r="TPB467"/>
      <c r="TPC467"/>
      <c r="TPD467"/>
      <c r="TPE467"/>
      <c r="TPF467"/>
      <c r="TPG467"/>
      <c r="TPH467"/>
      <c r="TPI467"/>
      <c r="TPJ467"/>
      <c r="TPK467"/>
      <c r="TPL467"/>
      <c r="TPM467"/>
      <c r="TPN467"/>
      <c r="TPO467"/>
      <c r="TPP467"/>
      <c r="TPQ467"/>
      <c r="TPR467"/>
      <c r="TPS467"/>
      <c r="TPT467"/>
      <c r="TPU467"/>
      <c r="TPV467"/>
      <c r="TPW467"/>
      <c r="TPX467"/>
      <c r="TPY467"/>
      <c r="TPZ467"/>
      <c r="TQA467"/>
      <c r="TQB467"/>
      <c r="TQC467"/>
      <c r="TQD467"/>
      <c r="TQE467"/>
      <c r="TQF467"/>
      <c r="TQG467"/>
      <c r="TQH467"/>
      <c r="TQI467"/>
      <c r="TQJ467"/>
      <c r="TQK467"/>
      <c r="TQL467"/>
      <c r="TQM467"/>
      <c r="TQN467"/>
      <c r="TQO467"/>
      <c r="TQP467"/>
      <c r="TQQ467"/>
      <c r="TQR467"/>
      <c r="TQS467"/>
      <c r="TQT467"/>
      <c r="TQU467"/>
      <c r="TQV467"/>
      <c r="TQW467"/>
      <c r="TQX467"/>
      <c r="TQY467"/>
      <c r="TQZ467"/>
      <c r="TRA467"/>
      <c r="TRB467"/>
      <c r="TRC467"/>
      <c r="TRD467"/>
      <c r="TRE467"/>
      <c r="TRF467"/>
      <c r="TRG467"/>
      <c r="TRH467"/>
      <c r="TRI467"/>
      <c r="TRJ467"/>
      <c r="TRK467"/>
      <c r="TRL467"/>
      <c r="TRM467"/>
      <c r="TRN467"/>
      <c r="TRO467"/>
      <c r="TRP467"/>
      <c r="TRQ467"/>
      <c r="TRR467"/>
      <c r="TRS467"/>
      <c r="TRT467"/>
      <c r="TRU467"/>
      <c r="TRV467"/>
      <c r="TRW467"/>
      <c r="TRX467"/>
      <c r="TRY467"/>
      <c r="TRZ467"/>
      <c r="TSA467"/>
      <c r="TSB467"/>
      <c r="TSC467"/>
      <c r="TSD467"/>
      <c r="TSE467"/>
      <c r="TSF467"/>
      <c r="TSG467"/>
      <c r="TSH467"/>
      <c r="TSI467"/>
      <c r="TSJ467"/>
      <c r="TSK467"/>
      <c r="TSL467"/>
      <c r="TSM467"/>
      <c r="TSN467"/>
      <c r="TSO467"/>
      <c r="TSP467"/>
      <c r="TSQ467"/>
      <c r="TSR467"/>
      <c r="TSS467"/>
      <c r="TST467"/>
      <c r="TSU467"/>
      <c r="TSV467"/>
      <c r="TSW467"/>
      <c r="TSX467"/>
      <c r="TSY467"/>
      <c r="TSZ467"/>
      <c r="TTA467"/>
      <c r="TTB467"/>
      <c r="TTC467"/>
      <c r="TTD467"/>
      <c r="TTE467"/>
      <c r="TTF467"/>
      <c r="TTG467"/>
      <c r="TTH467"/>
      <c r="TTI467"/>
      <c r="TTJ467"/>
      <c r="TTK467"/>
      <c r="TTL467"/>
      <c r="TTM467"/>
      <c r="TTN467"/>
      <c r="TTO467"/>
      <c r="TTP467"/>
      <c r="TTQ467"/>
      <c r="TTR467"/>
      <c r="TTS467"/>
      <c r="TTT467"/>
      <c r="TTU467"/>
      <c r="TTV467"/>
      <c r="TTW467"/>
      <c r="TTX467"/>
      <c r="TTY467"/>
      <c r="TTZ467"/>
      <c r="TUA467"/>
      <c r="TUB467"/>
      <c r="TUC467"/>
      <c r="TUD467"/>
      <c r="TUE467"/>
      <c r="TUF467"/>
      <c r="TUG467"/>
      <c r="TUH467"/>
      <c r="TUI467"/>
      <c r="TUJ467"/>
      <c r="TUK467"/>
      <c r="TUL467"/>
      <c r="TUM467"/>
      <c r="TUN467"/>
      <c r="TUO467"/>
      <c r="TUP467"/>
      <c r="TUQ467"/>
      <c r="TUR467"/>
      <c r="TUS467"/>
      <c r="TUT467"/>
      <c r="TUU467"/>
      <c r="TUV467"/>
      <c r="TUW467"/>
      <c r="TUX467"/>
      <c r="TUY467"/>
      <c r="TUZ467"/>
      <c r="TVA467"/>
      <c r="TVB467"/>
      <c r="TVC467"/>
      <c r="TVD467"/>
      <c r="TVE467"/>
      <c r="TVF467"/>
      <c r="TVG467"/>
      <c r="TVH467"/>
      <c r="TVI467"/>
      <c r="TVJ467"/>
      <c r="TVK467"/>
      <c r="TVL467"/>
      <c r="TVM467"/>
      <c r="TVN467"/>
      <c r="TVO467"/>
      <c r="TVP467"/>
      <c r="TVQ467"/>
      <c r="TVR467"/>
      <c r="TVS467"/>
      <c r="TVT467"/>
      <c r="TVU467"/>
      <c r="TVV467"/>
      <c r="TVW467"/>
      <c r="TVX467"/>
      <c r="TVY467"/>
      <c r="TVZ467"/>
      <c r="TWA467"/>
      <c r="TWB467"/>
      <c r="TWC467"/>
      <c r="TWD467"/>
      <c r="TWE467"/>
      <c r="TWF467"/>
      <c r="TWG467"/>
      <c r="TWH467"/>
      <c r="TWI467"/>
      <c r="TWJ467"/>
      <c r="TWK467"/>
      <c r="TWL467"/>
      <c r="TWM467"/>
      <c r="TWN467"/>
      <c r="TWO467"/>
      <c r="TWP467"/>
      <c r="TWQ467"/>
      <c r="TWR467"/>
      <c r="TWS467"/>
      <c r="TWT467"/>
      <c r="TWU467"/>
      <c r="TWV467"/>
      <c r="TWW467"/>
      <c r="TWX467"/>
      <c r="TWY467"/>
      <c r="TWZ467"/>
      <c r="TXA467"/>
      <c r="TXB467"/>
      <c r="TXC467"/>
      <c r="TXD467"/>
      <c r="TXE467"/>
      <c r="TXF467"/>
      <c r="TXG467"/>
      <c r="TXH467"/>
      <c r="TXI467"/>
      <c r="TXJ467"/>
      <c r="TXK467"/>
      <c r="TXL467"/>
      <c r="TXM467"/>
      <c r="TXN467"/>
      <c r="TXO467"/>
      <c r="TXP467"/>
      <c r="TXQ467"/>
      <c r="TXR467"/>
      <c r="TXS467"/>
      <c r="TXT467"/>
      <c r="TXU467"/>
      <c r="TXV467"/>
      <c r="TXW467"/>
      <c r="TXX467"/>
      <c r="TXY467"/>
      <c r="TXZ467"/>
      <c r="TYA467"/>
      <c r="TYB467"/>
      <c r="TYC467"/>
      <c r="TYD467"/>
      <c r="TYE467"/>
      <c r="TYF467"/>
      <c r="TYG467"/>
      <c r="TYH467"/>
      <c r="TYI467"/>
      <c r="TYJ467"/>
      <c r="TYK467"/>
      <c r="TYL467"/>
      <c r="TYM467"/>
      <c r="TYN467"/>
      <c r="TYO467"/>
      <c r="TYP467"/>
      <c r="TYQ467"/>
      <c r="TYR467"/>
      <c r="TYS467"/>
      <c r="TYT467"/>
      <c r="TYU467"/>
      <c r="TYV467"/>
      <c r="TYW467"/>
      <c r="TYX467"/>
      <c r="TYY467"/>
      <c r="TYZ467"/>
      <c r="TZA467"/>
      <c r="TZB467"/>
      <c r="TZC467"/>
      <c r="TZD467"/>
      <c r="TZE467"/>
      <c r="TZF467"/>
      <c r="TZG467"/>
      <c r="TZH467"/>
      <c r="TZI467"/>
      <c r="TZJ467"/>
      <c r="TZK467"/>
      <c r="TZL467"/>
      <c r="TZM467"/>
      <c r="TZN467"/>
      <c r="TZO467"/>
      <c r="TZP467"/>
      <c r="TZQ467"/>
      <c r="TZR467"/>
      <c r="TZS467"/>
      <c r="TZT467"/>
      <c r="TZU467"/>
      <c r="TZV467"/>
      <c r="TZW467"/>
      <c r="TZX467"/>
      <c r="TZY467"/>
      <c r="TZZ467"/>
      <c r="UAA467"/>
      <c r="UAB467"/>
      <c r="UAC467"/>
      <c r="UAD467"/>
      <c r="UAE467"/>
      <c r="UAF467"/>
      <c r="UAG467"/>
      <c r="UAH467"/>
      <c r="UAI467"/>
      <c r="UAJ467"/>
      <c r="UAK467"/>
      <c r="UAL467"/>
      <c r="UAM467"/>
      <c r="UAN467"/>
      <c r="UAO467"/>
      <c r="UAP467"/>
      <c r="UAQ467"/>
      <c r="UAR467"/>
      <c r="UAS467"/>
      <c r="UAT467"/>
      <c r="UAU467"/>
      <c r="UAV467"/>
      <c r="UAW467"/>
      <c r="UAX467"/>
      <c r="UAY467"/>
      <c r="UAZ467"/>
      <c r="UBA467"/>
      <c r="UBB467"/>
      <c r="UBC467"/>
      <c r="UBD467"/>
      <c r="UBE467"/>
      <c r="UBF467"/>
      <c r="UBG467"/>
      <c r="UBH467"/>
      <c r="UBI467"/>
      <c r="UBJ467"/>
      <c r="UBK467"/>
      <c r="UBL467"/>
      <c r="UBM467"/>
      <c r="UBN467"/>
      <c r="UBO467"/>
      <c r="UBP467"/>
      <c r="UBQ467"/>
      <c r="UBR467"/>
      <c r="UBS467"/>
      <c r="UBT467"/>
      <c r="UBU467"/>
      <c r="UBV467"/>
      <c r="UBW467"/>
      <c r="UBX467"/>
      <c r="UBY467"/>
      <c r="UBZ467"/>
      <c r="UCA467"/>
      <c r="UCB467"/>
      <c r="UCC467"/>
      <c r="UCD467"/>
      <c r="UCE467"/>
      <c r="UCF467"/>
      <c r="UCG467"/>
      <c r="UCH467"/>
      <c r="UCI467"/>
      <c r="UCJ467"/>
      <c r="UCK467"/>
      <c r="UCL467"/>
      <c r="UCM467"/>
      <c r="UCN467"/>
      <c r="UCO467"/>
      <c r="UCP467"/>
      <c r="UCQ467"/>
      <c r="UCR467"/>
      <c r="UCS467"/>
      <c r="UCT467"/>
      <c r="UCU467"/>
      <c r="UCV467"/>
      <c r="UCW467"/>
      <c r="UCX467"/>
      <c r="UCY467"/>
      <c r="UCZ467"/>
      <c r="UDA467"/>
      <c r="UDB467"/>
      <c r="UDC467"/>
      <c r="UDD467"/>
      <c r="UDE467"/>
      <c r="UDF467"/>
      <c r="UDG467"/>
      <c r="UDH467"/>
      <c r="UDI467"/>
      <c r="UDJ467"/>
      <c r="UDK467"/>
      <c r="UDL467"/>
      <c r="UDM467"/>
      <c r="UDN467"/>
      <c r="UDO467"/>
      <c r="UDP467"/>
      <c r="UDQ467"/>
      <c r="UDR467"/>
      <c r="UDS467"/>
      <c r="UDT467"/>
      <c r="UDU467"/>
      <c r="UDV467"/>
      <c r="UDW467"/>
      <c r="UDX467"/>
      <c r="UDY467"/>
      <c r="UDZ467"/>
      <c r="UEA467"/>
      <c r="UEB467"/>
      <c r="UEC467"/>
      <c r="UED467"/>
      <c r="UEE467"/>
      <c r="UEF467"/>
      <c r="UEG467"/>
      <c r="UEH467"/>
      <c r="UEI467"/>
      <c r="UEJ467"/>
      <c r="UEK467"/>
      <c r="UEL467"/>
      <c r="UEM467"/>
      <c r="UEN467"/>
      <c r="UEO467"/>
      <c r="UEP467"/>
      <c r="UEQ467"/>
      <c r="UER467"/>
      <c r="UES467"/>
      <c r="UET467"/>
      <c r="UEU467"/>
      <c r="UEV467"/>
      <c r="UEW467"/>
      <c r="UEX467"/>
      <c r="UEY467"/>
      <c r="UEZ467"/>
      <c r="UFA467"/>
      <c r="UFB467"/>
      <c r="UFC467"/>
      <c r="UFD467"/>
      <c r="UFE467"/>
      <c r="UFF467"/>
      <c r="UFG467"/>
      <c r="UFH467"/>
      <c r="UFI467"/>
      <c r="UFJ467"/>
      <c r="UFK467"/>
      <c r="UFL467"/>
      <c r="UFM467"/>
      <c r="UFN467"/>
      <c r="UFO467"/>
      <c r="UFP467"/>
      <c r="UFQ467"/>
      <c r="UFR467"/>
      <c r="UFS467"/>
      <c r="UFT467"/>
      <c r="UFU467"/>
      <c r="UFV467"/>
      <c r="UFW467"/>
      <c r="UFX467"/>
      <c r="UFY467"/>
      <c r="UFZ467"/>
      <c r="UGA467"/>
      <c r="UGB467"/>
      <c r="UGC467"/>
      <c r="UGD467"/>
      <c r="UGE467"/>
      <c r="UGF467"/>
      <c r="UGG467"/>
      <c r="UGH467"/>
      <c r="UGI467"/>
      <c r="UGJ467"/>
      <c r="UGK467"/>
      <c r="UGL467"/>
      <c r="UGM467"/>
      <c r="UGN467"/>
      <c r="UGO467"/>
      <c r="UGP467"/>
      <c r="UGQ467"/>
      <c r="UGR467"/>
      <c r="UGS467"/>
      <c r="UGT467"/>
      <c r="UGU467"/>
      <c r="UGV467"/>
      <c r="UGW467"/>
      <c r="UGX467"/>
      <c r="UGY467"/>
      <c r="UGZ467"/>
      <c r="UHA467"/>
      <c r="UHB467"/>
      <c r="UHC467"/>
      <c r="UHD467"/>
      <c r="UHE467"/>
      <c r="UHF467"/>
      <c r="UHG467"/>
      <c r="UHH467"/>
      <c r="UHI467"/>
      <c r="UHJ467"/>
      <c r="UHK467"/>
      <c r="UHL467"/>
      <c r="UHM467"/>
      <c r="UHN467"/>
      <c r="UHO467"/>
      <c r="UHP467"/>
      <c r="UHQ467"/>
      <c r="UHR467"/>
      <c r="UHS467"/>
      <c r="UHT467"/>
      <c r="UHU467"/>
      <c r="UHV467"/>
      <c r="UHW467"/>
      <c r="UHX467"/>
      <c r="UHY467"/>
      <c r="UHZ467"/>
      <c r="UIA467"/>
      <c r="UIB467"/>
      <c r="UIC467"/>
      <c r="UID467"/>
      <c r="UIE467"/>
      <c r="UIF467"/>
      <c r="UIG467"/>
      <c r="UIH467"/>
      <c r="UII467"/>
      <c r="UIJ467"/>
      <c r="UIK467"/>
      <c r="UIL467"/>
      <c r="UIM467"/>
      <c r="UIN467"/>
      <c r="UIO467"/>
      <c r="UIP467"/>
      <c r="UIQ467"/>
      <c r="UIR467"/>
      <c r="UIS467"/>
      <c r="UIT467"/>
      <c r="UIU467"/>
      <c r="UIV467"/>
      <c r="UIW467"/>
      <c r="UIX467"/>
      <c r="UIY467"/>
      <c r="UIZ467"/>
      <c r="UJA467"/>
      <c r="UJB467"/>
      <c r="UJC467"/>
      <c r="UJD467"/>
      <c r="UJE467"/>
      <c r="UJF467"/>
      <c r="UJG467"/>
      <c r="UJH467"/>
      <c r="UJI467"/>
      <c r="UJJ467"/>
      <c r="UJK467"/>
      <c r="UJL467"/>
      <c r="UJM467"/>
      <c r="UJN467"/>
      <c r="UJO467"/>
      <c r="UJP467"/>
      <c r="UJQ467"/>
      <c r="UJR467"/>
      <c r="UJS467"/>
      <c r="UJT467"/>
      <c r="UJU467"/>
      <c r="UJV467"/>
      <c r="UJW467"/>
      <c r="UJX467"/>
      <c r="UJY467"/>
      <c r="UJZ467"/>
      <c r="UKA467"/>
      <c r="UKB467"/>
      <c r="UKC467"/>
      <c r="UKD467"/>
      <c r="UKE467"/>
      <c r="UKF467"/>
      <c r="UKG467"/>
      <c r="UKH467"/>
      <c r="UKI467"/>
      <c r="UKJ467"/>
      <c r="UKK467"/>
      <c r="UKL467"/>
      <c r="UKM467"/>
      <c r="UKN467"/>
      <c r="UKO467"/>
      <c r="UKP467"/>
      <c r="UKQ467"/>
      <c r="UKR467"/>
      <c r="UKS467"/>
      <c r="UKT467"/>
      <c r="UKU467"/>
      <c r="UKV467"/>
      <c r="UKW467"/>
      <c r="UKX467"/>
      <c r="UKY467"/>
      <c r="UKZ467"/>
      <c r="ULA467"/>
      <c r="ULB467"/>
      <c r="ULC467"/>
      <c r="ULD467"/>
      <c r="ULE467"/>
      <c r="ULF467"/>
      <c r="ULG467"/>
      <c r="ULH467"/>
      <c r="ULI467"/>
      <c r="ULJ467"/>
      <c r="ULK467"/>
      <c r="ULL467"/>
      <c r="ULM467"/>
      <c r="ULN467"/>
      <c r="ULO467"/>
      <c r="ULP467"/>
      <c r="ULQ467"/>
      <c r="ULR467"/>
      <c r="ULS467"/>
      <c r="ULT467"/>
      <c r="ULU467"/>
      <c r="ULV467"/>
      <c r="ULW467"/>
      <c r="ULX467"/>
      <c r="ULY467"/>
      <c r="ULZ467"/>
      <c r="UMA467"/>
      <c r="UMB467"/>
      <c r="UMC467"/>
      <c r="UMD467"/>
      <c r="UME467"/>
      <c r="UMF467"/>
      <c r="UMG467"/>
      <c r="UMH467"/>
      <c r="UMI467"/>
      <c r="UMJ467"/>
      <c r="UMK467"/>
      <c r="UML467"/>
      <c r="UMM467"/>
      <c r="UMN467"/>
      <c r="UMO467"/>
      <c r="UMP467"/>
      <c r="UMQ467"/>
      <c r="UMR467"/>
      <c r="UMS467"/>
      <c r="UMT467"/>
      <c r="UMU467"/>
      <c r="UMV467"/>
      <c r="UMW467"/>
      <c r="UMX467"/>
      <c r="UMY467"/>
      <c r="UMZ467"/>
      <c r="UNA467"/>
      <c r="UNB467"/>
      <c r="UNC467"/>
      <c r="UND467"/>
      <c r="UNE467"/>
      <c r="UNF467"/>
      <c r="UNG467"/>
      <c r="UNH467"/>
      <c r="UNI467"/>
      <c r="UNJ467"/>
      <c r="UNK467"/>
      <c r="UNL467"/>
      <c r="UNM467"/>
      <c r="UNN467"/>
      <c r="UNO467"/>
      <c r="UNP467"/>
      <c r="UNQ467"/>
      <c r="UNR467"/>
      <c r="UNS467"/>
      <c r="UNT467"/>
      <c r="UNU467"/>
      <c r="UNV467"/>
      <c r="UNW467"/>
      <c r="UNX467"/>
      <c r="UNY467"/>
      <c r="UNZ467"/>
      <c r="UOA467"/>
      <c r="UOB467"/>
      <c r="UOC467"/>
      <c r="UOD467"/>
      <c r="UOE467"/>
      <c r="UOF467"/>
      <c r="UOG467"/>
      <c r="UOH467"/>
      <c r="UOI467"/>
      <c r="UOJ467"/>
      <c r="UOK467"/>
      <c r="UOL467"/>
      <c r="UOM467"/>
      <c r="UON467"/>
      <c r="UOO467"/>
      <c r="UOP467"/>
      <c r="UOQ467"/>
      <c r="UOR467"/>
      <c r="UOS467"/>
      <c r="UOT467"/>
      <c r="UOU467"/>
      <c r="UOV467"/>
      <c r="UOW467"/>
      <c r="UOX467"/>
      <c r="UOY467"/>
      <c r="UOZ467"/>
      <c r="UPA467"/>
      <c r="UPB467"/>
      <c r="UPC467"/>
      <c r="UPD467"/>
      <c r="UPE467"/>
      <c r="UPF467"/>
      <c r="UPG467"/>
      <c r="UPH467"/>
      <c r="UPI467"/>
      <c r="UPJ467"/>
      <c r="UPK467"/>
      <c r="UPL467"/>
      <c r="UPM467"/>
      <c r="UPN467"/>
      <c r="UPO467"/>
      <c r="UPP467"/>
      <c r="UPQ467"/>
      <c r="UPR467"/>
      <c r="UPS467"/>
      <c r="UPT467"/>
      <c r="UPU467"/>
      <c r="UPV467"/>
      <c r="UPW467"/>
      <c r="UPX467"/>
      <c r="UPY467"/>
      <c r="UPZ467"/>
      <c r="UQA467"/>
      <c r="UQB467"/>
      <c r="UQC467"/>
      <c r="UQD467"/>
      <c r="UQE467"/>
      <c r="UQF467"/>
      <c r="UQG467"/>
      <c r="UQH467"/>
      <c r="UQI467"/>
      <c r="UQJ467"/>
      <c r="UQK467"/>
      <c r="UQL467"/>
      <c r="UQM467"/>
      <c r="UQN467"/>
      <c r="UQO467"/>
      <c r="UQP467"/>
      <c r="UQQ467"/>
      <c r="UQR467"/>
      <c r="UQS467"/>
      <c r="UQT467"/>
      <c r="UQU467"/>
      <c r="UQV467"/>
      <c r="UQW467"/>
      <c r="UQX467"/>
      <c r="UQY467"/>
      <c r="UQZ467"/>
      <c r="URA467"/>
      <c r="URB467"/>
      <c r="URC467"/>
      <c r="URD467"/>
      <c r="URE467"/>
      <c r="URF467"/>
      <c r="URG467"/>
      <c r="URH467"/>
      <c r="URI467"/>
      <c r="URJ467"/>
      <c r="URK467"/>
      <c r="URL467"/>
      <c r="URM467"/>
      <c r="URN467"/>
      <c r="URO467"/>
      <c r="URP467"/>
      <c r="URQ467"/>
      <c r="URR467"/>
      <c r="URS467"/>
      <c r="URT467"/>
      <c r="URU467"/>
      <c r="URV467"/>
      <c r="URW467"/>
      <c r="URX467"/>
      <c r="URY467"/>
      <c r="URZ467"/>
      <c r="USA467"/>
      <c r="USB467"/>
      <c r="USC467"/>
      <c r="USD467"/>
      <c r="USE467"/>
      <c r="USF467"/>
      <c r="USG467"/>
      <c r="USH467"/>
      <c r="USI467"/>
      <c r="USJ467"/>
      <c r="USK467"/>
      <c r="USL467"/>
      <c r="USM467"/>
      <c r="USN467"/>
      <c r="USO467"/>
      <c r="USP467"/>
      <c r="USQ467"/>
      <c r="USR467"/>
      <c r="USS467"/>
      <c r="UST467"/>
      <c r="USU467"/>
      <c r="USV467"/>
      <c r="USW467"/>
      <c r="USX467"/>
      <c r="USY467"/>
      <c r="USZ467"/>
      <c r="UTA467"/>
      <c r="UTB467"/>
      <c r="UTC467"/>
      <c r="UTD467"/>
      <c r="UTE467"/>
      <c r="UTF467"/>
      <c r="UTG467"/>
      <c r="UTH467"/>
      <c r="UTI467"/>
      <c r="UTJ467"/>
      <c r="UTK467"/>
      <c r="UTL467"/>
      <c r="UTM467"/>
      <c r="UTN467"/>
      <c r="UTO467"/>
      <c r="UTP467"/>
      <c r="UTQ467"/>
      <c r="UTR467"/>
      <c r="UTS467"/>
      <c r="UTT467"/>
      <c r="UTU467"/>
      <c r="UTV467"/>
      <c r="UTW467"/>
      <c r="UTX467"/>
      <c r="UTY467"/>
      <c r="UTZ467"/>
      <c r="UUA467"/>
      <c r="UUB467"/>
      <c r="UUC467"/>
      <c r="UUD467"/>
      <c r="UUE467"/>
      <c r="UUF467"/>
      <c r="UUG467"/>
      <c r="UUH467"/>
      <c r="UUI467"/>
      <c r="UUJ467"/>
      <c r="UUK467"/>
      <c r="UUL467"/>
      <c r="UUM467"/>
      <c r="UUN467"/>
      <c r="UUO467"/>
      <c r="UUP467"/>
      <c r="UUQ467"/>
      <c r="UUR467"/>
      <c r="UUS467"/>
      <c r="UUT467"/>
      <c r="UUU467"/>
      <c r="UUV467"/>
      <c r="UUW467"/>
      <c r="UUX467"/>
      <c r="UUY467"/>
      <c r="UUZ467"/>
      <c r="UVA467"/>
      <c r="UVB467"/>
      <c r="UVC467"/>
      <c r="UVD467"/>
      <c r="UVE467"/>
      <c r="UVF467"/>
      <c r="UVG467"/>
      <c r="UVH467"/>
      <c r="UVI467"/>
      <c r="UVJ467"/>
      <c r="UVK467"/>
      <c r="UVL467"/>
      <c r="UVM467"/>
      <c r="UVN467"/>
      <c r="UVO467"/>
      <c r="UVP467"/>
      <c r="UVQ467"/>
      <c r="UVR467"/>
      <c r="UVS467"/>
      <c r="UVT467"/>
      <c r="UVU467"/>
      <c r="UVV467"/>
      <c r="UVW467"/>
      <c r="UVX467"/>
      <c r="UVY467"/>
      <c r="UVZ467"/>
      <c r="UWA467"/>
      <c r="UWB467"/>
      <c r="UWC467"/>
      <c r="UWD467"/>
      <c r="UWE467"/>
      <c r="UWF467"/>
      <c r="UWG467"/>
      <c r="UWH467"/>
      <c r="UWI467"/>
      <c r="UWJ467"/>
      <c r="UWK467"/>
      <c r="UWL467"/>
      <c r="UWM467"/>
      <c r="UWN467"/>
      <c r="UWO467"/>
      <c r="UWP467"/>
      <c r="UWQ467"/>
      <c r="UWR467"/>
      <c r="UWS467"/>
      <c r="UWT467"/>
      <c r="UWU467"/>
      <c r="UWV467"/>
      <c r="UWW467"/>
      <c r="UWX467"/>
      <c r="UWY467"/>
      <c r="UWZ467"/>
      <c r="UXA467"/>
      <c r="UXB467"/>
      <c r="UXC467"/>
      <c r="UXD467"/>
      <c r="UXE467"/>
      <c r="UXF467"/>
      <c r="UXG467"/>
      <c r="UXH467"/>
      <c r="UXI467"/>
      <c r="UXJ467"/>
      <c r="UXK467"/>
      <c r="UXL467"/>
      <c r="UXM467"/>
      <c r="UXN467"/>
      <c r="UXO467"/>
      <c r="UXP467"/>
      <c r="UXQ467"/>
      <c r="UXR467"/>
      <c r="UXS467"/>
      <c r="UXT467"/>
      <c r="UXU467"/>
      <c r="UXV467"/>
      <c r="UXW467"/>
      <c r="UXX467"/>
      <c r="UXY467"/>
      <c r="UXZ467"/>
      <c r="UYA467"/>
      <c r="UYB467"/>
      <c r="UYC467"/>
      <c r="UYD467"/>
      <c r="UYE467"/>
      <c r="UYF467"/>
      <c r="UYG467"/>
      <c r="UYH467"/>
      <c r="UYI467"/>
      <c r="UYJ467"/>
      <c r="UYK467"/>
      <c r="UYL467"/>
      <c r="UYM467"/>
      <c r="UYN467"/>
      <c r="UYO467"/>
      <c r="UYP467"/>
      <c r="UYQ467"/>
      <c r="UYR467"/>
      <c r="UYS467"/>
      <c r="UYT467"/>
      <c r="UYU467"/>
      <c r="UYV467"/>
      <c r="UYW467"/>
      <c r="UYX467"/>
      <c r="UYY467"/>
      <c r="UYZ467"/>
      <c r="UZA467"/>
      <c r="UZB467"/>
      <c r="UZC467"/>
      <c r="UZD467"/>
      <c r="UZE467"/>
      <c r="UZF467"/>
      <c r="UZG467"/>
      <c r="UZH467"/>
      <c r="UZI467"/>
      <c r="UZJ467"/>
      <c r="UZK467"/>
      <c r="UZL467"/>
      <c r="UZM467"/>
      <c r="UZN467"/>
      <c r="UZO467"/>
      <c r="UZP467"/>
      <c r="UZQ467"/>
      <c r="UZR467"/>
      <c r="UZS467"/>
      <c r="UZT467"/>
      <c r="UZU467"/>
      <c r="UZV467"/>
      <c r="UZW467"/>
      <c r="UZX467"/>
      <c r="UZY467"/>
      <c r="UZZ467"/>
      <c r="VAA467"/>
      <c r="VAB467"/>
      <c r="VAC467"/>
      <c r="VAD467"/>
      <c r="VAE467"/>
      <c r="VAF467"/>
      <c r="VAG467"/>
      <c r="VAH467"/>
      <c r="VAI467"/>
      <c r="VAJ467"/>
      <c r="VAK467"/>
      <c r="VAL467"/>
      <c r="VAM467"/>
      <c r="VAN467"/>
      <c r="VAO467"/>
      <c r="VAP467"/>
      <c r="VAQ467"/>
      <c r="VAR467"/>
      <c r="VAS467"/>
      <c r="VAT467"/>
      <c r="VAU467"/>
      <c r="VAV467"/>
      <c r="VAW467"/>
      <c r="VAX467"/>
      <c r="VAY467"/>
      <c r="VAZ467"/>
      <c r="VBA467"/>
      <c r="VBB467"/>
      <c r="VBC467"/>
      <c r="VBD467"/>
      <c r="VBE467"/>
      <c r="VBF467"/>
      <c r="VBG467"/>
      <c r="VBH467"/>
      <c r="VBI467"/>
      <c r="VBJ467"/>
      <c r="VBK467"/>
      <c r="VBL467"/>
      <c r="VBM467"/>
      <c r="VBN467"/>
      <c r="VBO467"/>
      <c r="VBP467"/>
      <c r="VBQ467"/>
      <c r="VBR467"/>
      <c r="VBS467"/>
      <c r="VBT467"/>
      <c r="VBU467"/>
      <c r="VBV467"/>
      <c r="VBW467"/>
      <c r="VBX467"/>
      <c r="VBY467"/>
      <c r="VBZ467"/>
      <c r="VCA467"/>
      <c r="VCB467"/>
      <c r="VCC467"/>
      <c r="VCD467"/>
      <c r="VCE467"/>
      <c r="VCF467"/>
      <c r="VCG467"/>
      <c r="VCH467"/>
      <c r="VCI467"/>
      <c r="VCJ467"/>
      <c r="VCK467"/>
      <c r="VCL467"/>
      <c r="VCM467"/>
      <c r="VCN467"/>
      <c r="VCO467"/>
      <c r="VCP467"/>
      <c r="VCQ467"/>
      <c r="VCR467"/>
      <c r="VCS467"/>
      <c r="VCT467"/>
      <c r="VCU467"/>
      <c r="VCV467"/>
      <c r="VCW467"/>
      <c r="VCX467"/>
      <c r="VCY467"/>
      <c r="VCZ467"/>
      <c r="VDA467"/>
      <c r="VDB467"/>
      <c r="VDC467"/>
      <c r="VDD467"/>
      <c r="VDE467"/>
      <c r="VDF467"/>
      <c r="VDG467"/>
      <c r="VDH467"/>
      <c r="VDI467"/>
      <c r="VDJ467"/>
      <c r="VDK467"/>
      <c r="VDL467"/>
      <c r="VDM467"/>
      <c r="VDN467"/>
      <c r="VDO467"/>
      <c r="VDP467"/>
      <c r="VDQ467"/>
      <c r="VDR467"/>
      <c r="VDS467"/>
      <c r="VDT467"/>
      <c r="VDU467"/>
      <c r="VDV467"/>
      <c r="VDW467"/>
      <c r="VDX467"/>
      <c r="VDY467"/>
      <c r="VDZ467"/>
      <c r="VEA467"/>
      <c r="VEB467"/>
      <c r="VEC467"/>
      <c r="VED467"/>
      <c r="VEE467"/>
      <c r="VEF467"/>
      <c r="VEG467"/>
      <c r="VEH467"/>
      <c r="VEI467"/>
      <c r="VEJ467"/>
      <c r="VEK467"/>
      <c r="VEL467"/>
      <c r="VEM467"/>
      <c r="VEN467"/>
      <c r="VEO467"/>
      <c r="VEP467"/>
      <c r="VEQ467"/>
      <c r="VER467"/>
      <c r="VES467"/>
      <c r="VET467"/>
      <c r="VEU467"/>
      <c r="VEV467"/>
      <c r="VEW467"/>
      <c r="VEX467"/>
      <c r="VEY467"/>
      <c r="VEZ467"/>
      <c r="VFA467"/>
      <c r="VFB467"/>
      <c r="VFC467"/>
      <c r="VFD467"/>
      <c r="VFE467"/>
      <c r="VFF467"/>
      <c r="VFG467"/>
      <c r="VFH467"/>
      <c r="VFI467"/>
      <c r="VFJ467"/>
      <c r="VFK467"/>
      <c r="VFL467"/>
      <c r="VFM467"/>
      <c r="VFN467"/>
      <c r="VFO467"/>
      <c r="VFP467"/>
      <c r="VFQ467"/>
      <c r="VFR467"/>
      <c r="VFS467"/>
      <c r="VFT467"/>
      <c r="VFU467"/>
      <c r="VFV467"/>
      <c r="VFW467"/>
      <c r="VFX467"/>
      <c r="VFY467"/>
      <c r="VFZ467"/>
      <c r="VGA467"/>
      <c r="VGB467"/>
      <c r="VGC467"/>
      <c r="VGD467"/>
      <c r="VGE467"/>
      <c r="VGF467"/>
      <c r="VGG467"/>
      <c r="VGH467"/>
      <c r="VGI467"/>
      <c r="VGJ467"/>
      <c r="VGK467"/>
      <c r="VGL467"/>
      <c r="VGM467"/>
      <c r="VGN467"/>
      <c r="VGO467"/>
      <c r="VGP467"/>
      <c r="VGQ467"/>
      <c r="VGR467"/>
      <c r="VGS467"/>
      <c r="VGT467"/>
      <c r="VGU467"/>
      <c r="VGV467"/>
      <c r="VGW467"/>
      <c r="VGX467"/>
      <c r="VGY467"/>
      <c r="VGZ467"/>
      <c r="VHA467"/>
      <c r="VHB467"/>
      <c r="VHC467"/>
      <c r="VHD467"/>
      <c r="VHE467"/>
      <c r="VHF467"/>
      <c r="VHG467"/>
      <c r="VHH467"/>
      <c r="VHI467"/>
      <c r="VHJ467"/>
      <c r="VHK467"/>
      <c r="VHL467"/>
      <c r="VHM467"/>
      <c r="VHN467"/>
      <c r="VHO467"/>
      <c r="VHP467"/>
      <c r="VHQ467"/>
      <c r="VHR467"/>
      <c r="VHS467"/>
      <c r="VHT467"/>
      <c r="VHU467"/>
      <c r="VHV467"/>
      <c r="VHW467"/>
      <c r="VHX467"/>
      <c r="VHY467"/>
      <c r="VHZ467"/>
      <c r="VIA467"/>
      <c r="VIB467"/>
      <c r="VIC467"/>
      <c r="VID467"/>
      <c r="VIE467"/>
      <c r="VIF467"/>
      <c r="VIG467"/>
      <c r="VIH467"/>
      <c r="VII467"/>
      <c r="VIJ467"/>
      <c r="VIK467"/>
      <c r="VIL467"/>
      <c r="VIM467"/>
      <c r="VIN467"/>
      <c r="VIO467"/>
      <c r="VIP467"/>
      <c r="VIQ467"/>
      <c r="VIR467"/>
      <c r="VIS467"/>
      <c r="VIT467"/>
      <c r="VIU467"/>
      <c r="VIV467"/>
      <c r="VIW467"/>
      <c r="VIX467"/>
      <c r="VIY467"/>
      <c r="VIZ467"/>
      <c r="VJA467"/>
      <c r="VJB467"/>
      <c r="VJC467"/>
      <c r="VJD467"/>
      <c r="VJE467"/>
      <c r="VJF467"/>
      <c r="VJG467"/>
      <c r="VJH467"/>
      <c r="VJI467"/>
      <c r="VJJ467"/>
      <c r="VJK467"/>
      <c r="VJL467"/>
      <c r="VJM467"/>
      <c r="VJN467"/>
      <c r="VJO467"/>
      <c r="VJP467"/>
      <c r="VJQ467"/>
      <c r="VJR467"/>
      <c r="VJS467"/>
      <c r="VJT467"/>
      <c r="VJU467"/>
      <c r="VJV467"/>
      <c r="VJW467"/>
      <c r="VJX467"/>
      <c r="VJY467"/>
      <c r="VJZ467"/>
      <c r="VKA467"/>
      <c r="VKB467"/>
      <c r="VKC467"/>
      <c r="VKD467"/>
      <c r="VKE467"/>
      <c r="VKF467"/>
      <c r="VKG467"/>
      <c r="VKH467"/>
      <c r="VKI467"/>
      <c r="VKJ467"/>
      <c r="VKK467"/>
      <c r="VKL467"/>
      <c r="VKM467"/>
      <c r="VKN467"/>
      <c r="VKO467"/>
      <c r="VKP467"/>
      <c r="VKQ467"/>
      <c r="VKR467"/>
      <c r="VKS467"/>
      <c r="VKT467"/>
      <c r="VKU467"/>
      <c r="VKV467"/>
      <c r="VKW467"/>
      <c r="VKX467"/>
      <c r="VKY467"/>
      <c r="VKZ467"/>
      <c r="VLA467"/>
      <c r="VLB467"/>
      <c r="VLC467"/>
      <c r="VLD467"/>
      <c r="VLE467"/>
      <c r="VLF467"/>
      <c r="VLG467"/>
      <c r="VLH467"/>
      <c r="VLI467"/>
      <c r="VLJ467"/>
      <c r="VLK467"/>
      <c r="VLL467"/>
      <c r="VLM467"/>
      <c r="VLN467"/>
      <c r="VLO467"/>
      <c r="VLP467"/>
      <c r="VLQ467"/>
      <c r="VLR467"/>
      <c r="VLS467"/>
      <c r="VLT467"/>
      <c r="VLU467"/>
      <c r="VLV467"/>
      <c r="VLW467"/>
      <c r="VLX467"/>
      <c r="VLY467"/>
      <c r="VLZ467"/>
      <c r="VMA467"/>
      <c r="VMB467"/>
      <c r="VMC467"/>
      <c r="VMD467"/>
      <c r="VME467"/>
      <c r="VMF467"/>
      <c r="VMG467"/>
      <c r="VMH467"/>
      <c r="VMI467"/>
      <c r="VMJ467"/>
      <c r="VMK467"/>
      <c r="VML467"/>
      <c r="VMM467"/>
      <c r="VMN467"/>
      <c r="VMO467"/>
      <c r="VMP467"/>
      <c r="VMQ467"/>
      <c r="VMR467"/>
      <c r="VMS467"/>
      <c r="VMT467"/>
      <c r="VMU467"/>
      <c r="VMV467"/>
      <c r="VMW467"/>
      <c r="VMX467"/>
      <c r="VMY467"/>
      <c r="VMZ467"/>
      <c r="VNA467"/>
      <c r="VNB467"/>
      <c r="VNC467"/>
      <c r="VND467"/>
      <c r="VNE467"/>
      <c r="VNF467"/>
      <c r="VNG467"/>
      <c r="VNH467"/>
      <c r="VNI467"/>
      <c r="VNJ467"/>
      <c r="VNK467"/>
      <c r="VNL467"/>
      <c r="VNM467"/>
      <c r="VNN467"/>
      <c r="VNO467"/>
      <c r="VNP467"/>
      <c r="VNQ467"/>
      <c r="VNR467"/>
      <c r="VNS467"/>
      <c r="VNT467"/>
      <c r="VNU467"/>
      <c r="VNV467"/>
      <c r="VNW467"/>
      <c r="VNX467"/>
      <c r="VNY467"/>
      <c r="VNZ467"/>
      <c r="VOA467"/>
      <c r="VOB467"/>
      <c r="VOC467"/>
      <c r="VOD467"/>
      <c r="VOE467"/>
      <c r="VOF467"/>
      <c r="VOG467"/>
      <c r="VOH467"/>
      <c r="VOI467"/>
      <c r="VOJ467"/>
      <c r="VOK467"/>
      <c r="VOL467"/>
      <c r="VOM467"/>
      <c r="VON467"/>
      <c r="VOO467"/>
      <c r="VOP467"/>
      <c r="VOQ467"/>
      <c r="VOR467"/>
      <c r="VOS467"/>
      <c r="VOT467"/>
      <c r="VOU467"/>
      <c r="VOV467"/>
      <c r="VOW467"/>
      <c r="VOX467"/>
      <c r="VOY467"/>
      <c r="VOZ467"/>
      <c r="VPA467"/>
      <c r="VPB467"/>
      <c r="VPC467"/>
      <c r="VPD467"/>
      <c r="VPE467"/>
      <c r="VPF467"/>
      <c r="VPG467"/>
      <c r="VPH467"/>
      <c r="VPI467"/>
      <c r="VPJ467"/>
      <c r="VPK467"/>
      <c r="VPL467"/>
      <c r="VPM467"/>
      <c r="VPN467"/>
      <c r="VPO467"/>
      <c r="VPP467"/>
      <c r="VPQ467"/>
      <c r="VPR467"/>
      <c r="VPS467"/>
      <c r="VPT467"/>
      <c r="VPU467"/>
      <c r="VPV467"/>
      <c r="VPW467"/>
      <c r="VPX467"/>
      <c r="VPY467"/>
      <c r="VPZ467"/>
      <c r="VQA467"/>
      <c r="VQB467"/>
      <c r="VQC467"/>
      <c r="VQD467"/>
      <c r="VQE467"/>
      <c r="VQF467"/>
      <c r="VQG467"/>
      <c r="VQH467"/>
      <c r="VQI467"/>
      <c r="VQJ467"/>
      <c r="VQK467"/>
      <c r="VQL467"/>
      <c r="VQM467"/>
      <c r="VQN467"/>
      <c r="VQO467"/>
      <c r="VQP467"/>
      <c r="VQQ467"/>
      <c r="VQR467"/>
      <c r="VQS467"/>
      <c r="VQT467"/>
      <c r="VQU467"/>
      <c r="VQV467"/>
      <c r="VQW467"/>
      <c r="VQX467"/>
      <c r="VQY467"/>
      <c r="VQZ467"/>
      <c r="VRA467"/>
      <c r="VRB467"/>
      <c r="VRC467"/>
      <c r="VRD467"/>
      <c r="VRE467"/>
      <c r="VRF467"/>
      <c r="VRG467"/>
      <c r="VRH467"/>
      <c r="VRI467"/>
      <c r="VRJ467"/>
      <c r="VRK467"/>
      <c r="VRL467"/>
      <c r="VRM467"/>
      <c r="VRN467"/>
      <c r="VRO467"/>
      <c r="VRP467"/>
      <c r="VRQ467"/>
      <c r="VRR467"/>
      <c r="VRS467"/>
      <c r="VRT467"/>
      <c r="VRU467"/>
      <c r="VRV467"/>
      <c r="VRW467"/>
      <c r="VRX467"/>
      <c r="VRY467"/>
      <c r="VRZ467"/>
      <c r="VSA467"/>
      <c r="VSB467"/>
      <c r="VSC467"/>
      <c r="VSD467"/>
      <c r="VSE467"/>
      <c r="VSF467"/>
      <c r="VSG467"/>
      <c r="VSH467"/>
      <c r="VSI467"/>
      <c r="VSJ467"/>
      <c r="VSK467"/>
      <c r="VSL467"/>
      <c r="VSM467"/>
      <c r="VSN467"/>
      <c r="VSO467"/>
      <c r="VSP467"/>
      <c r="VSQ467"/>
      <c r="VSR467"/>
      <c r="VSS467"/>
      <c r="VST467"/>
      <c r="VSU467"/>
      <c r="VSV467"/>
      <c r="VSW467"/>
      <c r="VSX467"/>
      <c r="VSY467"/>
      <c r="VSZ467"/>
      <c r="VTA467"/>
      <c r="VTB467"/>
      <c r="VTC467"/>
      <c r="VTD467"/>
      <c r="VTE467"/>
      <c r="VTF467"/>
      <c r="VTG467"/>
      <c r="VTH467"/>
      <c r="VTI467"/>
      <c r="VTJ467"/>
      <c r="VTK467"/>
      <c r="VTL467"/>
      <c r="VTM467"/>
      <c r="VTN467"/>
      <c r="VTO467"/>
      <c r="VTP467"/>
      <c r="VTQ467"/>
      <c r="VTR467"/>
      <c r="VTS467"/>
      <c r="VTT467"/>
      <c r="VTU467"/>
      <c r="VTV467"/>
      <c r="VTW467"/>
      <c r="VTX467"/>
      <c r="VTY467"/>
      <c r="VTZ467"/>
      <c r="VUA467"/>
      <c r="VUB467"/>
      <c r="VUC467"/>
      <c r="VUD467"/>
      <c r="VUE467"/>
      <c r="VUF467"/>
      <c r="VUG467"/>
      <c r="VUH467"/>
      <c r="VUI467"/>
      <c r="VUJ467"/>
      <c r="VUK467"/>
      <c r="VUL467"/>
      <c r="VUM467"/>
      <c r="VUN467"/>
      <c r="VUO467"/>
      <c r="VUP467"/>
      <c r="VUQ467"/>
      <c r="VUR467"/>
      <c r="VUS467"/>
      <c r="VUT467"/>
      <c r="VUU467"/>
      <c r="VUV467"/>
      <c r="VUW467"/>
      <c r="VUX467"/>
      <c r="VUY467"/>
      <c r="VUZ467"/>
      <c r="VVA467"/>
      <c r="VVB467"/>
      <c r="VVC467"/>
      <c r="VVD467"/>
      <c r="VVE467"/>
      <c r="VVF467"/>
      <c r="VVG467"/>
      <c r="VVH467"/>
      <c r="VVI467"/>
      <c r="VVJ467"/>
      <c r="VVK467"/>
      <c r="VVL467"/>
      <c r="VVM467"/>
      <c r="VVN467"/>
      <c r="VVO467"/>
      <c r="VVP467"/>
      <c r="VVQ467"/>
      <c r="VVR467"/>
      <c r="VVS467"/>
      <c r="VVT467"/>
      <c r="VVU467"/>
      <c r="VVV467"/>
      <c r="VVW467"/>
      <c r="VVX467"/>
      <c r="VVY467"/>
      <c r="VVZ467"/>
      <c r="VWA467"/>
      <c r="VWB467"/>
      <c r="VWC467"/>
      <c r="VWD467"/>
      <c r="VWE467"/>
      <c r="VWF467"/>
      <c r="VWG467"/>
      <c r="VWH467"/>
      <c r="VWI467"/>
      <c r="VWJ467"/>
      <c r="VWK467"/>
      <c r="VWL467"/>
      <c r="VWM467"/>
      <c r="VWN467"/>
      <c r="VWO467"/>
      <c r="VWP467"/>
      <c r="VWQ467"/>
      <c r="VWR467"/>
      <c r="VWS467"/>
      <c r="VWT467"/>
      <c r="VWU467"/>
      <c r="VWV467"/>
      <c r="VWW467"/>
      <c r="VWX467"/>
      <c r="VWY467"/>
      <c r="VWZ467"/>
      <c r="VXA467"/>
      <c r="VXB467"/>
      <c r="VXC467"/>
      <c r="VXD467"/>
      <c r="VXE467"/>
      <c r="VXF467"/>
      <c r="VXG467"/>
      <c r="VXH467"/>
      <c r="VXI467"/>
      <c r="VXJ467"/>
      <c r="VXK467"/>
      <c r="VXL467"/>
      <c r="VXM467"/>
      <c r="VXN467"/>
      <c r="VXO467"/>
      <c r="VXP467"/>
      <c r="VXQ467"/>
      <c r="VXR467"/>
      <c r="VXS467"/>
      <c r="VXT467"/>
      <c r="VXU467"/>
      <c r="VXV467"/>
      <c r="VXW467"/>
      <c r="VXX467"/>
      <c r="VXY467"/>
      <c r="VXZ467"/>
      <c r="VYA467"/>
      <c r="VYB467"/>
      <c r="VYC467"/>
      <c r="VYD467"/>
      <c r="VYE467"/>
      <c r="VYF467"/>
      <c r="VYG467"/>
      <c r="VYH467"/>
      <c r="VYI467"/>
      <c r="VYJ467"/>
      <c r="VYK467"/>
      <c r="VYL467"/>
      <c r="VYM467"/>
      <c r="VYN467"/>
      <c r="VYO467"/>
      <c r="VYP467"/>
      <c r="VYQ467"/>
      <c r="VYR467"/>
      <c r="VYS467"/>
      <c r="VYT467"/>
      <c r="VYU467"/>
      <c r="VYV467"/>
      <c r="VYW467"/>
      <c r="VYX467"/>
      <c r="VYY467"/>
      <c r="VYZ467"/>
      <c r="VZA467"/>
      <c r="VZB467"/>
      <c r="VZC467"/>
      <c r="VZD467"/>
      <c r="VZE467"/>
      <c r="VZF467"/>
      <c r="VZG467"/>
      <c r="VZH467"/>
      <c r="VZI467"/>
      <c r="VZJ467"/>
      <c r="VZK467"/>
      <c r="VZL467"/>
      <c r="VZM467"/>
      <c r="VZN467"/>
      <c r="VZO467"/>
      <c r="VZP467"/>
      <c r="VZQ467"/>
      <c r="VZR467"/>
      <c r="VZS467"/>
      <c r="VZT467"/>
      <c r="VZU467"/>
      <c r="VZV467"/>
      <c r="VZW467"/>
      <c r="VZX467"/>
      <c r="VZY467"/>
      <c r="VZZ467"/>
      <c r="WAA467"/>
      <c r="WAB467"/>
      <c r="WAC467"/>
      <c r="WAD467"/>
      <c r="WAE467"/>
      <c r="WAF467"/>
      <c r="WAG467"/>
      <c r="WAH467"/>
      <c r="WAI467"/>
      <c r="WAJ467"/>
      <c r="WAK467"/>
      <c r="WAL467"/>
      <c r="WAM467"/>
      <c r="WAN467"/>
      <c r="WAO467"/>
      <c r="WAP467"/>
      <c r="WAQ467"/>
      <c r="WAR467"/>
      <c r="WAS467"/>
      <c r="WAT467"/>
      <c r="WAU467"/>
      <c r="WAV467"/>
      <c r="WAW467"/>
      <c r="WAX467"/>
      <c r="WAY467"/>
      <c r="WAZ467"/>
      <c r="WBA467"/>
      <c r="WBB467"/>
      <c r="WBC467"/>
      <c r="WBD467"/>
      <c r="WBE467"/>
      <c r="WBF467"/>
      <c r="WBG467"/>
      <c r="WBH467"/>
      <c r="WBI467"/>
      <c r="WBJ467"/>
      <c r="WBK467"/>
      <c r="WBL467"/>
      <c r="WBM467"/>
      <c r="WBN467"/>
      <c r="WBO467"/>
      <c r="WBP467"/>
      <c r="WBQ467"/>
      <c r="WBR467"/>
      <c r="WBS467"/>
      <c r="WBT467"/>
      <c r="WBU467"/>
      <c r="WBV467"/>
      <c r="WBW467"/>
      <c r="WBX467"/>
      <c r="WBY467"/>
      <c r="WBZ467"/>
      <c r="WCA467"/>
      <c r="WCB467"/>
      <c r="WCC467"/>
      <c r="WCD467"/>
      <c r="WCE467"/>
      <c r="WCF467"/>
      <c r="WCG467"/>
      <c r="WCH467"/>
      <c r="WCI467"/>
      <c r="WCJ467"/>
      <c r="WCK467"/>
      <c r="WCL467"/>
      <c r="WCM467"/>
      <c r="WCN467"/>
      <c r="WCO467"/>
      <c r="WCP467"/>
      <c r="WCQ467"/>
      <c r="WCR467"/>
      <c r="WCS467"/>
      <c r="WCT467"/>
      <c r="WCU467"/>
      <c r="WCV467"/>
      <c r="WCW467"/>
      <c r="WCX467"/>
      <c r="WCY467"/>
      <c r="WCZ467"/>
      <c r="WDA467"/>
      <c r="WDB467"/>
      <c r="WDC467"/>
      <c r="WDD467"/>
      <c r="WDE467"/>
      <c r="WDF467"/>
      <c r="WDG467"/>
      <c r="WDH467"/>
      <c r="WDI467"/>
      <c r="WDJ467"/>
      <c r="WDK467"/>
      <c r="WDL467"/>
      <c r="WDM467"/>
      <c r="WDN467"/>
      <c r="WDO467"/>
      <c r="WDP467"/>
      <c r="WDQ467"/>
      <c r="WDR467"/>
      <c r="WDS467"/>
      <c r="WDT467"/>
      <c r="WDU467"/>
      <c r="WDV467"/>
      <c r="WDW467"/>
      <c r="WDX467"/>
      <c r="WDY467"/>
      <c r="WDZ467"/>
      <c r="WEA467"/>
      <c r="WEB467"/>
      <c r="WEC467"/>
      <c r="WED467"/>
      <c r="WEE467"/>
      <c r="WEF467"/>
      <c r="WEG467"/>
      <c r="WEH467"/>
      <c r="WEI467"/>
      <c r="WEJ467"/>
      <c r="WEK467"/>
      <c r="WEL467"/>
      <c r="WEM467"/>
      <c r="WEN467"/>
      <c r="WEO467"/>
      <c r="WEP467"/>
      <c r="WEQ467"/>
      <c r="WER467"/>
      <c r="WES467"/>
      <c r="WET467"/>
      <c r="WEU467"/>
      <c r="WEV467"/>
      <c r="WEW467"/>
      <c r="WEX467"/>
      <c r="WEY467"/>
      <c r="WEZ467"/>
      <c r="WFA467"/>
      <c r="WFB467"/>
      <c r="WFC467"/>
      <c r="WFD467"/>
      <c r="WFE467"/>
      <c r="WFF467"/>
      <c r="WFG467"/>
      <c r="WFH467"/>
      <c r="WFI467"/>
      <c r="WFJ467"/>
      <c r="WFK467"/>
      <c r="WFL467"/>
      <c r="WFM467"/>
      <c r="WFN467"/>
      <c r="WFO467"/>
      <c r="WFP467"/>
      <c r="WFQ467"/>
      <c r="WFR467"/>
      <c r="WFS467"/>
      <c r="WFT467"/>
      <c r="WFU467"/>
      <c r="WFV467"/>
      <c r="WFW467"/>
      <c r="WFX467"/>
      <c r="WFY467"/>
      <c r="WFZ467"/>
      <c r="WGA467"/>
      <c r="WGB467"/>
      <c r="WGC467"/>
      <c r="WGD467"/>
      <c r="WGE467"/>
      <c r="WGF467"/>
      <c r="WGG467"/>
      <c r="WGH467"/>
      <c r="WGI467"/>
      <c r="WGJ467"/>
      <c r="WGK467"/>
      <c r="WGL467"/>
      <c r="WGM467"/>
      <c r="WGN467"/>
      <c r="WGO467"/>
      <c r="WGP467"/>
      <c r="WGQ467"/>
      <c r="WGR467"/>
      <c r="WGS467"/>
      <c r="WGT467"/>
      <c r="WGU467"/>
      <c r="WGV467"/>
      <c r="WGW467"/>
      <c r="WGX467"/>
      <c r="WGY467"/>
      <c r="WGZ467"/>
      <c r="WHA467"/>
      <c r="WHB467"/>
      <c r="WHC467"/>
      <c r="WHD467"/>
      <c r="WHE467"/>
      <c r="WHF467"/>
      <c r="WHG467"/>
      <c r="WHH467"/>
      <c r="WHI467"/>
      <c r="WHJ467"/>
      <c r="WHK467"/>
      <c r="WHL467"/>
      <c r="WHM467"/>
      <c r="WHN467"/>
      <c r="WHO467"/>
      <c r="WHP467"/>
      <c r="WHQ467"/>
      <c r="WHR467"/>
      <c r="WHS467"/>
      <c r="WHT467"/>
      <c r="WHU467"/>
      <c r="WHV467"/>
      <c r="WHW467"/>
      <c r="WHX467"/>
      <c r="WHY467"/>
      <c r="WHZ467"/>
      <c r="WIA467"/>
      <c r="WIB467"/>
      <c r="WIC467"/>
      <c r="WID467"/>
      <c r="WIE467"/>
      <c r="WIF467"/>
      <c r="WIG467"/>
      <c r="WIH467"/>
      <c r="WII467"/>
      <c r="WIJ467"/>
      <c r="WIK467"/>
      <c r="WIL467"/>
      <c r="WIM467"/>
      <c r="WIN467"/>
      <c r="WIO467"/>
      <c r="WIP467"/>
      <c r="WIQ467"/>
      <c r="WIR467"/>
      <c r="WIS467"/>
      <c r="WIT467"/>
      <c r="WIU467"/>
      <c r="WIV467"/>
      <c r="WIW467"/>
      <c r="WIX467"/>
      <c r="WIY467"/>
      <c r="WIZ467"/>
      <c r="WJA467"/>
      <c r="WJB467"/>
      <c r="WJC467"/>
      <c r="WJD467"/>
      <c r="WJE467"/>
      <c r="WJF467"/>
      <c r="WJG467"/>
      <c r="WJH467"/>
      <c r="WJI467"/>
      <c r="WJJ467"/>
      <c r="WJK467"/>
      <c r="WJL467"/>
      <c r="WJM467"/>
      <c r="WJN467"/>
      <c r="WJO467"/>
      <c r="WJP467"/>
      <c r="WJQ467"/>
      <c r="WJR467"/>
      <c r="WJS467"/>
      <c r="WJT467"/>
      <c r="WJU467"/>
      <c r="WJV467"/>
      <c r="WJW467"/>
      <c r="WJX467"/>
      <c r="WJY467"/>
      <c r="WJZ467"/>
      <c r="WKA467"/>
      <c r="WKB467"/>
      <c r="WKC467"/>
      <c r="WKD467"/>
      <c r="WKE467"/>
      <c r="WKF467"/>
      <c r="WKG467"/>
      <c r="WKH467"/>
      <c r="WKI467"/>
      <c r="WKJ467"/>
      <c r="WKK467"/>
      <c r="WKL467"/>
      <c r="WKM467"/>
      <c r="WKN467"/>
      <c r="WKO467"/>
      <c r="WKP467"/>
      <c r="WKQ467"/>
      <c r="WKR467"/>
      <c r="WKS467"/>
      <c r="WKT467"/>
      <c r="WKU467"/>
      <c r="WKV467"/>
      <c r="WKW467"/>
      <c r="WKX467"/>
      <c r="WKY467"/>
      <c r="WKZ467"/>
      <c r="WLA467"/>
      <c r="WLB467"/>
      <c r="WLC467"/>
      <c r="WLD467"/>
      <c r="WLE467"/>
      <c r="WLF467"/>
      <c r="WLG467"/>
      <c r="WLH467"/>
      <c r="WLI467"/>
      <c r="WLJ467"/>
      <c r="WLK467"/>
      <c r="WLL467"/>
      <c r="WLM467"/>
      <c r="WLN467"/>
      <c r="WLO467"/>
      <c r="WLP467"/>
      <c r="WLQ467"/>
      <c r="WLR467"/>
      <c r="WLS467"/>
      <c r="WLT467"/>
      <c r="WLU467"/>
      <c r="WLV467"/>
      <c r="WLW467"/>
      <c r="WLX467"/>
      <c r="WLY467"/>
      <c r="WLZ467"/>
      <c r="WMA467"/>
      <c r="WMB467"/>
      <c r="WMC467"/>
      <c r="WMD467"/>
      <c r="WME467"/>
      <c r="WMF467"/>
      <c r="WMG467"/>
      <c r="WMH467"/>
      <c r="WMI467"/>
      <c r="WMJ467"/>
      <c r="WMK467"/>
      <c r="WML467"/>
      <c r="WMM467"/>
      <c r="WMN467"/>
      <c r="WMO467"/>
      <c r="WMP467"/>
      <c r="WMQ467"/>
      <c r="WMR467"/>
      <c r="WMS467"/>
      <c r="WMT467"/>
      <c r="WMU467"/>
      <c r="WMV467"/>
      <c r="WMW467"/>
      <c r="WMX467"/>
      <c r="WMY467"/>
      <c r="WMZ467"/>
      <c r="WNA467"/>
      <c r="WNB467"/>
      <c r="WNC467"/>
      <c r="WND467"/>
      <c r="WNE467"/>
      <c r="WNF467"/>
      <c r="WNG467"/>
      <c r="WNH467"/>
      <c r="WNI467"/>
      <c r="WNJ467"/>
      <c r="WNK467"/>
      <c r="WNL467"/>
      <c r="WNM467"/>
      <c r="WNN467"/>
      <c r="WNO467"/>
      <c r="WNP467"/>
      <c r="WNQ467"/>
      <c r="WNR467"/>
      <c r="WNS467"/>
      <c r="WNT467"/>
      <c r="WNU467"/>
      <c r="WNV467"/>
      <c r="WNW467"/>
      <c r="WNX467"/>
      <c r="WNY467"/>
      <c r="WNZ467"/>
      <c r="WOA467"/>
      <c r="WOB467"/>
      <c r="WOC467"/>
      <c r="WOD467"/>
      <c r="WOE467"/>
      <c r="WOF467"/>
      <c r="WOG467"/>
      <c r="WOH467"/>
      <c r="WOI467"/>
      <c r="WOJ467"/>
      <c r="WOK467"/>
      <c r="WOL467"/>
      <c r="WOM467"/>
      <c r="WON467"/>
      <c r="WOO467"/>
      <c r="WOP467"/>
      <c r="WOQ467"/>
      <c r="WOR467"/>
      <c r="WOS467"/>
      <c r="WOT467"/>
      <c r="WOU467"/>
      <c r="WOV467"/>
      <c r="WOW467"/>
      <c r="WOX467"/>
      <c r="WOY467"/>
      <c r="WOZ467"/>
      <c r="WPA467"/>
      <c r="WPB467"/>
      <c r="WPC467"/>
      <c r="WPD467"/>
      <c r="WPE467"/>
      <c r="WPF467"/>
      <c r="WPG467"/>
      <c r="WPH467"/>
      <c r="WPI467"/>
      <c r="WPJ467"/>
      <c r="WPK467"/>
      <c r="WPL467"/>
      <c r="WPM467"/>
      <c r="WPN467"/>
      <c r="WPO467"/>
      <c r="WPP467"/>
      <c r="WPQ467"/>
      <c r="WPR467"/>
      <c r="WPS467"/>
      <c r="WPT467"/>
      <c r="WPU467"/>
      <c r="WPV467"/>
      <c r="WPW467"/>
      <c r="WPX467"/>
      <c r="WPY467"/>
      <c r="WPZ467"/>
      <c r="WQA467"/>
      <c r="WQB467"/>
      <c r="WQC467"/>
      <c r="WQD467"/>
      <c r="WQE467"/>
      <c r="WQF467"/>
      <c r="WQG467"/>
      <c r="WQH467"/>
      <c r="WQI467"/>
      <c r="WQJ467"/>
      <c r="WQK467"/>
      <c r="WQL467"/>
      <c r="WQM467"/>
      <c r="WQN467"/>
      <c r="WQO467"/>
      <c r="WQP467"/>
      <c r="WQQ467"/>
      <c r="WQR467"/>
      <c r="WQS467"/>
      <c r="WQT467"/>
      <c r="WQU467"/>
      <c r="WQV467"/>
      <c r="WQW467"/>
      <c r="WQX467"/>
      <c r="WQY467"/>
      <c r="WQZ467"/>
      <c r="WRA467"/>
      <c r="WRB467"/>
      <c r="WRC467"/>
      <c r="WRD467"/>
      <c r="WRE467"/>
      <c r="WRF467"/>
      <c r="WRG467"/>
      <c r="WRH467"/>
      <c r="WRI467"/>
      <c r="WRJ467"/>
      <c r="WRK467"/>
      <c r="WRL467"/>
      <c r="WRM467"/>
      <c r="WRN467"/>
      <c r="WRO467"/>
      <c r="WRP467"/>
      <c r="WRQ467"/>
      <c r="WRR467"/>
      <c r="WRS467"/>
      <c r="WRT467"/>
      <c r="WRU467"/>
      <c r="WRV467"/>
      <c r="WRW467"/>
      <c r="WRX467"/>
      <c r="WRY467"/>
      <c r="WRZ467"/>
      <c r="WSA467"/>
      <c r="WSB467"/>
      <c r="WSC467"/>
      <c r="WSD467"/>
      <c r="WSE467"/>
      <c r="WSF467"/>
      <c r="WSG467"/>
      <c r="WSH467"/>
      <c r="WSI467"/>
      <c r="WSJ467"/>
      <c r="WSK467"/>
      <c r="WSL467"/>
      <c r="WSM467"/>
      <c r="WSN467"/>
      <c r="WSO467"/>
      <c r="WSP467"/>
      <c r="WSQ467"/>
      <c r="WSR467"/>
      <c r="WSS467"/>
      <c r="WST467"/>
      <c r="WSU467"/>
      <c r="WSV467"/>
      <c r="WSW467"/>
      <c r="WSX467"/>
      <c r="WSY467"/>
      <c r="WSZ467"/>
      <c r="WTA467"/>
      <c r="WTB467"/>
      <c r="WTC467"/>
      <c r="WTD467"/>
      <c r="WTE467"/>
      <c r="WTF467"/>
      <c r="WTG467"/>
      <c r="WTH467"/>
      <c r="WTI467"/>
      <c r="WTJ467"/>
      <c r="WTK467"/>
      <c r="WTL467"/>
      <c r="WTM467"/>
      <c r="WTN467"/>
      <c r="WTO467"/>
      <c r="WTP467"/>
      <c r="WTQ467"/>
      <c r="WTR467"/>
      <c r="WTS467"/>
      <c r="WTT467"/>
      <c r="WTU467"/>
      <c r="WTV467"/>
      <c r="WTW467"/>
      <c r="WTX467"/>
      <c r="WTY467"/>
      <c r="WTZ467"/>
      <c r="WUA467"/>
      <c r="WUB467"/>
      <c r="WUC467"/>
      <c r="WUD467"/>
      <c r="WUE467"/>
      <c r="WUF467"/>
      <c r="WUG467"/>
      <c r="WUH467"/>
      <c r="WUI467"/>
      <c r="WUJ467"/>
      <c r="WUK467"/>
      <c r="WUL467"/>
      <c r="WUM467"/>
      <c r="WUN467"/>
      <c r="WUO467"/>
      <c r="WUP467"/>
      <c r="WUQ467"/>
      <c r="WUR467"/>
      <c r="WUS467"/>
      <c r="WUT467"/>
      <c r="WUU467"/>
      <c r="WUV467"/>
      <c r="WUW467"/>
      <c r="WUX467"/>
      <c r="WUY467"/>
      <c r="WUZ467"/>
      <c r="WVA467"/>
      <c r="WVB467"/>
      <c r="WVC467"/>
      <c r="WVD467"/>
      <c r="WVE467"/>
      <c r="WVF467"/>
      <c r="WVG467"/>
      <c r="WVH467"/>
      <c r="WVI467"/>
      <c r="WVJ467"/>
      <c r="WVK467"/>
      <c r="WVL467"/>
      <c r="WVM467"/>
      <c r="WVN467"/>
      <c r="WVO467"/>
      <c r="WVP467"/>
      <c r="WVQ467"/>
      <c r="WVR467"/>
      <c r="WVS467"/>
      <c r="WVT467"/>
      <c r="WVU467"/>
      <c r="WVV467"/>
      <c r="WVW467"/>
      <c r="WVX467"/>
      <c r="WVY467"/>
      <c r="WVZ467"/>
      <c r="WWA467"/>
      <c r="WWB467"/>
      <c r="WWC467"/>
      <c r="WWD467"/>
      <c r="WWE467"/>
      <c r="WWF467"/>
      <c r="WWG467"/>
      <c r="WWH467"/>
      <c r="WWI467"/>
      <c r="WWJ467"/>
      <c r="WWK467"/>
      <c r="WWL467"/>
      <c r="WWM467"/>
      <c r="WWN467"/>
      <c r="WWO467"/>
      <c r="WWP467"/>
      <c r="WWQ467"/>
      <c r="WWR467"/>
      <c r="WWS467"/>
      <c r="WWT467"/>
      <c r="WWU467"/>
      <c r="WWV467"/>
      <c r="WWW467"/>
      <c r="WWX467"/>
      <c r="WWY467"/>
      <c r="WWZ467"/>
      <c r="WXA467"/>
      <c r="WXB467"/>
      <c r="WXC467"/>
      <c r="WXD467"/>
      <c r="WXE467"/>
      <c r="WXF467"/>
      <c r="WXG467"/>
      <c r="WXH467"/>
      <c r="WXI467"/>
      <c r="WXJ467"/>
      <c r="WXK467"/>
      <c r="WXL467"/>
      <c r="WXM467"/>
      <c r="WXN467"/>
      <c r="WXO467"/>
      <c r="WXP467"/>
      <c r="WXQ467"/>
      <c r="WXR467"/>
      <c r="WXS467"/>
      <c r="WXT467"/>
      <c r="WXU467"/>
      <c r="WXV467"/>
      <c r="WXW467"/>
      <c r="WXX467"/>
      <c r="WXY467"/>
      <c r="WXZ467"/>
      <c r="WYA467"/>
      <c r="WYB467"/>
      <c r="WYC467"/>
      <c r="WYD467"/>
      <c r="WYE467"/>
      <c r="WYF467"/>
      <c r="WYG467"/>
      <c r="WYH467"/>
      <c r="WYI467"/>
      <c r="WYJ467"/>
      <c r="WYK467"/>
      <c r="WYL467"/>
      <c r="WYM467"/>
      <c r="WYN467"/>
      <c r="WYO467"/>
      <c r="WYP467"/>
      <c r="WYQ467"/>
      <c r="WYR467"/>
      <c r="WYS467"/>
      <c r="WYT467"/>
      <c r="WYU467"/>
      <c r="WYV467"/>
      <c r="WYW467"/>
      <c r="WYX467"/>
      <c r="WYY467"/>
      <c r="WYZ467"/>
      <c r="WZA467"/>
      <c r="WZB467"/>
      <c r="WZC467"/>
      <c r="WZD467"/>
      <c r="WZE467"/>
      <c r="WZF467"/>
      <c r="WZG467"/>
      <c r="WZH467"/>
      <c r="WZI467"/>
      <c r="WZJ467"/>
      <c r="WZK467"/>
      <c r="WZL467"/>
      <c r="WZM467"/>
      <c r="WZN467"/>
      <c r="WZO467"/>
      <c r="WZP467"/>
      <c r="WZQ467"/>
      <c r="WZR467"/>
      <c r="WZS467"/>
      <c r="WZT467"/>
      <c r="WZU467"/>
      <c r="WZV467"/>
      <c r="WZW467"/>
      <c r="WZX467"/>
      <c r="WZY467"/>
      <c r="WZZ467"/>
      <c r="XAA467"/>
      <c r="XAB467"/>
      <c r="XAC467"/>
      <c r="XAD467"/>
      <c r="XAE467"/>
      <c r="XAF467"/>
      <c r="XAG467"/>
      <c r="XAH467"/>
      <c r="XAI467"/>
      <c r="XAJ467"/>
      <c r="XAK467"/>
      <c r="XAL467"/>
      <c r="XAM467"/>
      <c r="XAN467"/>
      <c r="XAO467"/>
      <c r="XAP467"/>
      <c r="XAQ467"/>
      <c r="XAR467"/>
      <c r="XAS467"/>
      <c r="XAT467"/>
      <c r="XAU467"/>
      <c r="XAV467"/>
      <c r="XAW467"/>
      <c r="XAX467"/>
      <c r="XAY467"/>
      <c r="XAZ467"/>
      <c r="XBA467"/>
      <c r="XBB467"/>
      <c r="XBC467"/>
      <c r="XBD467"/>
      <c r="XBE467"/>
      <c r="XBF467"/>
      <c r="XBG467"/>
      <c r="XBH467"/>
      <c r="XBI467"/>
      <c r="XBJ467"/>
      <c r="XBK467"/>
      <c r="XBL467"/>
      <c r="XBM467"/>
      <c r="XBN467"/>
      <c r="XBO467"/>
      <c r="XBP467"/>
      <c r="XBQ467"/>
      <c r="XBR467"/>
      <c r="XBS467"/>
      <c r="XBT467"/>
      <c r="XBU467"/>
      <c r="XBV467"/>
      <c r="XBW467"/>
      <c r="XBX467"/>
      <c r="XBY467"/>
      <c r="XBZ467"/>
      <c r="XCA467"/>
      <c r="XCB467"/>
      <c r="XCC467"/>
      <c r="XCD467"/>
      <c r="XCE467"/>
      <c r="XCF467"/>
      <c r="XCG467"/>
      <c r="XCH467"/>
      <c r="XCI467"/>
      <c r="XCJ467"/>
      <c r="XCK467"/>
      <c r="XCL467"/>
      <c r="XCM467"/>
      <c r="XCN467"/>
      <c r="XCO467"/>
      <c r="XCP467"/>
      <c r="XCQ467"/>
      <c r="XCR467"/>
      <c r="XCS467"/>
      <c r="XCT467"/>
      <c r="XCU467"/>
      <c r="XCV467"/>
      <c r="XCW467"/>
      <c r="XCX467"/>
      <c r="XCY467"/>
      <c r="XCZ467"/>
      <c r="XDA467"/>
      <c r="XDB467"/>
      <c r="XDC467"/>
      <c r="XDD467"/>
      <c r="XDE467"/>
      <c r="XDF467"/>
      <c r="XDG467"/>
      <c r="XDH467"/>
      <c r="XDI467"/>
      <c r="XDJ467"/>
      <c r="XDK467"/>
      <c r="XDL467"/>
      <c r="XDM467"/>
      <c r="XDN467"/>
      <c r="XDO467"/>
      <c r="XDP467"/>
      <c r="XDQ467"/>
      <c r="XDR467"/>
      <c r="XDS467"/>
      <c r="XDT467"/>
      <c r="XDU467"/>
      <c r="XDV467"/>
      <c r="XDW467"/>
      <c r="XDX467"/>
      <c r="XDY467"/>
      <c r="XDZ467"/>
      <c r="XEA467"/>
      <c r="XEB467"/>
      <c r="XEC467"/>
      <c r="XED467"/>
      <c r="XEE467"/>
      <c r="XEF467"/>
      <c r="XEG467"/>
      <c r="XEH467"/>
      <c r="XEI467"/>
      <c r="XEJ467"/>
      <c r="XEK467"/>
      <c r="XEL467"/>
      <c r="XEM467"/>
      <c r="XEN467"/>
      <c r="XEO467"/>
      <c r="XEP467"/>
      <c r="XEQ467"/>
      <c r="XER467"/>
      <c r="XES467"/>
      <c r="XET467"/>
      <c r="XEU467"/>
      <c r="XEV467"/>
      <c r="XEW467"/>
      <c r="XEX467"/>
      <c r="XEY467"/>
      <c r="XEZ467"/>
      <c r="XFA467"/>
      <c r="XFB467"/>
      <c r="XFC467"/>
      <c r="XFD467"/>
    </row>
    <row r="468" spans="1:16384" s="46" customFormat="1" ht="15" customHeight="1">
      <c r="A468" s="46" t="s">
        <v>7814</v>
      </c>
      <c r="B468" s="46" t="str">
        <f t="shared" ca="1" si="6"/>
        <v>Bank of Salary Account (Brazil)</v>
      </c>
      <c r="D468" s="46" t="s">
        <v>7814</v>
      </c>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c r="TI468"/>
      <c r="TJ468"/>
      <c r="TK468"/>
      <c r="TL468"/>
      <c r="TM468"/>
      <c r="TN468"/>
      <c r="TO468"/>
      <c r="TP468"/>
      <c r="TQ468"/>
      <c r="TR468"/>
      <c r="TS468"/>
      <c r="TT468"/>
      <c r="TU468"/>
      <c r="TV468"/>
      <c r="TW468"/>
      <c r="TX468"/>
      <c r="TY468"/>
      <c r="TZ468"/>
      <c r="UA468"/>
      <c r="UB468"/>
      <c r="UC468"/>
      <c r="UD468"/>
      <c r="UE468"/>
      <c r="UF468"/>
      <c r="UG468"/>
      <c r="UH468"/>
      <c r="UI468"/>
      <c r="UJ468"/>
      <c r="UK468"/>
      <c r="UL468"/>
      <c r="UM468"/>
      <c r="UN468"/>
      <c r="UO468"/>
      <c r="UP468"/>
      <c r="UQ468"/>
      <c r="UR468"/>
      <c r="US468"/>
      <c r="UT468"/>
      <c r="UU468"/>
      <c r="UV468"/>
      <c r="UW468"/>
      <c r="UX468"/>
      <c r="UY468"/>
      <c r="UZ468"/>
      <c r="VA468"/>
      <c r="VB468"/>
      <c r="VC468"/>
      <c r="VD468"/>
      <c r="VE468"/>
      <c r="VF468"/>
      <c r="VG468"/>
      <c r="VH468"/>
      <c r="VI468"/>
      <c r="VJ468"/>
      <c r="VK468"/>
      <c r="VL468"/>
      <c r="VM468"/>
      <c r="VN468"/>
      <c r="VO468"/>
      <c r="VP468"/>
      <c r="VQ468"/>
      <c r="VR468"/>
      <c r="VS468"/>
      <c r="VT468"/>
      <c r="VU468"/>
      <c r="VV468"/>
      <c r="VW468"/>
      <c r="VX468"/>
      <c r="VY468"/>
      <c r="VZ468"/>
      <c r="WA468"/>
      <c r="WB468"/>
      <c r="WC468"/>
      <c r="WD468"/>
      <c r="WE468"/>
      <c r="WF468"/>
      <c r="WG468"/>
      <c r="WH468"/>
      <c r="WI468"/>
      <c r="WJ468"/>
      <c r="WK468"/>
      <c r="WL468"/>
      <c r="WM468"/>
      <c r="WN468"/>
      <c r="WO468"/>
      <c r="WP468"/>
      <c r="WQ468"/>
      <c r="WR468"/>
      <c r="WS468"/>
      <c r="WT468"/>
      <c r="WU468"/>
      <c r="WV468"/>
      <c r="WW468"/>
      <c r="WX468"/>
      <c r="WY468"/>
      <c r="WZ468"/>
      <c r="XA468"/>
      <c r="XB468"/>
      <c r="XC468"/>
      <c r="XD468"/>
      <c r="XE468"/>
      <c r="XF468"/>
      <c r="XG468"/>
      <c r="XH468"/>
      <c r="XI468"/>
      <c r="XJ468"/>
      <c r="XK468"/>
      <c r="XL468"/>
      <c r="XM468"/>
      <c r="XN468"/>
      <c r="XO468"/>
      <c r="XP468"/>
      <c r="XQ468"/>
      <c r="XR468"/>
      <c r="XS468"/>
      <c r="XT468"/>
      <c r="XU468"/>
      <c r="XV468"/>
      <c r="XW468"/>
      <c r="XX468"/>
      <c r="XY468"/>
      <c r="XZ468"/>
      <c r="YA468"/>
      <c r="YB468"/>
      <c r="YC468"/>
      <c r="YD468"/>
      <c r="YE468"/>
      <c r="YF468"/>
      <c r="YG468"/>
      <c r="YH468"/>
      <c r="YI468"/>
      <c r="YJ468"/>
      <c r="YK468"/>
      <c r="YL468"/>
      <c r="YM468"/>
      <c r="YN468"/>
      <c r="YO468"/>
      <c r="YP468"/>
      <c r="YQ468"/>
      <c r="YR468"/>
      <c r="YS468"/>
      <c r="YT468"/>
      <c r="YU468"/>
      <c r="YV468"/>
      <c r="YW468"/>
      <c r="YX468"/>
      <c r="YY468"/>
      <c r="YZ468"/>
      <c r="ZA468"/>
      <c r="ZB468"/>
      <c r="ZC468"/>
      <c r="ZD468"/>
      <c r="ZE468"/>
      <c r="ZF468"/>
      <c r="ZG468"/>
      <c r="ZH468"/>
      <c r="ZI468"/>
      <c r="ZJ468"/>
      <c r="ZK468"/>
      <c r="ZL468"/>
      <c r="ZM468"/>
      <c r="ZN468"/>
      <c r="ZO468"/>
      <c r="ZP468"/>
      <c r="ZQ468"/>
      <c r="ZR468"/>
      <c r="ZS468"/>
      <c r="ZT468"/>
      <c r="ZU468"/>
      <c r="ZV468"/>
      <c r="ZW468"/>
      <c r="ZX468"/>
      <c r="ZY468"/>
      <c r="ZZ468"/>
      <c r="AAA468"/>
      <c r="AAB468"/>
      <c r="AAC468"/>
      <c r="AAD468"/>
      <c r="AAE468"/>
      <c r="AAF468"/>
      <c r="AAG468"/>
      <c r="AAH468"/>
      <c r="AAI468"/>
      <c r="AAJ468"/>
      <c r="AAK468"/>
      <c r="AAL468"/>
      <c r="AAM468"/>
      <c r="AAN468"/>
      <c r="AAO468"/>
      <c r="AAP468"/>
      <c r="AAQ468"/>
      <c r="AAR468"/>
      <c r="AAS468"/>
      <c r="AAT468"/>
      <c r="AAU468"/>
      <c r="AAV468"/>
      <c r="AAW468"/>
      <c r="AAX468"/>
      <c r="AAY468"/>
      <c r="AAZ468"/>
      <c r="ABA468"/>
      <c r="ABB468"/>
      <c r="ABC468"/>
      <c r="ABD468"/>
      <c r="ABE468"/>
      <c r="ABF468"/>
      <c r="ABG468"/>
      <c r="ABH468"/>
      <c r="ABI468"/>
      <c r="ABJ468"/>
      <c r="ABK468"/>
      <c r="ABL468"/>
      <c r="ABM468"/>
      <c r="ABN468"/>
      <c r="ABO468"/>
      <c r="ABP468"/>
      <c r="ABQ468"/>
      <c r="ABR468"/>
      <c r="ABS468"/>
      <c r="ABT468"/>
      <c r="ABU468"/>
      <c r="ABV468"/>
      <c r="ABW468"/>
      <c r="ABX468"/>
      <c r="ABY468"/>
      <c r="ABZ468"/>
      <c r="ACA468"/>
      <c r="ACB468"/>
      <c r="ACC468"/>
      <c r="ACD468"/>
      <c r="ACE468"/>
      <c r="ACF468"/>
      <c r="ACG468"/>
      <c r="ACH468"/>
      <c r="ACI468"/>
      <c r="ACJ468"/>
      <c r="ACK468"/>
      <c r="ACL468"/>
      <c r="ACM468"/>
      <c r="ACN468"/>
      <c r="ACO468"/>
      <c r="ACP468"/>
      <c r="ACQ468"/>
      <c r="ACR468"/>
      <c r="ACS468"/>
      <c r="ACT468"/>
      <c r="ACU468"/>
      <c r="ACV468"/>
      <c r="ACW468"/>
      <c r="ACX468"/>
      <c r="ACY468"/>
      <c r="ACZ468"/>
      <c r="ADA468"/>
      <c r="ADB468"/>
      <c r="ADC468"/>
      <c r="ADD468"/>
      <c r="ADE468"/>
      <c r="ADF468"/>
      <c r="ADG468"/>
      <c r="ADH468"/>
      <c r="ADI468"/>
      <c r="ADJ468"/>
      <c r="ADK468"/>
      <c r="ADL468"/>
      <c r="ADM468"/>
      <c r="ADN468"/>
      <c r="ADO468"/>
      <c r="ADP468"/>
      <c r="ADQ468"/>
      <c r="ADR468"/>
      <c r="ADS468"/>
      <c r="ADT468"/>
      <c r="ADU468"/>
      <c r="ADV468"/>
      <c r="ADW468"/>
      <c r="ADX468"/>
      <c r="ADY468"/>
      <c r="ADZ468"/>
      <c r="AEA468"/>
      <c r="AEB468"/>
      <c r="AEC468"/>
      <c r="AED468"/>
      <c r="AEE468"/>
      <c r="AEF468"/>
      <c r="AEG468"/>
      <c r="AEH468"/>
      <c r="AEI468"/>
      <c r="AEJ468"/>
      <c r="AEK468"/>
      <c r="AEL468"/>
      <c r="AEM468"/>
      <c r="AEN468"/>
      <c r="AEO468"/>
      <c r="AEP468"/>
      <c r="AEQ468"/>
      <c r="AER468"/>
      <c r="AES468"/>
      <c r="AET468"/>
      <c r="AEU468"/>
      <c r="AEV468"/>
      <c r="AEW468"/>
      <c r="AEX468"/>
      <c r="AEY468"/>
      <c r="AEZ468"/>
      <c r="AFA468"/>
      <c r="AFB468"/>
      <c r="AFC468"/>
      <c r="AFD468"/>
      <c r="AFE468"/>
      <c r="AFF468"/>
      <c r="AFG468"/>
      <c r="AFH468"/>
      <c r="AFI468"/>
      <c r="AFJ468"/>
      <c r="AFK468"/>
      <c r="AFL468"/>
      <c r="AFM468"/>
      <c r="AFN468"/>
      <c r="AFO468"/>
      <c r="AFP468"/>
      <c r="AFQ468"/>
      <c r="AFR468"/>
      <c r="AFS468"/>
      <c r="AFT468"/>
      <c r="AFU468"/>
      <c r="AFV468"/>
      <c r="AFW468"/>
      <c r="AFX468"/>
      <c r="AFY468"/>
      <c r="AFZ468"/>
      <c r="AGA468"/>
      <c r="AGB468"/>
      <c r="AGC468"/>
      <c r="AGD468"/>
      <c r="AGE468"/>
      <c r="AGF468"/>
      <c r="AGG468"/>
      <c r="AGH468"/>
      <c r="AGI468"/>
      <c r="AGJ468"/>
      <c r="AGK468"/>
      <c r="AGL468"/>
      <c r="AGM468"/>
      <c r="AGN468"/>
      <c r="AGO468"/>
      <c r="AGP468"/>
      <c r="AGQ468"/>
      <c r="AGR468"/>
      <c r="AGS468"/>
      <c r="AGT468"/>
      <c r="AGU468"/>
      <c r="AGV468"/>
      <c r="AGW468"/>
      <c r="AGX468"/>
      <c r="AGY468"/>
      <c r="AGZ468"/>
      <c r="AHA468"/>
      <c r="AHB468"/>
      <c r="AHC468"/>
      <c r="AHD468"/>
      <c r="AHE468"/>
      <c r="AHF468"/>
      <c r="AHG468"/>
      <c r="AHH468"/>
      <c r="AHI468"/>
      <c r="AHJ468"/>
      <c r="AHK468"/>
      <c r="AHL468"/>
      <c r="AHM468"/>
      <c r="AHN468"/>
      <c r="AHO468"/>
      <c r="AHP468"/>
      <c r="AHQ468"/>
      <c r="AHR468"/>
      <c r="AHS468"/>
      <c r="AHT468"/>
      <c r="AHU468"/>
      <c r="AHV468"/>
      <c r="AHW468"/>
      <c r="AHX468"/>
      <c r="AHY468"/>
      <c r="AHZ468"/>
      <c r="AIA468"/>
      <c r="AIB468"/>
      <c r="AIC468"/>
      <c r="AID468"/>
      <c r="AIE468"/>
      <c r="AIF468"/>
      <c r="AIG468"/>
      <c r="AIH468"/>
      <c r="AII468"/>
      <c r="AIJ468"/>
      <c r="AIK468"/>
      <c r="AIL468"/>
      <c r="AIM468"/>
      <c r="AIN468"/>
      <c r="AIO468"/>
      <c r="AIP468"/>
      <c r="AIQ468"/>
      <c r="AIR468"/>
      <c r="AIS468"/>
      <c r="AIT468"/>
      <c r="AIU468"/>
      <c r="AIV468"/>
      <c r="AIW468"/>
      <c r="AIX468"/>
      <c r="AIY468"/>
      <c r="AIZ468"/>
      <c r="AJA468"/>
      <c r="AJB468"/>
      <c r="AJC468"/>
      <c r="AJD468"/>
      <c r="AJE468"/>
      <c r="AJF468"/>
      <c r="AJG468"/>
      <c r="AJH468"/>
      <c r="AJI468"/>
      <c r="AJJ468"/>
      <c r="AJK468"/>
      <c r="AJL468"/>
      <c r="AJM468"/>
      <c r="AJN468"/>
      <c r="AJO468"/>
      <c r="AJP468"/>
      <c r="AJQ468"/>
      <c r="AJR468"/>
      <c r="AJS468"/>
      <c r="AJT468"/>
      <c r="AJU468"/>
      <c r="AJV468"/>
      <c r="AJW468"/>
      <c r="AJX468"/>
      <c r="AJY468"/>
      <c r="AJZ468"/>
      <c r="AKA468"/>
      <c r="AKB468"/>
      <c r="AKC468"/>
      <c r="AKD468"/>
      <c r="AKE468"/>
      <c r="AKF468"/>
      <c r="AKG468"/>
      <c r="AKH468"/>
      <c r="AKI468"/>
      <c r="AKJ468"/>
      <c r="AKK468"/>
      <c r="AKL468"/>
      <c r="AKM468"/>
      <c r="AKN468"/>
      <c r="AKO468"/>
      <c r="AKP468"/>
      <c r="AKQ468"/>
      <c r="AKR468"/>
      <c r="AKS468"/>
      <c r="AKT468"/>
      <c r="AKU468"/>
      <c r="AKV468"/>
      <c r="AKW468"/>
      <c r="AKX468"/>
      <c r="AKY468"/>
      <c r="AKZ468"/>
      <c r="ALA468"/>
      <c r="ALB468"/>
      <c r="ALC468"/>
      <c r="ALD468"/>
      <c r="ALE468"/>
      <c r="ALF468"/>
      <c r="ALG468"/>
      <c r="ALH468"/>
      <c r="ALI468"/>
      <c r="ALJ468"/>
      <c r="ALK468"/>
      <c r="ALL468"/>
      <c r="ALM468"/>
      <c r="ALN468"/>
      <c r="ALO468"/>
      <c r="ALP468"/>
      <c r="ALQ468"/>
      <c r="ALR468"/>
      <c r="ALS468"/>
      <c r="ALT468"/>
      <c r="ALU468"/>
      <c r="ALV468"/>
      <c r="ALW468"/>
      <c r="ALX468"/>
      <c r="ALY468"/>
      <c r="ALZ468"/>
      <c r="AMA468"/>
      <c r="AMB468"/>
      <c r="AMC468"/>
      <c r="AMD468"/>
      <c r="AME468"/>
      <c r="AMF468"/>
      <c r="AMG468"/>
      <c r="AMH468"/>
      <c r="AMI468"/>
      <c r="AMJ468"/>
      <c r="AMK468"/>
      <c r="AML468"/>
      <c r="AMM468"/>
      <c r="AMN468"/>
      <c r="AMO468"/>
      <c r="AMP468"/>
      <c r="AMQ468"/>
      <c r="AMR468"/>
      <c r="AMS468"/>
      <c r="AMT468"/>
      <c r="AMU468"/>
      <c r="AMV468"/>
      <c r="AMW468"/>
      <c r="AMX468"/>
      <c r="AMY468"/>
      <c r="AMZ468"/>
      <c r="ANA468"/>
      <c r="ANB468"/>
      <c r="ANC468"/>
      <c r="AND468"/>
      <c r="ANE468"/>
      <c r="ANF468"/>
      <c r="ANG468"/>
      <c r="ANH468"/>
      <c r="ANI468"/>
      <c r="ANJ468"/>
      <c r="ANK468"/>
      <c r="ANL468"/>
      <c r="ANM468"/>
      <c r="ANN468"/>
      <c r="ANO468"/>
      <c r="ANP468"/>
      <c r="ANQ468"/>
      <c r="ANR468"/>
      <c r="ANS468"/>
      <c r="ANT468"/>
      <c r="ANU468"/>
      <c r="ANV468"/>
      <c r="ANW468"/>
      <c r="ANX468"/>
      <c r="ANY468"/>
      <c r="ANZ468"/>
      <c r="AOA468"/>
      <c r="AOB468"/>
      <c r="AOC468"/>
      <c r="AOD468"/>
      <c r="AOE468"/>
      <c r="AOF468"/>
      <c r="AOG468"/>
      <c r="AOH468"/>
      <c r="AOI468"/>
      <c r="AOJ468"/>
      <c r="AOK468"/>
      <c r="AOL468"/>
      <c r="AOM468"/>
      <c r="AON468"/>
      <c r="AOO468"/>
      <c r="AOP468"/>
      <c r="AOQ468"/>
      <c r="AOR468"/>
      <c r="AOS468"/>
      <c r="AOT468"/>
      <c r="AOU468"/>
      <c r="AOV468"/>
      <c r="AOW468"/>
      <c r="AOX468"/>
      <c r="AOY468"/>
      <c r="AOZ468"/>
      <c r="APA468"/>
      <c r="APB468"/>
      <c r="APC468"/>
      <c r="APD468"/>
      <c r="APE468"/>
      <c r="APF468"/>
      <c r="APG468"/>
      <c r="APH468"/>
      <c r="API468"/>
      <c r="APJ468"/>
      <c r="APK468"/>
      <c r="APL468"/>
      <c r="APM468"/>
      <c r="APN468"/>
      <c r="APO468"/>
      <c r="APP468"/>
      <c r="APQ468"/>
      <c r="APR468"/>
      <c r="APS468"/>
      <c r="APT468"/>
      <c r="APU468"/>
      <c r="APV468"/>
      <c r="APW468"/>
      <c r="APX468"/>
      <c r="APY468"/>
      <c r="APZ468"/>
      <c r="AQA468"/>
      <c r="AQB468"/>
      <c r="AQC468"/>
      <c r="AQD468"/>
      <c r="AQE468"/>
      <c r="AQF468"/>
      <c r="AQG468"/>
      <c r="AQH468"/>
      <c r="AQI468"/>
      <c r="AQJ468"/>
      <c r="AQK468"/>
      <c r="AQL468"/>
      <c r="AQM468"/>
      <c r="AQN468"/>
      <c r="AQO468"/>
      <c r="AQP468"/>
      <c r="AQQ468"/>
      <c r="AQR468"/>
      <c r="AQS468"/>
      <c r="AQT468"/>
      <c r="AQU468"/>
      <c r="AQV468"/>
      <c r="AQW468"/>
      <c r="AQX468"/>
      <c r="AQY468"/>
      <c r="AQZ468"/>
      <c r="ARA468"/>
      <c r="ARB468"/>
      <c r="ARC468"/>
      <c r="ARD468"/>
      <c r="ARE468"/>
      <c r="ARF468"/>
      <c r="ARG468"/>
      <c r="ARH468"/>
      <c r="ARI468"/>
      <c r="ARJ468"/>
      <c r="ARK468"/>
      <c r="ARL468"/>
      <c r="ARM468"/>
      <c r="ARN468"/>
      <c r="ARO468"/>
      <c r="ARP468"/>
      <c r="ARQ468"/>
      <c r="ARR468"/>
      <c r="ARS468"/>
      <c r="ART468"/>
      <c r="ARU468"/>
      <c r="ARV468"/>
      <c r="ARW468"/>
      <c r="ARX468"/>
      <c r="ARY468"/>
      <c r="ARZ468"/>
      <c r="ASA468"/>
      <c r="ASB468"/>
      <c r="ASC468"/>
      <c r="ASD468"/>
      <c r="ASE468"/>
      <c r="ASF468"/>
      <c r="ASG468"/>
      <c r="ASH468"/>
      <c r="ASI468"/>
      <c r="ASJ468"/>
      <c r="ASK468"/>
      <c r="ASL468"/>
      <c r="ASM468"/>
      <c r="ASN468"/>
      <c r="ASO468"/>
      <c r="ASP468"/>
      <c r="ASQ468"/>
      <c r="ASR468"/>
      <c r="ASS468"/>
      <c r="AST468"/>
      <c r="ASU468"/>
      <c r="ASV468"/>
      <c r="ASW468"/>
      <c r="ASX468"/>
      <c r="ASY468"/>
      <c r="ASZ468"/>
      <c r="ATA468"/>
      <c r="ATB468"/>
      <c r="ATC468"/>
      <c r="ATD468"/>
      <c r="ATE468"/>
      <c r="ATF468"/>
      <c r="ATG468"/>
      <c r="ATH468"/>
      <c r="ATI468"/>
      <c r="ATJ468"/>
      <c r="ATK468"/>
      <c r="ATL468"/>
      <c r="ATM468"/>
      <c r="ATN468"/>
      <c r="ATO468"/>
      <c r="ATP468"/>
      <c r="ATQ468"/>
      <c r="ATR468"/>
      <c r="ATS468"/>
      <c r="ATT468"/>
      <c r="ATU468"/>
      <c r="ATV468"/>
      <c r="ATW468"/>
      <c r="ATX468"/>
      <c r="ATY468"/>
      <c r="ATZ468"/>
      <c r="AUA468"/>
      <c r="AUB468"/>
      <c r="AUC468"/>
      <c r="AUD468"/>
      <c r="AUE468"/>
      <c r="AUF468"/>
      <c r="AUG468"/>
      <c r="AUH468"/>
      <c r="AUI468"/>
      <c r="AUJ468"/>
      <c r="AUK468"/>
      <c r="AUL468"/>
      <c r="AUM468"/>
      <c r="AUN468"/>
      <c r="AUO468"/>
      <c r="AUP468"/>
      <c r="AUQ468"/>
      <c r="AUR468"/>
      <c r="AUS468"/>
      <c r="AUT468"/>
      <c r="AUU468"/>
      <c r="AUV468"/>
      <c r="AUW468"/>
      <c r="AUX468"/>
      <c r="AUY468"/>
      <c r="AUZ468"/>
      <c r="AVA468"/>
      <c r="AVB468"/>
      <c r="AVC468"/>
      <c r="AVD468"/>
      <c r="AVE468"/>
      <c r="AVF468"/>
      <c r="AVG468"/>
      <c r="AVH468"/>
      <c r="AVI468"/>
      <c r="AVJ468"/>
      <c r="AVK468"/>
      <c r="AVL468"/>
      <c r="AVM468"/>
      <c r="AVN468"/>
      <c r="AVO468"/>
      <c r="AVP468"/>
      <c r="AVQ468"/>
      <c r="AVR468"/>
      <c r="AVS468"/>
      <c r="AVT468"/>
      <c r="AVU468"/>
      <c r="AVV468"/>
      <c r="AVW468"/>
      <c r="AVX468"/>
      <c r="AVY468"/>
      <c r="AVZ468"/>
      <c r="AWA468"/>
      <c r="AWB468"/>
      <c r="AWC468"/>
      <c r="AWD468"/>
      <c r="AWE468"/>
      <c r="AWF468"/>
      <c r="AWG468"/>
      <c r="AWH468"/>
      <c r="AWI468"/>
      <c r="AWJ468"/>
      <c r="AWK468"/>
      <c r="AWL468"/>
      <c r="AWM468"/>
      <c r="AWN468"/>
      <c r="AWO468"/>
      <c r="AWP468"/>
      <c r="AWQ468"/>
      <c r="AWR468"/>
      <c r="AWS468"/>
      <c r="AWT468"/>
      <c r="AWU468"/>
      <c r="AWV468"/>
      <c r="AWW468"/>
      <c r="AWX468"/>
      <c r="AWY468"/>
      <c r="AWZ468"/>
      <c r="AXA468"/>
      <c r="AXB468"/>
      <c r="AXC468"/>
      <c r="AXD468"/>
      <c r="AXE468"/>
      <c r="AXF468"/>
      <c r="AXG468"/>
      <c r="AXH468"/>
      <c r="AXI468"/>
      <c r="AXJ468"/>
      <c r="AXK468"/>
      <c r="AXL468"/>
      <c r="AXM468"/>
      <c r="AXN468"/>
      <c r="AXO468"/>
      <c r="AXP468"/>
      <c r="AXQ468"/>
      <c r="AXR468"/>
      <c r="AXS468"/>
      <c r="AXT468"/>
      <c r="AXU468"/>
      <c r="AXV468"/>
      <c r="AXW468"/>
      <c r="AXX468"/>
      <c r="AXY468"/>
      <c r="AXZ468"/>
      <c r="AYA468"/>
      <c r="AYB468"/>
      <c r="AYC468"/>
      <c r="AYD468"/>
      <c r="AYE468"/>
      <c r="AYF468"/>
      <c r="AYG468"/>
      <c r="AYH468"/>
      <c r="AYI468"/>
      <c r="AYJ468"/>
      <c r="AYK468"/>
      <c r="AYL468"/>
      <c r="AYM468"/>
      <c r="AYN468"/>
      <c r="AYO468"/>
      <c r="AYP468"/>
      <c r="AYQ468"/>
      <c r="AYR468"/>
      <c r="AYS468"/>
      <c r="AYT468"/>
      <c r="AYU468"/>
      <c r="AYV468"/>
      <c r="AYW468"/>
      <c r="AYX468"/>
      <c r="AYY468"/>
      <c r="AYZ468"/>
      <c r="AZA468"/>
      <c r="AZB468"/>
      <c r="AZC468"/>
      <c r="AZD468"/>
      <c r="AZE468"/>
      <c r="AZF468"/>
      <c r="AZG468"/>
      <c r="AZH468"/>
      <c r="AZI468"/>
      <c r="AZJ468"/>
      <c r="AZK468"/>
      <c r="AZL468"/>
      <c r="AZM468"/>
      <c r="AZN468"/>
      <c r="AZO468"/>
      <c r="AZP468"/>
      <c r="AZQ468"/>
      <c r="AZR468"/>
      <c r="AZS468"/>
      <c r="AZT468"/>
      <c r="AZU468"/>
      <c r="AZV468"/>
      <c r="AZW468"/>
      <c r="AZX468"/>
      <c r="AZY468"/>
      <c r="AZZ468"/>
      <c r="BAA468"/>
      <c r="BAB468"/>
      <c r="BAC468"/>
      <c r="BAD468"/>
      <c r="BAE468"/>
      <c r="BAF468"/>
      <c r="BAG468"/>
      <c r="BAH468"/>
      <c r="BAI468"/>
      <c r="BAJ468"/>
      <c r="BAK468"/>
      <c r="BAL468"/>
      <c r="BAM468"/>
      <c r="BAN468"/>
      <c r="BAO468"/>
      <c r="BAP468"/>
      <c r="BAQ468"/>
      <c r="BAR468"/>
      <c r="BAS468"/>
      <c r="BAT468"/>
      <c r="BAU468"/>
      <c r="BAV468"/>
      <c r="BAW468"/>
      <c r="BAX468"/>
      <c r="BAY468"/>
      <c r="BAZ468"/>
      <c r="BBA468"/>
      <c r="BBB468"/>
      <c r="BBC468"/>
      <c r="BBD468"/>
      <c r="BBE468"/>
      <c r="BBF468"/>
      <c r="BBG468"/>
      <c r="BBH468"/>
      <c r="BBI468"/>
      <c r="BBJ468"/>
      <c r="BBK468"/>
      <c r="BBL468"/>
      <c r="BBM468"/>
      <c r="BBN468"/>
      <c r="BBO468"/>
      <c r="BBP468"/>
      <c r="BBQ468"/>
      <c r="BBR468"/>
      <c r="BBS468"/>
      <c r="BBT468"/>
      <c r="BBU468"/>
      <c r="BBV468"/>
      <c r="BBW468"/>
      <c r="BBX468"/>
      <c r="BBY468"/>
      <c r="BBZ468"/>
      <c r="BCA468"/>
      <c r="BCB468"/>
      <c r="BCC468"/>
      <c r="BCD468"/>
      <c r="BCE468"/>
      <c r="BCF468"/>
      <c r="BCG468"/>
      <c r="BCH468"/>
      <c r="BCI468"/>
      <c r="BCJ468"/>
      <c r="BCK468"/>
      <c r="BCL468"/>
      <c r="BCM468"/>
      <c r="BCN468"/>
      <c r="BCO468"/>
      <c r="BCP468"/>
      <c r="BCQ468"/>
      <c r="BCR468"/>
      <c r="BCS468"/>
      <c r="BCT468"/>
      <c r="BCU468"/>
      <c r="BCV468"/>
      <c r="BCW468"/>
      <c r="BCX468"/>
      <c r="BCY468"/>
      <c r="BCZ468"/>
      <c r="BDA468"/>
      <c r="BDB468"/>
      <c r="BDC468"/>
      <c r="BDD468"/>
      <c r="BDE468"/>
      <c r="BDF468"/>
      <c r="BDG468"/>
      <c r="BDH468"/>
      <c r="BDI468"/>
      <c r="BDJ468"/>
      <c r="BDK468"/>
      <c r="BDL468"/>
      <c r="BDM468"/>
      <c r="BDN468"/>
      <c r="BDO468"/>
      <c r="BDP468"/>
      <c r="BDQ468"/>
      <c r="BDR468"/>
      <c r="BDS468"/>
      <c r="BDT468"/>
      <c r="BDU468"/>
      <c r="BDV468"/>
      <c r="BDW468"/>
      <c r="BDX468"/>
      <c r="BDY468"/>
      <c r="BDZ468"/>
      <c r="BEA468"/>
      <c r="BEB468"/>
      <c r="BEC468"/>
      <c r="BED468"/>
      <c r="BEE468"/>
      <c r="BEF468"/>
      <c r="BEG468"/>
      <c r="BEH468"/>
      <c r="BEI468"/>
      <c r="BEJ468"/>
      <c r="BEK468"/>
      <c r="BEL468"/>
      <c r="BEM468"/>
      <c r="BEN468"/>
      <c r="BEO468"/>
      <c r="BEP468"/>
      <c r="BEQ468"/>
      <c r="BER468"/>
      <c r="BES468"/>
      <c r="BET468"/>
      <c r="BEU468"/>
      <c r="BEV468"/>
      <c r="BEW468"/>
      <c r="BEX468"/>
      <c r="BEY468"/>
      <c r="BEZ468"/>
      <c r="BFA468"/>
      <c r="BFB468"/>
      <c r="BFC468"/>
      <c r="BFD468"/>
      <c r="BFE468"/>
      <c r="BFF468"/>
      <c r="BFG468"/>
      <c r="BFH468"/>
      <c r="BFI468"/>
      <c r="BFJ468"/>
      <c r="BFK468"/>
      <c r="BFL468"/>
      <c r="BFM468"/>
      <c r="BFN468"/>
      <c r="BFO468"/>
      <c r="BFP468"/>
      <c r="BFQ468"/>
      <c r="BFR468"/>
      <c r="BFS468"/>
      <c r="BFT468"/>
      <c r="BFU468"/>
      <c r="BFV468"/>
      <c r="BFW468"/>
      <c r="BFX468"/>
      <c r="BFY468"/>
      <c r="BFZ468"/>
      <c r="BGA468"/>
      <c r="BGB468"/>
      <c r="BGC468"/>
      <c r="BGD468"/>
      <c r="BGE468"/>
      <c r="BGF468"/>
      <c r="BGG468"/>
      <c r="BGH468"/>
      <c r="BGI468"/>
      <c r="BGJ468"/>
      <c r="BGK468"/>
      <c r="BGL468"/>
      <c r="BGM468"/>
      <c r="BGN468"/>
      <c r="BGO468"/>
      <c r="BGP468"/>
      <c r="BGQ468"/>
      <c r="BGR468"/>
      <c r="BGS468"/>
      <c r="BGT468"/>
      <c r="BGU468"/>
      <c r="BGV468"/>
      <c r="BGW468"/>
      <c r="BGX468"/>
      <c r="BGY468"/>
      <c r="BGZ468"/>
      <c r="BHA468"/>
      <c r="BHB468"/>
      <c r="BHC468"/>
      <c r="BHD468"/>
      <c r="BHE468"/>
      <c r="BHF468"/>
      <c r="BHG468"/>
      <c r="BHH468"/>
      <c r="BHI468"/>
      <c r="BHJ468"/>
      <c r="BHK468"/>
      <c r="BHL468"/>
      <c r="BHM468"/>
      <c r="BHN468"/>
      <c r="BHO468"/>
      <c r="BHP468"/>
      <c r="BHQ468"/>
      <c r="BHR468"/>
      <c r="BHS468"/>
      <c r="BHT468"/>
      <c r="BHU468"/>
      <c r="BHV468"/>
      <c r="BHW468"/>
      <c r="BHX468"/>
      <c r="BHY468"/>
      <c r="BHZ468"/>
      <c r="BIA468"/>
      <c r="BIB468"/>
      <c r="BIC468"/>
      <c r="BID468"/>
      <c r="BIE468"/>
      <c r="BIF468"/>
      <c r="BIG468"/>
      <c r="BIH468"/>
      <c r="BII468"/>
      <c r="BIJ468"/>
      <c r="BIK468"/>
      <c r="BIL468"/>
      <c r="BIM468"/>
      <c r="BIN468"/>
      <c r="BIO468"/>
      <c r="BIP468"/>
      <c r="BIQ468"/>
      <c r="BIR468"/>
      <c r="BIS468"/>
      <c r="BIT468"/>
      <c r="BIU468"/>
      <c r="BIV468"/>
      <c r="BIW468"/>
      <c r="BIX468"/>
      <c r="BIY468"/>
      <c r="BIZ468"/>
      <c r="BJA468"/>
      <c r="BJB468"/>
      <c r="BJC468"/>
      <c r="BJD468"/>
      <c r="BJE468"/>
      <c r="BJF468"/>
      <c r="BJG468"/>
      <c r="BJH468"/>
      <c r="BJI468"/>
      <c r="BJJ468"/>
      <c r="BJK468"/>
      <c r="BJL468"/>
      <c r="BJM468"/>
      <c r="BJN468"/>
      <c r="BJO468"/>
      <c r="BJP468"/>
      <c r="BJQ468"/>
      <c r="BJR468"/>
      <c r="BJS468"/>
      <c r="BJT468"/>
      <c r="BJU468"/>
      <c r="BJV468"/>
      <c r="BJW468"/>
      <c r="BJX468"/>
      <c r="BJY468"/>
      <c r="BJZ468"/>
      <c r="BKA468"/>
      <c r="BKB468"/>
      <c r="BKC468"/>
      <c r="BKD468"/>
      <c r="BKE468"/>
      <c r="BKF468"/>
      <c r="BKG468"/>
      <c r="BKH468"/>
      <c r="BKI468"/>
      <c r="BKJ468"/>
      <c r="BKK468"/>
      <c r="BKL468"/>
      <c r="BKM468"/>
      <c r="BKN468"/>
      <c r="BKO468"/>
      <c r="BKP468"/>
      <c r="BKQ468"/>
      <c r="BKR468"/>
      <c r="BKS468"/>
      <c r="BKT468"/>
      <c r="BKU468"/>
      <c r="BKV468"/>
      <c r="BKW468"/>
      <c r="BKX468"/>
      <c r="BKY468"/>
      <c r="BKZ468"/>
      <c r="BLA468"/>
      <c r="BLB468"/>
      <c r="BLC468"/>
      <c r="BLD468"/>
      <c r="BLE468"/>
      <c r="BLF468"/>
      <c r="BLG468"/>
      <c r="BLH468"/>
      <c r="BLI468"/>
      <c r="BLJ468"/>
      <c r="BLK468"/>
      <c r="BLL468"/>
      <c r="BLM468"/>
      <c r="BLN468"/>
      <c r="BLO468"/>
      <c r="BLP468"/>
      <c r="BLQ468"/>
      <c r="BLR468"/>
      <c r="BLS468"/>
      <c r="BLT468"/>
      <c r="BLU468"/>
      <c r="BLV468"/>
      <c r="BLW468"/>
      <c r="BLX468"/>
      <c r="BLY468"/>
      <c r="BLZ468"/>
      <c r="BMA468"/>
      <c r="BMB468"/>
      <c r="BMC468"/>
      <c r="BMD468"/>
      <c r="BME468"/>
      <c r="BMF468"/>
      <c r="BMG468"/>
      <c r="BMH468"/>
      <c r="BMI468"/>
      <c r="BMJ468"/>
      <c r="BMK468"/>
      <c r="BML468"/>
      <c r="BMM468"/>
      <c r="BMN468"/>
      <c r="BMO468"/>
      <c r="BMP468"/>
      <c r="BMQ468"/>
      <c r="BMR468"/>
      <c r="BMS468"/>
      <c r="BMT468"/>
      <c r="BMU468"/>
      <c r="BMV468"/>
      <c r="BMW468"/>
      <c r="BMX468"/>
      <c r="BMY468"/>
      <c r="BMZ468"/>
      <c r="BNA468"/>
      <c r="BNB468"/>
      <c r="BNC468"/>
      <c r="BND468"/>
      <c r="BNE468"/>
      <c r="BNF468"/>
      <c r="BNG468"/>
      <c r="BNH468"/>
      <c r="BNI468"/>
      <c r="BNJ468"/>
      <c r="BNK468"/>
      <c r="BNL468"/>
      <c r="BNM468"/>
      <c r="BNN468"/>
      <c r="BNO468"/>
      <c r="BNP468"/>
      <c r="BNQ468"/>
      <c r="BNR468"/>
      <c r="BNS468"/>
      <c r="BNT468"/>
      <c r="BNU468"/>
      <c r="BNV468"/>
      <c r="BNW468"/>
      <c r="BNX468"/>
      <c r="BNY468"/>
      <c r="BNZ468"/>
      <c r="BOA468"/>
      <c r="BOB468"/>
      <c r="BOC468"/>
      <c r="BOD468"/>
      <c r="BOE468"/>
      <c r="BOF468"/>
      <c r="BOG468"/>
      <c r="BOH468"/>
      <c r="BOI468"/>
      <c r="BOJ468"/>
      <c r="BOK468"/>
      <c r="BOL468"/>
      <c r="BOM468"/>
      <c r="BON468"/>
      <c r="BOO468"/>
      <c r="BOP468"/>
      <c r="BOQ468"/>
      <c r="BOR468"/>
      <c r="BOS468"/>
      <c r="BOT468"/>
      <c r="BOU468"/>
      <c r="BOV468"/>
      <c r="BOW468"/>
      <c r="BOX468"/>
      <c r="BOY468"/>
      <c r="BOZ468"/>
      <c r="BPA468"/>
      <c r="BPB468"/>
      <c r="BPC468"/>
      <c r="BPD468"/>
      <c r="BPE468"/>
      <c r="BPF468"/>
      <c r="BPG468"/>
      <c r="BPH468"/>
      <c r="BPI468"/>
      <c r="BPJ468"/>
      <c r="BPK468"/>
      <c r="BPL468"/>
      <c r="BPM468"/>
      <c r="BPN468"/>
      <c r="BPO468"/>
      <c r="BPP468"/>
      <c r="BPQ468"/>
      <c r="BPR468"/>
      <c r="BPS468"/>
      <c r="BPT468"/>
      <c r="BPU468"/>
      <c r="BPV468"/>
      <c r="BPW468"/>
      <c r="BPX468"/>
      <c r="BPY468"/>
      <c r="BPZ468"/>
      <c r="BQA468"/>
      <c r="BQB468"/>
      <c r="BQC468"/>
      <c r="BQD468"/>
      <c r="BQE468"/>
      <c r="BQF468"/>
      <c r="BQG468"/>
      <c r="BQH468"/>
      <c r="BQI468"/>
      <c r="BQJ468"/>
      <c r="BQK468"/>
      <c r="BQL468"/>
      <c r="BQM468"/>
      <c r="BQN468"/>
      <c r="BQO468"/>
      <c r="BQP468"/>
      <c r="BQQ468"/>
      <c r="BQR468"/>
      <c r="BQS468"/>
      <c r="BQT468"/>
      <c r="BQU468"/>
      <c r="BQV468"/>
      <c r="BQW468"/>
      <c r="BQX468"/>
      <c r="BQY468"/>
      <c r="BQZ468"/>
      <c r="BRA468"/>
      <c r="BRB468"/>
      <c r="BRC468"/>
      <c r="BRD468"/>
      <c r="BRE468"/>
      <c r="BRF468"/>
      <c r="BRG468"/>
      <c r="BRH468"/>
      <c r="BRI468"/>
      <c r="BRJ468"/>
      <c r="BRK468"/>
      <c r="BRL468"/>
      <c r="BRM468"/>
      <c r="BRN468"/>
      <c r="BRO468"/>
      <c r="BRP468"/>
      <c r="BRQ468"/>
      <c r="BRR468"/>
      <c r="BRS468"/>
      <c r="BRT468"/>
      <c r="BRU468"/>
      <c r="BRV468"/>
      <c r="BRW468"/>
      <c r="BRX468"/>
      <c r="BRY468"/>
      <c r="BRZ468"/>
      <c r="BSA468"/>
      <c r="BSB468"/>
      <c r="BSC468"/>
      <c r="BSD468"/>
      <c r="BSE468"/>
      <c r="BSF468"/>
      <c r="BSG468"/>
      <c r="BSH468"/>
      <c r="BSI468"/>
      <c r="BSJ468"/>
      <c r="BSK468"/>
      <c r="BSL468"/>
      <c r="BSM468"/>
      <c r="BSN468"/>
      <c r="BSO468"/>
      <c r="BSP468"/>
      <c r="BSQ468"/>
      <c r="BSR468"/>
      <c r="BSS468"/>
      <c r="BST468"/>
      <c r="BSU468"/>
      <c r="BSV468"/>
      <c r="BSW468"/>
      <c r="BSX468"/>
      <c r="BSY468"/>
      <c r="BSZ468"/>
      <c r="BTA468"/>
      <c r="BTB468"/>
      <c r="BTC468"/>
      <c r="BTD468"/>
      <c r="BTE468"/>
      <c r="BTF468"/>
      <c r="BTG468"/>
      <c r="BTH468"/>
      <c r="BTI468"/>
      <c r="BTJ468"/>
      <c r="BTK468"/>
      <c r="BTL468"/>
      <c r="BTM468"/>
      <c r="BTN468"/>
      <c r="BTO468"/>
      <c r="BTP468"/>
      <c r="BTQ468"/>
      <c r="BTR468"/>
      <c r="BTS468"/>
      <c r="BTT468"/>
      <c r="BTU468"/>
      <c r="BTV468"/>
      <c r="BTW468"/>
      <c r="BTX468"/>
      <c r="BTY468"/>
      <c r="BTZ468"/>
      <c r="BUA468"/>
      <c r="BUB468"/>
      <c r="BUC468"/>
      <c r="BUD468"/>
      <c r="BUE468"/>
      <c r="BUF468"/>
      <c r="BUG468"/>
      <c r="BUH468"/>
      <c r="BUI468"/>
      <c r="BUJ468"/>
      <c r="BUK468"/>
      <c r="BUL468"/>
      <c r="BUM468"/>
      <c r="BUN468"/>
      <c r="BUO468"/>
      <c r="BUP468"/>
      <c r="BUQ468"/>
      <c r="BUR468"/>
      <c r="BUS468"/>
      <c r="BUT468"/>
      <c r="BUU468"/>
      <c r="BUV468"/>
      <c r="BUW468"/>
      <c r="BUX468"/>
      <c r="BUY468"/>
      <c r="BUZ468"/>
      <c r="BVA468"/>
      <c r="BVB468"/>
      <c r="BVC468"/>
      <c r="BVD468"/>
      <c r="BVE468"/>
      <c r="BVF468"/>
      <c r="BVG468"/>
      <c r="BVH468"/>
      <c r="BVI468"/>
      <c r="BVJ468"/>
      <c r="BVK468"/>
      <c r="BVL468"/>
      <c r="BVM468"/>
      <c r="BVN468"/>
      <c r="BVO468"/>
      <c r="BVP468"/>
      <c r="BVQ468"/>
      <c r="BVR468"/>
      <c r="BVS468"/>
      <c r="BVT468"/>
      <c r="BVU468"/>
      <c r="BVV468"/>
      <c r="BVW468"/>
      <c r="BVX468"/>
      <c r="BVY468"/>
      <c r="BVZ468"/>
      <c r="BWA468"/>
      <c r="BWB468"/>
      <c r="BWC468"/>
      <c r="BWD468"/>
      <c r="BWE468"/>
      <c r="BWF468"/>
      <c r="BWG468"/>
      <c r="BWH468"/>
      <c r="BWI468"/>
      <c r="BWJ468"/>
      <c r="BWK468"/>
      <c r="BWL468"/>
      <c r="BWM468"/>
      <c r="BWN468"/>
      <c r="BWO468"/>
      <c r="BWP468"/>
      <c r="BWQ468"/>
      <c r="BWR468"/>
      <c r="BWS468"/>
      <c r="BWT468"/>
      <c r="BWU468"/>
      <c r="BWV468"/>
      <c r="BWW468"/>
      <c r="BWX468"/>
      <c r="BWY468"/>
      <c r="BWZ468"/>
      <c r="BXA468"/>
      <c r="BXB468"/>
      <c r="BXC468"/>
      <c r="BXD468"/>
      <c r="BXE468"/>
      <c r="BXF468"/>
      <c r="BXG468"/>
      <c r="BXH468"/>
      <c r="BXI468"/>
      <c r="BXJ468"/>
      <c r="BXK468"/>
      <c r="BXL468"/>
      <c r="BXM468"/>
      <c r="BXN468"/>
      <c r="BXO468"/>
      <c r="BXP468"/>
      <c r="BXQ468"/>
      <c r="BXR468"/>
      <c r="BXS468"/>
      <c r="BXT468"/>
      <c r="BXU468"/>
      <c r="BXV468"/>
      <c r="BXW468"/>
      <c r="BXX468"/>
      <c r="BXY468"/>
      <c r="BXZ468"/>
      <c r="BYA468"/>
      <c r="BYB468"/>
      <c r="BYC468"/>
      <c r="BYD468"/>
      <c r="BYE468"/>
      <c r="BYF468"/>
      <c r="BYG468"/>
      <c r="BYH468"/>
      <c r="BYI468"/>
      <c r="BYJ468"/>
      <c r="BYK468"/>
      <c r="BYL468"/>
      <c r="BYM468"/>
      <c r="BYN468"/>
      <c r="BYO468"/>
      <c r="BYP468"/>
      <c r="BYQ468"/>
      <c r="BYR468"/>
      <c r="BYS468"/>
      <c r="BYT468"/>
      <c r="BYU468"/>
      <c r="BYV468"/>
      <c r="BYW468"/>
      <c r="BYX468"/>
      <c r="BYY468"/>
      <c r="BYZ468"/>
      <c r="BZA468"/>
      <c r="BZB468"/>
      <c r="BZC468"/>
      <c r="BZD468"/>
      <c r="BZE468"/>
      <c r="BZF468"/>
      <c r="BZG468"/>
      <c r="BZH468"/>
      <c r="BZI468"/>
      <c r="BZJ468"/>
      <c r="BZK468"/>
      <c r="BZL468"/>
      <c r="BZM468"/>
      <c r="BZN468"/>
      <c r="BZO468"/>
      <c r="BZP468"/>
      <c r="BZQ468"/>
      <c r="BZR468"/>
      <c r="BZS468"/>
      <c r="BZT468"/>
      <c r="BZU468"/>
      <c r="BZV468"/>
      <c r="BZW468"/>
      <c r="BZX468"/>
      <c r="BZY468"/>
      <c r="BZZ468"/>
      <c r="CAA468"/>
      <c r="CAB468"/>
      <c r="CAC468"/>
      <c r="CAD468"/>
      <c r="CAE468"/>
      <c r="CAF468"/>
      <c r="CAG468"/>
      <c r="CAH468"/>
      <c r="CAI468"/>
      <c r="CAJ468"/>
      <c r="CAK468"/>
      <c r="CAL468"/>
      <c r="CAM468"/>
      <c r="CAN468"/>
      <c r="CAO468"/>
      <c r="CAP468"/>
      <c r="CAQ468"/>
      <c r="CAR468"/>
      <c r="CAS468"/>
      <c r="CAT468"/>
      <c r="CAU468"/>
      <c r="CAV468"/>
      <c r="CAW468"/>
      <c r="CAX468"/>
      <c r="CAY468"/>
      <c r="CAZ468"/>
      <c r="CBA468"/>
      <c r="CBB468"/>
      <c r="CBC468"/>
      <c r="CBD468"/>
      <c r="CBE468"/>
      <c r="CBF468"/>
      <c r="CBG468"/>
      <c r="CBH468"/>
      <c r="CBI468"/>
      <c r="CBJ468"/>
      <c r="CBK468"/>
      <c r="CBL468"/>
      <c r="CBM468"/>
      <c r="CBN468"/>
      <c r="CBO468"/>
      <c r="CBP468"/>
      <c r="CBQ468"/>
      <c r="CBR468"/>
      <c r="CBS468"/>
      <c r="CBT468"/>
      <c r="CBU468"/>
      <c r="CBV468"/>
      <c r="CBW468"/>
      <c r="CBX468"/>
      <c r="CBY468"/>
      <c r="CBZ468"/>
      <c r="CCA468"/>
      <c r="CCB468"/>
      <c r="CCC468"/>
      <c r="CCD468"/>
      <c r="CCE468"/>
      <c r="CCF468"/>
      <c r="CCG468"/>
      <c r="CCH468"/>
      <c r="CCI468"/>
      <c r="CCJ468"/>
      <c r="CCK468"/>
      <c r="CCL468"/>
      <c r="CCM468"/>
      <c r="CCN468"/>
      <c r="CCO468"/>
      <c r="CCP468"/>
      <c r="CCQ468"/>
      <c r="CCR468"/>
      <c r="CCS468"/>
      <c r="CCT468"/>
      <c r="CCU468"/>
      <c r="CCV468"/>
      <c r="CCW468"/>
      <c r="CCX468"/>
      <c r="CCY468"/>
      <c r="CCZ468"/>
      <c r="CDA468"/>
      <c r="CDB468"/>
      <c r="CDC468"/>
      <c r="CDD468"/>
      <c r="CDE468"/>
      <c r="CDF468"/>
      <c r="CDG468"/>
      <c r="CDH468"/>
      <c r="CDI468"/>
      <c r="CDJ468"/>
      <c r="CDK468"/>
      <c r="CDL468"/>
      <c r="CDM468"/>
      <c r="CDN468"/>
      <c r="CDO468"/>
      <c r="CDP468"/>
      <c r="CDQ468"/>
      <c r="CDR468"/>
      <c r="CDS468"/>
      <c r="CDT468"/>
      <c r="CDU468"/>
      <c r="CDV468"/>
      <c r="CDW468"/>
      <c r="CDX468"/>
      <c r="CDY468"/>
      <c r="CDZ468"/>
      <c r="CEA468"/>
      <c r="CEB468"/>
      <c r="CEC468"/>
      <c r="CED468"/>
      <c r="CEE468"/>
      <c r="CEF468"/>
      <c r="CEG468"/>
      <c r="CEH468"/>
      <c r="CEI468"/>
      <c r="CEJ468"/>
      <c r="CEK468"/>
      <c r="CEL468"/>
      <c r="CEM468"/>
      <c r="CEN468"/>
      <c r="CEO468"/>
      <c r="CEP468"/>
      <c r="CEQ468"/>
      <c r="CER468"/>
      <c r="CES468"/>
      <c r="CET468"/>
      <c r="CEU468"/>
      <c r="CEV468"/>
      <c r="CEW468"/>
      <c r="CEX468"/>
      <c r="CEY468"/>
      <c r="CEZ468"/>
      <c r="CFA468"/>
      <c r="CFB468"/>
      <c r="CFC468"/>
      <c r="CFD468"/>
      <c r="CFE468"/>
      <c r="CFF468"/>
      <c r="CFG468"/>
      <c r="CFH468"/>
      <c r="CFI468"/>
      <c r="CFJ468"/>
      <c r="CFK468"/>
      <c r="CFL468"/>
      <c r="CFM468"/>
      <c r="CFN468"/>
      <c r="CFO468"/>
      <c r="CFP468"/>
      <c r="CFQ468"/>
      <c r="CFR468"/>
      <c r="CFS468"/>
      <c r="CFT468"/>
      <c r="CFU468"/>
      <c r="CFV468"/>
      <c r="CFW468"/>
      <c r="CFX468"/>
      <c r="CFY468"/>
      <c r="CFZ468"/>
      <c r="CGA468"/>
      <c r="CGB468"/>
      <c r="CGC468"/>
      <c r="CGD468"/>
      <c r="CGE468"/>
      <c r="CGF468"/>
      <c r="CGG468"/>
      <c r="CGH468"/>
      <c r="CGI468"/>
      <c r="CGJ468"/>
      <c r="CGK468"/>
      <c r="CGL468"/>
      <c r="CGM468"/>
      <c r="CGN468"/>
      <c r="CGO468"/>
      <c r="CGP468"/>
      <c r="CGQ468"/>
      <c r="CGR468"/>
      <c r="CGS468"/>
      <c r="CGT468"/>
      <c r="CGU468"/>
      <c r="CGV468"/>
      <c r="CGW468"/>
      <c r="CGX468"/>
      <c r="CGY468"/>
      <c r="CGZ468"/>
      <c r="CHA468"/>
      <c r="CHB468"/>
      <c r="CHC468"/>
      <c r="CHD468"/>
      <c r="CHE468"/>
      <c r="CHF468"/>
      <c r="CHG468"/>
      <c r="CHH468"/>
      <c r="CHI468"/>
      <c r="CHJ468"/>
      <c r="CHK468"/>
      <c r="CHL468"/>
      <c r="CHM468"/>
      <c r="CHN468"/>
      <c r="CHO468"/>
      <c r="CHP468"/>
      <c r="CHQ468"/>
      <c r="CHR468"/>
      <c r="CHS468"/>
      <c r="CHT468"/>
      <c r="CHU468"/>
      <c r="CHV468"/>
      <c r="CHW468"/>
      <c r="CHX468"/>
      <c r="CHY468"/>
      <c r="CHZ468"/>
      <c r="CIA468"/>
      <c r="CIB468"/>
      <c r="CIC468"/>
      <c r="CID468"/>
      <c r="CIE468"/>
      <c r="CIF468"/>
      <c r="CIG468"/>
      <c r="CIH468"/>
      <c r="CII468"/>
      <c r="CIJ468"/>
      <c r="CIK468"/>
      <c r="CIL468"/>
      <c r="CIM468"/>
      <c r="CIN468"/>
      <c r="CIO468"/>
      <c r="CIP468"/>
      <c r="CIQ468"/>
      <c r="CIR468"/>
      <c r="CIS468"/>
      <c r="CIT468"/>
      <c r="CIU468"/>
      <c r="CIV468"/>
      <c r="CIW468"/>
      <c r="CIX468"/>
      <c r="CIY468"/>
      <c r="CIZ468"/>
      <c r="CJA468"/>
      <c r="CJB468"/>
      <c r="CJC468"/>
      <c r="CJD468"/>
      <c r="CJE468"/>
      <c r="CJF468"/>
      <c r="CJG468"/>
      <c r="CJH468"/>
      <c r="CJI468"/>
      <c r="CJJ468"/>
      <c r="CJK468"/>
      <c r="CJL468"/>
      <c r="CJM468"/>
      <c r="CJN468"/>
      <c r="CJO468"/>
      <c r="CJP468"/>
      <c r="CJQ468"/>
      <c r="CJR468"/>
      <c r="CJS468"/>
      <c r="CJT468"/>
      <c r="CJU468"/>
      <c r="CJV468"/>
      <c r="CJW468"/>
      <c r="CJX468"/>
      <c r="CJY468"/>
      <c r="CJZ468"/>
      <c r="CKA468"/>
      <c r="CKB468"/>
      <c r="CKC468"/>
      <c r="CKD468"/>
      <c r="CKE468"/>
      <c r="CKF468"/>
      <c r="CKG468"/>
      <c r="CKH468"/>
      <c r="CKI468"/>
      <c r="CKJ468"/>
      <c r="CKK468"/>
      <c r="CKL468"/>
      <c r="CKM468"/>
      <c r="CKN468"/>
      <c r="CKO468"/>
      <c r="CKP468"/>
      <c r="CKQ468"/>
      <c r="CKR468"/>
      <c r="CKS468"/>
      <c r="CKT468"/>
      <c r="CKU468"/>
      <c r="CKV468"/>
      <c r="CKW468"/>
      <c r="CKX468"/>
      <c r="CKY468"/>
      <c r="CKZ468"/>
      <c r="CLA468"/>
      <c r="CLB468"/>
      <c r="CLC468"/>
      <c r="CLD468"/>
      <c r="CLE468"/>
      <c r="CLF468"/>
      <c r="CLG468"/>
      <c r="CLH468"/>
      <c r="CLI468"/>
      <c r="CLJ468"/>
      <c r="CLK468"/>
      <c r="CLL468"/>
      <c r="CLM468"/>
      <c r="CLN468"/>
      <c r="CLO468"/>
      <c r="CLP468"/>
      <c r="CLQ468"/>
      <c r="CLR468"/>
      <c r="CLS468"/>
      <c r="CLT468"/>
      <c r="CLU468"/>
      <c r="CLV468"/>
      <c r="CLW468"/>
      <c r="CLX468"/>
      <c r="CLY468"/>
      <c r="CLZ468"/>
      <c r="CMA468"/>
      <c r="CMB468"/>
      <c r="CMC468"/>
      <c r="CMD468"/>
      <c r="CME468"/>
      <c r="CMF468"/>
      <c r="CMG468"/>
      <c r="CMH468"/>
      <c r="CMI468"/>
      <c r="CMJ468"/>
      <c r="CMK468"/>
      <c r="CML468"/>
      <c r="CMM468"/>
      <c r="CMN468"/>
      <c r="CMO468"/>
      <c r="CMP468"/>
      <c r="CMQ468"/>
      <c r="CMR468"/>
      <c r="CMS468"/>
      <c r="CMT468"/>
      <c r="CMU468"/>
      <c r="CMV468"/>
      <c r="CMW468"/>
      <c r="CMX468"/>
      <c r="CMY468"/>
      <c r="CMZ468"/>
      <c r="CNA468"/>
      <c r="CNB468"/>
      <c r="CNC468"/>
      <c r="CND468"/>
      <c r="CNE468"/>
      <c r="CNF468"/>
      <c r="CNG468"/>
      <c r="CNH468"/>
      <c r="CNI468"/>
      <c r="CNJ468"/>
      <c r="CNK468"/>
      <c r="CNL468"/>
      <c r="CNM468"/>
      <c r="CNN468"/>
      <c r="CNO468"/>
      <c r="CNP468"/>
      <c r="CNQ468"/>
      <c r="CNR468"/>
      <c r="CNS468"/>
      <c r="CNT468"/>
      <c r="CNU468"/>
      <c r="CNV468"/>
      <c r="CNW468"/>
      <c r="CNX468"/>
      <c r="CNY468"/>
      <c r="CNZ468"/>
      <c r="COA468"/>
      <c r="COB468"/>
      <c r="COC468"/>
      <c r="COD468"/>
      <c r="COE468"/>
      <c r="COF468"/>
      <c r="COG468"/>
      <c r="COH468"/>
      <c r="COI468"/>
      <c r="COJ468"/>
      <c r="COK468"/>
      <c r="COL468"/>
      <c r="COM468"/>
      <c r="CON468"/>
      <c r="COO468"/>
      <c r="COP468"/>
      <c r="COQ468"/>
      <c r="COR468"/>
      <c r="COS468"/>
      <c r="COT468"/>
      <c r="COU468"/>
      <c r="COV468"/>
      <c r="COW468"/>
      <c r="COX468"/>
      <c r="COY468"/>
      <c r="COZ468"/>
      <c r="CPA468"/>
      <c r="CPB468"/>
      <c r="CPC468"/>
      <c r="CPD468"/>
      <c r="CPE468"/>
      <c r="CPF468"/>
      <c r="CPG468"/>
      <c r="CPH468"/>
      <c r="CPI468"/>
      <c r="CPJ468"/>
      <c r="CPK468"/>
      <c r="CPL468"/>
      <c r="CPM468"/>
      <c r="CPN468"/>
      <c r="CPO468"/>
      <c r="CPP468"/>
      <c r="CPQ468"/>
      <c r="CPR468"/>
      <c r="CPS468"/>
      <c r="CPT468"/>
      <c r="CPU468"/>
      <c r="CPV468"/>
      <c r="CPW468"/>
      <c r="CPX468"/>
      <c r="CPY468"/>
      <c r="CPZ468"/>
      <c r="CQA468"/>
      <c r="CQB468"/>
      <c r="CQC468"/>
      <c r="CQD468"/>
      <c r="CQE468"/>
      <c r="CQF468"/>
      <c r="CQG468"/>
      <c r="CQH468"/>
      <c r="CQI468"/>
      <c r="CQJ468"/>
      <c r="CQK468"/>
      <c r="CQL468"/>
      <c r="CQM468"/>
      <c r="CQN468"/>
      <c r="CQO468"/>
      <c r="CQP468"/>
      <c r="CQQ468"/>
      <c r="CQR468"/>
      <c r="CQS468"/>
      <c r="CQT468"/>
      <c r="CQU468"/>
      <c r="CQV468"/>
      <c r="CQW468"/>
      <c r="CQX468"/>
      <c r="CQY468"/>
      <c r="CQZ468"/>
      <c r="CRA468"/>
      <c r="CRB468"/>
      <c r="CRC468"/>
      <c r="CRD468"/>
      <c r="CRE468"/>
      <c r="CRF468"/>
      <c r="CRG468"/>
      <c r="CRH468"/>
      <c r="CRI468"/>
      <c r="CRJ468"/>
      <c r="CRK468"/>
      <c r="CRL468"/>
      <c r="CRM468"/>
      <c r="CRN468"/>
      <c r="CRO468"/>
      <c r="CRP468"/>
      <c r="CRQ468"/>
      <c r="CRR468"/>
      <c r="CRS468"/>
      <c r="CRT468"/>
      <c r="CRU468"/>
      <c r="CRV468"/>
      <c r="CRW468"/>
      <c r="CRX468"/>
      <c r="CRY468"/>
      <c r="CRZ468"/>
      <c r="CSA468"/>
      <c r="CSB468"/>
      <c r="CSC468"/>
      <c r="CSD468"/>
      <c r="CSE468"/>
      <c r="CSF468"/>
      <c r="CSG468"/>
      <c r="CSH468"/>
      <c r="CSI468"/>
      <c r="CSJ468"/>
      <c r="CSK468"/>
      <c r="CSL468"/>
      <c r="CSM468"/>
      <c r="CSN468"/>
      <c r="CSO468"/>
      <c r="CSP468"/>
      <c r="CSQ468"/>
      <c r="CSR468"/>
      <c r="CSS468"/>
      <c r="CST468"/>
      <c r="CSU468"/>
      <c r="CSV468"/>
      <c r="CSW468"/>
      <c r="CSX468"/>
      <c r="CSY468"/>
      <c r="CSZ468"/>
      <c r="CTA468"/>
      <c r="CTB468"/>
      <c r="CTC468"/>
      <c r="CTD468"/>
      <c r="CTE468"/>
      <c r="CTF468"/>
      <c r="CTG468"/>
      <c r="CTH468"/>
      <c r="CTI468"/>
      <c r="CTJ468"/>
      <c r="CTK468"/>
      <c r="CTL468"/>
      <c r="CTM468"/>
      <c r="CTN468"/>
      <c r="CTO468"/>
      <c r="CTP468"/>
      <c r="CTQ468"/>
      <c r="CTR468"/>
      <c r="CTS468"/>
      <c r="CTT468"/>
      <c r="CTU468"/>
      <c r="CTV468"/>
      <c r="CTW468"/>
      <c r="CTX468"/>
      <c r="CTY468"/>
      <c r="CTZ468"/>
      <c r="CUA468"/>
      <c r="CUB468"/>
      <c r="CUC468"/>
      <c r="CUD468"/>
      <c r="CUE468"/>
      <c r="CUF468"/>
      <c r="CUG468"/>
      <c r="CUH468"/>
      <c r="CUI468"/>
      <c r="CUJ468"/>
      <c r="CUK468"/>
      <c r="CUL468"/>
      <c r="CUM468"/>
      <c r="CUN468"/>
      <c r="CUO468"/>
      <c r="CUP468"/>
      <c r="CUQ468"/>
      <c r="CUR468"/>
      <c r="CUS468"/>
      <c r="CUT468"/>
      <c r="CUU468"/>
      <c r="CUV468"/>
      <c r="CUW468"/>
      <c r="CUX468"/>
      <c r="CUY468"/>
      <c r="CUZ468"/>
      <c r="CVA468"/>
      <c r="CVB468"/>
      <c r="CVC468"/>
      <c r="CVD468"/>
      <c r="CVE468"/>
      <c r="CVF468"/>
      <c r="CVG468"/>
      <c r="CVH468"/>
      <c r="CVI468"/>
      <c r="CVJ468"/>
      <c r="CVK468"/>
      <c r="CVL468"/>
      <c r="CVM468"/>
      <c r="CVN468"/>
      <c r="CVO468"/>
      <c r="CVP468"/>
      <c r="CVQ468"/>
      <c r="CVR468"/>
      <c r="CVS468"/>
      <c r="CVT468"/>
      <c r="CVU468"/>
      <c r="CVV468"/>
      <c r="CVW468"/>
      <c r="CVX468"/>
      <c r="CVY468"/>
      <c r="CVZ468"/>
      <c r="CWA468"/>
      <c r="CWB468"/>
      <c r="CWC468"/>
      <c r="CWD468"/>
      <c r="CWE468"/>
      <c r="CWF468"/>
      <c r="CWG468"/>
      <c r="CWH468"/>
      <c r="CWI468"/>
      <c r="CWJ468"/>
      <c r="CWK468"/>
      <c r="CWL468"/>
      <c r="CWM468"/>
      <c r="CWN468"/>
      <c r="CWO468"/>
      <c r="CWP468"/>
      <c r="CWQ468"/>
      <c r="CWR468"/>
      <c r="CWS468"/>
      <c r="CWT468"/>
      <c r="CWU468"/>
      <c r="CWV468"/>
      <c r="CWW468"/>
      <c r="CWX468"/>
      <c r="CWY468"/>
      <c r="CWZ468"/>
      <c r="CXA468"/>
      <c r="CXB468"/>
      <c r="CXC468"/>
      <c r="CXD468"/>
      <c r="CXE468"/>
      <c r="CXF468"/>
      <c r="CXG468"/>
      <c r="CXH468"/>
      <c r="CXI468"/>
      <c r="CXJ468"/>
      <c r="CXK468"/>
      <c r="CXL468"/>
      <c r="CXM468"/>
      <c r="CXN468"/>
      <c r="CXO468"/>
      <c r="CXP468"/>
      <c r="CXQ468"/>
      <c r="CXR468"/>
      <c r="CXS468"/>
      <c r="CXT468"/>
      <c r="CXU468"/>
      <c r="CXV468"/>
      <c r="CXW468"/>
      <c r="CXX468"/>
      <c r="CXY468"/>
      <c r="CXZ468"/>
      <c r="CYA468"/>
      <c r="CYB468"/>
      <c r="CYC468"/>
      <c r="CYD468"/>
      <c r="CYE468"/>
      <c r="CYF468"/>
      <c r="CYG468"/>
      <c r="CYH468"/>
      <c r="CYI468"/>
      <c r="CYJ468"/>
      <c r="CYK468"/>
      <c r="CYL468"/>
      <c r="CYM468"/>
      <c r="CYN468"/>
      <c r="CYO468"/>
      <c r="CYP468"/>
      <c r="CYQ468"/>
      <c r="CYR468"/>
      <c r="CYS468"/>
      <c r="CYT468"/>
      <c r="CYU468"/>
      <c r="CYV468"/>
      <c r="CYW468"/>
      <c r="CYX468"/>
      <c r="CYY468"/>
      <c r="CYZ468"/>
      <c r="CZA468"/>
      <c r="CZB468"/>
      <c r="CZC468"/>
      <c r="CZD468"/>
      <c r="CZE468"/>
      <c r="CZF468"/>
      <c r="CZG468"/>
      <c r="CZH468"/>
      <c r="CZI468"/>
      <c r="CZJ468"/>
      <c r="CZK468"/>
      <c r="CZL468"/>
      <c r="CZM468"/>
      <c r="CZN468"/>
      <c r="CZO468"/>
      <c r="CZP468"/>
      <c r="CZQ468"/>
      <c r="CZR468"/>
      <c r="CZS468"/>
      <c r="CZT468"/>
      <c r="CZU468"/>
      <c r="CZV468"/>
      <c r="CZW468"/>
      <c r="CZX468"/>
      <c r="CZY468"/>
      <c r="CZZ468"/>
      <c r="DAA468"/>
      <c r="DAB468"/>
      <c r="DAC468"/>
      <c r="DAD468"/>
      <c r="DAE468"/>
      <c r="DAF468"/>
      <c r="DAG468"/>
      <c r="DAH468"/>
      <c r="DAI468"/>
      <c r="DAJ468"/>
      <c r="DAK468"/>
      <c r="DAL468"/>
      <c r="DAM468"/>
      <c r="DAN468"/>
      <c r="DAO468"/>
      <c r="DAP468"/>
      <c r="DAQ468"/>
      <c r="DAR468"/>
      <c r="DAS468"/>
      <c r="DAT468"/>
      <c r="DAU468"/>
      <c r="DAV468"/>
      <c r="DAW468"/>
      <c r="DAX468"/>
      <c r="DAY468"/>
      <c r="DAZ468"/>
      <c r="DBA468"/>
      <c r="DBB468"/>
      <c r="DBC468"/>
      <c r="DBD468"/>
      <c r="DBE468"/>
      <c r="DBF468"/>
      <c r="DBG468"/>
      <c r="DBH468"/>
      <c r="DBI468"/>
      <c r="DBJ468"/>
      <c r="DBK468"/>
      <c r="DBL468"/>
      <c r="DBM468"/>
      <c r="DBN468"/>
      <c r="DBO468"/>
      <c r="DBP468"/>
      <c r="DBQ468"/>
      <c r="DBR468"/>
      <c r="DBS468"/>
      <c r="DBT468"/>
      <c r="DBU468"/>
      <c r="DBV468"/>
      <c r="DBW468"/>
      <c r="DBX468"/>
      <c r="DBY468"/>
      <c r="DBZ468"/>
      <c r="DCA468"/>
      <c r="DCB468"/>
      <c r="DCC468"/>
      <c r="DCD468"/>
      <c r="DCE468"/>
      <c r="DCF468"/>
      <c r="DCG468"/>
      <c r="DCH468"/>
      <c r="DCI468"/>
      <c r="DCJ468"/>
      <c r="DCK468"/>
      <c r="DCL468"/>
      <c r="DCM468"/>
      <c r="DCN468"/>
      <c r="DCO468"/>
      <c r="DCP468"/>
      <c r="DCQ468"/>
      <c r="DCR468"/>
      <c r="DCS468"/>
      <c r="DCT468"/>
      <c r="DCU468"/>
      <c r="DCV468"/>
      <c r="DCW468"/>
      <c r="DCX468"/>
      <c r="DCY468"/>
      <c r="DCZ468"/>
      <c r="DDA468"/>
      <c r="DDB468"/>
      <c r="DDC468"/>
      <c r="DDD468"/>
      <c r="DDE468"/>
      <c r="DDF468"/>
      <c r="DDG468"/>
      <c r="DDH468"/>
      <c r="DDI468"/>
      <c r="DDJ468"/>
      <c r="DDK468"/>
      <c r="DDL468"/>
      <c r="DDM468"/>
      <c r="DDN468"/>
      <c r="DDO468"/>
      <c r="DDP468"/>
      <c r="DDQ468"/>
      <c r="DDR468"/>
      <c r="DDS468"/>
      <c r="DDT468"/>
      <c r="DDU468"/>
      <c r="DDV468"/>
      <c r="DDW468"/>
      <c r="DDX468"/>
      <c r="DDY468"/>
      <c r="DDZ468"/>
      <c r="DEA468"/>
      <c r="DEB468"/>
      <c r="DEC468"/>
      <c r="DED468"/>
      <c r="DEE468"/>
      <c r="DEF468"/>
      <c r="DEG468"/>
      <c r="DEH468"/>
      <c r="DEI468"/>
      <c r="DEJ468"/>
      <c r="DEK468"/>
      <c r="DEL468"/>
      <c r="DEM468"/>
      <c r="DEN468"/>
      <c r="DEO468"/>
      <c r="DEP468"/>
      <c r="DEQ468"/>
      <c r="DER468"/>
      <c r="DES468"/>
      <c r="DET468"/>
      <c r="DEU468"/>
      <c r="DEV468"/>
      <c r="DEW468"/>
      <c r="DEX468"/>
      <c r="DEY468"/>
      <c r="DEZ468"/>
      <c r="DFA468"/>
      <c r="DFB468"/>
      <c r="DFC468"/>
      <c r="DFD468"/>
      <c r="DFE468"/>
      <c r="DFF468"/>
      <c r="DFG468"/>
      <c r="DFH468"/>
      <c r="DFI468"/>
      <c r="DFJ468"/>
      <c r="DFK468"/>
      <c r="DFL468"/>
      <c r="DFM468"/>
      <c r="DFN468"/>
      <c r="DFO468"/>
      <c r="DFP468"/>
      <c r="DFQ468"/>
      <c r="DFR468"/>
      <c r="DFS468"/>
      <c r="DFT468"/>
      <c r="DFU468"/>
      <c r="DFV468"/>
      <c r="DFW468"/>
      <c r="DFX468"/>
      <c r="DFY468"/>
      <c r="DFZ468"/>
      <c r="DGA468"/>
      <c r="DGB468"/>
      <c r="DGC468"/>
      <c r="DGD468"/>
      <c r="DGE468"/>
      <c r="DGF468"/>
      <c r="DGG468"/>
      <c r="DGH468"/>
      <c r="DGI468"/>
      <c r="DGJ468"/>
      <c r="DGK468"/>
      <c r="DGL468"/>
      <c r="DGM468"/>
      <c r="DGN468"/>
      <c r="DGO468"/>
      <c r="DGP468"/>
      <c r="DGQ468"/>
      <c r="DGR468"/>
      <c r="DGS468"/>
      <c r="DGT468"/>
      <c r="DGU468"/>
      <c r="DGV468"/>
      <c r="DGW468"/>
      <c r="DGX468"/>
      <c r="DGY468"/>
      <c r="DGZ468"/>
      <c r="DHA468"/>
      <c r="DHB468"/>
      <c r="DHC468"/>
      <c r="DHD468"/>
      <c r="DHE468"/>
      <c r="DHF468"/>
      <c r="DHG468"/>
      <c r="DHH468"/>
      <c r="DHI468"/>
      <c r="DHJ468"/>
      <c r="DHK468"/>
      <c r="DHL468"/>
      <c r="DHM468"/>
      <c r="DHN468"/>
      <c r="DHO468"/>
      <c r="DHP468"/>
      <c r="DHQ468"/>
      <c r="DHR468"/>
      <c r="DHS468"/>
      <c r="DHT468"/>
      <c r="DHU468"/>
      <c r="DHV468"/>
      <c r="DHW468"/>
      <c r="DHX468"/>
      <c r="DHY468"/>
      <c r="DHZ468"/>
      <c r="DIA468"/>
      <c r="DIB468"/>
      <c r="DIC468"/>
      <c r="DID468"/>
      <c r="DIE468"/>
      <c r="DIF468"/>
      <c r="DIG468"/>
      <c r="DIH468"/>
      <c r="DII468"/>
      <c r="DIJ468"/>
      <c r="DIK468"/>
      <c r="DIL468"/>
      <c r="DIM468"/>
      <c r="DIN468"/>
      <c r="DIO468"/>
      <c r="DIP468"/>
      <c r="DIQ468"/>
      <c r="DIR468"/>
      <c r="DIS468"/>
      <c r="DIT468"/>
      <c r="DIU468"/>
      <c r="DIV468"/>
      <c r="DIW468"/>
      <c r="DIX468"/>
      <c r="DIY468"/>
      <c r="DIZ468"/>
      <c r="DJA468"/>
      <c r="DJB468"/>
      <c r="DJC468"/>
      <c r="DJD468"/>
      <c r="DJE468"/>
      <c r="DJF468"/>
      <c r="DJG468"/>
      <c r="DJH468"/>
      <c r="DJI468"/>
      <c r="DJJ468"/>
      <c r="DJK468"/>
      <c r="DJL468"/>
      <c r="DJM468"/>
      <c r="DJN468"/>
      <c r="DJO468"/>
      <c r="DJP468"/>
      <c r="DJQ468"/>
      <c r="DJR468"/>
      <c r="DJS468"/>
      <c r="DJT468"/>
      <c r="DJU468"/>
      <c r="DJV468"/>
      <c r="DJW468"/>
      <c r="DJX468"/>
      <c r="DJY468"/>
      <c r="DJZ468"/>
      <c r="DKA468"/>
      <c r="DKB468"/>
      <c r="DKC468"/>
      <c r="DKD468"/>
      <c r="DKE468"/>
      <c r="DKF468"/>
      <c r="DKG468"/>
      <c r="DKH468"/>
      <c r="DKI468"/>
      <c r="DKJ468"/>
      <c r="DKK468"/>
      <c r="DKL468"/>
      <c r="DKM468"/>
      <c r="DKN468"/>
      <c r="DKO468"/>
      <c r="DKP468"/>
      <c r="DKQ468"/>
      <c r="DKR468"/>
      <c r="DKS468"/>
      <c r="DKT468"/>
      <c r="DKU468"/>
      <c r="DKV468"/>
      <c r="DKW468"/>
      <c r="DKX468"/>
      <c r="DKY468"/>
      <c r="DKZ468"/>
      <c r="DLA468"/>
      <c r="DLB468"/>
      <c r="DLC468"/>
      <c r="DLD468"/>
      <c r="DLE468"/>
      <c r="DLF468"/>
      <c r="DLG468"/>
      <c r="DLH468"/>
      <c r="DLI468"/>
      <c r="DLJ468"/>
      <c r="DLK468"/>
      <c r="DLL468"/>
      <c r="DLM468"/>
      <c r="DLN468"/>
      <c r="DLO468"/>
      <c r="DLP468"/>
      <c r="DLQ468"/>
      <c r="DLR468"/>
      <c r="DLS468"/>
      <c r="DLT468"/>
      <c r="DLU468"/>
      <c r="DLV468"/>
      <c r="DLW468"/>
      <c r="DLX468"/>
      <c r="DLY468"/>
      <c r="DLZ468"/>
      <c r="DMA468"/>
      <c r="DMB468"/>
      <c r="DMC468"/>
      <c r="DMD468"/>
      <c r="DME468"/>
      <c r="DMF468"/>
      <c r="DMG468"/>
      <c r="DMH468"/>
      <c r="DMI468"/>
      <c r="DMJ468"/>
      <c r="DMK468"/>
      <c r="DML468"/>
      <c r="DMM468"/>
      <c r="DMN468"/>
      <c r="DMO468"/>
      <c r="DMP468"/>
      <c r="DMQ468"/>
      <c r="DMR468"/>
      <c r="DMS468"/>
      <c r="DMT468"/>
      <c r="DMU468"/>
      <c r="DMV468"/>
      <c r="DMW468"/>
      <c r="DMX468"/>
      <c r="DMY468"/>
      <c r="DMZ468"/>
      <c r="DNA468"/>
      <c r="DNB468"/>
      <c r="DNC468"/>
      <c r="DND468"/>
      <c r="DNE468"/>
      <c r="DNF468"/>
      <c r="DNG468"/>
      <c r="DNH468"/>
      <c r="DNI468"/>
      <c r="DNJ468"/>
      <c r="DNK468"/>
      <c r="DNL468"/>
      <c r="DNM468"/>
      <c r="DNN468"/>
      <c r="DNO468"/>
      <c r="DNP468"/>
      <c r="DNQ468"/>
      <c r="DNR468"/>
      <c r="DNS468"/>
      <c r="DNT468"/>
      <c r="DNU468"/>
      <c r="DNV468"/>
      <c r="DNW468"/>
      <c r="DNX468"/>
      <c r="DNY468"/>
      <c r="DNZ468"/>
      <c r="DOA468"/>
      <c r="DOB468"/>
      <c r="DOC468"/>
      <c r="DOD468"/>
      <c r="DOE468"/>
      <c r="DOF468"/>
      <c r="DOG468"/>
      <c r="DOH468"/>
      <c r="DOI468"/>
      <c r="DOJ468"/>
      <c r="DOK468"/>
      <c r="DOL468"/>
      <c r="DOM468"/>
      <c r="DON468"/>
      <c r="DOO468"/>
      <c r="DOP468"/>
      <c r="DOQ468"/>
      <c r="DOR468"/>
      <c r="DOS468"/>
      <c r="DOT468"/>
      <c r="DOU468"/>
      <c r="DOV468"/>
      <c r="DOW468"/>
      <c r="DOX468"/>
      <c r="DOY468"/>
      <c r="DOZ468"/>
      <c r="DPA468"/>
      <c r="DPB468"/>
      <c r="DPC468"/>
      <c r="DPD468"/>
      <c r="DPE468"/>
      <c r="DPF468"/>
      <c r="DPG468"/>
      <c r="DPH468"/>
      <c r="DPI468"/>
      <c r="DPJ468"/>
      <c r="DPK468"/>
      <c r="DPL468"/>
      <c r="DPM468"/>
      <c r="DPN468"/>
      <c r="DPO468"/>
      <c r="DPP468"/>
      <c r="DPQ468"/>
      <c r="DPR468"/>
      <c r="DPS468"/>
      <c r="DPT468"/>
      <c r="DPU468"/>
      <c r="DPV468"/>
      <c r="DPW468"/>
      <c r="DPX468"/>
      <c r="DPY468"/>
      <c r="DPZ468"/>
      <c r="DQA468"/>
      <c r="DQB468"/>
      <c r="DQC468"/>
      <c r="DQD468"/>
      <c r="DQE468"/>
      <c r="DQF468"/>
      <c r="DQG468"/>
      <c r="DQH468"/>
      <c r="DQI468"/>
      <c r="DQJ468"/>
      <c r="DQK468"/>
      <c r="DQL468"/>
      <c r="DQM468"/>
      <c r="DQN468"/>
      <c r="DQO468"/>
      <c r="DQP468"/>
      <c r="DQQ468"/>
      <c r="DQR468"/>
      <c r="DQS468"/>
      <c r="DQT468"/>
      <c r="DQU468"/>
      <c r="DQV468"/>
      <c r="DQW468"/>
      <c r="DQX468"/>
      <c r="DQY468"/>
      <c r="DQZ468"/>
      <c r="DRA468"/>
      <c r="DRB468"/>
      <c r="DRC468"/>
      <c r="DRD468"/>
      <c r="DRE468"/>
      <c r="DRF468"/>
      <c r="DRG468"/>
      <c r="DRH468"/>
      <c r="DRI468"/>
      <c r="DRJ468"/>
      <c r="DRK468"/>
      <c r="DRL468"/>
      <c r="DRM468"/>
      <c r="DRN468"/>
      <c r="DRO468"/>
      <c r="DRP468"/>
      <c r="DRQ468"/>
      <c r="DRR468"/>
      <c r="DRS468"/>
      <c r="DRT468"/>
      <c r="DRU468"/>
      <c r="DRV468"/>
      <c r="DRW468"/>
      <c r="DRX468"/>
      <c r="DRY468"/>
      <c r="DRZ468"/>
      <c r="DSA468"/>
      <c r="DSB468"/>
      <c r="DSC468"/>
      <c r="DSD468"/>
      <c r="DSE468"/>
      <c r="DSF468"/>
      <c r="DSG468"/>
      <c r="DSH468"/>
      <c r="DSI468"/>
      <c r="DSJ468"/>
      <c r="DSK468"/>
      <c r="DSL468"/>
      <c r="DSM468"/>
      <c r="DSN468"/>
      <c r="DSO468"/>
      <c r="DSP468"/>
      <c r="DSQ468"/>
      <c r="DSR468"/>
      <c r="DSS468"/>
      <c r="DST468"/>
      <c r="DSU468"/>
      <c r="DSV468"/>
      <c r="DSW468"/>
      <c r="DSX468"/>
      <c r="DSY468"/>
      <c r="DSZ468"/>
      <c r="DTA468"/>
      <c r="DTB468"/>
      <c r="DTC468"/>
      <c r="DTD468"/>
      <c r="DTE468"/>
      <c r="DTF468"/>
      <c r="DTG468"/>
      <c r="DTH468"/>
      <c r="DTI468"/>
      <c r="DTJ468"/>
      <c r="DTK468"/>
      <c r="DTL468"/>
      <c r="DTM468"/>
      <c r="DTN468"/>
      <c r="DTO468"/>
      <c r="DTP468"/>
      <c r="DTQ468"/>
      <c r="DTR468"/>
      <c r="DTS468"/>
      <c r="DTT468"/>
      <c r="DTU468"/>
      <c r="DTV468"/>
      <c r="DTW468"/>
      <c r="DTX468"/>
      <c r="DTY468"/>
      <c r="DTZ468"/>
      <c r="DUA468"/>
      <c r="DUB468"/>
      <c r="DUC468"/>
      <c r="DUD468"/>
      <c r="DUE468"/>
      <c r="DUF468"/>
      <c r="DUG468"/>
      <c r="DUH468"/>
      <c r="DUI468"/>
      <c r="DUJ468"/>
      <c r="DUK468"/>
      <c r="DUL468"/>
      <c r="DUM468"/>
      <c r="DUN468"/>
      <c r="DUO468"/>
      <c r="DUP468"/>
      <c r="DUQ468"/>
      <c r="DUR468"/>
      <c r="DUS468"/>
      <c r="DUT468"/>
      <c r="DUU468"/>
      <c r="DUV468"/>
      <c r="DUW468"/>
      <c r="DUX468"/>
      <c r="DUY468"/>
      <c r="DUZ468"/>
      <c r="DVA468"/>
      <c r="DVB468"/>
      <c r="DVC468"/>
      <c r="DVD468"/>
      <c r="DVE468"/>
      <c r="DVF468"/>
      <c r="DVG468"/>
      <c r="DVH468"/>
      <c r="DVI468"/>
      <c r="DVJ468"/>
      <c r="DVK468"/>
      <c r="DVL468"/>
      <c r="DVM468"/>
      <c r="DVN468"/>
      <c r="DVO468"/>
      <c r="DVP468"/>
      <c r="DVQ468"/>
      <c r="DVR468"/>
      <c r="DVS468"/>
      <c r="DVT468"/>
      <c r="DVU468"/>
      <c r="DVV468"/>
      <c r="DVW468"/>
      <c r="DVX468"/>
      <c r="DVY468"/>
      <c r="DVZ468"/>
      <c r="DWA468"/>
      <c r="DWB468"/>
      <c r="DWC468"/>
      <c r="DWD468"/>
      <c r="DWE468"/>
      <c r="DWF468"/>
      <c r="DWG468"/>
      <c r="DWH468"/>
      <c r="DWI468"/>
      <c r="DWJ468"/>
      <c r="DWK468"/>
      <c r="DWL468"/>
      <c r="DWM468"/>
      <c r="DWN468"/>
      <c r="DWO468"/>
      <c r="DWP468"/>
      <c r="DWQ468"/>
      <c r="DWR468"/>
      <c r="DWS468"/>
      <c r="DWT468"/>
      <c r="DWU468"/>
      <c r="DWV468"/>
      <c r="DWW468"/>
      <c r="DWX468"/>
      <c r="DWY468"/>
      <c r="DWZ468"/>
      <c r="DXA468"/>
      <c r="DXB468"/>
      <c r="DXC468"/>
      <c r="DXD468"/>
      <c r="DXE468"/>
      <c r="DXF468"/>
      <c r="DXG468"/>
      <c r="DXH468"/>
      <c r="DXI468"/>
      <c r="DXJ468"/>
      <c r="DXK468"/>
      <c r="DXL468"/>
      <c r="DXM468"/>
      <c r="DXN468"/>
      <c r="DXO468"/>
      <c r="DXP468"/>
      <c r="DXQ468"/>
      <c r="DXR468"/>
      <c r="DXS468"/>
      <c r="DXT468"/>
      <c r="DXU468"/>
      <c r="DXV468"/>
      <c r="DXW468"/>
      <c r="DXX468"/>
      <c r="DXY468"/>
      <c r="DXZ468"/>
      <c r="DYA468"/>
      <c r="DYB468"/>
      <c r="DYC468"/>
      <c r="DYD468"/>
      <c r="DYE468"/>
      <c r="DYF468"/>
      <c r="DYG468"/>
      <c r="DYH468"/>
      <c r="DYI468"/>
      <c r="DYJ468"/>
      <c r="DYK468"/>
      <c r="DYL468"/>
      <c r="DYM468"/>
      <c r="DYN468"/>
      <c r="DYO468"/>
      <c r="DYP468"/>
      <c r="DYQ468"/>
      <c r="DYR468"/>
      <c r="DYS468"/>
      <c r="DYT468"/>
      <c r="DYU468"/>
      <c r="DYV468"/>
      <c r="DYW468"/>
      <c r="DYX468"/>
      <c r="DYY468"/>
      <c r="DYZ468"/>
      <c r="DZA468"/>
      <c r="DZB468"/>
      <c r="DZC468"/>
      <c r="DZD468"/>
      <c r="DZE468"/>
      <c r="DZF468"/>
      <c r="DZG468"/>
      <c r="DZH468"/>
      <c r="DZI468"/>
      <c r="DZJ468"/>
      <c r="DZK468"/>
      <c r="DZL468"/>
      <c r="DZM468"/>
      <c r="DZN468"/>
      <c r="DZO468"/>
      <c r="DZP468"/>
      <c r="DZQ468"/>
      <c r="DZR468"/>
      <c r="DZS468"/>
      <c r="DZT468"/>
      <c r="DZU468"/>
      <c r="DZV468"/>
      <c r="DZW468"/>
      <c r="DZX468"/>
      <c r="DZY468"/>
      <c r="DZZ468"/>
      <c r="EAA468"/>
      <c r="EAB468"/>
      <c r="EAC468"/>
      <c r="EAD468"/>
      <c r="EAE468"/>
      <c r="EAF468"/>
      <c r="EAG468"/>
      <c r="EAH468"/>
      <c r="EAI468"/>
      <c r="EAJ468"/>
      <c r="EAK468"/>
      <c r="EAL468"/>
      <c r="EAM468"/>
      <c r="EAN468"/>
      <c r="EAO468"/>
      <c r="EAP468"/>
      <c r="EAQ468"/>
      <c r="EAR468"/>
      <c r="EAS468"/>
      <c r="EAT468"/>
      <c r="EAU468"/>
      <c r="EAV468"/>
      <c r="EAW468"/>
      <c r="EAX468"/>
      <c r="EAY468"/>
      <c r="EAZ468"/>
      <c r="EBA468"/>
      <c r="EBB468"/>
      <c r="EBC468"/>
      <c r="EBD468"/>
      <c r="EBE468"/>
      <c r="EBF468"/>
      <c r="EBG468"/>
      <c r="EBH468"/>
      <c r="EBI468"/>
      <c r="EBJ468"/>
      <c r="EBK468"/>
      <c r="EBL468"/>
      <c r="EBM468"/>
      <c r="EBN468"/>
      <c r="EBO468"/>
      <c r="EBP468"/>
      <c r="EBQ468"/>
      <c r="EBR468"/>
      <c r="EBS468"/>
      <c r="EBT468"/>
      <c r="EBU468"/>
      <c r="EBV468"/>
      <c r="EBW468"/>
      <c r="EBX468"/>
      <c r="EBY468"/>
      <c r="EBZ468"/>
      <c r="ECA468"/>
      <c r="ECB468"/>
      <c r="ECC468"/>
      <c r="ECD468"/>
      <c r="ECE468"/>
      <c r="ECF468"/>
      <c r="ECG468"/>
      <c r="ECH468"/>
      <c r="ECI468"/>
      <c r="ECJ468"/>
      <c r="ECK468"/>
      <c r="ECL468"/>
      <c r="ECM468"/>
      <c r="ECN468"/>
      <c r="ECO468"/>
      <c r="ECP468"/>
      <c r="ECQ468"/>
      <c r="ECR468"/>
      <c r="ECS468"/>
      <c r="ECT468"/>
      <c r="ECU468"/>
      <c r="ECV468"/>
      <c r="ECW468"/>
      <c r="ECX468"/>
      <c r="ECY468"/>
      <c r="ECZ468"/>
      <c r="EDA468"/>
      <c r="EDB468"/>
      <c r="EDC468"/>
      <c r="EDD468"/>
      <c r="EDE468"/>
      <c r="EDF468"/>
      <c r="EDG468"/>
      <c r="EDH468"/>
      <c r="EDI468"/>
      <c r="EDJ468"/>
      <c r="EDK468"/>
      <c r="EDL468"/>
      <c r="EDM468"/>
      <c r="EDN468"/>
      <c r="EDO468"/>
      <c r="EDP468"/>
      <c r="EDQ468"/>
      <c r="EDR468"/>
      <c r="EDS468"/>
      <c r="EDT468"/>
      <c r="EDU468"/>
      <c r="EDV468"/>
      <c r="EDW468"/>
      <c r="EDX468"/>
      <c r="EDY468"/>
      <c r="EDZ468"/>
      <c r="EEA468"/>
      <c r="EEB468"/>
      <c r="EEC468"/>
      <c r="EED468"/>
      <c r="EEE468"/>
      <c r="EEF468"/>
      <c r="EEG468"/>
      <c r="EEH468"/>
      <c r="EEI468"/>
      <c r="EEJ468"/>
      <c r="EEK468"/>
      <c r="EEL468"/>
      <c r="EEM468"/>
      <c r="EEN468"/>
      <c r="EEO468"/>
      <c r="EEP468"/>
      <c r="EEQ468"/>
      <c r="EER468"/>
      <c r="EES468"/>
      <c r="EET468"/>
      <c r="EEU468"/>
      <c r="EEV468"/>
      <c r="EEW468"/>
      <c r="EEX468"/>
      <c r="EEY468"/>
      <c r="EEZ468"/>
      <c r="EFA468"/>
      <c r="EFB468"/>
      <c r="EFC468"/>
      <c r="EFD468"/>
      <c r="EFE468"/>
      <c r="EFF468"/>
      <c r="EFG468"/>
      <c r="EFH468"/>
      <c r="EFI468"/>
      <c r="EFJ468"/>
      <c r="EFK468"/>
      <c r="EFL468"/>
      <c r="EFM468"/>
      <c r="EFN468"/>
      <c r="EFO468"/>
      <c r="EFP468"/>
      <c r="EFQ468"/>
      <c r="EFR468"/>
      <c r="EFS468"/>
      <c r="EFT468"/>
      <c r="EFU468"/>
      <c r="EFV468"/>
      <c r="EFW468"/>
      <c r="EFX468"/>
      <c r="EFY468"/>
      <c r="EFZ468"/>
      <c r="EGA468"/>
      <c r="EGB468"/>
      <c r="EGC468"/>
      <c r="EGD468"/>
      <c r="EGE468"/>
      <c r="EGF468"/>
      <c r="EGG468"/>
      <c r="EGH468"/>
      <c r="EGI468"/>
      <c r="EGJ468"/>
      <c r="EGK468"/>
      <c r="EGL468"/>
      <c r="EGM468"/>
      <c r="EGN468"/>
      <c r="EGO468"/>
      <c r="EGP468"/>
      <c r="EGQ468"/>
      <c r="EGR468"/>
      <c r="EGS468"/>
      <c r="EGT468"/>
      <c r="EGU468"/>
      <c r="EGV468"/>
      <c r="EGW468"/>
      <c r="EGX468"/>
      <c r="EGY468"/>
      <c r="EGZ468"/>
      <c r="EHA468"/>
      <c r="EHB468"/>
      <c r="EHC468"/>
      <c r="EHD468"/>
      <c r="EHE468"/>
      <c r="EHF468"/>
      <c r="EHG468"/>
      <c r="EHH468"/>
      <c r="EHI468"/>
      <c r="EHJ468"/>
      <c r="EHK468"/>
      <c r="EHL468"/>
      <c r="EHM468"/>
      <c r="EHN468"/>
      <c r="EHO468"/>
      <c r="EHP468"/>
      <c r="EHQ468"/>
      <c r="EHR468"/>
      <c r="EHS468"/>
      <c r="EHT468"/>
      <c r="EHU468"/>
      <c r="EHV468"/>
      <c r="EHW468"/>
      <c r="EHX468"/>
      <c r="EHY468"/>
      <c r="EHZ468"/>
      <c r="EIA468"/>
      <c r="EIB468"/>
      <c r="EIC468"/>
      <c r="EID468"/>
      <c r="EIE468"/>
      <c r="EIF468"/>
      <c r="EIG468"/>
      <c r="EIH468"/>
      <c r="EII468"/>
      <c r="EIJ468"/>
      <c r="EIK468"/>
      <c r="EIL468"/>
      <c r="EIM468"/>
      <c r="EIN468"/>
      <c r="EIO468"/>
      <c r="EIP468"/>
      <c r="EIQ468"/>
      <c r="EIR468"/>
      <c r="EIS468"/>
      <c r="EIT468"/>
      <c r="EIU468"/>
      <c r="EIV468"/>
      <c r="EIW468"/>
      <c r="EIX468"/>
      <c r="EIY468"/>
      <c r="EIZ468"/>
      <c r="EJA468"/>
      <c r="EJB468"/>
      <c r="EJC468"/>
      <c r="EJD468"/>
      <c r="EJE468"/>
      <c r="EJF468"/>
      <c r="EJG468"/>
      <c r="EJH468"/>
      <c r="EJI468"/>
      <c r="EJJ468"/>
      <c r="EJK468"/>
      <c r="EJL468"/>
      <c r="EJM468"/>
      <c r="EJN468"/>
      <c r="EJO468"/>
      <c r="EJP468"/>
      <c r="EJQ468"/>
      <c r="EJR468"/>
      <c r="EJS468"/>
      <c r="EJT468"/>
      <c r="EJU468"/>
      <c r="EJV468"/>
      <c r="EJW468"/>
      <c r="EJX468"/>
      <c r="EJY468"/>
      <c r="EJZ468"/>
      <c r="EKA468"/>
      <c r="EKB468"/>
      <c r="EKC468"/>
      <c r="EKD468"/>
      <c r="EKE468"/>
      <c r="EKF468"/>
      <c r="EKG468"/>
      <c r="EKH468"/>
      <c r="EKI468"/>
      <c r="EKJ468"/>
      <c r="EKK468"/>
      <c r="EKL468"/>
      <c r="EKM468"/>
      <c r="EKN468"/>
      <c r="EKO468"/>
      <c r="EKP468"/>
      <c r="EKQ468"/>
      <c r="EKR468"/>
      <c r="EKS468"/>
      <c r="EKT468"/>
      <c r="EKU468"/>
      <c r="EKV468"/>
      <c r="EKW468"/>
      <c r="EKX468"/>
      <c r="EKY468"/>
      <c r="EKZ468"/>
      <c r="ELA468"/>
      <c r="ELB468"/>
      <c r="ELC468"/>
      <c r="ELD468"/>
      <c r="ELE468"/>
      <c r="ELF468"/>
      <c r="ELG468"/>
      <c r="ELH468"/>
      <c r="ELI468"/>
      <c r="ELJ468"/>
      <c r="ELK468"/>
      <c r="ELL468"/>
      <c r="ELM468"/>
      <c r="ELN468"/>
      <c r="ELO468"/>
      <c r="ELP468"/>
      <c r="ELQ468"/>
      <c r="ELR468"/>
      <c r="ELS468"/>
      <c r="ELT468"/>
      <c r="ELU468"/>
      <c r="ELV468"/>
      <c r="ELW468"/>
      <c r="ELX468"/>
      <c r="ELY468"/>
      <c r="ELZ468"/>
      <c r="EMA468"/>
      <c r="EMB468"/>
      <c r="EMC468"/>
      <c r="EMD468"/>
      <c r="EME468"/>
      <c r="EMF468"/>
      <c r="EMG468"/>
      <c r="EMH468"/>
      <c r="EMI468"/>
      <c r="EMJ468"/>
      <c r="EMK468"/>
      <c r="EML468"/>
      <c r="EMM468"/>
      <c r="EMN468"/>
      <c r="EMO468"/>
      <c r="EMP468"/>
      <c r="EMQ468"/>
      <c r="EMR468"/>
      <c r="EMS468"/>
      <c r="EMT468"/>
      <c r="EMU468"/>
      <c r="EMV468"/>
      <c r="EMW468"/>
      <c r="EMX468"/>
      <c r="EMY468"/>
      <c r="EMZ468"/>
      <c r="ENA468"/>
      <c r="ENB468"/>
      <c r="ENC468"/>
      <c r="END468"/>
      <c r="ENE468"/>
      <c r="ENF468"/>
      <c r="ENG468"/>
      <c r="ENH468"/>
      <c r="ENI468"/>
      <c r="ENJ468"/>
      <c r="ENK468"/>
      <c r="ENL468"/>
      <c r="ENM468"/>
      <c r="ENN468"/>
      <c r="ENO468"/>
      <c r="ENP468"/>
      <c r="ENQ468"/>
      <c r="ENR468"/>
      <c r="ENS468"/>
      <c r="ENT468"/>
      <c r="ENU468"/>
      <c r="ENV468"/>
      <c r="ENW468"/>
      <c r="ENX468"/>
      <c r="ENY468"/>
      <c r="ENZ468"/>
      <c r="EOA468"/>
      <c r="EOB468"/>
      <c r="EOC468"/>
      <c r="EOD468"/>
      <c r="EOE468"/>
      <c r="EOF468"/>
      <c r="EOG468"/>
      <c r="EOH468"/>
      <c r="EOI468"/>
      <c r="EOJ468"/>
      <c r="EOK468"/>
      <c r="EOL468"/>
      <c r="EOM468"/>
      <c r="EON468"/>
      <c r="EOO468"/>
      <c r="EOP468"/>
      <c r="EOQ468"/>
      <c r="EOR468"/>
      <c r="EOS468"/>
      <c r="EOT468"/>
      <c r="EOU468"/>
      <c r="EOV468"/>
      <c r="EOW468"/>
      <c r="EOX468"/>
      <c r="EOY468"/>
      <c r="EOZ468"/>
      <c r="EPA468"/>
      <c r="EPB468"/>
      <c r="EPC468"/>
      <c r="EPD468"/>
      <c r="EPE468"/>
      <c r="EPF468"/>
      <c r="EPG468"/>
      <c r="EPH468"/>
      <c r="EPI468"/>
      <c r="EPJ468"/>
      <c r="EPK468"/>
      <c r="EPL468"/>
      <c r="EPM468"/>
      <c r="EPN468"/>
      <c r="EPO468"/>
      <c r="EPP468"/>
      <c r="EPQ468"/>
      <c r="EPR468"/>
      <c r="EPS468"/>
      <c r="EPT468"/>
      <c r="EPU468"/>
      <c r="EPV468"/>
      <c r="EPW468"/>
      <c r="EPX468"/>
      <c r="EPY468"/>
      <c r="EPZ468"/>
      <c r="EQA468"/>
      <c r="EQB468"/>
      <c r="EQC468"/>
      <c r="EQD468"/>
      <c r="EQE468"/>
      <c r="EQF468"/>
      <c r="EQG468"/>
      <c r="EQH468"/>
      <c r="EQI468"/>
      <c r="EQJ468"/>
      <c r="EQK468"/>
      <c r="EQL468"/>
      <c r="EQM468"/>
      <c r="EQN468"/>
      <c r="EQO468"/>
      <c r="EQP468"/>
      <c r="EQQ468"/>
      <c r="EQR468"/>
      <c r="EQS468"/>
      <c r="EQT468"/>
      <c r="EQU468"/>
      <c r="EQV468"/>
      <c r="EQW468"/>
      <c r="EQX468"/>
      <c r="EQY468"/>
      <c r="EQZ468"/>
      <c r="ERA468"/>
      <c r="ERB468"/>
      <c r="ERC468"/>
      <c r="ERD468"/>
      <c r="ERE468"/>
      <c r="ERF468"/>
      <c r="ERG468"/>
      <c r="ERH468"/>
      <c r="ERI468"/>
      <c r="ERJ468"/>
      <c r="ERK468"/>
      <c r="ERL468"/>
      <c r="ERM468"/>
      <c r="ERN468"/>
      <c r="ERO468"/>
      <c r="ERP468"/>
      <c r="ERQ468"/>
      <c r="ERR468"/>
      <c r="ERS468"/>
      <c r="ERT468"/>
      <c r="ERU468"/>
      <c r="ERV468"/>
      <c r="ERW468"/>
      <c r="ERX468"/>
      <c r="ERY468"/>
      <c r="ERZ468"/>
      <c r="ESA468"/>
      <c r="ESB468"/>
      <c r="ESC468"/>
      <c r="ESD468"/>
      <c r="ESE468"/>
      <c r="ESF468"/>
      <c r="ESG468"/>
      <c r="ESH468"/>
      <c r="ESI468"/>
      <c r="ESJ468"/>
      <c r="ESK468"/>
      <c r="ESL468"/>
      <c r="ESM468"/>
      <c r="ESN468"/>
      <c r="ESO468"/>
      <c r="ESP468"/>
      <c r="ESQ468"/>
      <c r="ESR468"/>
      <c r="ESS468"/>
      <c r="EST468"/>
      <c r="ESU468"/>
      <c r="ESV468"/>
      <c r="ESW468"/>
      <c r="ESX468"/>
      <c r="ESY468"/>
      <c r="ESZ468"/>
      <c r="ETA468"/>
      <c r="ETB468"/>
      <c r="ETC468"/>
      <c r="ETD468"/>
      <c r="ETE468"/>
      <c r="ETF468"/>
      <c r="ETG468"/>
      <c r="ETH468"/>
      <c r="ETI468"/>
      <c r="ETJ468"/>
      <c r="ETK468"/>
      <c r="ETL468"/>
      <c r="ETM468"/>
      <c r="ETN468"/>
      <c r="ETO468"/>
      <c r="ETP468"/>
      <c r="ETQ468"/>
      <c r="ETR468"/>
      <c r="ETS468"/>
      <c r="ETT468"/>
      <c r="ETU468"/>
      <c r="ETV468"/>
      <c r="ETW468"/>
      <c r="ETX468"/>
      <c r="ETY468"/>
      <c r="ETZ468"/>
      <c r="EUA468"/>
      <c r="EUB468"/>
      <c r="EUC468"/>
      <c r="EUD468"/>
      <c r="EUE468"/>
      <c r="EUF468"/>
      <c r="EUG468"/>
      <c r="EUH468"/>
      <c r="EUI468"/>
      <c r="EUJ468"/>
      <c r="EUK468"/>
      <c r="EUL468"/>
      <c r="EUM468"/>
      <c r="EUN468"/>
      <c r="EUO468"/>
      <c r="EUP468"/>
      <c r="EUQ468"/>
      <c r="EUR468"/>
      <c r="EUS468"/>
      <c r="EUT468"/>
      <c r="EUU468"/>
      <c r="EUV468"/>
      <c r="EUW468"/>
      <c r="EUX468"/>
      <c r="EUY468"/>
      <c r="EUZ468"/>
      <c r="EVA468"/>
      <c r="EVB468"/>
      <c r="EVC468"/>
      <c r="EVD468"/>
      <c r="EVE468"/>
      <c r="EVF468"/>
      <c r="EVG468"/>
      <c r="EVH468"/>
      <c r="EVI468"/>
      <c r="EVJ468"/>
      <c r="EVK468"/>
      <c r="EVL468"/>
      <c r="EVM468"/>
      <c r="EVN468"/>
      <c r="EVO468"/>
      <c r="EVP468"/>
      <c r="EVQ468"/>
      <c r="EVR468"/>
      <c r="EVS468"/>
      <c r="EVT468"/>
      <c r="EVU468"/>
      <c r="EVV468"/>
      <c r="EVW468"/>
      <c r="EVX468"/>
      <c r="EVY468"/>
      <c r="EVZ468"/>
      <c r="EWA468"/>
      <c r="EWB468"/>
      <c r="EWC468"/>
      <c r="EWD468"/>
      <c r="EWE468"/>
      <c r="EWF468"/>
      <c r="EWG468"/>
      <c r="EWH468"/>
      <c r="EWI468"/>
      <c r="EWJ468"/>
      <c r="EWK468"/>
      <c r="EWL468"/>
      <c r="EWM468"/>
      <c r="EWN468"/>
      <c r="EWO468"/>
      <c r="EWP468"/>
      <c r="EWQ468"/>
      <c r="EWR468"/>
      <c r="EWS468"/>
      <c r="EWT468"/>
      <c r="EWU468"/>
      <c r="EWV468"/>
      <c r="EWW468"/>
      <c r="EWX468"/>
      <c r="EWY468"/>
      <c r="EWZ468"/>
      <c r="EXA468"/>
      <c r="EXB468"/>
      <c r="EXC468"/>
      <c r="EXD468"/>
      <c r="EXE468"/>
      <c r="EXF468"/>
      <c r="EXG468"/>
      <c r="EXH468"/>
      <c r="EXI468"/>
      <c r="EXJ468"/>
      <c r="EXK468"/>
      <c r="EXL468"/>
      <c r="EXM468"/>
      <c r="EXN468"/>
      <c r="EXO468"/>
      <c r="EXP468"/>
      <c r="EXQ468"/>
      <c r="EXR468"/>
      <c r="EXS468"/>
      <c r="EXT468"/>
      <c r="EXU468"/>
      <c r="EXV468"/>
      <c r="EXW468"/>
      <c r="EXX468"/>
      <c r="EXY468"/>
      <c r="EXZ468"/>
      <c r="EYA468"/>
      <c r="EYB468"/>
      <c r="EYC468"/>
      <c r="EYD468"/>
      <c r="EYE468"/>
      <c r="EYF468"/>
      <c r="EYG468"/>
      <c r="EYH468"/>
      <c r="EYI468"/>
      <c r="EYJ468"/>
      <c r="EYK468"/>
      <c r="EYL468"/>
      <c r="EYM468"/>
      <c r="EYN468"/>
      <c r="EYO468"/>
      <c r="EYP468"/>
      <c r="EYQ468"/>
      <c r="EYR468"/>
      <c r="EYS468"/>
      <c r="EYT468"/>
      <c r="EYU468"/>
      <c r="EYV468"/>
      <c r="EYW468"/>
      <c r="EYX468"/>
      <c r="EYY468"/>
      <c r="EYZ468"/>
      <c r="EZA468"/>
      <c r="EZB468"/>
      <c r="EZC468"/>
      <c r="EZD468"/>
      <c r="EZE468"/>
      <c r="EZF468"/>
      <c r="EZG468"/>
      <c r="EZH468"/>
      <c r="EZI468"/>
      <c r="EZJ468"/>
      <c r="EZK468"/>
      <c r="EZL468"/>
      <c r="EZM468"/>
      <c r="EZN468"/>
      <c r="EZO468"/>
      <c r="EZP468"/>
      <c r="EZQ468"/>
      <c r="EZR468"/>
      <c r="EZS468"/>
      <c r="EZT468"/>
      <c r="EZU468"/>
      <c r="EZV468"/>
      <c r="EZW468"/>
      <c r="EZX468"/>
      <c r="EZY468"/>
      <c r="EZZ468"/>
      <c r="FAA468"/>
      <c r="FAB468"/>
      <c r="FAC468"/>
      <c r="FAD468"/>
      <c r="FAE468"/>
      <c r="FAF468"/>
      <c r="FAG468"/>
      <c r="FAH468"/>
      <c r="FAI468"/>
      <c r="FAJ468"/>
      <c r="FAK468"/>
      <c r="FAL468"/>
      <c r="FAM468"/>
      <c r="FAN468"/>
      <c r="FAO468"/>
      <c r="FAP468"/>
      <c r="FAQ468"/>
      <c r="FAR468"/>
      <c r="FAS468"/>
      <c r="FAT468"/>
      <c r="FAU468"/>
      <c r="FAV468"/>
      <c r="FAW468"/>
      <c r="FAX468"/>
      <c r="FAY468"/>
      <c r="FAZ468"/>
      <c r="FBA468"/>
      <c r="FBB468"/>
      <c r="FBC468"/>
      <c r="FBD468"/>
      <c r="FBE468"/>
      <c r="FBF468"/>
      <c r="FBG468"/>
      <c r="FBH468"/>
      <c r="FBI468"/>
      <c r="FBJ468"/>
      <c r="FBK468"/>
      <c r="FBL468"/>
      <c r="FBM468"/>
      <c r="FBN468"/>
      <c r="FBO468"/>
      <c r="FBP468"/>
      <c r="FBQ468"/>
      <c r="FBR468"/>
      <c r="FBS468"/>
      <c r="FBT468"/>
      <c r="FBU468"/>
      <c r="FBV468"/>
      <c r="FBW468"/>
      <c r="FBX468"/>
      <c r="FBY468"/>
      <c r="FBZ468"/>
      <c r="FCA468"/>
      <c r="FCB468"/>
      <c r="FCC468"/>
      <c r="FCD468"/>
      <c r="FCE468"/>
      <c r="FCF468"/>
      <c r="FCG468"/>
      <c r="FCH468"/>
      <c r="FCI468"/>
      <c r="FCJ468"/>
      <c r="FCK468"/>
      <c r="FCL468"/>
      <c r="FCM468"/>
      <c r="FCN468"/>
      <c r="FCO468"/>
      <c r="FCP468"/>
      <c r="FCQ468"/>
      <c r="FCR468"/>
      <c r="FCS468"/>
      <c r="FCT468"/>
      <c r="FCU468"/>
      <c r="FCV468"/>
      <c r="FCW468"/>
      <c r="FCX468"/>
      <c r="FCY468"/>
      <c r="FCZ468"/>
      <c r="FDA468"/>
      <c r="FDB468"/>
      <c r="FDC468"/>
      <c r="FDD468"/>
      <c r="FDE468"/>
      <c r="FDF468"/>
      <c r="FDG468"/>
      <c r="FDH468"/>
      <c r="FDI468"/>
      <c r="FDJ468"/>
      <c r="FDK468"/>
      <c r="FDL468"/>
      <c r="FDM468"/>
      <c r="FDN468"/>
      <c r="FDO468"/>
      <c r="FDP468"/>
      <c r="FDQ468"/>
      <c r="FDR468"/>
      <c r="FDS468"/>
      <c r="FDT468"/>
      <c r="FDU468"/>
      <c r="FDV468"/>
      <c r="FDW468"/>
      <c r="FDX468"/>
      <c r="FDY468"/>
      <c r="FDZ468"/>
      <c r="FEA468"/>
      <c r="FEB468"/>
      <c r="FEC468"/>
      <c r="FED468"/>
      <c r="FEE468"/>
      <c r="FEF468"/>
      <c r="FEG468"/>
      <c r="FEH468"/>
      <c r="FEI468"/>
      <c r="FEJ468"/>
      <c r="FEK468"/>
      <c r="FEL468"/>
      <c r="FEM468"/>
      <c r="FEN468"/>
      <c r="FEO468"/>
      <c r="FEP468"/>
      <c r="FEQ468"/>
      <c r="FER468"/>
      <c r="FES468"/>
      <c r="FET468"/>
      <c r="FEU468"/>
      <c r="FEV468"/>
      <c r="FEW468"/>
      <c r="FEX468"/>
      <c r="FEY468"/>
      <c r="FEZ468"/>
      <c r="FFA468"/>
      <c r="FFB468"/>
      <c r="FFC468"/>
      <c r="FFD468"/>
      <c r="FFE468"/>
      <c r="FFF468"/>
      <c r="FFG468"/>
      <c r="FFH468"/>
      <c r="FFI468"/>
      <c r="FFJ468"/>
      <c r="FFK468"/>
      <c r="FFL468"/>
      <c r="FFM468"/>
      <c r="FFN468"/>
      <c r="FFO468"/>
      <c r="FFP468"/>
      <c r="FFQ468"/>
      <c r="FFR468"/>
      <c r="FFS468"/>
      <c r="FFT468"/>
      <c r="FFU468"/>
      <c r="FFV468"/>
      <c r="FFW468"/>
      <c r="FFX468"/>
      <c r="FFY468"/>
      <c r="FFZ468"/>
      <c r="FGA468"/>
      <c r="FGB468"/>
      <c r="FGC468"/>
      <c r="FGD468"/>
      <c r="FGE468"/>
      <c r="FGF468"/>
      <c r="FGG468"/>
      <c r="FGH468"/>
      <c r="FGI468"/>
      <c r="FGJ468"/>
      <c r="FGK468"/>
      <c r="FGL468"/>
      <c r="FGM468"/>
      <c r="FGN468"/>
      <c r="FGO468"/>
      <c r="FGP468"/>
      <c r="FGQ468"/>
      <c r="FGR468"/>
      <c r="FGS468"/>
      <c r="FGT468"/>
      <c r="FGU468"/>
      <c r="FGV468"/>
      <c r="FGW468"/>
      <c r="FGX468"/>
      <c r="FGY468"/>
      <c r="FGZ468"/>
      <c r="FHA468"/>
      <c r="FHB468"/>
      <c r="FHC468"/>
      <c r="FHD468"/>
      <c r="FHE468"/>
      <c r="FHF468"/>
      <c r="FHG468"/>
      <c r="FHH468"/>
      <c r="FHI468"/>
      <c r="FHJ468"/>
      <c r="FHK468"/>
      <c r="FHL468"/>
      <c r="FHM468"/>
      <c r="FHN468"/>
      <c r="FHO468"/>
      <c r="FHP468"/>
      <c r="FHQ468"/>
      <c r="FHR468"/>
      <c r="FHS468"/>
      <c r="FHT468"/>
      <c r="FHU468"/>
      <c r="FHV468"/>
      <c r="FHW468"/>
      <c r="FHX468"/>
      <c r="FHY468"/>
      <c r="FHZ468"/>
      <c r="FIA468"/>
      <c r="FIB468"/>
      <c r="FIC468"/>
      <c r="FID468"/>
      <c r="FIE468"/>
      <c r="FIF468"/>
      <c r="FIG468"/>
      <c r="FIH468"/>
      <c r="FII468"/>
      <c r="FIJ468"/>
      <c r="FIK468"/>
      <c r="FIL468"/>
      <c r="FIM468"/>
      <c r="FIN468"/>
      <c r="FIO468"/>
      <c r="FIP468"/>
      <c r="FIQ468"/>
      <c r="FIR468"/>
      <c r="FIS468"/>
      <c r="FIT468"/>
      <c r="FIU468"/>
      <c r="FIV468"/>
      <c r="FIW468"/>
      <c r="FIX468"/>
      <c r="FIY468"/>
      <c r="FIZ468"/>
      <c r="FJA468"/>
      <c r="FJB468"/>
      <c r="FJC468"/>
      <c r="FJD468"/>
      <c r="FJE468"/>
      <c r="FJF468"/>
      <c r="FJG468"/>
      <c r="FJH468"/>
      <c r="FJI468"/>
      <c r="FJJ468"/>
      <c r="FJK468"/>
      <c r="FJL468"/>
      <c r="FJM468"/>
      <c r="FJN468"/>
      <c r="FJO468"/>
      <c r="FJP468"/>
      <c r="FJQ468"/>
      <c r="FJR468"/>
      <c r="FJS468"/>
      <c r="FJT468"/>
      <c r="FJU468"/>
      <c r="FJV468"/>
      <c r="FJW468"/>
      <c r="FJX468"/>
      <c r="FJY468"/>
      <c r="FJZ468"/>
      <c r="FKA468"/>
      <c r="FKB468"/>
      <c r="FKC468"/>
      <c r="FKD468"/>
      <c r="FKE468"/>
      <c r="FKF468"/>
      <c r="FKG468"/>
      <c r="FKH468"/>
      <c r="FKI468"/>
      <c r="FKJ468"/>
      <c r="FKK468"/>
      <c r="FKL468"/>
      <c r="FKM468"/>
      <c r="FKN468"/>
      <c r="FKO468"/>
      <c r="FKP468"/>
      <c r="FKQ468"/>
      <c r="FKR468"/>
      <c r="FKS468"/>
      <c r="FKT468"/>
      <c r="FKU468"/>
      <c r="FKV468"/>
      <c r="FKW468"/>
      <c r="FKX468"/>
      <c r="FKY468"/>
      <c r="FKZ468"/>
      <c r="FLA468"/>
      <c r="FLB468"/>
      <c r="FLC468"/>
      <c r="FLD468"/>
      <c r="FLE468"/>
      <c r="FLF468"/>
      <c r="FLG468"/>
      <c r="FLH468"/>
      <c r="FLI468"/>
      <c r="FLJ468"/>
      <c r="FLK468"/>
      <c r="FLL468"/>
      <c r="FLM468"/>
      <c r="FLN468"/>
      <c r="FLO468"/>
      <c r="FLP468"/>
      <c r="FLQ468"/>
      <c r="FLR468"/>
      <c r="FLS468"/>
      <c r="FLT468"/>
      <c r="FLU468"/>
      <c r="FLV468"/>
      <c r="FLW468"/>
      <c r="FLX468"/>
      <c r="FLY468"/>
      <c r="FLZ468"/>
      <c r="FMA468"/>
      <c r="FMB468"/>
      <c r="FMC468"/>
      <c r="FMD468"/>
      <c r="FME468"/>
      <c r="FMF468"/>
      <c r="FMG468"/>
      <c r="FMH468"/>
      <c r="FMI468"/>
      <c r="FMJ468"/>
      <c r="FMK468"/>
      <c r="FML468"/>
      <c r="FMM468"/>
      <c r="FMN468"/>
      <c r="FMO468"/>
      <c r="FMP468"/>
      <c r="FMQ468"/>
      <c r="FMR468"/>
      <c r="FMS468"/>
      <c r="FMT468"/>
      <c r="FMU468"/>
      <c r="FMV468"/>
      <c r="FMW468"/>
      <c r="FMX468"/>
      <c r="FMY468"/>
      <c r="FMZ468"/>
      <c r="FNA468"/>
      <c r="FNB468"/>
      <c r="FNC468"/>
      <c r="FND468"/>
      <c r="FNE468"/>
      <c r="FNF468"/>
      <c r="FNG468"/>
      <c r="FNH468"/>
      <c r="FNI468"/>
      <c r="FNJ468"/>
      <c r="FNK468"/>
      <c r="FNL468"/>
      <c r="FNM468"/>
      <c r="FNN468"/>
      <c r="FNO468"/>
      <c r="FNP468"/>
      <c r="FNQ468"/>
      <c r="FNR468"/>
      <c r="FNS468"/>
      <c r="FNT468"/>
      <c r="FNU468"/>
      <c r="FNV468"/>
      <c r="FNW468"/>
      <c r="FNX468"/>
      <c r="FNY468"/>
      <c r="FNZ468"/>
      <c r="FOA468"/>
      <c r="FOB468"/>
      <c r="FOC468"/>
      <c r="FOD468"/>
      <c r="FOE468"/>
      <c r="FOF468"/>
      <c r="FOG468"/>
      <c r="FOH468"/>
      <c r="FOI468"/>
      <c r="FOJ468"/>
      <c r="FOK468"/>
      <c r="FOL468"/>
      <c r="FOM468"/>
      <c r="FON468"/>
      <c r="FOO468"/>
      <c r="FOP468"/>
      <c r="FOQ468"/>
      <c r="FOR468"/>
      <c r="FOS468"/>
      <c r="FOT468"/>
      <c r="FOU468"/>
      <c r="FOV468"/>
      <c r="FOW468"/>
      <c r="FOX468"/>
      <c r="FOY468"/>
      <c r="FOZ468"/>
      <c r="FPA468"/>
      <c r="FPB468"/>
      <c r="FPC468"/>
      <c r="FPD468"/>
      <c r="FPE468"/>
      <c r="FPF468"/>
      <c r="FPG468"/>
      <c r="FPH468"/>
      <c r="FPI468"/>
      <c r="FPJ468"/>
      <c r="FPK468"/>
      <c r="FPL468"/>
      <c r="FPM468"/>
      <c r="FPN468"/>
      <c r="FPO468"/>
      <c r="FPP468"/>
      <c r="FPQ468"/>
      <c r="FPR468"/>
      <c r="FPS468"/>
      <c r="FPT468"/>
      <c r="FPU468"/>
      <c r="FPV468"/>
      <c r="FPW468"/>
      <c r="FPX468"/>
      <c r="FPY468"/>
      <c r="FPZ468"/>
      <c r="FQA468"/>
      <c r="FQB468"/>
      <c r="FQC468"/>
      <c r="FQD468"/>
      <c r="FQE468"/>
      <c r="FQF468"/>
      <c r="FQG468"/>
      <c r="FQH468"/>
      <c r="FQI468"/>
      <c r="FQJ468"/>
      <c r="FQK468"/>
      <c r="FQL468"/>
      <c r="FQM468"/>
      <c r="FQN468"/>
      <c r="FQO468"/>
      <c r="FQP468"/>
      <c r="FQQ468"/>
      <c r="FQR468"/>
      <c r="FQS468"/>
      <c r="FQT468"/>
      <c r="FQU468"/>
      <c r="FQV468"/>
      <c r="FQW468"/>
      <c r="FQX468"/>
      <c r="FQY468"/>
      <c r="FQZ468"/>
      <c r="FRA468"/>
      <c r="FRB468"/>
      <c r="FRC468"/>
      <c r="FRD468"/>
      <c r="FRE468"/>
      <c r="FRF468"/>
      <c r="FRG468"/>
      <c r="FRH468"/>
      <c r="FRI468"/>
      <c r="FRJ468"/>
      <c r="FRK468"/>
      <c r="FRL468"/>
      <c r="FRM468"/>
      <c r="FRN468"/>
      <c r="FRO468"/>
      <c r="FRP468"/>
      <c r="FRQ468"/>
      <c r="FRR468"/>
      <c r="FRS468"/>
      <c r="FRT468"/>
      <c r="FRU468"/>
      <c r="FRV468"/>
      <c r="FRW468"/>
      <c r="FRX468"/>
      <c r="FRY468"/>
      <c r="FRZ468"/>
      <c r="FSA468"/>
      <c r="FSB468"/>
      <c r="FSC468"/>
      <c r="FSD468"/>
      <c r="FSE468"/>
      <c r="FSF468"/>
      <c r="FSG468"/>
      <c r="FSH468"/>
      <c r="FSI468"/>
      <c r="FSJ468"/>
      <c r="FSK468"/>
      <c r="FSL468"/>
      <c r="FSM468"/>
      <c r="FSN468"/>
      <c r="FSO468"/>
      <c r="FSP468"/>
      <c r="FSQ468"/>
      <c r="FSR468"/>
      <c r="FSS468"/>
      <c r="FST468"/>
      <c r="FSU468"/>
      <c r="FSV468"/>
      <c r="FSW468"/>
      <c r="FSX468"/>
      <c r="FSY468"/>
      <c r="FSZ468"/>
      <c r="FTA468"/>
      <c r="FTB468"/>
      <c r="FTC468"/>
      <c r="FTD468"/>
      <c r="FTE468"/>
      <c r="FTF468"/>
      <c r="FTG468"/>
      <c r="FTH468"/>
      <c r="FTI468"/>
      <c r="FTJ468"/>
      <c r="FTK468"/>
      <c r="FTL468"/>
      <c r="FTM468"/>
      <c r="FTN468"/>
      <c r="FTO468"/>
      <c r="FTP468"/>
      <c r="FTQ468"/>
      <c r="FTR468"/>
      <c r="FTS468"/>
      <c r="FTT468"/>
      <c r="FTU468"/>
      <c r="FTV468"/>
      <c r="FTW468"/>
      <c r="FTX468"/>
      <c r="FTY468"/>
      <c r="FTZ468"/>
      <c r="FUA468"/>
      <c r="FUB468"/>
      <c r="FUC468"/>
      <c r="FUD468"/>
      <c r="FUE468"/>
      <c r="FUF468"/>
      <c r="FUG468"/>
      <c r="FUH468"/>
      <c r="FUI468"/>
      <c r="FUJ468"/>
      <c r="FUK468"/>
      <c r="FUL468"/>
      <c r="FUM468"/>
      <c r="FUN468"/>
      <c r="FUO468"/>
      <c r="FUP468"/>
      <c r="FUQ468"/>
      <c r="FUR468"/>
      <c r="FUS468"/>
      <c r="FUT468"/>
      <c r="FUU468"/>
      <c r="FUV468"/>
      <c r="FUW468"/>
      <c r="FUX468"/>
      <c r="FUY468"/>
      <c r="FUZ468"/>
      <c r="FVA468"/>
      <c r="FVB468"/>
      <c r="FVC468"/>
      <c r="FVD468"/>
      <c r="FVE468"/>
      <c r="FVF468"/>
      <c r="FVG468"/>
      <c r="FVH468"/>
      <c r="FVI468"/>
      <c r="FVJ468"/>
      <c r="FVK468"/>
      <c r="FVL468"/>
      <c r="FVM468"/>
      <c r="FVN468"/>
      <c r="FVO468"/>
      <c r="FVP468"/>
      <c r="FVQ468"/>
      <c r="FVR468"/>
      <c r="FVS468"/>
      <c r="FVT468"/>
      <c r="FVU468"/>
      <c r="FVV468"/>
      <c r="FVW468"/>
      <c r="FVX468"/>
      <c r="FVY468"/>
      <c r="FVZ468"/>
      <c r="FWA468"/>
      <c r="FWB468"/>
      <c r="FWC468"/>
      <c r="FWD468"/>
      <c r="FWE468"/>
      <c r="FWF468"/>
      <c r="FWG468"/>
      <c r="FWH468"/>
      <c r="FWI468"/>
      <c r="FWJ468"/>
      <c r="FWK468"/>
      <c r="FWL468"/>
      <c r="FWM468"/>
      <c r="FWN468"/>
      <c r="FWO468"/>
      <c r="FWP468"/>
      <c r="FWQ468"/>
      <c r="FWR468"/>
      <c r="FWS468"/>
      <c r="FWT468"/>
      <c r="FWU468"/>
      <c r="FWV468"/>
      <c r="FWW468"/>
      <c r="FWX468"/>
      <c r="FWY468"/>
      <c r="FWZ468"/>
      <c r="FXA468"/>
      <c r="FXB468"/>
      <c r="FXC468"/>
      <c r="FXD468"/>
      <c r="FXE468"/>
      <c r="FXF468"/>
      <c r="FXG468"/>
      <c r="FXH468"/>
      <c r="FXI468"/>
      <c r="FXJ468"/>
      <c r="FXK468"/>
      <c r="FXL468"/>
      <c r="FXM468"/>
      <c r="FXN468"/>
      <c r="FXO468"/>
      <c r="FXP468"/>
      <c r="FXQ468"/>
      <c r="FXR468"/>
      <c r="FXS468"/>
      <c r="FXT468"/>
      <c r="FXU468"/>
      <c r="FXV468"/>
      <c r="FXW468"/>
      <c r="FXX468"/>
      <c r="FXY468"/>
      <c r="FXZ468"/>
      <c r="FYA468"/>
      <c r="FYB468"/>
      <c r="FYC468"/>
      <c r="FYD468"/>
      <c r="FYE468"/>
      <c r="FYF468"/>
      <c r="FYG468"/>
      <c r="FYH468"/>
      <c r="FYI468"/>
      <c r="FYJ468"/>
      <c r="FYK468"/>
      <c r="FYL468"/>
      <c r="FYM468"/>
      <c r="FYN468"/>
      <c r="FYO468"/>
      <c r="FYP468"/>
      <c r="FYQ468"/>
      <c r="FYR468"/>
      <c r="FYS468"/>
      <c r="FYT468"/>
      <c r="FYU468"/>
      <c r="FYV468"/>
      <c r="FYW468"/>
      <c r="FYX468"/>
      <c r="FYY468"/>
      <c r="FYZ468"/>
      <c r="FZA468"/>
      <c r="FZB468"/>
      <c r="FZC468"/>
      <c r="FZD468"/>
      <c r="FZE468"/>
      <c r="FZF468"/>
      <c r="FZG468"/>
      <c r="FZH468"/>
      <c r="FZI468"/>
      <c r="FZJ468"/>
      <c r="FZK468"/>
      <c r="FZL468"/>
      <c r="FZM468"/>
      <c r="FZN468"/>
      <c r="FZO468"/>
      <c r="FZP468"/>
      <c r="FZQ468"/>
      <c r="FZR468"/>
      <c r="FZS468"/>
      <c r="FZT468"/>
      <c r="FZU468"/>
      <c r="FZV468"/>
      <c r="FZW468"/>
      <c r="FZX468"/>
      <c r="FZY468"/>
      <c r="FZZ468"/>
      <c r="GAA468"/>
      <c r="GAB468"/>
      <c r="GAC468"/>
      <c r="GAD468"/>
      <c r="GAE468"/>
      <c r="GAF468"/>
      <c r="GAG468"/>
      <c r="GAH468"/>
      <c r="GAI468"/>
      <c r="GAJ468"/>
      <c r="GAK468"/>
      <c r="GAL468"/>
      <c r="GAM468"/>
      <c r="GAN468"/>
      <c r="GAO468"/>
      <c r="GAP468"/>
      <c r="GAQ468"/>
      <c r="GAR468"/>
      <c r="GAS468"/>
      <c r="GAT468"/>
      <c r="GAU468"/>
      <c r="GAV468"/>
      <c r="GAW468"/>
      <c r="GAX468"/>
      <c r="GAY468"/>
      <c r="GAZ468"/>
      <c r="GBA468"/>
      <c r="GBB468"/>
      <c r="GBC468"/>
      <c r="GBD468"/>
      <c r="GBE468"/>
      <c r="GBF468"/>
      <c r="GBG468"/>
      <c r="GBH468"/>
      <c r="GBI468"/>
      <c r="GBJ468"/>
      <c r="GBK468"/>
      <c r="GBL468"/>
      <c r="GBM468"/>
      <c r="GBN468"/>
      <c r="GBO468"/>
      <c r="GBP468"/>
      <c r="GBQ468"/>
      <c r="GBR468"/>
      <c r="GBS468"/>
      <c r="GBT468"/>
      <c r="GBU468"/>
      <c r="GBV468"/>
      <c r="GBW468"/>
      <c r="GBX468"/>
      <c r="GBY468"/>
      <c r="GBZ468"/>
      <c r="GCA468"/>
      <c r="GCB468"/>
      <c r="GCC468"/>
      <c r="GCD468"/>
      <c r="GCE468"/>
      <c r="GCF468"/>
      <c r="GCG468"/>
      <c r="GCH468"/>
      <c r="GCI468"/>
      <c r="GCJ468"/>
      <c r="GCK468"/>
      <c r="GCL468"/>
      <c r="GCM468"/>
      <c r="GCN468"/>
      <c r="GCO468"/>
      <c r="GCP468"/>
      <c r="GCQ468"/>
      <c r="GCR468"/>
      <c r="GCS468"/>
      <c r="GCT468"/>
      <c r="GCU468"/>
      <c r="GCV468"/>
      <c r="GCW468"/>
      <c r="GCX468"/>
      <c r="GCY468"/>
      <c r="GCZ468"/>
      <c r="GDA468"/>
      <c r="GDB468"/>
      <c r="GDC468"/>
      <c r="GDD468"/>
      <c r="GDE468"/>
      <c r="GDF468"/>
      <c r="GDG468"/>
      <c r="GDH468"/>
      <c r="GDI468"/>
      <c r="GDJ468"/>
      <c r="GDK468"/>
      <c r="GDL468"/>
      <c r="GDM468"/>
      <c r="GDN468"/>
      <c r="GDO468"/>
      <c r="GDP468"/>
      <c r="GDQ468"/>
      <c r="GDR468"/>
      <c r="GDS468"/>
      <c r="GDT468"/>
      <c r="GDU468"/>
      <c r="GDV468"/>
      <c r="GDW468"/>
      <c r="GDX468"/>
      <c r="GDY468"/>
      <c r="GDZ468"/>
      <c r="GEA468"/>
      <c r="GEB468"/>
      <c r="GEC468"/>
      <c r="GED468"/>
      <c r="GEE468"/>
      <c r="GEF468"/>
      <c r="GEG468"/>
      <c r="GEH468"/>
      <c r="GEI468"/>
      <c r="GEJ468"/>
      <c r="GEK468"/>
      <c r="GEL468"/>
      <c r="GEM468"/>
      <c r="GEN468"/>
      <c r="GEO468"/>
      <c r="GEP468"/>
      <c r="GEQ468"/>
      <c r="GER468"/>
      <c r="GES468"/>
      <c r="GET468"/>
      <c r="GEU468"/>
      <c r="GEV468"/>
      <c r="GEW468"/>
      <c r="GEX468"/>
      <c r="GEY468"/>
      <c r="GEZ468"/>
      <c r="GFA468"/>
      <c r="GFB468"/>
      <c r="GFC468"/>
      <c r="GFD468"/>
      <c r="GFE468"/>
      <c r="GFF468"/>
      <c r="GFG468"/>
      <c r="GFH468"/>
      <c r="GFI468"/>
      <c r="GFJ468"/>
      <c r="GFK468"/>
      <c r="GFL468"/>
      <c r="GFM468"/>
      <c r="GFN468"/>
      <c r="GFO468"/>
      <c r="GFP468"/>
      <c r="GFQ468"/>
      <c r="GFR468"/>
      <c r="GFS468"/>
      <c r="GFT468"/>
      <c r="GFU468"/>
      <c r="GFV468"/>
      <c r="GFW468"/>
      <c r="GFX468"/>
      <c r="GFY468"/>
      <c r="GFZ468"/>
      <c r="GGA468"/>
      <c r="GGB468"/>
      <c r="GGC468"/>
      <c r="GGD468"/>
      <c r="GGE468"/>
      <c r="GGF468"/>
      <c r="GGG468"/>
      <c r="GGH468"/>
      <c r="GGI468"/>
      <c r="GGJ468"/>
      <c r="GGK468"/>
      <c r="GGL468"/>
      <c r="GGM468"/>
      <c r="GGN468"/>
      <c r="GGO468"/>
      <c r="GGP468"/>
      <c r="GGQ468"/>
      <c r="GGR468"/>
      <c r="GGS468"/>
      <c r="GGT468"/>
      <c r="GGU468"/>
      <c r="GGV468"/>
      <c r="GGW468"/>
      <c r="GGX468"/>
      <c r="GGY468"/>
      <c r="GGZ468"/>
      <c r="GHA468"/>
      <c r="GHB468"/>
      <c r="GHC468"/>
      <c r="GHD468"/>
      <c r="GHE468"/>
      <c r="GHF468"/>
      <c r="GHG468"/>
      <c r="GHH468"/>
      <c r="GHI468"/>
      <c r="GHJ468"/>
      <c r="GHK468"/>
      <c r="GHL468"/>
      <c r="GHM468"/>
      <c r="GHN468"/>
      <c r="GHO468"/>
      <c r="GHP468"/>
      <c r="GHQ468"/>
      <c r="GHR468"/>
      <c r="GHS468"/>
      <c r="GHT468"/>
      <c r="GHU468"/>
      <c r="GHV468"/>
      <c r="GHW468"/>
      <c r="GHX468"/>
      <c r="GHY468"/>
      <c r="GHZ468"/>
      <c r="GIA468"/>
      <c r="GIB468"/>
      <c r="GIC468"/>
      <c r="GID468"/>
      <c r="GIE468"/>
      <c r="GIF468"/>
      <c r="GIG468"/>
      <c r="GIH468"/>
      <c r="GII468"/>
      <c r="GIJ468"/>
      <c r="GIK468"/>
      <c r="GIL468"/>
      <c r="GIM468"/>
      <c r="GIN468"/>
      <c r="GIO468"/>
      <c r="GIP468"/>
      <c r="GIQ468"/>
      <c r="GIR468"/>
      <c r="GIS468"/>
      <c r="GIT468"/>
      <c r="GIU468"/>
      <c r="GIV468"/>
      <c r="GIW468"/>
      <c r="GIX468"/>
      <c r="GIY468"/>
      <c r="GIZ468"/>
      <c r="GJA468"/>
      <c r="GJB468"/>
      <c r="GJC468"/>
      <c r="GJD468"/>
      <c r="GJE468"/>
      <c r="GJF468"/>
      <c r="GJG468"/>
      <c r="GJH468"/>
      <c r="GJI468"/>
      <c r="GJJ468"/>
      <c r="GJK468"/>
      <c r="GJL468"/>
      <c r="GJM468"/>
      <c r="GJN468"/>
      <c r="GJO468"/>
      <c r="GJP468"/>
      <c r="GJQ468"/>
      <c r="GJR468"/>
      <c r="GJS468"/>
      <c r="GJT468"/>
      <c r="GJU468"/>
      <c r="GJV468"/>
      <c r="GJW468"/>
      <c r="GJX468"/>
      <c r="GJY468"/>
      <c r="GJZ468"/>
      <c r="GKA468"/>
      <c r="GKB468"/>
      <c r="GKC468"/>
      <c r="GKD468"/>
      <c r="GKE468"/>
      <c r="GKF468"/>
      <c r="GKG468"/>
      <c r="GKH468"/>
      <c r="GKI468"/>
      <c r="GKJ468"/>
      <c r="GKK468"/>
      <c r="GKL468"/>
      <c r="GKM468"/>
      <c r="GKN468"/>
      <c r="GKO468"/>
      <c r="GKP468"/>
      <c r="GKQ468"/>
      <c r="GKR468"/>
      <c r="GKS468"/>
      <c r="GKT468"/>
      <c r="GKU468"/>
      <c r="GKV468"/>
      <c r="GKW468"/>
      <c r="GKX468"/>
      <c r="GKY468"/>
      <c r="GKZ468"/>
      <c r="GLA468"/>
      <c r="GLB468"/>
      <c r="GLC468"/>
      <c r="GLD468"/>
      <c r="GLE468"/>
      <c r="GLF468"/>
      <c r="GLG468"/>
      <c r="GLH468"/>
      <c r="GLI468"/>
      <c r="GLJ468"/>
      <c r="GLK468"/>
      <c r="GLL468"/>
      <c r="GLM468"/>
      <c r="GLN468"/>
      <c r="GLO468"/>
      <c r="GLP468"/>
      <c r="GLQ468"/>
      <c r="GLR468"/>
      <c r="GLS468"/>
      <c r="GLT468"/>
      <c r="GLU468"/>
      <c r="GLV468"/>
      <c r="GLW468"/>
      <c r="GLX468"/>
      <c r="GLY468"/>
      <c r="GLZ468"/>
      <c r="GMA468"/>
      <c r="GMB468"/>
      <c r="GMC468"/>
      <c r="GMD468"/>
      <c r="GME468"/>
      <c r="GMF468"/>
      <c r="GMG468"/>
      <c r="GMH468"/>
      <c r="GMI468"/>
      <c r="GMJ468"/>
      <c r="GMK468"/>
      <c r="GML468"/>
      <c r="GMM468"/>
      <c r="GMN468"/>
      <c r="GMO468"/>
      <c r="GMP468"/>
      <c r="GMQ468"/>
      <c r="GMR468"/>
      <c r="GMS468"/>
      <c r="GMT468"/>
      <c r="GMU468"/>
      <c r="GMV468"/>
      <c r="GMW468"/>
      <c r="GMX468"/>
      <c r="GMY468"/>
      <c r="GMZ468"/>
      <c r="GNA468"/>
      <c r="GNB468"/>
      <c r="GNC468"/>
      <c r="GND468"/>
      <c r="GNE468"/>
      <c r="GNF468"/>
      <c r="GNG468"/>
      <c r="GNH468"/>
      <c r="GNI468"/>
      <c r="GNJ468"/>
      <c r="GNK468"/>
      <c r="GNL468"/>
      <c r="GNM468"/>
      <c r="GNN468"/>
      <c r="GNO468"/>
      <c r="GNP468"/>
      <c r="GNQ468"/>
      <c r="GNR468"/>
      <c r="GNS468"/>
      <c r="GNT468"/>
      <c r="GNU468"/>
      <c r="GNV468"/>
      <c r="GNW468"/>
      <c r="GNX468"/>
      <c r="GNY468"/>
      <c r="GNZ468"/>
      <c r="GOA468"/>
      <c r="GOB468"/>
      <c r="GOC468"/>
      <c r="GOD468"/>
      <c r="GOE468"/>
      <c r="GOF468"/>
      <c r="GOG468"/>
      <c r="GOH468"/>
      <c r="GOI468"/>
      <c r="GOJ468"/>
      <c r="GOK468"/>
      <c r="GOL468"/>
      <c r="GOM468"/>
      <c r="GON468"/>
      <c r="GOO468"/>
      <c r="GOP468"/>
      <c r="GOQ468"/>
      <c r="GOR468"/>
      <c r="GOS468"/>
      <c r="GOT468"/>
      <c r="GOU468"/>
      <c r="GOV468"/>
      <c r="GOW468"/>
      <c r="GOX468"/>
      <c r="GOY468"/>
      <c r="GOZ468"/>
      <c r="GPA468"/>
      <c r="GPB468"/>
      <c r="GPC468"/>
      <c r="GPD468"/>
      <c r="GPE468"/>
      <c r="GPF468"/>
      <c r="GPG468"/>
      <c r="GPH468"/>
      <c r="GPI468"/>
      <c r="GPJ468"/>
      <c r="GPK468"/>
      <c r="GPL468"/>
      <c r="GPM468"/>
      <c r="GPN468"/>
      <c r="GPO468"/>
      <c r="GPP468"/>
      <c r="GPQ468"/>
      <c r="GPR468"/>
      <c r="GPS468"/>
      <c r="GPT468"/>
      <c r="GPU468"/>
      <c r="GPV468"/>
      <c r="GPW468"/>
      <c r="GPX468"/>
      <c r="GPY468"/>
      <c r="GPZ468"/>
      <c r="GQA468"/>
      <c r="GQB468"/>
      <c r="GQC468"/>
      <c r="GQD468"/>
      <c r="GQE468"/>
      <c r="GQF468"/>
      <c r="GQG468"/>
      <c r="GQH468"/>
      <c r="GQI468"/>
      <c r="GQJ468"/>
      <c r="GQK468"/>
      <c r="GQL468"/>
      <c r="GQM468"/>
      <c r="GQN468"/>
      <c r="GQO468"/>
      <c r="GQP468"/>
      <c r="GQQ468"/>
      <c r="GQR468"/>
      <c r="GQS468"/>
      <c r="GQT468"/>
      <c r="GQU468"/>
      <c r="GQV468"/>
      <c r="GQW468"/>
      <c r="GQX468"/>
      <c r="GQY468"/>
      <c r="GQZ468"/>
      <c r="GRA468"/>
      <c r="GRB468"/>
      <c r="GRC468"/>
      <c r="GRD468"/>
      <c r="GRE468"/>
      <c r="GRF468"/>
      <c r="GRG468"/>
      <c r="GRH468"/>
      <c r="GRI468"/>
      <c r="GRJ468"/>
      <c r="GRK468"/>
      <c r="GRL468"/>
      <c r="GRM468"/>
      <c r="GRN468"/>
      <c r="GRO468"/>
      <c r="GRP468"/>
      <c r="GRQ468"/>
      <c r="GRR468"/>
      <c r="GRS468"/>
      <c r="GRT468"/>
      <c r="GRU468"/>
      <c r="GRV468"/>
      <c r="GRW468"/>
      <c r="GRX468"/>
      <c r="GRY468"/>
      <c r="GRZ468"/>
      <c r="GSA468"/>
      <c r="GSB468"/>
      <c r="GSC468"/>
      <c r="GSD468"/>
      <c r="GSE468"/>
      <c r="GSF468"/>
      <c r="GSG468"/>
      <c r="GSH468"/>
      <c r="GSI468"/>
      <c r="GSJ468"/>
      <c r="GSK468"/>
      <c r="GSL468"/>
      <c r="GSM468"/>
      <c r="GSN468"/>
      <c r="GSO468"/>
      <c r="GSP468"/>
      <c r="GSQ468"/>
      <c r="GSR468"/>
      <c r="GSS468"/>
      <c r="GST468"/>
      <c r="GSU468"/>
      <c r="GSV468"/>
      <c r="GSW468"/>
      <c r="GSX468"/>
      <c r="GSY468"/>
      <c r="GSZ468"/>
      <c r="GTA468"/>
      <c r="GTB468"/>
      <c r="GTC468"/>
      <c r="GTD468"/>
      <c r="GTE468"/>
      <c r="GTF468"/>
      <c r="GTG468"/>
      <c r="GTH468"/>
      <c r="GTI468"/>
      <c r="GTJ468"/>
      <c r="GTK468"/>
      <c r="GTL468"/>
      <c r="GTM468"/>
      <c r="GTN468"/>
      <c r="GTO468"/>
      <c r="GTP468"/>
      <c r="GTQ468"/>
      <c r="GTR468"/>
      <c r="GTS468"/>
      <c r="GTT468"/>
      <c r="GTU468"/>
      <c r="GTV468"/>
      <c r="GTW468"/>
      <c r="GTX468"/>
      <c r="GTY468"/>
      <c r="GTZ468"/>
      <c r="GUA468"/>
      <c r="GUB468"/>
      <c r="GUC468"/>
      <c r="GUD468"/>
      <c r="GUE468"/>
      <c r="GUF468"/>
      <c r="GUG468"/>
      <c r="GUH468"/>
      <c r="GUI468"/>
      <c r="GUJ468"/>
      <c r="GUK468"/>
      <c r="GUL468"/>
      <c r="GUM468"/>
      <c r="GUN468"/>
      <c r="GUO468"/>
      <c r="GUP468"/>
      <c r="GUQ468"/>
      <c r="GUR468"/>
      <c r="GUS468"/>
      <c r="GUT468"/>
      <c r="GUU468"/>
      <c r="GUV468"/>
      <c r="GUW468"/>
      <c r="GUX468"/>
      <c r="GUY468"/>
      <c r="GUZ468"/>
      <c r="GVA468"/>
      <c r="GVB468"/>
      <c r="GVC468"/>
      <c r="GVD468"/>
      <c r="GVE468"/>
      <c r="GVF468"/>
      <c r="GVG468"/>
      <c r="GVH468"/>
      <c r="GVI468"/>
      <c r="GVJ468"/>
      <c r="GVK468"/>
      <c r="GVL468"/>
      <c r="GVM468"/>
      <c r="GVN468"/>
      <c r="GVO468"/>
      <c r="GVP468"/>
      <c r="GVQ468"/>
      <c r="GVR468"/>
      <c r="GVS468"/>
      <c r="GVT468"/>
      <c r="GVU468"/>
      <c r="GVV468"/>
      <c r="GVW468"/>
      <c r="GVX468"/>
      <c r="GVY468"/>
      <c r="GVZ468"/>
      <c r="GWA468"/>
      <c r="GWB468"/>
      <c r="GWC468"/>
      <c r="GWD468"/>
      <c r="GWE468"/>
      <c r="GWF468"/>
      <c r="GWG468"/>
      <c r="GWH468"/>
      <c r="GWI468"/>
      <c r="GWJ468"/>
      <c r="GWK468"/>
      <c r="GWL468"/>
      <c r="GWM468"/>
      <c r="GWN468"/>
      <c r="GWO468"/>
      <c r="GWP468"/>
      <c r="GWQ468"/>
      <c r="GWR468"/>
      <c r="GWS468"/>
      <c r="GWT468"/>
      <c r="GWU468"/>
      <c r="GWV468"/>
      <c r="GWW468"/>
      <c r="GWX468"/>
      <c r="GWY468"/>
      <c r="GWZ468"/>
      <c r="GXA468"/>
      <c r="GXB468"/>
      <c r="GXC468"/>
      <c r="GXD468"/>
      <c r="GXE468"/>
      <c r="GXF468"/>
      <c r="GXG468"/>
      <c r="GXH468"/>
      <c r="GXI468"/>
      <c r="GXJ468"/>
      <c r="GXK468"/>
      <c r="GXL468"/>
      <c r="GXM468"/>
      <c r="GXN468"/>
      <c r="GXO468"/>
      <c r="GXP468"/>
      <c r="GXQ468"/>
      <c r="GXR468"/>
      <c r="GXS468"/>
      <c r="GXT468"/>
      <c r="GXU468"/>
      <c r="GXV468"/>
      <c r="GXW468"/>
      <c r="GXX468"/>
      <c r="GXY468"/>
      <c r="GXZ468"/>
      <c r="GYA468"/>
      <c r="GYB468"/>
      <c r="GYC468"/>
      <c r="GYD468"/>
      <c r="GYE468"/>
      <c r="GYF468"/>
      <c r="GYG468"/>
      <c r="GYH468"/>
      <c r="GYI468"/>
      <c r="GYJ468"/>
      <c r="GYK468"/>
      <c r="GYL468"/>
      <c r="GYM468"/>
      <c r="GYN468"/>
      <c r="GYO468"/>
      <c r="GYP468"/>
      <c r="GYQ468"/>
      <c r="GYR468"/>
      <c r="GYS468"/>
      <c r="GYT468"/>
      <c r="GYU468"/>
      <c r="GYV468"/>
      <c r="GYW468"/>
      <c r="GYX468"/>
      <c r="GYY468"/>
      <c r="GYZ468"/>
      <c r="GZA468"/>
      <c r="GZB468"/>
      <c r="GZC468"/>
      <c r="GZD468"/>
      <c r="GZE468"/>
      <c r="GZF468"/>
      <c r="GZG468"/>
      <c r="GZH468"/>
      <c r="GZI468"/>
      <c r="GZJ468"/>
      <c r="GZK468"/>
      <c r="GZL468"/>
      <c r="GZM468"/>
      <c r="GZN468"/>
      <c r="GZO468"/>
      <c r="GZP468"/>
      <c r="GZQ468"/>
      <c r="GZR468"/>
      <c r="GZS468"/>
      <c r="GZT468"/>
      <c r="GZU468"/>
      <c r="GZV468"/>
      <c r="GZW468"/>
      <c r="GZX468"/>
      <c r="GZY468"/>
      <c r="GZZ468"/>
      <c r="HAA468"/>
      <c r="HAB468"/>
      <c r="HAC468"/>
      <c r="HAD468"/>
      <c r="HAE468"/>
      <c r="HAF468"/>
      <c r="HAG468"/>
      <c r="HAH468"/>
      <c r="HAI468"/>
      <c r="HAJ468"/>
      <c r="HAK468"/>
      <c r="HAL468"/>
      <c r="HAM468"/>
      <c r="HAN468"/>
      <c r="HAO468"/>
      <c r="HAP468"/>
      <c r="HAQ468"/>
      <c r="HAR468"/>
      <c r="HAS468"/>
      <c r="HAT468"/>
      <c r="HAU468"/>
      <c r="HAV468"/>
      <c r="HAW468"/>
      <c r="HAX468"/>
      <c r="HAY468"/>
      <c r="HAZ468"/>
      <c r="HBA468"/>
      <c r="HBB468"/>
      <c r="HBC468"/>
      <c r="HBD468"/>
      <c r="HBE468"/>
      <c r="HBF468"/>
      <c r="HBG468"/>
      <c r="HBH468"/>
      <c r="HBI468"/>
      <c r="HBJ468"/>
      <c r="HBK468"/>
      <c r="HBL468"/>
      <c r="HBM468"/>
      <c r="HBN468"/>
      <c r="HBO468"/>
      <c r="HBP468"/>
      <c r="HBQ468"/>
      <c r="HBR468"/>
      <c r="HBS468"/>
      <c r="HBT468"/>
      <c r="HBU468"/>
      <c r="HBV468"/>
      <c r="HBW468"/>
      <c r="HBX468"/>
      <c r="HBY468"/>
      <c r="HBZ468"/>
      <c r="HCA468"/>
      <c r="HCB468"/>
      <c r="HCC468"/>
      <c r="HCD468"/>
      <c r="HCE468"/>
      <c r="HCF468"/>
      <c r="HCG468"/>
      <c r="HCH468"/>
      <c r="HCI468"/>
      <c r="HCJ468"/>
      <c r="HCK468"/>
      <c r="HCL468"/>
      <c r="HCM468"/>
      <c r="HCN468"/>
      <c r="HCO468"/>
      <c r="HCP468"/>
      <c r="HCQ468"/>
      <c r="HCR468"/>
      <c r="HCS468"/>
      <c r="HCT468"/>
      <c r="HCU468"/>
      <c r="HCV468"/>
      <c r="HCW468"/>
      <c r="HCX468"/>
      <c r="HCY468"/>
      <c r="HCZ468"/>
      <c r="HDA468"/>
      <c r="HDB468"/>
      <c r="HDC468"/>
      <c r="HDD468"/>
      <c r="HDE468"/>
      <c r="HDF468"/>
      <c r="HDG468"/>
      <c r="HDH468"/>
      <c r="HDI468"/>
      <c r="HDJ468"/>
      <c r="HDK468"/>
      <c r="HDL468"/>
      <c r="HDM468"/>
      <c r="HDN468"/>
      <c r="HDO468"/>
      <c r="HDP468"/>
      <c r="HDQ468"/>
      <c r="HDR468"/>
      <c r="HDS468"/>
      <c r="HDT468"/>
      <c r="HDU468"/>
      <c r="HDV468"/>
      <c r="HDW468"/>
      <c r="HDX468"/>
      <c r="HDY468"/>
      <c r="HDZ468"/>
      <c r="HEA468"/>
      <c r="HEB468"/>
      <c r="HEC468"/>
      <c r="HED468"/>
      <c r="HEE468"/>
      <c r="HEF468"/>
      <c r="HEG468"/>
      <c r="HEH468"/>
      <c r="HEI468"/>
      <c r="HEJ468"/>
      <c r="HEK468"/>
      <c r="HEL468"/>
      <c r="HEM468"/>
      <c r="HEN468"/>
      <c r="HEO468"/>
      <c r="HEP468"/>
      <c r="HEQ468"/>
      <c r="HER468"/>
      <c r="HES468"/>
      <c r="HET468"/>
      <c r="HEU468"/>
      <c r="HEV468"/>
      <c r="HEW468"/>
      <c r="HEX468"/>
      <c r="HEY468"/>
      <c r="HEZ468"/>
      <c r="HFA468"/>
      <c r="HFB468"/>
      <c r="HFC468"/>
      <c r="HFD468"/>
      <c r="HFE468"/>
      <c r="HFF468"/>
      <c r="HFG468"/>
      <c r="HFH468"/>
      <c r="HFI468"/>
      <c r="HFJ468"/>
      <c r="HFK468"/>
      <c r="HFL468"/>
      <c r="HFM468"/>
      <c r="HFN468"/>
      <c r="HFO468"/>
      <c r="HFP468"/>
      <c r="HFQ468"/>
      <c r="HFR468"/>
      <c r="HFS468"/>
      <c r="HFT468"/>
      <c r="HFU468"/>
      <c r="HFV468"/>
      <c r="HFW468"/>
      <c r="HFX468"/>
      <c r="HFY468"/>
      <c r="HFZ468"/>
      <c r="HGA468"/>
      <c r="HGB468"/>
      <c r="HGC468"/>
      <c r="HGD468"/>
      <c r="HGE468"/>
      <c r="HGF468"/>
      <c r="HGG468"/>
      <c r="HGH468"/>
      <c r="HGI468"/>
      <c r="HGJ468"/>
      <c r="HGK468"/>
      <c r="HGL468"/>
      <c r="HGM468"/>
      <c r="HGN468"/>
      <c r="HGO468"/>
      <c r="HGP468"/>
      <c r="HGQ468"/>
      <c r="HGR468"/>
      <c r="HGS468"/>
      <c r="HGT468"/>
      <c r="HGU468"/>
      <c r="HGV468"/>
      <c r="HGW468"/>
      <c r="HGX468"/>
      <c r="HGY468"/>
      <c r="HGZ468"/>
      <c r="HHA468"/>
      <c r="HHB468"/>
      <c r="HHC468"/>
      <c r="HHD468"/>
      <c r="HHE468"/>
      <c r="HHF468"/>
      <c r="HHG468"/>
      <c r="HHH468"/>
      <c r="HHI468"/>
      <c r="HHJ468"/>
      <c r="HHK468"/>
      <c r="HHL468"/>
      <c r="HHM468"/>
      <c r="HHN468"/>
      <c r="HHO468"/>
      <c r="HHP468"/>
      <c r="HHQ468"/>
      <c r="HHR468"/>
      <c r="HHS468"/>
      <c r="HHT468"/>
      <c r="HHU468"/>
      <c r="HHV468"/>
      <c r="HHW468"/>
      <c r="HHX468"/>
      <c r="HHY468"/>
      <c r="HHZ468"/>
      <c r="HIA468"/>
      <c r="HIB468"/>
      <c r="HIC468"/>
      <c r="HID468"/>
      <c r="HIE468"/>
      <c r="HIF468"/>
      <c r="HIG468"/>
      <c r="HIH468"/>
      <c r="HII468"/>
      <c r="HIJ468"/>
      <c r="HIK468"/>
      <c r="HIL468"/>
      <c r="HIM468"/>
      <c r="HIN468"/>
      <c r="HIO468"/>
      <c r="HIP468"/>
      <c r="HIQ468"/>
      <c r="HIR468"/>
      <c r="HIS468"/>
      <c r="HIT468"/>
      <c r="HIU468"/>
      <c r="HIV468"/>
      <c r="HIW468"/>
      <c r="HIX468"/>
      <c r="HIY468"/>
      <c r="HIZ468"/>
      <c r="HJA468"/>
      <c r="HJB468"/>
      <c r="HJC468"/>
      <c r="HJD468"/>
      <c r="HJE468"/>
      <c r="HJF468"/>
      <c r="HJG468"/>
      <c r="HJH468"/>
      <c r="HJI468"/>
      <c r="HJJ468"/>
      <c r="HJK468"/>
      <c r="HJL468"/>
      <c r="HJM468"/>
      <c r="HJN468"/>
      <c r="HJO468"/>
      <c r="HJP468"/>
      <c r="HJQ468"/>
      <c r="HJR468"/>
      <c r="HJS468"/>
      <c r="HJT468"/>
      <c r="HJU468"/>
      <c r="HJV468"/>
      <c r="HJW468"/>
      <c r="HJX468"/>
      <c r="HJY468"/>
      <c r="HJZ468"/>
      <c r="HKA468"/>
      <c r="HKB468"/>
      <c r="HKC468"/>
      <c r="HKD468"/>
      <c r="HKE468"/>
      <c r="HKF468"/>
      <c r="HKG468"/>
      <c r="HKH468"/>
      <c r="HKI468"/>
      <c r="HKJ468"/>
      <c r="HKK468"/>
      <c r="HKL468"/>
      <c r="HKM468"/>
      <c r="HKN468"/>
      <c r="HKO468"/>
      <c r="HKP468"/>
      <c r="HKQ468"/>
      <c r="HKR468"/>
      <c r="HKS468"/>
      <c r="HKT468"/>
      <c r="HKU468"/>
      <c r="HKV468"/>
      <c r="HKW468"/>
      <c r="HKX468"/>
      <c r="HKY468"/>
      <c r="HKZ468"/>
      <c r="HLA468"/>
      <c r="HLB468"/>
      <c r="HLC468"/>
      <c r="HLD468"/>
      <c r="HLE468"/>
      <c r="HLF468"/>
      <c r="HLG468"/>
      <c r="HLH468"/>
      <c r="HLI468"/>
      <c r="HLJ468"/>
      <c r="HLK468"/>
      <c r="HLL468"/>
      <c r="HLM468"/>
      <c r="HLN468"/>
      <c r="HLO468"/>
      <c r="HLP468"/>
      <c r="HLQ468"/>
      <c r="HLR468"/>
      <c r="HLS468"/>
      <c r="HLT468"/>
      <c r="HLU468"/>
      <c r="HLV468"/>
      <c r="HLW468"/>
      <c r="HLX468"/>
      <c r="HLY468"/>
      <c r="HLZ468"/>
      <c r="HMA468"/>
      <c r="HMB468"/>
      <c r="HMC468"/>
      <c r="HMD468"/>
      <c r="HME468"/>
      <c r="HMF468"/>
      <c r="HMG468"/>
      <c r="HMH468"/>
      <c r="HMI468"/>
      <c r="HMJ468"/>
      <c r="HMK468"/>
      <c r="HML468"/>
      <c r="HMM468"/>
      <c r="HMN468"/>
      <c r="HMO468"/>
      <c r="HMP468"/>
      <c r="HMQ468"/>
      <c r="HMR468"/>
      <c r="HMS468"/>
      <c r="HMT468"/>
      <c r="HMU468"/>
      <c r="HMV468"/>
      <c r="HMW468"/>
      <c r="HMX468"/>
      <c r="HMY468"/>
      <c r="HMZ468"/>
      <c r="HNA468"/>
      <c r="HNB468"/>
      <c r="HNC468"/>
      <c r="HND468"/>
      <c r="HNE468"/>
      <c r="HNF468"/>
      <c r="HNG468"/>
      <c r="HNH468"/>
      <c r="HNI468"/>
      <c r="HNJ468"/>
      <c r="HNK468"/>
      <c r="HNL468"/>
      <c r="HNM468"/>
      <c r="HNN468"/>
      <c r="HNO468"/>
      <c r="HNP468"/>
      <c r="HNQ468"/>
      <c r="HNR468"/>
      <c r="HNS468"/>
      <c r="HNT468"/>
      <c r="HNU468"/>
      <c r="HNV468"/>
      <c r="HNW468"/>
      <c r="HNX468"/>
      <c r="HNY468"/>
      <c r="HNZ468"/>
      <c r="HOA468"/>
      <c r="HOB468"/>
      <c r="HOC468"/>
      <c r="HOD468"/>
      <c r="HOE468"/>
      <c r="HOF468"/>
      <c r="HOG468"/>
      <c r="HOH468"/>
      <c r="HOI468"/>
      <c r="HOJ468"/>
      <c r="HOK468"/>
      <c r="HOL468"/>
      <c r="HOM468"/>
      <c r="HON468"/>
      <c r="HOO468"/>
      <c r="HOP468"/>
      <c r="HOQ468"/>
      <c r="HOR468"/>
      <c r="HOS468"/>
      <c r="HOT468"/>
      <c r="HOU468"/>
      <c r="HOV468"/>
      <c r="HOW468"/>
      <c r="HOX468"/>
      <c r="HOY468"/>
      <c r="HOZ468"/>
      <c r="HPA468"/>
      <c r="HPB468"/>
      <c r="HPC468"/>
      <c r="HPD468"/>
      <c r="HPE468"/>
      <c r="HPF468"/>
      <c r="HPG468"/>
      <c r="HPH468"/>
      <c r="HPI468"/>
      <c r="HPJ468"/>
      <c r="HPK468"/>
      <c r="HPL468"/>
      <c r="HPM468"/>
      <c r="HPN468"/>
      <c r="HPO468"/>
      <c r="HPP468"/>
      <c r="HPQ468"/>
      <c r="HPR468"/>
      <c r="HPS468"/>
      <c r="HPT468"/>
      <c r="HPU468"/>
      <c r="HPV468"/>
      <c r="HPW468"/>
      <c r="HPX468"/>
      <c r="HPY468"/>
      <c r="HPZ468"/>
      <c r="HQA468"/>
      <c r="HQB468"/>
      <c r="HQC468"/>
      <c r="HQD468"/>
      <c r="HQE468"/>
      <c r="HQF468"/>
      <c r="HQG468"/>
      <c r="HQH468"/>
      <c r="HQI468"/>
      <c r="HQJ468"/>
      <c r="HQK468"/>
      <c r="HQL468"/>
      <c r="HQM468"/>
      <c r="HQN468"/>
      <c r="HQO468"/>
      <c r="HQP468"/>
      <c r="HQQ468"/>
      <c r="HQR468"/>
      <c r="HQS468"/>
      <c r="HQT468"/>
      <c r="HQU468"/>
      <c r="HQV468"/>
      <c r="HQW468"/>
      <c r="HQX468"/>
      <c r="HQY468"/>
      <c r="HQZ468"/>
      <c r="HRA468"/>
      <c r="HRB468"/>
      <c r="HRC468"/>
      <c r="HRD468"/>
      <c r="HRE468"/>
      <c r="HRF468"/>
      <c r="HRG468"/>
      <c r="HRH468"/>
      <c r="HRI468"/>
      <c r="HRJ468"/>
      <c r="HRK468"/>
      <c r="HRL468"/>
      <c r="HRM468"/>
      <c r="HRN468"/>
      <c r="HRO468"/>
      <c r="HRP468"/>
      <c r="HRQ468"/>
      <c r="HRR468"/>
      <c r="HRS468"/>
      <c r="HRT468"/>
      <c r="HRU468"/>
      <c r="HRV468"/>
      <c r="HRW468"/>
      <c r="HRX468"/>
      <c r="HRY468"/>
      <c r="HRZ468"/>
      <c r="HSA468"/>
      <c r="HSB468"/>
      <c r="HSC468"/>
      <c r="HSD468"/>
      <c r="HSE468"/>
      <c r="HSF468"/>
      <c r="HSG468"/>
      <c r="HSH468"/>
      <c r="HSI468"/>
      <c r="HSJ468"/>
      <c r="HSK468"/>
      <c r="HSL468"/>
      <c r="HSM468"/>
      <c r="HSN468"/>
      <c r="HSO468"/>
      <c r="HSP468"/>
      <c r="HSQ468"/>
      <c r="HSR468"/>
      <c r="HSS468"/>
      <c r="HST468"/>
      <c r="HSU468"/>
      <c r="HSV468"/>
      <c r="HSW468"/>
      <c r="HSX468"/>
      <c r="HSY468"/>
      <c r="HSZ468"/>
      <c r="HTA468"/>
      <c r="HTB468"/>
      <c r="HTC468"/>
      <c r="HTD468"/>
      <c r="HTE468"/>
      <c r="HTF468"/>
      <c r="HTG468"/>
      <c r="HTH468"/>
      <c r="HTI468"/>
      <c r="HTJ468"/>
      <c r="HTK468"/>
      <c r="HTL468"/>
      <c r="HTM468"/>
      <c r="HTN468"/>
      <c r="HTO468"/>
      <c r="HTP468"/>
      <c r="HTQ468"/>
      <c r="HTR468"/>
      <c r="HTS468"/>
      <c r="HTT468"/>
      <c r="HTU468"/>
      <c r="HTV468"/>
      <c r="HTW468"/>
      <c r="HTX468"/>
      <c r="HTY468"/>
      <c r="HTZ468"/>
      <c r="HUA468"/>
      <c r="HUB468"/>
      <c r="HUC468"/>
      <c r="HUD468"/>
      <c r="HUE468"/>
      <c r="HUF468"/>
      <c r="HUG468"/>
      <c r="HUH468"/>
      <c r="HUI468"/>
      <c r="HUJ468"/>
      <c r="HUK468"/>
      <c r="HUL468"/>
      <c r="HUM468"/>
      <c r="HUN468"/>
      <c r="HUO468"/>
      <c r="HUP468"/>
      <c r="HUQ468"/>
      <c r="HUR468"/>
      <c r="HUS468"/>
      <c r="HUT468"/>
      <c r="HUU468"/>
      <c r="HUV468"/>
      <c r="HUW468"/>
      <c r="HUX468"/>
      <c r="HUY468"/>
      <c r="HUZ468"/>
      <c r="HVA468"/>
      <c r="HVB468"/>
      <c r="HVC468"/>
      <c r="HVD468"/>
      <c r="HVE468"/>
      <c r="HVF468"/>
      <c r="HVG468"/>
      <c r="HVH468"/>
      <c r="HVI468"/>
      <c r="HVJ468"/>
      <c r="HVK468"/>
      <c r="HVL468"/>
      <c r="HVM468"/>
      <c r="HVN468"/>
      <c r="HVO468"/>
      <c r="HVP468"/>
      <c r="HVQ468"/>
      <c r="HVR468"/>
      <c r="HVS468"/>
      <c r="HVT468"/>
      <c r="HVU468"/>
      <c r="HVV468"/>
      <c r="HVW468"/>
      <c r="HVX468"/>
      <c r="HVY468"/>
      <c r="HVZ468"/>
      <c r="HWA468"/>
      <c r="HWB468"/>
      <c r="HWC468"/>
      <c r="HWD468"/>
      <c r="HWE468"/>
      <c r="HWF468"/>
      <c r="HWG468"/>
      <c r="HWH468"/>
      <c r="HWI468"/>
      <c r="HWJ468"/>
      <c r="HWK468"/>
      <c r="HWL468"/>
      <c r="HWM468"/>
      <c r="HWN468"/>
      <c r="HWO468"/>
      <c r="HWP468"/>
      <c r="HWQ468"/>
      <c r="HWR468"/>
      <c r="HWS468"/>
      <c r="HWT468"/>
      <c r="HWU468"/>
      <c r="HWV468"/>
      <c r="HWW468"/>
      <c r="HWX468"/>
      <c r="HWY468"/>
      <c r="HWZ468"/>
      <c r="HXA468"/>
      <c r="HXB468"/>
      <c r="HXC468"/>
      <c r="HXD468"/>
      <c r="HXE468"/>
      <c r="HXF468"/>
      <c r="HXG468"/>
      <c r="HXH468"/>
      <c r="HXI468"/>
      <c r="HXJ468"/>
      <c r="HXK468"/>
      <c r="HXL468"/>
      <c r="HXM468"/>
      <c r="HXN468"/>
      <c r="HXO468"/>
      <c r="HXP468"/>
      <c r="HXQ468"/>
      <c r="HXR468"/>
      <c r="HXS468"/>
      <c r="HXT468"/>
      <c r="HXU468"/>
      <c r="HXV468"/>
      <c r="HXW468"/>
      <c r="HXX468"/>
      <c r="HXY468"/>
      <c r="HXZ468"/>
      <c r="HYA468"/>
      <c r="HYB468"/>
      <c r="HYC468"/>
      <c r="HYD468"/>
      <c r="HYE468"/>
      <c r="HYF468"/>
      <c r="HYG468"/>
      <c r="HYH468"/>
      <c r="HYI468"/>
      <c r="HYJ468"/>
      <c r="HYK468"/>
      <c r="HYL468"/>
      <c r="HYM468"/>
      <c r="HYN468"/>
      <c r="HYO468"/>
      <c r="HYP468"/>
      <c r="HYQ468"/>
      <c r="HYR468"/>
      <c r="HYS468"/>
      <c r="HYT468"/>
      <c r="HYU468"/>
      <c r="HYV468"/>
      <c r="HYW468"/>
      <c r="HYX468"/>
      <c r="HYY468"/>
      <c r="HYZ468"/>
      <c r="HZA468"/>
      <c r="HZB468"/>
      <c r="HZC468"/>
      <c r="HZD468"/>
      <c r="HZE468"/>
      <c r="HZF468"/>
      <c r="HZG468"/>
      <c r="HZH468"/>
      <c r="HZI468"/>
      <c r="HZJ468"/>
      <c r="HZK468"/>
      <c r="HZL468"/>
      <c r="HZM468"/>
      <c r="HZN468"/>
      <c r="HZO468"/>
      <c r="HZP468"/>
      <c r="HZQ468"/>
      <c r="HZR468"/>
      <c r="HZS468"/>
      <c r="HZT468"/>
      <c r="HZU468"/>
      <c r="HZV468"/>
      <c r="HZW468"/>
      <c r="HZX468"/>
      <c r="HZY468"/>
      <c r="HZZ468"/>
      <c r="IAA468"/>
      <c r="IAB468"/>
      <c r="IAC468"/>
      <c r="IAD468"/>
      <c r="IAE468"/>
      <c r="IAF468"/>
      <c r="IAG468"/>
      <c r="IAH468"/>
      <c r="IAI468"/>
      <c r="IAJ468"/>
      <c r="IAK468"/>
      <c r="IAL468"/>
      <c r="IAM468"/>
      <c r="IAN468"/>
      <c r="IAO468"/>
      <c r="IAP468"/>
      <c r="IAQ468"/>
      <c r="IAR468"/>
      <c r="IAS468"/>
      <c r="IAT468"/>
      <c r="IAU468"/>
      <c r="IAV468"/>
      <c r="IAW468"/>
      <c r="IAX468"/>
      <c r="IAY468"/>
      <c r="IAZ468"/>
      <c r="IBA468"/>
      <c r="IBB468"/>
      <c r="IBC468"/>
      <c r="IBD468"/>
      <c r="IBE468"/>
      <c r="IBF468"/>
      <c r="IBG468"/>
      <c r="IBH468"/>
      <c r="IBI468"/>
      <c r="IBJ468"/>
      <c r="IBK468"/>
      <c r="IBL468"/>
      <c r="IBM468"/>
      <c r="IBN468"/>
      <c r="IBO468"/>
      <c r="IBP468"/>
      <c r="IBQ468"/>
      <c r="IBR468"/>
      <c r="IBS468"/>
      <c r="IBT468"/>
      <c r="IBU468"/>
      <c r="IBV468"/>
      <c r="IBW468"/>
      <c r="IBX468"/>
      <c r="IBY468"/>
      <c r="IBZ468"/>
      <c r="ICA468"/>
      <c r="ICB468"/>
      <c r="ICC468"/>
      <c r="ICD468"/>
      <c r="ICE468"/>
      <c r="ICF468"/>
      <c r="ICG468"/>
      <c r="ICH468"/>
      <c r="ICI468"/>
      <c r="ICJ468"/>
      <c r="ICK468"/>
      <c r="ICL468"/>
      <c r="ICM468"/>
      <c r="ICN468"/>
      <c r="ICO468"/>
      <c r="ICP468"/>
      <c r="ICQ468"/>
      <c r="ICR468"/>
      <c r="ICS468"/>
      <c r="ICT468"/>
      <c r="ICU468"/>
      <c r="ICV468"/>
      <c r="ICW468"/>
      <c r="ICX468"/>
      <c r="ICY468"/>
      <c r="ICZ468"/>
      <c r="IDA468"/>
      <c r="IDB468"/>
      <c r="IDC468"/>
      <c r="IDD468"/>
      <c r="IDE468"/>
      <c r="IDF468"/>
      <c r="IDG468"/>
      <c r="IDH468"/>
      <c r="IDI468"/>
      <c r="IDJ468"/>
      <c r="IDK468"/>
      <c r="IDL468"/>
      <c r="IDM468"/>
      <c r="IDN468"/>
      <c r="IDO468"/>
      <c r="IDP468"/>
      <c r="IDQ468"/>
      <c r="IDR468"/>
      <c r="IDS468"/>
      <c r="IDT468"/>
      <c r="IDU468"/>
      <c r="IDV468"/>
      <c r="IDW468"/>
      <c r="IDX468"/>
      <c r="IDY468"/>
      <c r="IDZ468"/>
      <c r="IEA468"/>
      <c r="IEB468"/>
      <c r="IEC468"/>
      <c r="IED468"/>
      <c r="IEE468"/>
      <c r="IEF468"/>
      <c r="IEG468"/>
      <c r="IEH468"/>
      <c r="IEI468"/>
      <c r="IEJ468"/>
      <c r="IEK468"/>
      <c r="IEL468"/>
      <c r="IEM468"/>
      <c r="IEN468"/>
      <c r="IEO468"/>
      <c r="IEP468"/>
      <c r="IEQ468"/>
      <c r="IER468"/>
      <c r="IES468"/>
      <c r="IET468"/>
      <c r="IEU468"/>
      <c r="IEV468"/>
      <c r="IEW468"/>
      <c r="IEX468"/>
      <c r="IEY468"/>
      <c r="IEZ468"/>
      <c r="IFA468"/>
      <c r="IFB468"/>
      <c r="IFC468"/>
      <c r="IFD468"/>
      <c r="IFE468"/>
      <c r="IFF468"/>
      <c r="IFG468"/>
      <c r="IFH468"/>
      <c r="IFI468"/>
      <c r="IFJ468"/>
      <c r="IFK468"/>
      <c r="IFL468"/>
      <c r="IFM468"/>
      <c r="IFN468"/>
      <c r="IFO468"/>
      <c r="IFP468"/>
      <c r="IFQ468"/>
      <c r="IFR468"/>
      <c r="IFS468"/>
      <c r="IFT468"/>
      <c r="IFU468"/>
      <c r="IFV468"/>
      <c r="IFW468"/>
      <c r="IFX468"/>
      <c r="IFY468"/>
      <c r="IFZ468"/>
      <c r="IGA468"/>
      <c r="IGB468"/>
      <c r="IGC468"/>
      <c r="IGD468"/>
      <c r="IGE468"/>
      <c r="IGF468"/>
      <c r="IGG468"/>
      <c r="IGH468"/>
      <c r="IGI468"/>
      <c r="IGJ468"/>
      <c r="IGK468"/>
      <c r="IGL468"/>
      <c r="IGM468"/>
      <c r="IGN468"/>
      <c r="IGO468"/>
      <c r="IGP468"/>
      <c r="IGQ468"/>
      <c r="IGR468"/>
      <c r="IGS468"/>
      <c r="IGT468"/>
      <c r="IGU468"/>
      <c r="IGV468"/>
      <c r="IGW468"/>
      <c r="IGX468"/>
      <c r="IGY468"/>
      <c r="IGZ468"/>
      <c r="IHA468"/>
      <c r="IHB468"/>
      <c r="IHC468"/>
      <c r="IHD468"/>
      <c r="IHE468"/>
      <c r="IHF468"/>
      <c r="IHG468"/>
      <c r="IHH468"/>
      <c r="IHI468"/>
      <c r="IHJ468"/>
      <c r="IHK468"/>
      <c r="IHL468"/>
      <c r="IHM468"/>
      <c r="IHN468"/>
      <c r="IHO468"/>
      <c r="IHP468"/>
      <c r="IHQ468"/>
      <c r="IHR468"/>
      <c r="IHS468"/>
      <c r="IHT468"/>
      <c r="IHU468"/>
      <c r="IHV468"/>
      <c r="IHW468"/>
      <c r="IHX468"/>
      <c r="IHY468"/>
      <c r="IHZ468"/>
      <c r="IIA468"/>
      <c r="IIB468"/>
      <c r="IIC468"/>
      <c r="IID468"/>
      <c r="IIE468"/>
      <c r="IIF468"/>
      <c r="IIG468"/>
      <c r="IIH468"/>
      <c r="III468"/>
      <c r="IIJ468"/>
      <c r="IIK468"/>
      <c r="IIL468"/>
      <c r="IIM468"/>
      <c r="IIN468"/>
      <c r="IIO468"/>
      <c r="IIP468"/>
      <c r="IIQ468"/>
      <c r="IIR468"/>
      <c r="IIS468"/>
      <c r="IIT468"/>
      <c r="IIU468"/>
      <c r="IIV468"/>
      <c r="IIW468"/>
      <c r="IIX468"/>
      <c r="IIY468"/>
      <c r="IIZ468"/>
      <c r="IJA468"/>
      <c r="IJB468"/>
      <c r="IJC468"/>
      <c r="IJD468"/>
      <c r="IJE468"/>
      <c r="IJF468"/>
      <c r="IJG468"/>
      <c r="IJH468"/>
      <c r="IJI468"/>
      <c r="IJJ468"/>
      <c r="IJK468"/>
      <c r="IJL468"/>
      <c r="IJM468"/>
      <c r="IJN468"/>
      <c r="IJO468"/>
      <c r="IJP468"/>
      <c r="IJQ468"/>
      <c r="IJR468"/>
      <c r="IJS468"/>
      <c r="IJT468"/>
      <c r="IJU468"/>
      <c r="IJV468"/>
      <c r="IJW468"/>
      <c r="IJX468"/>
      <c r="IJY468"/>
      <c r="IJZ468"/>
      <c r="IKA468"/>
      <c r="IKB468"/>
      <c r="IKC468"/>
      <c r="IKD468"/>
      <c r="IKE468"/>
      <c r="IKF468"/>
      <c r="IKG468"/>
      <c r="IKH468"/>
      <c r="IKI468"/>
      <c r="IKJ468"/>
      <c r="IKK468"/>
      <c r="IKL468"/>
      <c r="IKM468"/>
      <c r="IKN468"/>
      <c r="IKO468"/>
      <c r="IKP468"/>
      <c r="IKQ468"/>
      <c r="IKR468"/>
      <c r="IKS468"/>
      <c r="IKT468"/>
      <c r="IKU468"/>
      <c r="IKV468"/>
      <c r="IKW468"/>
      <c r="IKX468"/>
      <c r="IKY468"/>
      <c r="IKZ468"/>
      <c r="ILA468"/>
      <c r="ILB468"/>
      <c r="ILC468"/>
      <c r="ILD468"/>
      <c r="ILE468"/>
      <c r="ILF468"/>
      <c r="ILG468"/>
      <c r="ILH468"/>
      <c r="ILI468"/>
      <c r="ILJ468"/>
      <c r="ILK468"/>
      <c r="ILL468"/>
      <c r="ILM468"/>
      <c r="ILN468"/>
      <c r="ILO468"/>
      <c r="ILP468"/>
      <c r="ILQ468"/>
      <c r="ILR468"/>
      <c r="ILS468"/>
      <c r="ILT468"/>
      <c r="ILU468"/>
      <c r="ILV468"/>
      <c r="ILW468"/>
      <c r="ILX468"/>
      <c r="ILY468"/>
      <c r="ILZ468"/>
      <c r="IMA468"/>
      <c r="IMB468"/>
      <c r="IMC468"/>
      <c r="IMD468"/>
      <c r="IME468"/>
      <c r="IMF468"/>
      <c r="IMG468"/>
      <c r="IMH468"/>
      <c r="IMI468"/>
      <c r="IMJ468"/>
      <c r="IMK468"/>
      <c r="IML468"/>
      <c r="IMM468"/>
      <c r="IMN468"/>
      <c r="IMO468"/>
      <c r="IMP468"/>
      <c r="IMQ468"/>
      <c r="IMR468"/>
      <c r="IMS468"/>
      <c r="IMT468"/>
      <c r="IMU468"/>
      <c r="IMV468"/>
      <c r="IMW468"/>
      <c r="IMX468"/>
      <c r="IMY468"/>
      <c r="IMZ468"/>
      <c r="INA468"/>
      <c r="INB468"/>
      <c r="INC468"/>
      <c r="IND468"/>
      <c r="INE468"/>
      <c r="INF468"/>
      <c r="ING468"/>
      <c r="INH468"/>
      <c r="INI468"/>
      <c r="INJ468"/>
      <c r="INK468"/>
      <c r="INL468"/>
      <c r="INM468"/>
      <c r="INN468"/>
      <c r="INO468"/>
      <c r="INP468"/>
      <c r="INQ468"/>
      <c r="INR468"/>
      <c r="INS468"/>
      <c r="INT468"/>
      <c r="INU468"/>
      <c r="INV468"/>
      <c r="INW468"/>
      <c r="INX468"/>
      <c r="INY468"/>
      <c r="INZ468"/>
      <c r="IOA468"/>
      <c r="IOB468"/>
      <c r="IOC468"/>
      <c r="IOD468"/>
      <c r="IOE468"/>
      <c r="IOF468"/>
      <c r="IOG468"/>
      <c r="IOH468"/>
      <c r="IOI468"/>
      <c r="IOJ468"/>
      <c r="IOK468"/>
      <c r="IOL468"/>
      <c r="IOM468"/>
      <c r="ION468"/>
      <c r="IOO468"/>
      <c r="IOP468"/>
      <c r="IOQ468"/>
      <c r="IOR468"/>
      <c r="IOS468"/>
      <c r="IOT468"/>
      <c r="IOU468"/>
      <c r="IOV468"/>
      <c r="IOW468"/>
      <c r="IOX468"/>
      <c r="IOY468"/>
      <c r="IOZ468"/>
      <c r="IPA468"/>
      <c r="IPB468"/>
      <c r="IPC468"/>
      <c r="IPD468"/>
      <c r="IPE468"/>
      <c r="IPF468"/>
      <c r="IPG468"/>
      <c r="IPH468"/>
      <c r="IPI468"/>
      <c r="IPJ468"/>
      <c r="IPK468"/>
      <c r="IPL468"/>
      <c r="IPM468"/>
      <c r="IPN468"/>
      <c r="IPO468"/>
      <c r="IPP468"/>
      <c r="IPQ468"/>
      <c r="IPR468"/>
      <c r="IPS468"/>
      <c r="IPT468"/>
      <c r="IPU468"/>
      <c r="IPV468"/>
      <c r="IPW468"/>
      <c r="IPX468"/>
      <c r="IPY468"/>
      <c r="IPZ468"/>
      <c r="IQA468"/>
      <c r="IQB468"/>
      <c r="IQC468"/>
      <c r="IQD468"/>
      <c r="IQE468"/>
      <c r="IQF468"/>
      <c r="IQG468"/>
      <c r="IQH468"/>
      <c r="IQI468"/>
      <c r="IQJ468"/>
      <c r="IQK468"/>
      <c r="IQL468"/>
      <c r="IQM468"/>
      <c r="IQN468"/>
      <c r="IQO468"/>
      <c r="IQP468"/>
      <c r="IQQ468"/>
      <c r="IQR468"/>
      <c r="IQS468"/>
      <c r="IQT468"/>
      <c r="IQU468"/>
      <c r="IQV468"/>
      <c r="IQW468"/>
      <c r="IQX468"/>
      <c r="IQY468"/>
      <c r="IQZ468"/>
      <c r="IRA468"/>
      <c r="IRB468"/>
      <c r="IRC468"/>
      <c r="IRD468"/>
      <c r="IRE468"/>
      <c r="IRF468"/>
      <c r="IRG468"/>
      <c r="IRH468"/>
      <c r="IRI468"/>
      <c r="IRJ468"/>
      <c r="IRK468"/>
      <c r="IRL468"/>
      <c r="IRM468"/>
      <c r="IRN468"/>
      <c r="IRO468"/>
      <c r="IRP468"/>
      <c r="IRQ468"/>
      <c r="IRR468"/>
      <c r="IRS468"/>
      <c r="IRT468"/>
      <c r="IRU468"/>
      <c r="IRV468"/>
      <c r="IRW468"/>
      <c r="IRX468"/>
      <c r="IRY468"/>
      <c r="IRZ468"/>
      <c r="ISA468"/>
      <c r="ISB468"/>
      <c r="ISC468"/>
      <c r="ISD468"/>
      <c r="ISE468"/>
      <c r="ISF468"/>
      <c r="ISG468"/>
      <c r="ISH468"/>
      <c r="ISI468"/>
      <c r="ISJ468"/>
      <c r="ISK468"/>
      <c r="ISL468"/>
      <c r="ISM468"/>
      <c r="ISN468"/>
      <c r="ISO468"/>
      <c r="ISP468"/>
      <c r="ISQ468"/>
      <c r="ISR468"/>
      <c r="ISS468"/>
      <c r="IST468"/>
      <c r="ISU468"/>
      <c r="ISV468"/>
      <c r="ISW468"/>
      <c r="ISX468"/>
      <c r="ISY468"/>
      <c r="ISZ468"/>
      <c r="ITA468"/>
      <c r="ITB468"/>
      <c r="ITC468"/>
      <c r="ITD468"/>
      <c r="ITE468"/>
      <c r="ITF468"/>
      <c r="ITG468"/>
      <c r="ITH468"/>
      <c r="ITI468"/>
      <c r="ITJ468"/>
      <c r="ITK468"/>
      <c r="ITL468"/>
      <c r="ITM468"/>
      <c r="ITN468"/>
      <c r="ITO468"/>
      <c r="ITP468"/>
      <c r="ITQ468"/>
      <c r="ITR468"/>
      <c r="ITS468"/>
      <c r="ITT468"/>
      <c r="ITU468"/>
      <c r="ITV468"/>
      <c r="ITW468"/>
      <c r="ITX468"/>
      <c r="ITY468"/>
      <c r="ITZ468"/>
      <c r="IUA468"/>
      <c r="IUB468"/>
      <c r="IUC468"/>
      <c r="IUD468"/>
      <c r="IUE468"/>
      <c r="IUF468"/>
      <c r="IUG468"/>
      <c r="IUH468"/>
      <c r="IUI468"/>
      <c r="IUJ468"/>
      <c r="IUK468"/>
      <c r="IUL468"/>
      <c r="IUM468"/>
      <c r="IUN468"/>
      <c r="IUO468"/>
      <c r="IUP468"/>
      <c r="IUQ468"/>
      <c r="IUR468"/>
      <c r="IUS468"/>
      <c r="IUT468"/>
      <c r="IUU468"/>
      <c r="IUV468"/>
      <c r="IUW468"/>
      <c r="IUX468"/>
      <c r="IUY468"/>
      <c r="IUZ468"/>
      <c r="IVA468"/>
      <c r="IVB468"/>
      <c r="IVC468"/>
      <c r="IVD468"/>
      <c r="IVE468"/>
      <c r="IVF468"/>
      <c r="IVG468"/>
      <c r="IVH468"/>
      <c r="IVI468"/>
      <c r="IVJ468"/>
      <c r="IVK468"/>
      <c r="IVL468"/>
      <c r="IVM468"/>
      <c r="IVN468"/>
      <c r="IVO468"/>
      <c r="IVP468"/>
      <c r="IVQ468"/>
      <c r="IVR468"/>
      <c r="IVS468"/>
      <c r="IVT468"/>
      <c r="IVU468"/>
      <c r="IVV468"/>
      <c r="IVW468"/>
      <c r="IVX468"/>
      <c r="IVY468"/>
      <c r="IVZ468"/>
      <c r="IWA468"/>
      <c r="IWB468"/>
      <c r="IWC468"/>
      <c r="IWD468"/>
      <c r="IWE468"/>
      <c r="IWF468"/>
      <c r="IWG468"/>
      <c r="IWH468"/>
      <c r="IWI468"/>
      <c r="IWJ468"/>
      <c r="IWK468"/>
      <c r="IWL468"/>
      <c r="IWM468"/>
      <c r="IWN468"/>
      <c r="IWO468"/>
      <c r="IWP468"/>
      <c r="IWQ468"/>
      <c r="IWR468"/>
      <c r="IWS468"/>
      <c r="IWT468"/>
      <c r="IWU468"/>
      <c r="IWV468"/>
      <c r="IWW468"/>
      <c r="IWX468"/>
      <c r="IWY468"/>
      <c r="IWZ468"/>
      <c r="IXA468"/>
      <c r="IXB468"/>
      <c r="IXC468"/>
      <c r="IXD468"/>
      <c r="IXE468"/>
      <c r="IXF468"/>
      <c r="IXG468"/>
      <c r="IXH468"/>
      <c r="IXI468"/>
      <c r="IXJ468"/>
      <c r="IXK468"/>
      <c r="IXL468"/>
      <c r="IXM468"/>
      <c r="IXN468"/>
      <c r="IXO468"/>
      <c r="IXP468"/>
      <c r="IXQ468"/>
      <c r="IXR468"/>
      <c r="IXS468"/>
      <c r="IXT468"/>
      <c r="IXU468"/>
      <c r="IXV468"/>
      <c r="IXW468"/>
      <c r="IXX468"/>
      <c r="IXY468"/>
      <c r="IXZ468"/>
      <c r="IYA468"/>
      <c r="IYB468"/>
      <c r="IYC468"/>
      <c r="IYD468"/>
      <c r="IYE468"/>
      <c r="IYF468"/>
      <c r="IYG468"/>
      <c r="IYH468"/>
      <c r="IYI468"/>
      <c r="IYJ468"/>
      <c r="IYK468"/>
      <c r="IYL468"/>
      <c r="IYM468"/>
      <c r="IYN468"/>
      <c r="IYO468"/>
      <c r="IYP468"/>
      <c r="IYQ468"/>
      <c r="IYR468"/>
      <c r="IYS468"/>
      <c r="IYT468"/>
      <c r="IYU468"/>
      <c r="IYV468"/>
      <c r="IYW468"/>
      <c r="IYX468"/>
      <c r="IYY468"/>
      <c r="IYZ468"/>
      <c r="IZA468"/>
      <c r="IZB468"/>
      <c r="IZC468"/>
      <c r="IZD468"/>
      <c r="IZE468"/>
      <c r="IZF468"/>
      <c r="IZG468"/>
      <c r="IZH468"/>
      <c r="IZI468"/>
      <c r="IZJ468"/>
      <c r="IZK468"/>
      <c r="IZL468"/>
      <c r="IZM468"/>
      <c r="IZN468"/>
      <c r="IZO468"/>
      <c r="IZP468"/>
      <c r="IZQ468"/>
      <c r="IZR468"/>
      <c r="IZS468"/>
      <c r="IZT468"/>
      <c r="IZU468"/>
      <c r="IZV468"/>
      <c r="IZW468"/>
      <c r="IZX468"/>
      <c r="IZY468"/>
      <c r="IZZ468"/>
      <c r="JAA468"/>
      <c r="JAB468"/>
      <c r="JAC468"/>
      <c r="JAD468"/>
      <c r="JAE468"/>
      <c r="JAF468"/>
      <c r="JAG468"/>
      <c r="JAH468"/>
      <c r="JAI468"/>
      <c r="JAJ468"/>
      <c r="JAK468"/>
      <c r="JAL468"/>
      <c r="JAM468"/>
      <c r="JAN468"/>
      <c r="JAO468"/>
      <c r="JAP468"/>
      <c r="JAQ468"/>
      <c r="JAR468"/>
      <c r="JAS468"/>
      <c r="JAT468"/>
      <c r="JAU468"/>
      <c r="JAV468"/>
      <c r="JAW468"/>
      <c r="JAX468"/>
      <c r="JAY468"/>
      <c r="JAZ468"/>
      <c r="JBA468"/>
      <c r="JBB468"/>
      <c r="JBC468"/>
      <c r="JBD468"/>
      <c r="JBE468"/>
      <c r="JBF468"/>
      <c r="JBG468"/>
      <c r="JBH468"/>
      <c r="JBI468"/>
      <c r="JBJ468"/>
      <c r="JBK468"/>
      <c r="JBL468"/>
      <c r="JBM468"/>
      <c r="JBN468"/>
      <c r="JBO468"/>
      <c r="JBP468"/>
      <c r="JBQ468"/>
      <c r="JBR468"/>
      <c r="JBS468"/>
      <c r="JBT468"/>
      <c r="JBU468"/>
      <c r="JBV468"/>
      <c r="JBW468"/>
      <c r="JBX468"/>
      <c r="JBY468"/>
      <c r="JBZ468"/>
      <c r="JCA468"/>
      <c r="JCB468"/>
      <c r="JCC468"/>
      <c r="JCD468"/>
      <c r="JCE468"/>
      <c r="JCF468"/>
      <c r="JCG468"/>
      <c r="JCH468"/>
      <c r="JCI468"/>
      <c r="JCJ468"/>
      <c r="JCK468"/>
      <c r="JCL468"/>
      <c r="JCM468"/>
      <c r="JCN468"/>
      <c r="JCO468"/>
      <c r="JCP468"/>
      <c r="JCQ468"/>
      <c r="JCR468"/>
      <c r="JCS468"/>
      <c r="JCT468"/>
      <c r="JCU468"/>
      <c r="JCV468"/>
      <c r="JCW468"/>
      <c r="JCX468"/>
      <c r="JCY468"/>
      <c r="JCZ468"/>
      <c r="JDA468"/>
      <c r="JDB468"/>
      <c r="JDC468"/>
      <c r="JDD468"/>
      <c r="JDE468"/>
      <c r="JDF468"/>
      <c r="JDG468"/>
      <c r="JDH468"/>
      <c r="JDI468"/>
      <c r="JDJ468"/>
      <c r="JDK468"/>
      <c r="JDL468"/>
      <c r="JDM468"/>
      <c r="JDN468"/>
      <c r="JDO468"/>
      <c r="JDP468"/>
      <c r="JDQ468"/>
      <c r="JDR468"/>
      <c r="JDS468"/>
      <c r="JDT468"/>
      <c r="JDU468"/>
      <c r="JDV468"/>
      <c r="JDW468"/>
      <c r="JDX468"/>
      <c r="JDY468"/>
      <c r="JDZ468"/>
      <c r="JEA468"/>
      <c r="JEB468"/>
      <c r="JEC468"/>
      <c r="JED468"/>
      <c r="JEE468"/>
      <c r="JEF468"/>
      <c r="JEG468"/>
      <c r="JEH468"/>
      <c r="JEI468"/>
      <c r="JEJ468"/>
      <c r="JEK468"/>
      <c r="JEL468"/>
      <c r="JEM468"/>
      <c r="JEN468"/>
      <c r="JEO468"/>
      <c r="JEP468"/>
      <c r="JEQ468"/>
      <c r="JER468"/>
      <c r="JES468"/>
      <c r="JET468"/>
      <c r="JEU468"/>
      <c r="JEV468"/>
      <c r="JEW468"/>
      <c r="JEX468"/>
      <c r="JEY468"/>
      <c r="JEZ468"/>
      <c r="JFA468"/>
      <c r="JFB468"/>
      <c r="JFC468"/>
      <c r="JFD468"/>
      <c r="JFE468"/>
      <c r="JFF468"/>
      <c r="JFG468"/>
      <c r="JFH468"/>
      <c r="JFI468"/>
      <c r="JFJ468"/>
      <c r="JFK468"/>
      <c r="JFL468"/>
      <c r="JFM468"/>
      <c r="JFN468"/>
      <c r="JFO468"/>
      <c r="JFP468"/>
      <c r="JFQ468"/>
      <c r="JFR468"/>
      <c r="JFS468"/>
      <c r="JFT468"/>
      <c r="JFU468"/>
      <c r="JFV468"/>
      <c r="JFW468"/>
      <c r="JFX468"/>
      <c r="JFY468"/>
      <c r="JFZ468"/>
      <c r="JGA468"/>
      <c r="JGB468"/>
      <c r="JGC468"/>
      <c r="JGD468"/>
      <c r="JGE468"/>
      <c r="JGF468"/>
      <c r="JGG468"/>
      <c r="JGH468"/>
      <c r="JGI468"/>
      <c r="JGJ468"/>
      <c r="JGK468"/>
      <c r="JGL468"/>
      <c r="JGM468"/>
      <c r="JGN468"/>
      <c r="JGO468"/>
      <c r="JGP468"/>
      <c r="JGQ468"/>
      <c r="JGR468"/>
      <c r="JGS468"/>
      <c r="JGT468"/>
      <c r="JGU468"/>
      <c r="JGV468"/>
      <c r="JGW468"/>
      <c r="JGX468"/>
      <c r="JGY468"/>
      <c r="JGZ468"/>
      <c r="JHA468"/>
      <c r="JHB468"/>
      <c r="JHC468"/>
      <c r="JHD468"/>
      <c r="JHE468"/>
      <c r="JHF468"/>
      <c r="JHG468"/>
      <c r="JHH468"/>
      <c r="JHI468"/>
      <c r="JHJ468"/>
      <c r="JHK468"/>
      <c r="JHL468"/>
      <c r="JHM468"/>
      <c r="JHN468"/>
      <c r="JHO468"/>
      <c r="JHP468"/>
      <c r="JHQ468"/>
      <c r="JHR468"/>
      <c r="JHS468"/>
      <c r="JHT468"/>
      <c r="JHU468"/>
      <c r="JHV468"/>
      <c r="JHW468"/>
      <c r="JHX468"/>
      <c r="JHY468"/>
      <c r="JHZ468"/>
      <c r="JIA468"/>
      <c r="JIB468"/>
      <c r="JIC468"/>
      <c r="JID468"/>
      <c r="JIE468"/>
      <c r="JIF468"/>
      <c r="JIG468"/>
      <c r="JIH468"/>
      <c r="JII468"/>
      <c r="JIJ468"/>
      <c r="JIK468"/>
      <c r="JIL468"/>
      <c r="JIM468"/>
      <c r="JIN468"/>
      <c r="JIO468"/>
      <c r="JIP468"/>
      <c r="JIQ468"/>
      <c r="JIR468"/>
      <c r="JIS468"/>
      <c r="JIT468"/>
      <c r="JIU468"/>
      <c r="JIV468"/>
      <c r="JIW468"/>
      <c r="JIX468"/>
      <c r="JIY468"/>
      <c r="JIZ468"/>
      <c r="JJA468"/>
      <c r="JJB468"/>
      <c r="JJC468"/>
      <c r="JJD468"/>
      <c r="JJE468"/>
      <c r="JJF468"/>
      <c r="JJG468"/>
      <c r="JJH468"/>
      <c r="JJI468"/>
      <c r="JJJ468"/>
      <c r="JJK468"/>
      <c r="JJL468"/>
      <c r="JJM468"/>
      <c r="JJN468"/>
      <c r="JJO468"/>
      <c r="JJP468"/>
      <c r="JJQ468"/>
      <c r="JJR468"/>
      <c r="JJS468"/>
      <c r="JJT468"/>
      <c r="JJU468"/>
      <c r="JJV468"/>
      <c r="JJW468"/>
      <c r="JJX468"/>
      <c r="JJY468"/>
      <c r="JJZ468"/>
      <c r="JKA468"/>
      <c r="JKB468"/>
      <c r="JKC468"/>
      <c r="JKD468"/>
      <c r="JKE468"/>
      <c r="JKF468"/>
      <c r="JKG468"/>
      <c r="JKH468"/>
      <c r="JKI468"/>
      <c r="JKJ468"/>
      <c r="JKK468"/>
      <c r="JKL468"/>
      <c r="JKM468"/>
      <c r="JKN468"/>
      <c r="JKO468"/>
      <c r="JKP468"/>
      <c r="JKQ468"/>
      <c r="JKR468"/>
      <c r="JKS468"/>
      <c r="JKT468"/>
      <c r="JKU468"/>
      <c r="JKV468"/>
      <c r="JKW468"/>
      <c r="JKX468"/>
      <c r="JKY468"/>
      <c r="JKZ468"/>
      <c r="JLA468"/>
      <c r="JLB468"/>
      <c r="JLC468"/>
      <c r="JLD468"/>
      <c r="JLE468"/>
      <c r="JLF468"/>
      <c r="JLG468"/>
      <c r="JLH468"/>
      <c r="JLI468"/>
      <c r="JLJ468"/>
      <c r="JLK468"/>
      <c r="JLL468"/>
      <c r="JLM468"/>
      <c r="JLN468"/>
      <c r="JLO468"/>
      <c r="JLP468"/>
      <c r="JLQ468"/>
      <c r="JLR468"/>
      <c r="JLS468"/>
      <c r="JLT468"/>
      <c r="JLU468"/>
      <c r="JLV468"/>
      <c r="JLW468"/>
      <c r="JLX468"/>
      <c r="JLY468"/>
      <c r="JLZ468"/>
      <c r="JMA468"/>
      <c r="JMB468"/>
      <c r="JMC468"/>
      <c r="JMD468"/>
      <c r="JME468"/>
      <c r="JMF468"/>
      <c r="JMG468"/>
      <c r="JMH468"/>
      <c r="JMI468"/>
      <c r="JMJ468"/>
      <c r="JMK468"/>
      <c r="JML468"/>
      <c r="JMM468"/>
      <c r="JMN468"/>
      <c r="JMO468"/>
      <c r="JMP468"/>
      <c r="JMQ468"/>
      <c r="JMR468"/>
      <c r="JMS468"/>
      <c r="JMT468"/>
      <c r="JMU468"/>
      <c r="JMV468"/>
      <c r="JMW468"/>
      <c r="JMX468"/>
      <c r="JMY468"/>
      <c r="JMZ468"/>
      <c r="JNA468"/>
      <c r="JNB468"/>
      <c r="JNC468"/>
      <c r="JND468"/>
      <c r="JNE468"/>
      <c r="JNF468"/>
      <c r="JNG468"/>
      <c r="JNH468"/>
      <c r="JNI468"/>
      <c r="JNJ468"/>
      <c r="JNK468"/>
      <c r="JNL468"/>
      <c r="JNM468"/>
      <c r="JNN468"/>
      <c r="JNO468"/>
      <c r="JNP468"/>
      <c r="JNQ468"/>
      <c r="JNR468"/>
      <c r="JNS468"/>
      <c r="JNT468"/>
      <c r="JNU468"/>
      <c r="JNV468"/>
      <c r="JNW468"/>
      <c r="JNX468"/>
      <c r="JNY468"/>
      <c r="JNZ468"/>
      <c r="JOA468"/>
      <c r="JOB468"/>
      <c r="JOC468"/>
      <c r="JOD468"/>
      <c r="JOE468"/>
      <c r="JOF468"/>
      <c r="JOG468"/>
      <c r="JOH468"/>
      <c r="JOI468"/>
      <c r="JOJ468"/>
      <c r="JOK468"/>
      <c r="JOL468"/>
      <c r="JOM468"/>
      <c r="JON468"/>
      <c r="JOO468"/>
      <c r="JOP468"/>
      <c r="JOQ468"/>
      <c r="JOR468"/>
      <c r="JOS468"/>
      <c r="JOT468"/>
      <c r="JOU468"/>
      <c r="JOV468"/>
      <c r="JOW468"/>
      <c r="JOX468"/>
      <c r="JOY468"/>
      <c r="JOZ468"/>
      <c r="JPA468"/>
      <c r="JPB468"/>
      <c r="JPC468"/>
      <c r="JPD468"/>
      <c r="JPE468"/>
      <c r="JPF468"/>
      <c r="JPG468"/>
      <c r="JPH468"/>
      <c r="JPI468"/>
      <c r="JPJ468"/>
      <c r="JPK468"/>
      <c r="JPL468"/>
      <c r="JPM468"/>
      <c r="JPN468"/>
      <c r="JPO468"/>
      <c r="JPP468"/>
      <c r="JPQ468"/>
      <c r="JPR468"/>
      <c r="JPS468"/>
      <c r="JPT468"/>
      <c r="JPU468"/>
      <c r="JPV468"/>
      <c r="JPW468"/>
      <c r="JPX468"/>
      <c r="JPY468"/>
      <c r="JPZ468"/>
      <c r="JQA468"/>
      <c r="JQB468"/>
      <c r="JQC468"/>
      <c r="JQD468"/>
      <c r="JQE468"/>
      <c r="JQF468"/>
      <c r="JQG468"/>
      <c r="JQH468"/>
      <c r="JQI468"/>
      <c r="JQJ468"/>
      <c r="JQK468"/>
      <c r="JQL468"/>
      <c r="JQM468"/>
      <c r="JQN468"/>
      <c r="JQO468"/>
      <c r="JQP468"/>
      <c r="JQQ468"/>
      <c r="JQR468"/>
      <c r="JQS468"/>
      <c r="JQT468"/>
      <c r="JQU468"/>
      <c r="JQV468"/>
      <c r="JQW468"/>
      <c r="JQX468"/>
      <c r="JQY468"/>
      <c r="JQZ468"/>
      <c r="JRA468"/>
      <c r="JRB468"/>
      <c r="JRC468"/>
      <c r="JRD468"/>
      <c r="JRE468"/>
      <c r="JRF468"/>
      <c r="JRG468"/>
      <c r="JRH468"/>
      <c r="JRI468"/>
      <c r="JRJ468"/>
      <c r="JRK468"/>
      <c r="JRL468"/>
      <c r="JRM468"/>
      <c r="JRN468"/>
      <c r="JRO468"/>
      <c r="JRP468"/>
      <c r="JRQ468"/>
      <c r="JRR468"/>
      <c r="JRS468"/>
      <c r="JRT468"/>
      <c r="JRU468"/>
      <c r="JRV468"/>
      <c r="JRW468"/>
      <c r="JRX468"/>
      <c r="JRY468"/>
      <c r="JRZ468"/>
      <c r="JSA468"/>
      <c r="JSB468"/>
      <c r="JSC468"/>
      <c r="JSD468"/>
      <c r="JSE468"/>
      <c r="JSF468"/>
      <c r="JSG468"/>
      <c r="JSH468"/>
      <c r="JSI468"/>
      <c r="JSJ468"/>
      <c r="JSK468"/>
      <c r="JSL468"/>
      <c r="JSM468"/>
      <c r="JSN468"/>
      <c r="JSO468"/>
      <c r="JSP468"/>
      <c r="JSQ468"/>
      <c r="JSR468"/>
      <c r="JSS468"/>
      <c r="JST468"/>
      <c r="JSU468"/>
      <c r="JSV468"/>
      <c r="JSW468"/>
      <c r="JSX468"/>
      <c r="JSY468"/>
      <c r="JSZ468"/>
      <c r="JTA468"/>
      <c r="JTB468"/>
      <c r="JTC468"/>
      <c r="JTD468"/>
      <c r="JTE468"/>
      <c r="JTF468"/>
      <c r="JTG468"/>
      <c r="JTH468"/>
      <c r="JTI468"/>
      <c r="JTJ468"/>
      <c r="JTK468"/>
      <c r="JTL468"/>
      <c r="JTM468"/>
      <c r="JTN468"/>
      <c r="JTO468"/>
      <c r="JTP468"/>
      <c r="JTQ468"/>
      <c r="JTR468"/>
      <c r="JTS468"/>
      <c r="JTT468"/>
      <c r="JTU468"/>
      <c r="JTV468"/>
      <c r="JTW468"/>
      <c r="JTX468"/>
      <c r="JTY468"/>
      <c r="JTZ468"/>
      <c r="JUA468"/>
      <c r="JUB468"/>
      <c r="JUC468"/>
      <c r="JUD468"/>
      <c r="JUE468"/>
      <c r="JUF468"/>
      <c r="JUG468"/>
      <c r="JUH468"/>
      <c r="JUI468"/>
      <c r="JUJ468"/>
      <c r="JUK468"/>
      <c r="JUL468"/>
      <c r="JUM468"/>
      <c r="JUN468"/>
      <c r="JUO468"/>
      <c r="JUP468"/>
      <c r="JUQ468"/>
      <c r="JUR468"/>
      <c r="JUS468"/>
      <c r="JUT468"/>
      <c r="JUU468"/>
      <c r="JUV468"/>
      <c r="JUW468"/>
      <c r="JUX468"/>
      <c r="JUY468"/>
      <c r="JUZ468"/>
      <c r="JVA468"/>
      <c r="JVB468"/>
      <c r="JVC468"/>
      <c r="JVD468"/>
      <c r="JVE468"/>
      <c r="JVF468"/>
      <c r="JVG468"/>
      <c r="JVH468"/>
      <c r="JVI468"/>
      <c r="JVJ468"/>
      <c r="JVK468"/>
      <c r="JVL468"/>
      <c r="JVM468"/>
      <c r="JVN468"/>
      <c r="JVO468"/>
      <c r="JVP468"/>
      <c r="JVQ468"/>
      <c r="JVR468"/>
      <c r="JVS468"/>
      <c r="JVT468"/>
      <c r="JVU468"/>
      <c r="JVV468"/>
      <c r="JVW468"/>
      <c r="JVX468"/>
      <c r="JVY468"/>
      <c r="JVZ468"/>
      <c r="JWA468"/>
      <c r="JWB468"/>
      <c r="JWC468"/>
      <c r="JWD468"/>
      <c r="JWE468"/>
      <c r="JWF468"/>
      <c r="JWG468"/>
      <c r="JWH468"/>
      <c r="JWI468"/>
      <c r="JWJ468"/>
      <c r="JWK468"/>
      <c r="JWL468"/>
      <c r="JWM468"/>
      <c r="JWN468"/>
      <c r="JWO468"/>
      <c r="JWP468"/>
      <c r="JWQ468"/>
      <c r="JWR468"/>
      <c r="JWS468"/>
      <c r="JWT468"/>
      <c r="JWU468"/>
      <c r="JWV468"/>
      <c r="JWW468"/>
      <c r="JWX468"/>
      <c r="JWY468"/>
      <c r="JWZ468"/>
      <c r="JXA468"/>
      <c r="JXB468"/>
      <c r="JXC468"/>
      <c r="JXD468"/>
      <c r="JXE468"/>
      <c r="JXF468"/>
      <c r="JXG468"/>
      <c r="JXH468"/>
      <c r="JXI468"/>
      <c r="JXJ468"/>
      <c r="JXK468"/>
      <c r="JXL468"/>
      <c r="JXM468"/>
      <c r="JXN468"/>
      <c r="JXO468"/>
      <c r="JXP468"/>
      <c r="JXQ468"/>
      <c r="JXR468"/>
      <c r="JXS468"/>
      <c r="JXT468"/>
      <c r="JXU468"/>
      <c r="JXV468"/>
      <c r="JXW468"/>
      <c r="JXX468"/>
      <c r="JXY468"/>
      <c r="JXZ468"/>
      <c r="JYA468"/>
      <c r="JYB468"/>
      <c r="JYC468"/>
      <c r="JYD468"/>
      <c r="JYE468"/>
      <c r="JYF468"/>
      <c r="JYG468"/>
      <c r="JYH468"/>
      <c r="JYI468"/>
      <c r="JYJ468"/>
      <c r="JYK468"/>
      <c r="JYL468"/>
      <c r="JYM468"/>
      <c r="JYN468"/>
      <c r="JYO468"/>
      <c r="JYP468"/>
      <c r="JYQ468"/>
      <c r="JYR468"/>
      <c r="JYS468"/>
      <c r="JYT468"/>
      <c r="JYU468"/>
      <c r="JYV468"/>
      <c r="JYW468"/>
      <c r="JYX468"/>
      <c r="JYY468"/>
      <c r="JYZ468"/>
      <c r="JZA468"/>
      <c r="JZB468"/>
      <c r="JZC468"/>
      <c r="JZD468"/>
      <c r="JZE468"/>
      <c r="JZF468"/>
      <c r="JZG468"/>
      <c r="JZH468"/>
      <c r="JZI468"/>
      <c r="JZJ468"/>
      <c r="JZK468"/>
      <c r="JZL468"/>
      <c r="JZM468"/>
      <c r="JZN468"/>
      <c r="JZO468"/>
      <c r="JZP468"/>
      <c r="JZQ468"/>
      <c r="JZR468"/>
      <c r="JZS468"/>
      <c r="JZT468"/>
      <c r="JZU468"/>
      <c r="JZV468"/>
      <c r="JZW468"/>
      <c r="JZX468"/>
      <c r="JZY468"/>
      <c r="JZZ468"/>
      <c r="KAA468"/>
      <c r="KAB468"/>
      <c r="KAC468"/>
      <c r="KAD468"/>
      <c r="KAE468"/>
      <c r="KAF468"/>
      <c r="KAG468"/>
      <c r="KAH468"/>
      <c r="KAI468"/>
      <c r="KAJ468"/>
      <c r="KAK468"/>
      <c r="KAL468"/>
      <c r="KAM468"/>
      <c r="KAN468"/>
      <c r="KAO468"/>
      <c r="KAP468"/>
      <c r="KAQ468"/>
      <c r="KAR468"/>
      <c r="KAS468"/>
      <c r="KAT468"/>
      <c r="KAU468"/>
      <c r="KAV468"/>
      <c r="KAW468"/>
      <c r="KAX468"/>
      <c r="KAY468"/>
      <c r="KAZ468"/>
      <c r="KBA468"/>
      <c r="KBB468"/>
      <c r="KBC468"/>
      <c r="KBD468"/>
      <c r="KBE468"/>
      <c r="KBF468"/>
      <c r="KBG468"/>
      <c r="KBH468"/>
      <c r="KBI468"/>
      <c r="KBJ468"/>
      <c r="KBK468"/>
      <c r="KBL468"/>
      <c r="KBM468"/>
      <c r="KBN468"/>
      <c r="KBO468"/>
      <c r="KBP468"/>
      <c r="KBQ468"/>
      <c r="KBR468"/>
      <c r="KBS468"/>
      <c r="KBT468"/>
      <c r="KBU468"/>
      <c r="KBV468"/>
      <c r="KBW468"/>
      <c r="KBX468"/>
      <c r="KBY468"/>
      <c r="KBZ468"/>
      <c r="KCA468"/>
      <c r="KCB468"/>
      <c r="KCC468"/>
      <c r="KCD468"/>
      <c r="KCE468"/>
      <c r="KCF468"/>
      <c r="KCG468"/>
      <c r="KCH468"/>
      <c r="KCI468"/>
      <c r="KCJ468"/>
      <c r="KCK468"/>
      <c r="KCL468"/>
      <c r="KCM468"/>
      <c r="KCN468"/>
      <c r="KCO468"/>
      <c r="KCP468"/>
      <c r="KCQ468"/>
      <c r="KCR468"/>
      <c r="KCS468"/>
      <c r="KCT468"/>
      <c r="KCU468"/>
      <c r="KCV468"/>
      <c r="KCW468"/>
      <c r="KCX468"/>
      <c r="KCY468"/>
      <c r="KCZ468"/>
      <c r="KDA468"/>
      <c r="KDB468"/>
      <c r="KDC468"/>
      <c r="KDD468"/>
      <c r="KDE468"/>
      <c r="KDF468"/>
      <c r="KDG468"/>
      <c r="KDH468"/>
      <c r="KDI468"/>
      <c r="KDJ468"/>
      <c r="KDK468"/>
      <c r="KDL468"/>
      <c r="KDM468"/>
      <c r="KDN468"/>
      <c r="KDO468"/>
      <c r="KDP468"/>
      <c r="KDQ468"/>
      <c r="KDR468"/>
      <c r="KDS468"/>
      <c r="KDT468"/>
      <c r="KDU468"/>
      <c r="KDV468"/>
      <c r="KDW468"/>
      <c r="KDX468"/>
      <c r="KDY468"/>
      <c r="KDZ468"/>
      <c r="KEA468"/>
      <c r="KEB468"/>
      <c r="KEC468"/>
      <c r="KED468"/>
      <c r="KEE468"/>
      <c r="KEF468"/>
      <c r="KEG468"/>
      <c r="KEH468"/>
      <c r="KEI468"/>
      <c r="KEJ468"/>
      <c r="KEK468"/>
      <c r="KEL468"/>
      <c r="KEM468"/>
      <c r="KEN468"/>
      <c r="KEO468"/>
      <c r="KEP468"/>
      <c r="KEQ468"/>
      <c r="KER468"/>
      <c r="KES468"/>
      <c r="KET468"/>
      <c r="KEU468"/>
      <c r="KEV468"/>
      <c r="KEW468"/>
      <c r="KEX468"/>
      <c r="KEY468"/>
      <c r="KEZ468"/>
      <c r="KFA468"/>
      <c r="KFB468"/>
      <c r="KFC468"/>
      <c r="KFD468"/>
      <c r="KFE468"/>
      <c r="KFF468"/>
      <c r="KFG468"/>
      <c r="KFH468"/>
      <c r="KFI468"/>
      <c r="KFJ468"/>
      <c r="KFK468"/>
      <c r="KFL468"/>
      <c r="KFM468"/>
      <c r="KFN468"/>
      <c r="KFO468"/>
      <c r="KFP468"/>
      <c r="KFQ468"/>
      <c r="KFR468"/>
      <c r="KFS468"/>
      <c r="KFT468"/>
      <c r="KFU468"/>
      <c r="KFV468"/>
      <c r="KFW468"/>
      <c r="KFX468"/>
      <c r="KFY468"/>
      <c r="KFZ468"/>
      <c r="KGA468"/>
      <c r="KGB468"/>
      <c r="KGC468"/>
      <c r="KGD468"/>
      <c r="KGE468"/>
      <c r="KGF468"/>
      <c r="KGG468"/>
      <c r="KGH468"/>
      <c r="KGI468"/>
      <c r="KGJ468"/>
      <c r="KGK468"/>
      <c r="KGL468"/>
      <c r="KGM468"/>
      <c r="KGN468"/>
      <c r="KGO468"/>
      <c r="KGP468"/>
      <c r="KGQ468"/>
      <c r="KGR468"/>
      <c r="KGS468"/>
      <c r="KGT468"/>
      <c r="KGU468"/>
      <c r="KGV468"/>
      <c r="KGW468"/>
      <c r="KGX468"/>
      <c r="KGY468"/>
      <c r="KGZ468"/>
      <c r="KHA468"/>
      <c r="KHB468"/>
      <c r="KHC468"/>
      <c r="KHD468"/>
      <c r="KHE468"/>
      <c r="KHF468"/>
      <c r="KHG468"/>
      <c r="KHH468"/>
      <c r="KHI468"/>
      <c r="KHJ468"/>
      <c r="KHK468"/>
      <c r="KHL468"/>
      <c r="KHM468"/>
      <c r="KHN468"/>
      <c r="KHO468"/>
      <c r="KHP468"/>
      <c r="KHQ468"/>
      <c r="KHR468"/>
      <c r="KHS468"/>
      <c r="KHT468"/>
      <c r="KHU468"/>
      <c r="KHV468"/>
      <c r="KHW468"/>
      <c r="KHX468"/>
      <c r="KHY468"/>
      <c r="KHZ468"/>
      <c r="KIA468"/>
      <c r="KIB468"/>
      <c r="KIC468"/>
      <c r="KID468"/>
      <c r="KIE468"/>
      <c r="KIF468"/>
      <c r="KIG468"/>
      <c r="KIH468"/>
      <c r="KII468"/>
      <c r="KIJ468"/>
      <c r="KIK468"/>
      <c r="KIL468"/>
      <c r="KIM468"/>
      <c r="KIN468"/>
      <c r="KIO468"/>
      <c r="KIP468"/>
      <c r="KIQ468"/>
      <c r="KIR468"/>
      <c r="KIS468"/>
      <c r="KIT468"/>
      <c r="KIU468"/>
      <c r="KIV468"/>
      <c r="KIW468"/>
      <c r="KIX468"/>
      <c r="KIY468"/>
      <c r="KIZ468"/>
      <c r="KJA468"/>
      <c r="KJB468"/>
      <c r="KJC468"/>
      <c r="KJD468"/>
      <c r="KJE468"/>
      <c r="KJF468"/>
      <c r="KJG468"/>
      <c r="KJH468"/>
      <c r="KJI468"/>
      <c r="KJJ468"/>
      <c r="KJK468"/>
      <c r="KJL468"/>
      <c r="KJM468"/>
      <c r="KJN468"/>
      <c r="KJO468"/>
      <c r="KJP468"/>
      <c r="KJQ468"/>
      <c r="KJR468"/>
      <c r="KJS468"/>
      <c r="KJT468"/>
      <c r="KJU468"/>
      <c r="KJV468"/>
      <c r="KJW468"/>
      <c r="KJX468"/>
      <c r="KJY468"/>
      <c r="KJZ468"/>
      <c r="KKA468"/>
      <c r="KKB468"/>
      <c r="KKC468"/>
      <c r="KKD468"/>
      <c r="KKE468"/>
      <c r="KKF468"/>
      <c r="KKG468"/>
      <c r="KKH468"/>
      <c r="KKI468"/>
      <c r="KKJ468"/>
      <c r="KKK468"/>
      <c r="KKL468"/>
      <c r="KKM468"/>
      <c r="KKN468"/>
      <c r="KKO468"/>
      <c r="KKP468"/>
      <c r="KKQ468"/>
      <c r="KKR468"/>
      <c r="KKS468"/>
      <c r="KKT468"/>
      <c r="KKU468"/>
      <c r="KKV468"/>
      <c r="KKW468"/>
      <c r="KKX468"/>
      <c r="KKY468"/>
      <c r="KKZ468"/>
      <c r="KLA468"/>
      <c r="KLB468"/>
      <c r="KLC468"/>
      <c r="KLD468"/>
      <c r="KLE468"/>
      <c r="KLF468"/>
      <c r="KLG468"/>
      <c r="KLH468"/>
      <c r="KLI468"/>
      <c r="KLJ468"/>
      <c r="KLK468"/>
      <c r="KLL468"/>
      <c r="KLM468"/>
      <c r="KLN468"/>
      <c r="KLO468"/>
      <c r="KLP468"/>
      <c r="KLQ468"/>
      <c r="KLR468"/>
      <c r="KLS468"/>
      <c r="KLT468"/>
      <c r="KLU468"/>
      <c r="KLV468"/>
      <c r="KLW468"/>
      <c r="KLX468"/>
      <c r="KLY468"/>
      <c r="KLZ468"/>
      <c r="KMA468"/>
      <c r="KMB468"/>
      <c r="KMC468"/>
      <c r="KMD468"/>
      <c r="KME468"/>
      <c r="KMF468"/>
      <c r="KMG468"/>
      <c r="KMH468"/>
      <c r="KMI468"/>
      <c r="KMJ468"/>
      <c r="KMK468"/>
      <c r="KML468"/>
      <c r="KMM468"/>
      <c r="KMN468"/>
      <c r="KMO468"/>
      <c r="KMP468"/>
      <c r="KMQ468"/>
      <c r="KMR468"/>
      <c r="KMS468"/>
      <c r="KMT468"/>
      <c r="KMU468"/>
      <c r="KMV468"/>
      <c r="KMW468"/>
      <c r="KMX468"/>
      <c r="KMY468"/>
      <c r="KMZ468"/>
      <c r="KNA468"/>
      <c r="KNB468"/>
      <c r="KNC468"/>
      <c r="KND468"/>
      <c r="KNE468"/>
      <c r="KNF468"/>
      <c r="KNG468"/>
      <c r="KNH468"/>
      <c r="KNI468"/>
      <c r="KNJ468"/>
      <c r="KNK468"/>
      <c r="KNL468"/>
      <c r="KNM468"/>
      <c r="KNN468"/>
      <c r="KNO468"/>
      <c r="KNP468"/>
      <c r="KNQ468"/>
      <c r="KNR468"/>
      <c r="KNS468"/>
      <c r="KNT468"/>
      <c r="KNU468"/>
      <c r="KNV468"/>
      <c r="KNW468"/>
      <c r="KNX468"/>
      <c r="KNY468"/>
      <c r="KNZ468"/>
      <c r="KOA468"/>
      <c r="KOB468"/>
      <c r="KOC468"/>
      <c r="KOD468"/>
      <c r="KOE468"/>
      <c r="KOF468"/>
      <c r="KOG468"/>
      <c r="KOH468"/>
      <c r="KOI468"/>
      <c r="KOJ468"/>
      <c r="KOK468"/>
      <c r="KOL468"/>
      <c r="KOM468"/>
      <c r="KON468"/>
      <c r="KOO468"/>
      <c r="KOP468"/>
      <c r="KOQ468"/>
      <c r="KOR468"/>
      <c r="KOS468"/>
      <c r="KOT468"/>
      <c r="KOU468"/>
      <c r="KOV468"/>
      <c r="KOW468"/>
      <c r="KOX468"/>
      <c r="KOY468"/>
      <c r="KOZ468"/>
      <c r="KPA468"/>
      <c r="KPB468"/>
      <c r="KPC468"/>
      <c r="KPD468"/>
      <c r="KPE468"/>
      <c r="KPF468"/>
      <c r="KPG468"/>
      <c r="KPH468"/>
      <c r="KPI468"/>
      <c r="KPJ468"/>
      <c r="KPK468"/>
      <c r="KPL468"/>
      <c r="KPM468"/>
      <c r="KPN468"/>
      <c r="KPO468"/>
      <c r="KPP468"/>
      <c r="KPQ468"/>
      <c r="KPR468"/>
      <c r="KPS468"/>
      <c r="KPT468"/>
      <c r="KPU468"/>
      <c r="KPV468"/>
      <c r="KPW468"/>
      <c r="KPX468"/>
      <c r="KPY468"/>
      <c r="KPZ468"/>
      <c r="KQA468"/>
      <c r="KQB468"/>
      <c r="KQC468"/>
      <c r="KQD468"/>
      <c r="KQE468"/>
      <c r="KQF468"/>
      <c r="KQG468"/>
      <c r="KQH468"/>
      <c r="KQI468"/>
      <c r="KQJ468"/>
      <c r="KQK468"/>
      <c r="KQL468"/>
      <c r="KQM468"/>
      <c r="KQN468"/>
      <c r="KQO468"/>
      <c r="KQP468"/>
      <c r="KQQ468"/>
      <c r="KQR468"/>
      <c r="KQS468"/>
      <c r="KQT468"/>
      <c r="KQU468"/>
      <c r="KQV468"/>
      <c r="KQW468"/>
      <c r="KQX468"/>
      <c r="KQY468"/>
      <c r="KQZ468"/>
      <c r="KRA468"/>
      <c r="KRB468"/>
      <c r="KRC468"/>
      <c r="KRD468"/>
      <c r="KRE468"/>
      <c r="KRF468"/>
      <c r="KRG468"/>
      <c r="KRH468"/>
      <c r="KRI468"/>
      <c r="KRJ468"/>
      <c r="KRK468"/>
      <c r="KRL468"/>
      <c r="KRM468"/>
      <c r="KRN468"/>
      <c r="KRO468"/>
      <c r="KRP468"/>
      <c r="KRQ468"/>
      <c r="KRR468"/>
      <c r="KRS468"/>
      <c r="KRT468"/>
      <c r="KRU468"/>
      <c r="KRV468"/>
      <c r="KRW468"/>
      <c r="KRX468"/>
      <c r="KRY468"/>
      <c r="KRZ468"/>
      <c r="KSA468"/>
      <c r="KSB468"/>
      <c r="KSC468"/>
      <c r="KSD468"/>
      <c r="KSE468"/>
      <c r="KSF468"/>
      <c r="KSG468"/>
      <c r="KSH468"/>
      <c r="KSI468"/>
      <c r="KSJ468"/>
      <c r="KSK468"/>
      <c r="KSL468"/>
      <c r="KSM468"/>
      <c r="KSN468"/>
      <c r="KSO468"/>
      <c r="KSP468"/>
      <c r="KSQ468"/>
      <c r="KSR468"/>
      <c r="KSS468"/>
      <c r="KST468"/>
      <c r="KSU468"/>
      <c r="KSV468"/>
      <c r="KSW468"/>
      <c r="KSX468"/>
      <c r="KSY468"/>
      <c r="KSZ468"/>
      <c r="KTA468"/>
      <c r="KTB468"/>
      <c r="KTC468"/>
      <c r="KTD468"/>
      <c r="KTE468"/>
      <c r="KTF468"/>
      <c r="KTG468"/>
      <c r="KTH468"/>
      <c r="KTI468"/>
      <c r="KTJ468"/>
      <c r="KTK468"/>
      <c r="KTL468"/>
      <c r="KTM468"/>
      <c r="KTN468"/>
      <c r="KTO468"/>
      <c r="KTP468"/>
      <c r="KTQ468"/>
      <c r="KTR468"/>
      <c r="KTS468"/>
      <c r="KTT468"/>
      <c r="KTU468"/>
      <c r="KTV468"/>
      <c r="KTW468"/>
      <c r="KTX468"/>
      <c r="KTY468"/>
      <c r="KTZ468"/>
      <c r="KUA468"/>
      <c r="KUB468"/>
      <c r="KUC468"/>
      <c r="KUD468"/>
      <c r="KUE468"/>
      <c r="KUF468"/>
      <c r="KUG468"/>
      <c r="KUH468"/>
      <c r="KUI468"/>
      <c r="KUJ468"/>
      <c r="KUK468"/>
      <c r="KUL468"/>
      <c r="KUM468"/>
      <c r="KUN468"/>
      <c r="KUO468"/>
      <c r="KUP468"/>
      <c r="KUQ468"/>
      <c r="KUR468"/>
      <c r="KUS468"/>
      <c r="KUT468"/>
      <c r="KUU468"/>
      <c r="KUV468"/>
      <c r="KUW468"/>
      <c r="KUX468"/>
      <c r="KUY468"/>
      <c r="KUZ468"/>
      <c r="KVA468"/>
      <c r="KVB468"/>
      <c r="KVC468"/>
      <c r="KVD468"/>
      <c r="KVE468"/>
      <c r="KVF468"/>
      <c r="KVG468"/>
      <c r="KVH468"/>
      <c r="KVI468"/>
      <c r="KVJ468"/>
      <c r="KVK468"/>
      <c r="KVL468"/>
      <c r="KVM468"/>
      <c r="KVN468"/>
      <c r="KVO468"/>
      <c r="KVP468"/>
      <c r="KVQ468"/>
      <c r="KVR468"/>
      <c r="KVS468"/>
      <c r="KVT468"/>
      <c r="KVU468"/>
      <c r="KVV468"/>
      <c r="KVW468"/>
      <c r="KVX468"/>
      <c r="KVY468"/>
      <c r="KVZ468"/>
      <c r="KWA468"/>
      <c r="KWB468"/>
      <c r="KWC468"/>
      <c r="KWD468"/>
      <c r="KWE468"/>
      <c r="KWF468"/>
      <c r="KWG468"/>
      <c r="KWH468"/>
      <c r="KWI468"/>
      <c r="KWJ468"/>
      <c r="KWK468"/>
      <c r="KWL468"/>
      <c r="KWM468"/>
      <c r="KWN468"/>
      <c r="KWO468"/>
      <c r="KWP468"/>
      <c r="KWQ468"/>
      <c r="KWR468"/>
      <c r="KWS468"/>
      <c r="KWT468"/>
      <c r="KWU468"/>
      <c r="KWV468"/>
      <c r="KWW468"/>
      <c r="KWX468"/>
      <c r="KWY468"/>
      <c r="KWZ468"/>
      <c r="KXA468"/>
      <c r="KXB468"/>
      <c r="KXC468"/>
      <c r="KXD468"/>
      <c r="KXE468"/>
      <c r="KXF468"/>
      <c r="KXG468"/>
      <c r="KXH468"/>
      <c r="KXI468"/>
      <c r="KXJ468"/>
      <c r="KXK468"/>
      <c r="KXL468"/>
      <c r="KXM468"/>
      <c r="KXN468"/>
      <c r="KXO468"/>
      <c r="KXP468"/>
      <c r="KXQ468"/>
      <c r="KXR468"/>
      <c r="KXS468"/>
      <c r="KXT468"/>
      <c r="KXU468"/>
      <c r="KXV468"/>
      <c r="KXW468"/>
      <c r="KXX468"/>
      <c r="KXY468"/>
      <c r="KXZ468"/>
      <c r="KYA468"/>
      <c r="KYB468"/>
      <c r="KYC468"/>
      <c r="KYD468"/>
      <c r="KYE468"/>
      <c r="KYF468"/>
      <c r="KYG468"/>
      <c r="KYH468"/>
      <c r="KYI468"/>
      <c r="KYJ468"/>
      <c r="KYK468"/>
      <c r="KYL468"/>
      <c r="KYM468"/>
      <c r="KYN468"/>
      <c r="KYO468"/>
      <c r="KYP468"/>
      <c r="KYQ468"/>
      <c r="KYR468"/>
      <c r="KYS468"/>
      <c r="KYT468"/>
      <c r="KYU468"/>
      <c r="KYV468"/>
      <c r="KYW468"/>
      <c r="KYX468"/>
      <c r="KYY468"/>
      <c r="KYZ468"/>
      <c r="KZA468"/>
      <c r="KZB468"/>
      <c r="KZC468"/>
      <c r="KZD468"/>
      <c r="KZE468"/>
      <c r="KZF468"/>
      <c r="KZG468"/>
      <c r="KZH468"/>
      <c r="KZI468"/>
      <c r="KZJ468"/>
      <c r="KZK468"/>
      <c r="KZL468"/>
      <c r="KZM468"/>
      <c r="KZN468"/>
      <c r="KZO468"/>
      <c r="KZP468"/>
      <c r="KZQ468"/>
      <c r="KZR468"/>
      <c r="KZS468"/>
      <c r="KZT468"/>
      <c r="KZU468"/>
      <c r="KZV468"/>
      <c r="KZW468"/>
      <c r="KZX468"/>
      <c r="KZY468"/>
      <c r="KZZ468"/>
      <c r="LAA468"/>
      <c r="LAB468"/>
      <c r="LAC468"/>
      <c r="LAD468"/>
      <c r="LAE468"/>
      <c r="LAF468"/>
      <c r="LAG468"/>
      <c r="LAH468"/>
      <c r="LAI468"/>
      <c r="LAJ468"/>
      <c r="LAK468"/>
      <c r="LAL468"/>
      <c r="LAM468"/>
      <c r="LAN468"/>
      <c r="LAO468"/>
      <c r="LAP468"/>
      <c r="LAQ468"/>
      <c r="LAR468"/>
      <c r="LAS468"/>
      <c r="LAT468"/>
      <c r="LAU468"/>
      <c r="LAV468"/>
      <c r="LAW468"/>
      <c r="LAX468"/>
      <c r="LAY468"/>
      <c r="LAZ468"/>
      <c r="LBA468"/>
      <c r="LBB468"/>
      <c r="LBC468"/>
      <c r="LBD468"/>
      <c r="LBE468"/>
      <c r="LBF468"/>
      <c r="LBG468"/>
      <c r="LBH468"/>
      <c r="LBI468"/>
      <c r="LBJ468"/>
      <c r="LBK468"/>
      <c r="LBL468"/>
      <c r="LBM468"/>
      <c r="LBN468"/>
      <c r="LBO468"/>
      <c r="LBP468"/>
      <c r="LBQ468"/>
      <c r="LBR468"/>
      <c r="LBS468"/>
      <c r="LBT468"/>
      <c r="LBU468"/>
      <c r="LBV468"/>
      <c r="LBW468"/>
      <c r="LBX468"/>
      <c r="LBY468"/>
      <c r="LBZ468"/>
      <c r="LCA468"/>
      <c r="LCB468"/>
      <c r="LCC468"/>
      <c r="LCD468"/>
      <c r="LCE468"/>
      <c r="LCF468"/>
      <c r="LCG468"/>
      <c r="LCH468"/>
      <c r="LCI468"/>
      <c r="LCJ468"/>
      <c r="LCK468"/>
      <c r="LCL468"/>
      <c r="LCM468"/>
      <c r="LCN468"/>
      <c r="LCO468"/>
      <c r="LCP468"/>
      <c r="LCQ468"/>
      <c r="LCR468"/>
      <c r="LCS468"/>
      <c r="LCT468"/>
      <c r="LCU468"/>
      <c r="LCV468"/>
      <c r="LCW468"/>
      <c r="LCX468"/>
      <c r="LCY468"/>
      <c r="LCZ468"/>
      <c r="LDA468"/>
      <c r="LDB468"/>
      <c r="LDC468"/>
      <c r="LDD468"/>
      <c r="LDE468"/>
      <c r="LDF468"/>
      <c r="LDG468"/>
      <c r="LDH468"/>
      <c r="LDI468"/>
      <c r="LDJ468"/>
      <c r="LDK468"/>
      <c r="LDL468"/>
      <c r="LDM468"/>
      <c r="LDN468"/>
      <c r="LDO468"/>
      <c r="LDP468"/>
      <c r="LDQ468"/>
      <c r="LDR468"/>
      <c r="LDS468"/>
      <c r="LDT468"/>
      <c r="LDU468"/>
      <c r="LDV468"/>
      <c r="LDW468"/>
      <c r="LDX468"/>
      <c r="LDY468"/>
      <c r="LDZ468"/>
      <c r="LEA468"/>
      <c r="LEB468"/>
      <c r="LEC468"/>
      <c r="LED468"/>
      <c r="LEE468"/>
      <c r="LEF468"/>
      <c r="LEG468"/>
      <c r="LEH468"/>
      <c r="LEI468"/>
      <c r="LEJ468"/>
      <c r="LEK468"/>
      <c r="LEL468"/>
      <c r="LEM468"/>
      <c r="LEN468"/>
      <c r="LEO468"/>
      <c r="LEP468"/>
      <c r="LEQ468"/>
      <c r="LER468"/>
      <c r="LES468"/>
      <c r="LET468"/>
      <c r="LEU468"/>
      <c r="LEV468"/>
      <c r="LEW468"/>
      <c r="LEX468"/>
      <c r="LEY468"/>
      <c r="LEZ468"/>
      <c r="LFA468"/>
      <c r="LFB468"/>
      <c r="LFC468"/>
      <c r="LFD468"/>
      <c r="LFE468"/>
      <c r="LFF468"/>
      <c r="LFG468"/>
      <c r="LFH468"/>
      <c r="LFI468"/>
      <c r="LFJ468"/>
      <c r="LFK468"/>
      <c r="LFL468"/>
      <c r="LFM468"/>
      <c r="LFN468"/>
      <c r="LFO468"/>
      <c r="LFP468"/>
      <c r="LFQ468"/>
      <c r="LFR468"/>
      <c r="LFS468"/>
      <c r="LFT468"/>
      <c r="LFU468"/>
      <c r="LFV468"/>
      <c r="LFW468"/>
      <c r="LFX468"/>
      <c r="LFY468"/>
      <c r="LFZ468"/>
      <c r="LGA468"/>
      <c r="LGB468"/>
      <c r="LGC468"/>
      <c r="LGD468"/>
      <c r="LGE468"/>
      <c r="LGF468"/>
      <c r="LGG468"/>
      <c r="LGH468"/>
      <c r="LGI468"/>
      <c r="LGJ468"/>
      <c r="LGK468"/>
      <c r="LGL468"/>
      <c r="LGM468"/>
      <c r="LGN468"/>
      <c r="LGO468"/>
      <c r="LGP468"/>
      <c r="LGQ468"/>
      <c r="LGR468"/>
      <c r="LGS468"/>
      <c r="LGT468"/>
      <c r="LGU468"/>
      <c r="LGV468"/>
      <c r="LGW468"/>
      <c r="LGX468"/>
      <c r="LGY468"/>
      <c r="LGZ468"/>
      <c r="LHA468"/>
      <c r="LHB468"/>
      <c r="LHC468"/>
      <c r="LHD468"/>
      <c r="LHE468"/>
      <c r="LHF468"/>
      <c r="LHG468"/>
      <c r="LHH468"/>
      <c r="LHI468"/>
      <c r="LHJ468"/>
      <c r="LHK468"/>
      <c r="LHL468"/>
      <c r="LHM468"/>
      <c r="LHN468"/>
      <c r="LHO468"/>
      <c r="LHP468"/>
      <c r="LHQ468"/>
      <c r="LHR468"/>
      <c r="LHS468"/>
      <c r="LHT468"/>
      <c r="LHU468"/>
      <c r="LHV468"/>
      <c r="LHW468"/>
      <c r="LHX468"/>
      <c r="LHY468"/>
      <c r="LHZ468"/>
      <c r="LIA468"/>
      <c r="LIB468"/>
      <c r="LIC468"/>
      <c r="LID468"/>
      <c r="LIE468"/>
      <c r="LIF468"/>
      <c r="LIG468"/>
      <c r="LIH468"/>
      <c r="LII468"/>
      <c r="LIJ468"/>
      <c r="LIK468"/>
      <c r="LIL468"/>
      <c r="LIM468"/>
      <c r="LIN468"/>
      <c r="LIO468"/>
      <c r="LIP468"/>
      <c r="LIQ468"/>
      <c r="LIR468"/>
      <c r="LIS468"/>
      <c r="LIT468"/>
      <c r="LIU468"/>
      <c r="LIV468"/>
      <c r="LIW468"/>
      <c r="LIX468"/>
      <c r="LIY468"/>
      <c r="LIZ468"/>
      <c r="LJA468"/>
      <c r="LJB468"/>
      <c r="LJC468"/>
      <c r="LJD468"/>
      <c r="LJE468"/>
      <c r="LJF468"/>
      <c r="LJG468"/>
      <c r="LJH468"/>
      <c r="LJI468"/>
      <c r="LJJ468"/>
      <c r="LJK468"/>
      <c r="LJL468"/>
      <c r="LJM468"/>
      <c r="LJN468"/>
      <c r="LJO468"/>
      <c r="LJP468"/>
      <c r="LJQ468"/>
      <c r="LJR468"/>
      <c r="LJS468"/>
      <c r="LJT468"/>
      <c r="LJU468"/>
      <c r="LJV468"/>
      <c r="LJW468"/>
      <c r="LJX468"/>
      <c r="LJY468"/>
      <c r="LJZ468"/>
      <c r="LKA468"/>
      <c r="LKB468"/>
      <c r="LKC468"/>
      <c r="LKD468"/>
      <c r="LKE468"/>
      <c r="LKF468"/>
      <c r="LKG468"/>
      <c r="LKH468"/>
      <c r="LKI468"/>
      <c r="LKJ468"/>
      <c r="LKK468"/>
      <c r="LKL468"/>
      <c r="LKM468"/>
      <c r="LKN468"/>
      <c r="LKO468"/>
      <c r="LKP468"/>
      <c r="LKQ468"/>
      <c r="LKR468"/>
      <c r="LKS468"/>
      <c r="LKT468"/>
      <c r="LKU468"/>
      <c r="LKV468"/>
      <c r="LKW468"/>
      <c r="LKX468"/>
      <c r="LKY468"/>
      <c r="LKZ468"/>
      <c r="LLA468"/>
      <c r="LLB468"/>
      <c r="LLC468"/>
      <c r="LLD468"/>
      <c r="LLE468"/>
      <c r="LLF468"/>
      <c r="LLG468"/>
      <c r="LLH468"/>
      <c r="LLI468"/>
      <c r="LLJ468"/>
      <c r="LLK468"/>
      <c r="LLL468"/>
      <c r="LLM468"/>
      <c r="LLN468"/>
      <c r="LLO468"/>
      <c r="LLP468"/>
      <c r="LLQ468"/>
      <c r="LLR468"/>
      <c r="LLS468"/>
      <c r="LLT468"/>
      <c r="LLU468"/>
      <c r="LLV468"/>
      <c r="LLW468"/>
      <c r="LLX468"/>
      <c r="LLY468"/>
      <c r="LLZ468"/>
      <c r="LMA468"/>
      <c r="LMB468"/>
      <c r="LMC468"/>
      <c r="LMD468"/>
      <c r="LME468"/>
      <c r="LMF468"/>
      <c r="LMG468"/>
      <c r="LMH468"/>
      <c r="LMI468"/>
      <c r="LMJ468"/>
      <c r="LMK468"/>
      <c r="LML468"/>
      <c r="LMM468"/>
      <c r="LMN468"/>
      <c r="LMO468"/>
      <c r="LMP468"/>
      <c r="LMQ468"/>
      <c r="LMR468"/>
      <c r="LMS468"/>
      <c r="LMT468"/>
      <c r="LMU468"/>
      <c r="LMV468"/>
      <c r="LMW468"/>
      <c r="LMX468"/>
      <c r="LMY468"/>
      <c r="LMZ468"/>
      <c r="LNA468"/>
      <c r="LNB468"/>
      <c r="LNC468"/>
      <c r="LND468"/>
      <c r="LNE468"/>
      <c r="LNF468"/>
      <c r="LNG468"/>
      <c r="LNH468"/>
      <c r="LNI468"/>
      <c r="LNJ468"/>
      <c r="LNK468"/>
      <c r="LNL468"/>
      <c r="LNM468"/>
      <c r="LNN468"/>
      <c r="LNO468"/>
      <c r="LNP468"/>
      <c r="LNQ468"/>
      <c r="LNR468"/>
      <c r="LNS468"/>
      <c r="LNT468"/>
      <c r="LNU468"/>
      <c r="LNV468"/>
      <c r="LNW468"/>
      <c r="LNX468"/>
      <c r="LNY468"/>
      <c r="LNZ468"/>
      <c r="LOA468"/>
      <c r="LOB468"/>
      <c r="LOC468"/>
      <c r="LOD468"/>
      <c r="LOE468"/>
      <c r="LOF468"/>
      <c r="LOG468"/>
      <c r="LOH468"/>
      <c r="LOI468"/>
      <c r="LOJ468"/>
      <c r="LOK468"/>
      <c r="LOL468"/>
      <c r="LOM468"/>
      <c r="LON468"/>
      <c r="LOO468"/>
      <c r="LOP468"/>
      <c r="LOQ468"/>
      <c r="LOR468"/>
      <c r="LOS468"/>
      <c r="LOT468"/>
      <c r="LOU468"/>
      <c r="LOV468"/>
      <c r="LOW468"/>
      <c r="LOX468"/>
      <c r="LOY468"/>
      <c r="LOZ468"/>
      <c r="LPA468"/>
      <c r="LPB468"/>
      <c r="LPC468"/>
      <c r="LPD468"/>
      <c r="LPE468"/>
      <c r="LPF468"/>
      <c r="LPG468"/>
      <c r="LPH468"/>
      <c r="LPI468"/>
      <c r="LPJ468"/>
      <c r="LPK468"/>
      <c r="LPL468"/>
      <c r="LPM468"/>
      <c r="LPN468"/>
      <c r="LPO468"/>
      <c r="LPP468"/>
      <c r="LPQ468"/>
      <c r="LPR468"/>
      <c r="LPS468"/>
      <c r="LPT468"/>
      <c r="LPU468"/>
      <c r="LPV468"/>
      <c r="LPW468"/>
      <c r="LPX468"/>
      <c r="LPY468"/>
      <c r="LPZ468"/>
      <c r="LQA468"/>
      <c r="LQB468"/>
      <c r="LQC468"/>
      <c r="LQD468"/>
      <c r="LQE468"/>
      <c r="LQF468"/>
      <c r="LQG468"/>
      <c r="LQH468"/>
      <c r="LQI468"/>
      <c r="LQJ468"/>
      <c r="LQK468"/>
      <c r="LQL468"/>
      <c r="LQM468"/>
      <c r="LQN468"/>
      <c r="LQO468"/>
      <c r="LQP468"/>
      <c r="LQQ468"/>
      <c r="LQR468"/>
      <c r="LQS468"/>
      <c r="LQT468"/>
      <c r="LQU468"/>
      <c r="LQV468"/>
      <c r="LQW468"/>
      <c r="LQX468"/>
      <c r="LQY468"/>
      <c r="LQZ468"/>
      <c r="LRA468"/>
      <c r="LRB468"/>
      <c r="LRC468"/>
      <c r="LRD468"/>
      <c r="LRE468"/>
      <c r="LRF468"/>
      <c r="LRG468"/>
      <c r="LRH468"/>
      <c r="LRI468"/>
      <c r="LRJ468"/>
      <c r="LRK468"/>
      <c r="LRL468"/>
      <c r="LRM468"/>
      <c r="LRN468"/>
      <c r="LRO468"/>
      <c r="LRP468"/>
      <c r="LRQ468"/>
      <c r="LRR468"/>
      <c r="LRS468"/>
      <c r="LRT468"/>
      <c r="LRU468"/>
      <c r="LRV468"/>
      <c r="LRW468"/>
      <c r="LRX468"/>
      <c r="LRY468"/>
      <c r="LRZ468"/>
      <c r="LSA468"/>
      <c r="LSB468"/>
      <c r="LSC468"/>
      <c r="LSD468"/>
      <c r="LSE468"/>
      <c r="LSF468"/>
      <c r="LSG468"/>
      <c r="LSH468"/>
      <c r="LSI468"/>
      <c r="LSJ468"/>
      <c r="LSK468"/>
      <c r="LSL468"/>
      <c r="LSM468"/>
      <c r="LSN468"/>
      <c r="LSO468"/>
      <c r="LSP468"/>
      <c r="LSQ468"/>
      <c r="LSR468"/>
      <c r="LSS468"/>
      <c r="LST468"/>
      <c r="LSU468"/>
      <c r="LSV468"/>
      <c r="LSW468"/>
      <c r="LSX468"/>
      <c r="LSY468"/>
      <c r="LSZ468"/>
      <c r="LTA468"/>
      <c r="LTB468"/>
      <c r="LTC468"/>
      <c r="LTD468"/>
      <c r="LTE468"/>
      <c r="LTF468"/>
      <c r="LTG468"/>
      <c r="LTH468"/>
      <c r="LTI468"/>
      <c r="LTJ468"/>
      <c r="LTK468"/>
      <c r="LTL468"/>
      <c r="LTM468"/>
      <c r="LTN468"/>
      <c r="LTO468"/>
      <c r="LTP468"/>
      <c r="LTQ468"/>
      <c r="LTR468"/>
      <c r="LTS468"/>
      <c r="LTT468"/>
      <c r="LTU468"/>
      <c r="LTV468"/>
      <c r="LTW468"/>
      <c r="LTX468"/>
      <c r="LTY468"/>
      <c r="LTZ468"/>
      <c r="LUA468"/>
      <c r="LUB468"/>
      <c r="LUC468"/>
      <c r="LUD468"/>
      <c r="LUE468"/>
      <c r="LUF468"/>
      <c r="LUG468"/>
      <c r="LUH468"/>
      <c r="LUI468"/>
      <c r="LUJ468"/>
      <c r="LUK468"/>
      <c r="LUL468"/>
      <c r="LUM468"/>
      <c r="LUN468"/>
      <c r="LUO468"/>
      <c r="LUP468"/>
      <c r="LUQ468"/>
      <c r="LUR468"/>
      <c r="LUS468"/>
      <c r="LUT468"/>
      <c r="LUU468"/>
      <c r="LUV468"/>
      <c r="LUW468"/>
      <c r="LUX468"/>
      <c r="LUY468"/>
      <c r="LUZ468"/>
      <c r="LVA468"/>
      <c r="LVB468"/>
      <c r="LVC468"/>
      <c r="LVD468"/>
      <c r="LVE468"/>
      <c r="LVF468"/>
      <c r="LVG468"/>
      <c r="LVH468"/>
      <c r="LVI468"/>
      <c r="LVJ468"/>
      <c r="LVK468"/>
      <c r="LVL468"/>
      <c r="LVM468"/>
      <c r="LVN468"/>
      <c r="LVO468"/>
      <c r="LVP468"/>
      <c r="LVQ468"/>
      <c r="LVR468"/>
      <c r="LVS468"/>
      <c r="LVT468"/>
      <c r="LVU468"/>
      <c r="LVV468"/>
      <c r="LVW468"/>
      <c r="LVX468"/>
      <c r="LVY468"/>
      <c r="LVZ468"/>
      <c r="LWA468"/>
      <c r="LWB468"/>
      <c r="LWC468"/>
      <c r="LWD468"/>
      <c r="LWE468"/>
      <c r="LWF468"/>
      <c r="LWG468"/>
      <c r="LWH468"/>
      <c r="LWI468"/>
      <c r="LWJ468"/>
      <c r="LWK468"/>
      <c r="LWL468"/>
      <c r="LWM468"/>
      <c r="LWN468"/>
      <c r="LWO468"/>
      <c r="LWP468"/>
      <c r="LWQ468"/>
      <c r="LWR468"/>
      <c r="LWS468"/>
      <c r="LWT468"/>
      <c r="LWU468"/>
      <c r="LWV468"/>
      <c r="LWW468"/>
      <c r="LWX468"/>
      <c r="LWY468"/>
      <c r="LWZ468"/>
      <c r="LXA468"/>
      <c r="LXB468"/>
      <c r="LXC468"/>
      <c r="LXD468"/>
      <c r="LXE468"/>
      <c r="LXF468"/>
      <c r="LXG468"/>
      <c r="LXH468"/>
      <c r="LXI468"/>
      <c r="LXJ468"/>
      <c r="LXK468"/>
      <c r="LXL468"/>
      <c r="LXM468"/>
      <c r="LXN468"/>
      <c r="LXO468"/>
      <c r="LXP468"/>
      <c r="LXQ468"/>
      <c r="LXR468"/>
      <c r="LXS468"/>
      <c r="LXT468"/>
      <c r="LXU468"/>
      <c r="LXV468"/>
      <c r="LXW468"/>
      <c r="LXX468"/>
      <c r="LXY468"/>
      <c r="LXZ468"/>
      <c r="LYA468"/>
      <c r="LYB468"/>
      <c r="LYC468"/>
      <c r="LYD468"/>
      <c r="LYE468"/>
      <c r="LYF468"/>
      <c r="LYG468"/>
      <c r="LYH468"/>
      <c r="LYI468"/>
      <c r="LYJ468"/>
      <c r="LYK468"/>
      <c r="LYL468"/>
      <c r="LYM468"/>
      <c r="LYN468"/>
      <c r="LYO468"/>
      <c r="LYP468"/>
      <c r="LYQ468"/>
      <c r="LYR468"/>
      <c r="LYS468"/>
      <c r="LYT468"/>
      <c r="LYU468"/>
      <c r="LYV468"/>
      <c r="LYW468"/>
      <c r="LYX468"/>
      <c r="LYY468"/>
      <c r="LYZ468"/>
      <c r="LZA468"/>
      <c r="LZB468"/>
      <c r="LZC468"/>
      <c r="LZD468"/>
      <c r="LZE468"/>
      <c r="LZF468"/>
      <c r="LZG468"/>
      <c r="LZH468"/>
      <c r="LZI468"/>
      <c r="LZJ468"/>
      <c r="LZK468"/>
      <c r="LZL468"/>
      <c r="LZM468"/>
      <c r="LZN468"/>
      <c r="LZO468"/>
      <c r="LZP468"/>
      <c r="LZQ468"/>
      <c r="LZR468"/>
      <c r="LZS468"/>
      <c r="LZT468"/>
      <c r="LZU468"/>
      <c r="LZV468"/>
      <c r="LZW468"/>
      <c r="LZX468"/>
      <c r="LZY468"/>
      <c r="LZZ468"/>
      <c r="MAA468"/>
      <c r="MAB468"/>
      <c r="MAC468"/>
      <c r="MAD468"/>
      <c r="MAE468"/>
      <c r="MAF468"/>
      <c r="MAG468"/>
      <c r="MAH468"/>
      <c r="MAI468"/>
      <c r="MAJ468"/>
      <c r="MAK468"/>
      <c r="MAL468"/>
      <c r="MAM468"/>
      <c r="MAN468"/>
      <c r="MAO468"/>
      <c r="MAP468"/>
      <c r="MAQ468"/>
      <c r="MAR468"/>
      <c r="MAS468"/>
      <c r="MAT468"/>
      <c r="MAU468"/>
      <c r="MAV468"/>
      <c r="MAW468"/>
      <c r="MAX468"/>
      <c r="MAY468"/>
      <c r="MAZ468"/>
      <c r="MBA468"/>
      <c r="MBB468"/>
      <c r="MBC468"/>
      <c r="MBD468"/>
      <c r="MBE468"/>
      <c r="MBF468"/>
      <c r="MBG468"/>
      <c r="MBH468"/>
      <c r="MBI468"/>
      <c r="MBJ468"/>
      <c r="MBK468"/>
      <c r="MBL468"/>
      <c r="MBM468"/>
      <c r="MBN468"/>
      <c r="MBO468"/>
      <c r="MBP468"/>
      <c r="MBQ468"/>
      <c r="MBR468"/>
      <c r="MBS468"/>
      <c r="MBT468"/>
      <c r="MBU468"/>
      <c r="MBV468"/>
      <c r="MBW468"/>
      <c r="MBX468"/>
      <c r="MBY468"/>
      <c r="MBZ468"/>
      <c r="MCA468"/>
      <c r="MCB468"/>
      <c r="MCC468"/>
      <c r="MCD468"/>
      <c r="MCE468"/>
      <c r="MCF468"/>
      <c r="MCG468"/>
      <c r="MCH468"/>
      <c r="MCI468"/>
      <c r="MCJ468"/>
      <c r="MCK468"/>
      <c r="MCL468"/>
      <c r="MCM468"/>
      <c r="MCN468"/>
      <c r="MCO468"/>
      <c r="MCP468"/>
      <c r="MCQ468"/>
      <c r="MCR468"/>
      <c r="MCS468"/>
      <c r="MCT468"/>
      <c r="MCU468"/>
      <c r="MCV468"/>
      <c r="MCW468"/>
      <c r="MCX468"/>
      <c r="MCY468"/>
      <c r="MCZ468"/>
      <c r="MDA468"/>
      <c r="MDB468"/>
      <c r="MDC468"/>
      <c r="MDD468"/>
      <c r="MDE468"/>
      <c r="MDF468"/>
      <c r="MDG468"/>
      <c r="MDH468"/>
      <c r="MDI468"/>
      <c r="MDJ468"/>
      <c r="MDK468"/>
      <c r="MDL468"/>
      <c r="MDM468"/>
      <c r="MDN468"/>
      <c r="MDO468"/>
      <c r="MDP468"/>
      <c r="MDQ468"/>
      <c r="MDR468"/>
      <c r="MDS468"/>
      <c r="MDT468"/>
      <c r="MDU468"/>
      <c r="MDV468"/>
      <c r="MDW468"/>
      <c r="MDX468"/>
      <c r="MDY468"/>
      <c r="MDZ468"/>
      <c r="MEA468"/>
      <c r="MEB468"/>
      <c r="MEC468"/>
      <c r="MED468"/>
      <c r="MEE468"/>
      <c r="MEF468"/>
      <c r="MEG468"/>
      <c r="MEH468"/>
      <c r="MEI468"/>
      <c r="MEJ468"/>
      <c r="MEK468"/>
      <c r="MEL468"/>
      <c r="MEM468"/>
      <c r="MEN468"/>
      <c r="MEO468"/>
      <c r="MEP468"/>
      <c r="MEQ468"/>
      <c r="MER468"/>
      <c r="MES468"/>
      <c r="MET468"/>
      <c r="MEU468"/>
      <c r="MEV468"/>
      <c r="MEW468"/>
      <c r="MEX468"/>
      <c r="MEY468"/>
      <c r="MEZ468"/>
      <c r="MFA468"/>
      <c r="MFB468"/>
      <c r="MFC468"/>
      <c r="MFD468"/>
      <c r="MFE468"/>
      <c r="MFF468"/>
      <c r="MFG468"/>
      <c r="MFH468"/>
      <c r="MFI468"/>
      <c r="MFJ468"/>
      <c r="MFK468"/>
      <c r="MFL468"/>
      <c r="MFM468"/>
      <c r="MFN468"/>
      <c r="MFO468"/>
      <c r="MFP468"/>
      <c r="MFQ468"/>
      <c r="MFR468"/>
      <c r="MFS468"/>
      <c r="MFT468"/>
      <c r="MFU468"/>
      <c r="MFV468"/>
      <c r="MFW468"/>
      <c r="MFX468"/>
      <c r="MFY468"/>
      <c r="MFZ468"/>
      <c r="MGA468"/>
      <c r="MGB468"/>
      <c r="MGC468"/>
      <c r="MGD468"/>
      <c r="MGE468"/>
      <c r="MGF468"/>
      <c r="MGG468"/>
      <c r="MGH468"/>
      <c r="MGI468"/>
      <c r="MGJ468"/>
      <c r="MGK468"/>
      <c r="MGL468"/>
      <c r="MGM468"/>
      <c r="MGN468"/>
      <c r="MGO468"/>
      <c r="MGP468"/>
      <c r="MGQ468"/>
      <c r="MGR468"/>
      <c r="MGS468"/>
      <c r="MGT468"/>
      <c r="MGU468"/>
      <c r="MGV468"/>
      <c r="MGW468"/>
      <c r="MGX468"/>
      <c r="MGY468"/>
      <c r="MGZ468"/>
      <c r="MHA468"/>
      <c r="MHB468"/>
      <c r="MHC468"/>
      <c r="MHD468"/>
      <c r="MHE468"/>
      <c r="MHF468"/>
      <c r="MHG468"/>
      <c r="MHH468"/>
      <c r="MHI468"/>
      <c r="MHJ468"/>
      <c r="MHK468"/>
      <c r="MHL468"/>
      <c r="MHM468"/>
      <c r="MHN468"/>
      <c r="MHO468"/>
      <c r="MHP468"/>
      <c r="MHQ468"/>
      <c r="MHR468"/>
      <c r="MHS468"/>
      <c r="MHT468"/>
      <c r="MHU468"/>
      <c r="MHV468"/>
      <c r="MHW468"/>
      <c r="MHX468"/>
      <c r="MHY468"/>
      <c r="MHZ468"/>
      <c r="MIA468"/>
      <c r="MIB468"/>
      <c r="MIC468"/>
      <c r="MID468"/>
      <c r="MIE468"/>
      <c r="MIF468"/>
      <c r="MIG468"/>
      <c r="MIH468"/>
      <c r="MII468"/>
      <c r="MIJ468"/>
      <c r="MIK468"/>
      <c r="MIL468"/>
      <c r="MIM468"/>
      <c r="MIN468"/>
      <c r="MIO468"/>
      <c r="MIP468"/>
      <c r="MIQ468"/>
      <c r="MIR468"/>
      <c r="MIS468"/>
      <c r="MIT468"/>
      <c r="MIU468"/>
      <c r="MIV468"/>
      <c r="MIW468"/>
      <c r="MIX468"/>
      <c r="MIY468"/>
      <c r="MIZ468"/>
      <c r="MJA468"/>
      <c r="MJB468"/>
      <c r="MJC468"/>
      <c r="MJD468"/>
      <c r="MJE468"/>
      <c r="MJF468"/>
      <c r="MJG468"/>
      <c r="MJH468"/>
      <c r="MJI468"/>
      <c r="MJJ468"/>
      <c r="MJK468"/>
      <c r="MJL468"/>
      <c r="MJM468"/>
      <c r="MJN468"/>
      <c r="MJO468"/>
      <c r="MJP468"/>
      <c r="MJQ468"/>
      <c r="MJR468"/>
      <c r="MJS468"/>
      <c r="MJT468"/>
      <c r="MJU468"/>
      <c r="MJV468"/>
      <c r="MJW468"/>
      <c r="MJX468"/>
      <c r="MJY468"/>
      <c r="MJZ468"/>
      <c r="MKA468"/>
      <c r="MKB468"/>
      <c r="MKC468"/>
      <c r="MKD468"/>
      <c r="MKE468"/>
      <c r="MKF468"/>
      <c r="MKG468"/>
      <c r="MKH468"/>
      <c r="MKI468"/>
      <c r="MKJ468"/>
      <c r="MKK468"/>
      <c r="MKL468"/>
      <c r="MKM468"/>
      <c r="MKN468"/>
      <c r="MKO468"/>
      <c r="MKP468"/>
      <c r="MKQ468"/>
      <c r="MKR468"/>
      <c r="MKS468"/>
      <c r="MKT468"/>
      <c r="MKU468"/>
      <c r="MKV468"/>
      <c r="MKW468"/>
      <c r="MKX468"/>
      <c r="MKY468"/>
      <c r="MKZ468"/>
      <c r="MLA468"/>
      <c r="MLB468"/>
      <c r="MLC468"/>
      <c r="MLD468"/>
      <c r="MLE468"/>
      <c r="MLF468"/>
      <c r="MLG468"/>
      <c r="MLH468"/>
      <c r="MLI468"/>
      <c r="MLJ468"/>
      <c r="MLK468"/>
      <c r="MLL468"/>
      <c r="MLM468"/>
      <c r="MLN468"/>
      <c r="MLO468"/>
      <c r="MLP468"/>
      <c r="MLQ468"/>
      <c r="MLR468"/>
      <c r="MLS468"/>
      <c r="MLT468"/>
      <c r="MLU468"/>
      <c r="MLV468"/>
      <c r="MLW468"/>
      <c r="MLX468"/>
      <c r="MLY468"/>
      <c r="MLZ468"/>
      <c r="MMA468"/>
      <c r="MMB468"/>
      <c r="MMC468"/>
      <c r="MMD468"/>
      <c r="MME468"/>
      <c r="MMF468"/>
      <c r="MMG468"/>
      <c r="MMH468"/>
      <c r="MMI468"/>
      <c r="MMJ468"/>
      <c r="MMK468"/>
      <c r="MML468"/>
      <c r="MMM468"/>
      <c r="MMN468"/>
      <c r="MMO468"/>
      <c r="MMP468"/>
      <c r="MMQ468"/>
      <c r="MMR468"/>
      <c r="MMS468"/>
      <c r="MMT468"/>
      <c r="MMU468"/>
      <c r="MMV468"/>
      <c r="MMW468"/>
      <c r="MMX468"/>
      <c r="MMY468"/>
      <c r="MMZ468"/>
      <c r="MNA468"/>
      <c r="MNB468"/>
      <c r="MNC468"/>
      <c r="MND468"/>
      <c r="MNE468"/>
      <c r="MNF468"/>
      <c r="MNG468"/>
      <c r="MNH468"/>
      <c r="MNI468"/>
      <c r="MNJ468"/>
      <c r="MNK468"/>
      <c r="MNL468"/>
      <c r="MNM468"/>
      <c r="MNN468"/>
      <c r="MNO468"/>
      <c r="MNP468"/>
      <c r="MNQ468"/>
      <c r="MNR468"/>
      <c r="MNS468"/>
      <c r="MNT468"/>
      <c r="MNU468"/>
      <c r="MNV468"/>
      <c r="MNW468"/>
      <c r="MNX468"/>
      <c r="MNY468"/>
      <c r="MNZ468"/>
      <c r="MOA468"/>
      <c r="MOB468"/>
      <c r="MOC468"/>
      <c r="MOD468"/>
      <c r="MOE468"/>
      <c r="MOF468"/>
      <c r="MOG468"/>
      <c r="MOH468"/>
      <c r="MOI468"/>
      <c r="MOJ468"/>
      <c r="MOK468"/>
      <c r="MOL468"/>
      <c r="MOM468"/>
      <c r="MON468"/>
      <c r="MOO468"/>
      <c r="MOP468"/>
      <c r="MOQ468"/>
      <c r="MOR468"/>
      <c r="MOS468"/>
      <c r="MOT468"/>
      <c r="MOU468"/>
      <c r="MOV468"/>
      <c r="MOW468"/>
      <c r="MOX468"/>
      <c r="MOY468"/>
      <c r="MOZ468"/>
      <c r="MPA468"/>
      <c r="MPB468"/>
      <c r="MPC468"/>
      <c r="MPD468"/>
      <c r="MPE468"/>
      <c r="MPF468"/>
      <c r="MPG468"/>
      <c r="MPH468"/>
      <c r="MPI468"/>
      <c r="MPJ468"/>
      <c r="MPK468"/>
      <c r="MPL468"/>
      <c r="MPM468"/>
      <c r="MPN468"/>
      <c r="MPO468"/>
      <c r="MPP468"/>
      <c r="MPQ468"/>
      <c r="MPR468"/>
      <c r="MPS468"/>
      <c r="MPT468"/>
      <c r="MPU468"/>
      <c r="MPV468"/>
      <c r="MPW468"/>
      <c r="MPX468"/>
      <c r="MPY468"/>
      <c r="MPZ468"/>
      <c r="MQA468"/>
      <c r="MQB468"/>
      <c r="MQC468"/>
      <c r="MQD468"/>
      <c r="MQE468"/>
      <c r="MQF468"/>
      <c r="MQG468"/>
      <c r="MQH468"/>
      <c r="MQI468"/>
      <c r="MQJ468"/>
      <c r="MQK468"/>
      <c r="MQL468"/>
      <c r="MQM468"/>
      <c r="MQN468"/>
      <c r="MQO468"/>
      <c r="MQP468"/>
      <c r="MQQ468"/>
      <c r="MQR468"/>
      <c r="MQS468"/>
      <c r="MQT468"/>
      <c r="MQU468"/>
      <c r="MQV468"/>
      <c r="MQW468"/>
      <c r="MQX468"/>
      <c r="MQY468"/>
      <c r="MQZ468"/>
      <c r="MRA468"/>
      <c r="MRB468"/>
      <c r="MRC468"/>
      <c r="MRD468"/>
      <c r="MRE468"/>
      <c r="MRF468"/>
      <c r="MRG468"/>
      <c r="MRH468"/>
      <c r="MRI468"/>
      <c r="MRJ468"/>
      <c r="MRK468"/>
      <c r="MRL468"/>
      <c r="MRM468"/>
      <c r="MRN468"/>
      <c r="MRO468"/>
      <c r="MRP468"/>
      <c r="MRQ468"/>
      <c r="MRR468"/>
      <c r="MRS468"/>
      <c r="MRT468"/>
      <c r="MRU468"/>
      <c r="MRV468"/>
      <c r="MRW468"/>
      <c r="MRX468"/>
      <c r="MRY468"/>
      <c r="MRZ468"/>
      <c r="MSA468"/>
      <c r="MSB468"/>
      <c r="MSC468"/>
      <c r="MSD468"/>
      <c r="MSE468"/>
      <c r="MSF468"/>
      <c r="MSG468"/>
      <c r="MSH468"/>
      <c r="MSI468"/>
      <c r="MSJ468"/>
      <c r="MSK468"/>
      <c r="MSL468"/>
      <c r="MSM468"/>
      <c r="MSN468"/>
      <c r="MSO468"/>
      <c r="MSP468"/>
      <c r="MSQ468"/>
      <c r="MSR468"/>
      <c r="MSS468"/>
      <c r="MST468"/>
      <c r="MSU468"/>
      <c r="MSV468"/>
      <c r="MSW468"/>
      <c r="MSX468"/>
      <c r="MSY468"/>
      <c r="MSZ468"/>
      <c r="MTA468"/>
      <c r="MTB468"/>
      <c r="MTC468"/>
      <c r="MTD468"/>
      <c r="MTE468"/>
      <c r="MTF468"/>
      <c r="MTG468"/>
      <c r="MTH468"/>
      <c r="MTI468"/>
      <c r="MTJ468"/>
      <c r="MTK468"/>
      <c r="MTL468"/>
      <c r="MTM468"/>
      <c r="MTN468"/>
      <c r="MTO468"/>
      <c r="MTP468"/>
      <c r="MTQ468"/>
      <c r="MTR468"/>
      <c r="MTS468"/>
      <c r="MTT468"/>
      <c r="MTU468"/>
      <c r="MTV468"/>
      <c r="MTW468"/>
      <c r="MTX468"/>
      <c r="MTY468"/>
      <c r="MTZ468"/>
      <c r="MUA468"/>
      <c r="MUB468"/>
      <c r="MUC468"/>
      <c r="MUD468"/>
      <c r="MUE468"/>
      <c r="MUF468"/>
      <c r="MUG468"/>
      <c r="MUH468"/>
      <c r="MUI468"/>
      <c r="MUJ468"/>
      <c r="MUK468"/>
      <c r="MUL468"/>
      <c r="MUM468"/>
      <c r="MUN468"/>
      <c r="MUO468"/>
      <c r="MUP468"/>
      <c r="MUQ468"/>
      <c r="MUR468"/>
      <c r="MUS468"/>
      <c r="MUT468"/>
      <c r="MUU468"/>
      <c r="MUV468"/>
      <c r="MUW468"/>
      <c r="MUX468"/>
      <c r="MUY468"/>
      <c r="MUZ468"/>
      <c r="MVA468"/>
      <c r="MVB468"/>
      <c r="MVC468"/>
      <c r="MVD468"/>
      <c r="MVE468"/>
      <c r="MVF468"/>
      <c r="MVG468"/>
      <c r="MVH468"/>
      <c r="MVI468"/>
      <c r="MVJ468"/>
      <c r="MVK468"/>
      <c r="MVL468"/>
      <c r="MVM468"/>
      <c r="MVN468"/>
      <c r="MVO468"/>
      <c r="MVP468"/>
      <c r="MVQ468"/>
      <c r="MVR468"/>
      <c r="MVS468"/>
      <c r="MVT468"/>
      <c r="MVU468"/>
      <c r="MVV468"/>
      <c r="MVW468"/>
      <c r="MVX468"/>
      <c r="MVY468"/>
      <c r="MVZ468"/>
      <c r="MWA468"/>
      <c r="MWB468"/>
      <c r="MWC468"/>
      <c r="MWD468"/>
      <c r="MWE468"/>
      <c r="MWF468"/>
      <c r="MWG468"/>
      <c r="MWH468"/>
      <c r="MWI468"/>
      <c r="MWJ468"/>
      <c r="MWK468"/>
      <c r="MWL468"/>
      <c r="MWM468"/>
      <c r="MWN468"/>
      <c r="MWO468"/>
      <c r="MWP468"/>
      <c r="MWQ468"/>
      <c r="MWR468"/>
      <c r="MWS468"/>
      <c r="MWT468"/>
      <c r="MWU468"/>
      <c r="MWV468"/>
      <c r="MWW468"/>
      <c r="MWX468"/>
      <c r="MWY468"/>
      <c r="MWZ468"/>
      <c r="MXA468"/>
      <c r="MXB468"/>
      <c r="MXC468"/>
      <c r="MXD468"/>
      <c r="MXE468"/>
      <c r="MXF468"/>
      <c r="MXG468"/>
      <c r="MXH468"/>
      <c r="MXI468"/>
      <c r="MXJ468"/>
      <c r="MXK468"/>
      <c r="MXL468"/>
      <c r="MXM468"/>
      <c r="MXN468"/>
      <c r="MXO468"/>
      <c r="MXP468"/>
      <c r="MXQ468"/>
      <c r="MXR468"/>
      <c r="MXS468"/>
      <c r="MXT468"/>
      <c r="MXU468"/>
      <c r="MXV468"/>
      <c r="MXW468"/>
      <c r="MXX468"/>
      <c r="MXY468"/>
      <c r="MXZ468"/>
      <c r="MYA468"/>
      <c r="MYB468"/>
      <c r="MYC468"/>
      <c r="MYD468"/>
      <c r="MYE468"/>
      <c r="MYF468"/>
      <c r="MYG468"/>
      <c r="MYH468"/>
      <c r="MYI468"/>
      <c r="MYJ468"/>
      <c r="MYK468"/>
      <c r="MYL468"/>
      <c r="MYM468"/>
      <c r="MYN468"/>
      <c r="MYO468"/>
      <c r="MYP468"/>
      <c r="MYQ468"/>
      <c r="MYR468"/>
      <c r="MYS468"/>
      <c r="MYT468"/>
      <c r="MYU468"/>
      <c r="MYV468"/>
      <c r="MYW468"/>
      <c r="MYX468"/>
      <c r="MYY468"/>
      <c r="MYZ468"/>
      <c r="MZA468"/>
      <c r="MZB468"/>
      <c r="MZC468"/>
      <c r="MZD468"/>
      <c r="MZE468"/>
      <c r="MZF468"/>
      <c r="MZG468"/>
      <c r="MZH468"/>
      <c r="MZI468"/>
      <c r="MZJ468"/>
      <c r="MZK468"/>
      <c r="MZL468"/>
      <c r="MZM468"/>
      <c r="MZN468"/>
      <c r="MZO468"/>
      <c r="MZP468"/>
      <c r="MZQ468"/>
      <c r="MZR468"/>
      <c r="MZS468"/>
      <c r="MZT468"/>
      <c r="MZU468"/>
      <c r="MZV468"/>
      <c r="MZW468"/>
      <c r="MZX468"/>
      <c r="MZY468"/>
      <c r="MZZ468"/>
      <c r="NAA468"/>
      <c r="NAB468"/>
      <c r="NAC468"/>
      <c r="NAD468"/>
      <c r="NAE468"/>
      <c r="NAF468"/>
      <c r="NAG468"/>
      <c r="NAH468"/>
      <c r="NAI468"/>
      <c r="NAJ468"/>
      <c r="NAK468"/>
      <c r="NAL468"/>
      <c r="NAM468"/>
      <c r="NAN468"/>
      <c r="NAO468"/>
      <c r="NAP468"/>
      <c r="NAQ468"/>
      <c r="NAR468"/>
      <c r="NAS468"/>
      <c r="NAT468"/>
      <c r="NAU468"/>
      <c r="NAV468"/>
      <c r="NAW468"/>
      <c r="NAX468"/>
      <c r="NAY468"/>
      <c r="NAZ468"/>
      <c r="NBA468"/>
      <c r="NBB468"/>
      <c r="NBC468"/>
      <c r="NBD468"/>
      <c r="NBE468"/>
      <c r="NBF468"/>
      <c r="NBG468"/>
      <c r="NBH468"/>
      <c r="NBI468"/>
      <c r="NBJ468"/>
      <c r="NBK468"/>
      <c r="NBL468"/>
      <c r="NBM468"/>
      <c r="NBN468"/>
      <c r="NBO468"/>
      <c r="NBP468"/>
      <c r="NBQ468"/>
      <c r="NBR468"/>
      <c r="NBS468"/>
      <c r="NBT468"/>
      <c r="NBU468"/>
      <c r="NBV468"/>
      <c r="NBW468"/>
      <c r="NBX468"/>
      <c r="NBY468"/>
      <c r="NBZ468"/>
      <c r="NCA468"/>
      <c r="NCB468"/>
      <c r="NCC468"/>
      <c r="NCD468"/>
      <c r="NCE468"/>
      <c r="NCF468"/>
      <c r="NCG468"/>
      <c r="NCH468"/>
      <c r="NCI468"/>
      <c r="NCJ468"/>
      <c r="NCK468"/>
      <c r="NCL468"/>
      <c r="NCM468"/>
      <c r="NCN468"/>
      <c r="NCO468"/>
      <c r="NCP468"/>
      <c r="NCQ468"/>
      <c r="NCR468"/>
      <c r="NCS468"/>
      <c r="NCT468"/>
      <c r="NCU468"/>
      <c r="NCV468"/>
      <c r="NCW468"/>
      <c r="NCX468"/>
      <c r="NCY468"/>
      <c r="NCZ468"/>
      <c r="NDA468"/>
      <c r="NDB468"/>
      <c r="NDC468"/>
      <c r="NDD468"/>
      <c r="NDE468"/>
      <c r="NDF468"/>
      <c r="NDG468"/>
      <c r="NDH468"/>
      <c r="NDI468"/>
      <c r="NDJ468"/>
      <c r="NDK468"/>
      <c r="NDL468"/>
      <c r="NDM468"/>
      <c r="NDN468"/>
      <c r="NDO468"/>
      <c r="NDP468"/>
      <c r="NDQ468"/>
      <c r="NDR468"/>
      <c r="NDS468"/>
      <c r="NDT468"/>
      <c r="NDU468"/>
      <c r="NDV468"/>
      <c r="NDW468"/>
      <c r="NDX468"/>
      <c r="NDY468"/>
      <c r="NDZ468"/>
      <c r="NEA468"/>
      <c r="NEB468"/>
      <c r="NEC468"/>
      <c r="NED468"/>
      <c r="NEE468"/>
      <c r="NEF468"/>
      <c r="NEG468"/>
      <c r="NEH468"/>
      <c r="NEI468"/>
      <c r="NEJ468"/>
      <c r="NEK468"/>
      <c r="NEL468"/>
      <c r="NEM468"/>
      <c r="NEN468"/>
      <c r="NEO468"/>
      <c r="NEP468"/>
      <c r="NEQ468"/>
      <c r="NER468"/>
      <c r="NES468"/>
      <c r="NET468"/>
      <c r="NEU468"/>
      <c r="NEV468"/>
      <c r="NEW468"/>
      <c r="NEX468"/>
      <c r="NEY468"/>
      <c r="NEZ468"/>
      <c r="NFA468"/>
      <c r="NFB468"/>
      <c r="NFC468"/>
      <c r="NFD468"/>
      <c r="NFE468"/>
      <c r="NFF468"/>
      <c r="NFG468"/>
      <c r="NFH468"/>
      <c r="NFI468"/>
      <c r="NFJ468"/>
      <c r="NFK468"/>
      <c r="NFL468"/>
      <c r="NFM468"/>
      <c r="NFN468"/>
      <c r="NFO468"/>
      <c r="NFP468"/>
      <c r="NFQ468"/>
      <c r="NFR468"/>
      <c r="NFS468"/>
      <c r="NFT468"/>
      <c r="NFU468"/>
      <c r="NFV468"/>
      <c r="NFW468"/>
      <c r="NFX468"/>
      <c r="NFY468"/>
      <c r="NFZ468"/>
      <c r="NGA468"/>
      <c r="NGB468"/>
      <c r="NGC468"/>
      <c r="NGD468"/>
      <c r="NGE468"/>
      <c r="NGF468"/>
      <c r="NGG468"/>
      <c r="NGH468"/>
      <c r="NGI468"/>
      <c r="NGJ468"/>
      <c r="NGK468"/>
      <c r="NGL468"/>
      <c r="NGM468"/>
      <c r="NGN468"/>
      <c r="NGO468"/>
      <c r="NGP468"/>
      <c r="NGQ468"/>
      <c r="NGR468"/>
      <c r="NGS468"/>
      <c r="NGT468"/>
      <c r="NGU468"/>
      <c r="NGV468"/>
      <c r="NGW468"/>
      <c r="NGX468"/>
      <c r="NGY468"/>
      <c r="NGZ468"/>
      <c r="NHA468"/>
      <c r="NHB468"/>
      <c r="NHC468"/>
      <c r="NHD468"/>
      <c r="NHE468"/>
      <c r="NHF468"/>
      <c r="NHG468"/>
      <c r="NHH468"/>
      <c r="NHI468"/>
      <c r="NHJ468"/>
      <c r="NHK468"/>
      <c r="NHL468"/>
      <c r="NHM468"/>
      <c r="NHN468"/>
      <c r="NHO468"/>
      <c r="NHP468"/>
      <c r="NHQ468"/>
      <c r="NHR468"/>
      <c r="NHS468"/>
      <c r="NHT468"/>
      <c r="NHU468"/>
      <c r="NHV468"/>
      <c r="NHW468"/>
      <c r="NHX468"/>
      <c r="NHY468"/>
      <c r="NHZ468"/>
      <c r="NIA468"/>
      <c r="NIB468"/>
      <c r="NIC468"/>
      <c r="NID468"/>
      <c r="NIE468"/>
      <c r="NIF468"/>
      <c r="NIG468"/>
      <c r="NIH468"/>
      <c r="NII468"/>
      <c r="NIJ468"/>
      <c r="NIK468"/>
      <c r="NIL468"/>
      <c r="NIM468"/>
      <c r="NIN468"/>
      <c r="NIO468"/>
      <c r="NIP468"/>
      <c r="NIQ468"/>
      <c r="NIR468"/>
      <c r="NIS468"/>
      <c r="NIT468"/>
      <c r="NIU468"/>
      <c r="NIV468"/>
      <c r="NIW468"/>
      <c r="NIX468"/>
      <c r="NIY468"/>
      <c r="NIZ468"/>
      <c r="NJA468"/>
      <c r="NJB468"/>
      <c r="NJC468"/>
      <c r="NJD468"/>
      <c r="NJE468"/>
      <c r="NJF468"/>
      <c r="NJG468"/>
      <c r="NJH468"/>
      <c r="NJI468"/>
      <c r="NJJ468"/>
      <c r="NJK468"/>
      <c r="NJL468"/>
      <c r="NJM468"/>
      <c r="NJN468"/>
      <c r="NJO468"/>
      <c r="NJP468"/>
      <c r="NJQ468"/>
      <c r="NJR468"/>
      <c r="NJS468"/>
      <c r="NJT468"/>
      <c r="NJU468"/>
      <c r="NJV468"/>
      <c r="NJW468"/>
      <c r="NJX468"/>
      <c r="NJY468"/>
      <c r="NJZ468"/>
      <c r="NKA468"/>
      <c r="NKB468"/>
      <c r="NKC468"/>
      <c r="NKD468"/>
      <c r="NKE468"/>
      <c r="NKF468"/>
      <c r="NKG468"/>
      <c r="NKH468"/>
      <c r="NKI468"/>
      <c r="NKJ468"/>
      <c r="NKK468"/>
      <c r="NKL468"/>
      <c r="NKM468"/>
      <c r="NKN468"/>
      <c r="NKO468"/>
      <c r="NKP468"/>
      <c r="NKQ468"/>
      <c r="NKR468"/>
      <c r="NKS468"/>
      <c r="NKT468"/>
      <c r="NKU468"/>
      <c r="NKV468"/>
      <c r="NKW468"/>
      <c r="NKX468"/>
      <c r="NKY468"/>
      <c r="NKZ468"/>
      <c r="NLA468"/>
      <c r="NLB468"/>
      <c r="NLC468"/>
      <c r="NLD468"/>
      <c r="NLE468"/>
      <c r="NLF468"/>
      <c r="NLG468"/>
      <c r="NLH468"/>
      <c r="NLI468"/>
      <c r="NLJ468"/>
      <c r="NLK468"/>
      <c r="NLL468"/>
      <c r="NLM468"/>
      <c r="NLN468"/>
      <c r="NLO468"/>
      <c r="NLP468"/>
      <c r="NLQ468"/>
      <c r="NLR468"/>
      <c r="NLS468"/>
      <c r="NLT468"/>
      <c r="NLU468"/>
      <c r="NLV468"/>
      <c r="NLW468"/>
      <c r="NLX468"/>
      <c r="NLY468"/>
      <c r="NLZ468"/>
      <c r="NMA468"/>
      <c r="NMB468"/>
      <c r="NMC468"/>
      <c r="NMD468"/>
      <c r="NME468"/>
      <c r="NMF468"/>
      <c r="NMG468"/>
      <c r="NMH468"/>
      <c r="NMI468"/>
      <c r="NMJ468"/>
      <c r="NMK468"/>
      <c r="NML468"/>
      <c r="NMM468"/>
      <c r="NMN468"/>
      <c r="NMO468"/>
      <c r="NMP468"/>
      <c r="NMQ468"/>
      <c r="NMR468"/>
      <c r="NMS468"/>
      <c r="NMT468"/>
      <c r="NMU468"/>
      <c r="NMV468"/>
      <c r="NMW468"/>
      <c r="NMX468"/>
      <c r="NMY468"/>
      <c r="NMZ468"/>
      <c r="NNA468"/>
      <c r="NNB468"/>
      <c r="NNC468"/>
      <c r="NND468"/>
      <c r="NNE468"/>
      <c r="NNF468"/>
      <c r="NNG468"/>
      <c r="NNH468"/>
      <c r="NNI468"/>
      <c r="NNJ468"/>
      <c r="NNK468"/>
      <c r="NNL468"/>
      <c r="NNM468"/>
      <c r="NNN468"/>
      <c r="NNO468"/>
      <c r="NNP468"/>
      <c r="NNQ468"/>
      <c r="NNR468"/>
      <c r="NNS468"/>
      <c r="NNT468"/>
      <c r="NNU468"/>
      <c r="NNV468"/>
      <c r="NNW468"/>
      <c r="NNX468"/>
      <c r="NNY468"/>
      <c r="NNZ468"/>
      <c r="NOA468"/>
      <c r="NOB468"/>
      <c r="NOC468"/>
      <c r="NOD468"/>
      <c r="NOE468"/>
      <c r="NOF468"/>
      <c r="NOG468"/>
      <c r="NOH468"/>
      <c r="NOI468"/>
      <c r="NOJ468"/>
      <c r="NOK468"/>
      <c r="NOL468"/>
      <c r="NOM468"/>
      <c r="NON468"/>
      <c r="NOO468"/>
      <c r="NOP468"/>
      <c r="NOQ468"/>
      <c r="NOR468"/>
      <c r="NOS468"/>
      <c r="NOT468"/>
      <c r="NOU468"/>
      <c r="NOV468"/>
      <c r="NOW468"/>
      <c r="NOX468"/>
      <c r="NOY468"/>
      <c r="NOZ468"/>
      <c r="NPA468"/>
      <c r="NPB468"/>
      <c r="NPC468"/>
      <c r="NPD468"/>
      <c r="NPE468"/>
      <c r="NPF468"/>
      <c r="NPG468"/>
      <c r="NPH468"/>
      <c r="NPI468"/>
      <c r="NPJ468"/>
      <c r="NPK468"/>
      <c r="NPL468"/>
      <c r="NPM468"/>
      <c r="NPN468"/>
      <c r="NPO468"/>
      <c r="NPP468"/>
      <c r="NPQ468"/>
      <c r="NPR468"/>
      <c r="NPS468"/>
      <c r="NPT468"/>
      <c r="NPU468"/>
      <c r="NPV468"/>
      <c r="NPW468"/>
      <c r="NPX468"/>
      <c r="NPY468"/>
      <c r="NPZ468"/>
      <c r="NQA468"/>
      <c r="NQB468"/>
      <c r="NQC468"/>
      <c r="NQD468"/>
      <c r="NQE468"/>
      <c r="NQF468"/>
      <c r="NQG468"/>
      <c r="NQH468"/>
      <c r="NQI468"/>
      <c r="NQJ468"/>
      <c r="NQK468"/>
      <c r="NQL468"/>
      <c r="NQM468"/>
      <c r="NQN468"/>
      <c r="NQO468"/>
      <c r="NQP468"/>
      <c r="NQQ468"/>
      <c r="NQR468"/>
      <c r="NQS468"/>
      <c r="NQT468"/>
      <c r="NQU468"/>
      <c r="NQV468"/>
      <c r="NQW468"/>
      <c r="NQX468"/>
      <c r="NQY468"/>
      <c r="NQZ468"/>
      <c r="NRA468"/>
      <c r="NRB468"/>
      <c r="NRC468"/>
      <c r="NRD468"/>
      <c r="NRE468"/>
      <c r="NRF468"/>
      <c r="NRG468"/>
      <c r="NRH468"/>
      <c r="NRI468"/>
      <c r="NRJ468"/>
      <c r="NRK468"/>
      <c r="NRL468"/>
      <c r="NRM468"/>
      <c r="NRN468"/>
      <c r="NRO468"/>
      <c r="NRP468"/>
      <c r="NRQ468"/>
      <c r="NRR468"/>
      <c r="NRS468"/>
      <c r="NRT468"/>
      <c r="NRU468"/>
      <c r="NRV468"/>
      <c r="NRW468"/>
      <c r="NRX468"/>
      <c r="NRY468"/>
      <c r="NRZ468"/>
      <c r="NSA468"/>
      <c r="NSB468"/>
      <c r="NSC468"/>
      <c r="NSD468"/>
      <c r="NSE468"/>
      <c r="NSF468"/>
      <c r="NSG468"/>
      <c r="NSH468"/>
      <c r="NSI468"/>
      <c r="NSJ468"/>
      <c r="NSK468"/>
      <c r="NSL468"/>
      <c r="NSM468"/>
      <c r="NSN468"/>
      <c r="NSO468"/>
      <c r="NSP468"/>
      <c r="NSQ468"/>
      <c r="NSR468"/>
      <c r="NSS468"/>
      <c r="NST468"/>
      <c r="NSU468"/>
      <c r="NSV468"/>
      <c r="NSW468"/>
      <c r="NSX468"/>
      <c r="NSY468"/>
      <c r="NSZ468"/>
      <c r="NTA468"/>
      <c r="NTB468"/>
      <c r="NTC468"/>
      <c r="NTD468"/>
      <c r="NTE468"/>
      <c r="NTF468"/>
      <c r="NTG468"/>
      <c r="NTH468"/>
      <c r="NTI468"/>
      <c r="NTJ468"/>
      <c r="NTK468"/>
      <c r="NTL468"/>
      <c r="NTM468"/>
      <c r="NTN468"/>
      <c r="NTO468"/>
      <c r="NTP468"/>
      <c r="NTQ468"/>
      <c r="NTR468"/>
      <c r="NTS468"/>
      <c r="NTT468"/>
      <c r="NTU468"/>
      <c r="NTV468"/>
      <c r="NTW468"/>
      <c r="NTX468"/>
      <c r="NTY468"/>
      <c r="NTZ468"/>
      <c r="NUA468"/>
      <c r="NUB468"/>
      <c r="NUC468"/>
      <c r="NUD468"/>
      <c r="NUE468"/>
      <c r="NUF468"/>
      <c r="NUG468"/>
      <c r="NUH468"/>
      <c r="NUI468"/>
      <c r="NUJ468"/>
      <c r="NUK468"/>
      <c r="NUL468"/>
      <c r="NUM468"/>
      <c r="NUN468"/>
      <c r="NUO468"/>
      <c r="NUP468"/>
      <c r="NUQ468"/>
      <c r="NUR468"/>
      <c r="NUS468"/>
      <c r="NUT468"/>
      <c r="NUU468"/>
      <c r="NUV468"/>
      <c r="NUW468"/>
      <c r="NUX468"/>
      <c r="NUY468"/>
      <c r="NUZ468"/>
      <c r="NVA468"/>
      <c r="NVB468"/>
      <c r="NVC468"/>
      <c r="NVD468"/>
      <c r="NVE468"/>
      <c r="NVF468"/>
      <c r="NVG468"/>
      <c r="NVH468"/>
      <c r="NVI468"/>
      <c r="NVJ468"/>
      <c r="NVK468"/>
      <c r="NVL468"/>
      <c r="NVM468"/>
      <c r="NVN468"/>
      <c r="NVO468"/>
      <c r="NVP468"/>
      <c r="NVQ468"/>
      <c r="NVR468"/>
      <c r="NVS468"/>
      <c r="NVT468"/>
      <c r="NVU468"/>
      <c r="NVV468"/>
      <c r="NVW468"/>
      <c r="NVX468"/>
      <c r="NVY468"/>
      <c r="NVZ468"/>
      <c r="NWA468"/>
      <c r="NWB468"/>
      <c r="NWC468"/>
      <c r="NWD468"/>
      <c r="NWE468"/>
      <c r="NWF468"/>
      <c r="NWG468"/>
      <c r="NWH468"/>
      <c r="NWI468"/>
      <c r="NWJ468"/>
      <c r="NWK468"/>
      <c r="NWL468"/>
      <c r="NWM468"/>
      <c r="NWN468"/>
      <c r="NWO468"/>
      <c r="NWP468"/>
      <c r="NWQ468"/>
      <c r="NWR468"/>
      <c r="NWS468"/>
      <c r="NWT468"/>
      <c r="NWU468"/>
      <c r="NWV468"/>
      <c r="NWW468"/>
      <c r="NWX468"/>
      <c r="NWY468"/>
      <c r="NWZ468"/>
      <c r="NXA468"/>
      <c r="NXB468"/>
      <c r="NXC468"/>
      <c r="NXD468"/>
      <c r="NXE468"/>
      <c r="NXF468"/>
      <c r="NXG468"/>
      <c r="NXH468"/>
      <c r="NXI468"/>
      <c r="NXJ468"/>
      <c r="NXK468"/>
      <c r="NXL468"/>
      <c r="NXM468"/>
      <c r="NXN468"/>
      <c r="NXO468"/>
      <c r="NXP468"/>
      <c r="NXQ468"/>
      <c r="NXR468"/>
      <c r="NXS468"/>
      <c r="NXT468"/>
      <c r="NXU468"/>
      <c r="NXV468"/>
      <c r="NXW468"/>
      <c r="NXX468"/>
      <c r="NXY468"/>
      <c r="NXZ468"/>
      <c r="NYA468"/>
      <c r="NYB468"/>
      <c r="NYC468"/>
      <c r="NYD468"/>
      <c r="NYE468"/>
      <c r="NYF468"/>
      <c r="NYG468"/>
      <c r="NYH468"/>
      <c r="NYI468"/>
      <c r="NYJ468"/>
      <c r="NYK468"/>
      <c r="NYL468"/>
      <c r="NYM468"/>
      <c r="NYN468"/>
      <c r="NYO468"/>
      <c r="NYP468"/>
      <c r="NYQ468"/>
      <c r="NYR468"/>
      <c r="NYS468"/>
      <c r="NYT468"/>
      <c r="NYU468"/>
      <c r="NYV468"/>
      <c r="NYW468"/>
      <c r="NYX468"/>
      <c r="NYY468"/>
      <c r="NYZ468"/>
      <c r="NZA468"/>
      <c r="NZB468"/>
      <c r="NZC468"/>
      <c r="NZD468"/>
      <c r="NZE468"/>
      <c r="NZF468"/>
      <c r="NZG468"/>
      <c r="NZH468"/>
      <c r="NZI468"/>
      <c r="NZJ468"/>
      <c r="NZK468"/>
      <c r="NZL468"/>
      <c r="NZM468"/>
      <c r="NZN468"/>
      <c r="NZO468"/>
      <c r="NZP468"/>
      <c r="NZQ468"/>
      <c r="NZR468"/>
      <c r="NZS468"/>
      <c r="NZT468"/>
      <c r="NZU468"/>
      <c r="NZV468"/>
      <c r="NZW468"/>
      <c r="NZX468"/>
      <c r="NZY468"/>
      <c r="NZZ468"/>
      <c r="OAA468"/>
      <c r="OAB468"/>
      <c r="OAC468"/>
      <c r="OAD468"/>
      <c r="OAE468"/>
      <c r="OAF468"/>
      <c r="OAG468"/>
      <c r="OAH468"/>
      <c r="OAI468"/>
      <c r="OAJ468"/>
      <c r="OAK468"/>
      <c r="OAL468"/>
      <c r="OAM468"/>
      <c r="OAN468"/>
      <c r="OAO468"/>
      <c r="OAP468"/>
      <c r="OAQ468"/>
      <c r="OAR468"/>
      <c r="OAS468"/>
      <c r="OAT468"/>
      <c r="OAU468"/>
      <c r="OAV468"/>
      <c r="OAW468"/>
      <c r="OAX468"/>
      <c r="OAY468"/>
      <c r="OAZ468"/>
      <c r="OBA468"/>
      <c r="OBB468"/>
      <c r="OBC468"/>
      <c r="OBD468"/>
      <c r="OBE468"/>
      <c r="OBF468"/>
      <c r="OBG468"/>
      <c r="OBH468"/>
      <c r="OBI468"/>
      <c r="OBJ468"/>
      <c r="OBK468"/>
      <c r="OBL468"/>
      <c r="OBM468"/>
      <c r="OBN468"/>
      <c r="OBO468"/>
      <c r="OBP468"/>
      <c r="OBQ468"/>
      <c r="OBR468"/>
      <c r="OBS468"/>
      <c r="OBT468"/>
      <c r="OBU468"/>
      <c r="OBV468"/>
      <c r="OBW468"/>
      <c r="OBX468"/>
      <c r="OBY468"/>
      <c r="OBZ468"/>
      <c r="OCA468"/>
      <c r="OCB468"/>
      <c r="OCC468"/>
      <c r="OCD468"/>
      <c r="OCE468"/>
      <c r="OCF468"/>
      <c r="OCG468"/>
      <c r="OCH468"/>
      <c r="OCI468"/>
      <c r="OCJ468"/>
      <c r="OCK468"/>
      <c r="OCL468"/>
      <c r="OCM468"/>
      <c r="OCN468"/>
      <c r="OCO468"/>
      <c r="OCP468"/>
      <c r="OCQ468"/>
      <c r="OCR468"/>
      <c r="OCS468"/>
      <c r="OCT468"/>
      <c r="OCU468"/>
      <c r="OCV468"/>
      <c r="OCW468"/>
      <c r="OCX468"/>
      <c r="OCY468"/>
      <c r="OCZ468"/>
      <c r="ODA468"/>
      <c r="ODB468"/>
      <c r="ODC468"/>
      <c r="ODD468"/>
      <c r="ODE468"/>
      <c r="ODF468"/>
      <c r="ODG468"/>
      <c r="ODH468"/>
      <c r="ODI468"/>
      <c r="ODJ468"/>
      <c r="ODK468"/>
      <c r="ODL468"/>
      <c r="ODM468"/>
      <c r="ODN468"/>
      <c r="ODO468"/>
      <c r="ODP468"/>
      <c r="ODQ468"/>
      <c r="ODR468"/>
      <c r="ODS468"/>
      <c r="ODT468"/>
      <c r="ODU468"/>
      <c r="ODV468"/>
      <c r="ODW468"/>
      <c r="ODX468"/>
      <c r="ODY468"/>
      <c r="ODZ468"/>
      <c r="OEA468"/>
      <c r="OEB468"/>
      <c r="OEC468"/>
      <c r="OED468"/>
      <c r="OEE468"/>
      <c r="OEF468"/>
      <c r="OEG468"/>
      <c r="OEH468"/>
      <c r="OEI468"/>
      <c r="OEJ468"/>
      <c r="OEK468"/>
      <c r="OEL468"/>
      <c r="OEM468"/>
      <c r="OEN468"/>
      <c r="OEO468"/>
      <c r="OEP468"/>
      <c r="OEQ468"/>
      <c r="OER468"/>
      <c r="OES468"/>
      <c r="OET468"/>
      <c r="OEU468"/>
      <c r="OEV468"/>
      <c r="OEW468"/>
      <c r="OEX468"/>
      <c r="OEY468"/>
      <c r="OEZ468"/>
      <c r="OFA468"/>
      <c r="OFB468"/>
      <c r="OFC468"/>
      <c r="OFD468"/>
      <c r="OFE468"/>
      <c r="OFF468"/>
      <c r="OFG468"/>
      <c r="OFH468"/>
      <c r="OFI468"/>
      <c r="OFJ468"/>
      <c r="OFK468"/>
      <c r="OFL468"/>
      <c r="OFM468"/>
      <c r="OFN468"/>
      <c r="OFO468"/>
      <c r="OFP468"/>
      <c r="OFQ468"/>
      <c r="OFR468"/>
      <c r="OFS468"/>
      <c r="OFT468"/>
      <c r="OFU468"/>
      <c r="OFV468"/>
      <c r="OFW468"/>
      <c r="OFX468"/>
      <c r="OFY468"/>
      <c r="OFZ468"/>
      <c r="OGA468"/>
      <c r="OGB468"/>
      <c r="OGC468"/>
      <c r="OGD468"/>
      <c r="OGE468"/>
      <c r="OGF468"/>
      <c r="OGG468"/>
      <c r="OGH468"/>
      <c r="OGI468"/>
      <c r="OGJ468"/>
      <c r="OGK468"/>
      <c r="OGL468"/>
      <c r="OGM468"/>
      <c r="OGN468"/>
      <c r="OGO468"/>
      <c r="OGP468"/>
      <c r="OGQ468"/>
      <c r="OGR468"/>
      <c r="OGS468"/>
      <c r="OGT468"/>
      <c r="OGU468"/>
      <c r="OGV468"/>
      <c r="OGW468"/>
      <c r="OGX468"/>
      <c r="OGY468"/>
      <c r="OGZ468"/>
      <c r="OHA468"/>
      <c r="OHB468"/>
      <c r="OHC468"/>
      <c r="OHD468"/>
      <c r="OHE468"/>
      <c r="OHF468"/>
      <c r="OHG468"/>
      <c r="OHH468"/>
      <c r="OHI468"/>
      <c r="OHJ468"/>
      <c r="OHK468"/>
      <c r="OHL468"/>
      <c r="OHM468"/>
      <c r="OHN468"/>
      <c r="OHO468"/>
      <c r="OHP468"/>
      <c r="OHQ468"/>
      <c r="OHR468"/>
      <c r="OHS468"/>
      <c r="OHT468"/>
      <c r="OHU468"/>
      <c r="OHV468"/>
      <c r="OHW468"/>
      <c r="OHX468"/>
      <c r="OHY468"/>
      <c r="OHZ468"/>
      <c r="OIA468"/>
      <c r="OIB468"/>
      <c r="OIC468"/>
      <c r="OID468"/>
      <c r="OIE468"/>
      <c r="OIF468"/>
      <c r="OIG468"/>
      <c r="OIH468"/>
      <c r="OII468"/>
      <c r="OIJ468"/>
      <c r="OIK468"/>
      <c r="OIL468"/>
      <c r="OIM468"/>
      <c r="OIN468"/>
      <c r="OIO468"/>
      <c r="OIP468"/>
      <c r="OIQ468"/>
      <c r="OIR468"/>
      <c r="OIS468"/>
      <c r="OIT468"/>
      <c r="OIU468"/>
      <c r="OIV468"/>
      <c r="OIW468"/>
      <c r="OIX468"/>
      <c r="OIY468"/>
      <c r="OIZ468"/>
      <c r="OJA468"/>
      <c r="OJB468"/>
      <c r="OJC468"/>
      <c r="OJD468"/>
      <c r="OJE468"/>
      <c r="OJF468"/>
      <c r="OJG468"/>
      <c r="OJH468"/>
      <c r="OJI468"/>
      <c r="OJJ468"/>
      <c r="OJK468"/>
      <c r="OJL468"/>
      <c r="OJM468"/>
      <c r="OJN468"/>
      <c r="OJO468"/>
      <c r="OJP468"/>
      <c r="OJQ468"/>
      <c r="OJR468"/>
      <c r="OJS468"/>
      <c r="OJT468"/>
      <c r="OJU468"/>
      <c r="OJV468"/>
      <c r="OJW468"/>
      <c r="OJX468"/>
      <c r="OJY468"/>
      <c r="OJZ468"/>
      <c r="OKA468"/>
      <c r="OKB468"/>
      <c r="OKC468"/>
      <c r="OKD468"/>
      <c r="OKE468"/>
      <c r="OKF468"/>
      <c r="OKG468"/>
      <c r="OKH468"/>
      <c r="OKI468"/>
      <c r="OKJ468"/>
      <c r="OKK468"/>
      <c r="OKL468"/>
      <c r="OKM468"/>
      <c r="OKN468"/>
      <c r="OKO468"/>
      <c r="OKP468"/>
      <c r="OKQ468"/>
      <c r="OKR468"/>
      <c r="OKS468"/>
      <c r="OKT468"/>
      <c r="OKU468"/>
      <c r="OKV468"/>
      <c r="OKW468"/>
      <c r="OKX468"/>
      <c r="OKY468"/>
      <c r="OKZ468"/>
      <c r="OLA468"/>
      <c r="OLB468"/>
      <c r="OLC468"/>
      <c r="OLD468"/>
      <c r="OLE468"/>
      <c r="OLF468"/>
      <c r="OLG468"/>
      <c r="OLH468"/>
      <c r="OLI468"/>
      <c r="OLJ468"/>
      <c r="OLK468"/>
      <c r="OLL468"/>
      <c r="OLM468"/>
      <c r="OLN468"/>
      <c r="OLO468"/>
      <c r="OLP468"/>
      <c r="OLQ468"/>
      <c r="OLR468"/>
      <c r="OLS468"/>
      <c r="OLT468"/>
      <c r="OLU468"/>
      <c r="OLV468"/>
      <c r="OLW468"/>
      <c r="OLX468"/>
      <c r="OLY468"/>
      <c r="OLZ468"/>
      <c r="OMA468"/>
      <c r="OMB468"/>
      <c r="OMC468"/>
      <c r="OMD468"/>
      <c r="OME468"/>
      <c r="OMF468"/>
      <c r="OMG468"/>
      <c r="OMH468"/>
      <c r="OMI468"/>
      <c r="OMJ468"/>
      <c r="OMK468"/>
      <c r="OML468"/>
      <c r="OMM468"/>
      <c r="OMN468"/>
      <c r="OMO468"/>
      <c r="OMP468"/>
      <c r="OMQ468"/>
      <c r="OMR468"/>
      <c r="OMS468"/>
      <c r="OMT468"/>
      <c r="OMU468"/>
      <c r="OMV468"/>
      <c r="OMW468"/>
      <c r="OMX468"/>
      <c r="OMY468"/>
      <c r="OMZ468"/>
      <c r="ONA468"/>
      <c r="ONB468"/>
      <c r="ONC468"/>
      <c r="OND468"/>
      <c r="ONE468"/>
      <c r="ONF468"/>
      <c r="ONG468"/>
      <c r="ONH468"/>
      <c r="ONI468"/>
      <c r="ONJ468"/>
      <c r="ONK468"/>
      <c r="ONL468"/>
      <c r="ONM468"/>
      <c r="ONN468"/>
      <c r="ONO468"/>
      <c r="ONP468"/>
      <c r="ONQ468"/>
      <c r="ONR468"/>
      <c r="ONS468"/>
      <c r="ONT468"/>
      <c r="ONU468"/>
      <c r="ONV468"/>
      <c r="ONW468"/>
      <c r="ONX468"/>
      <c r="ONY468"/>
      <c r="ONZ468"/>
      <c r="OOA468"/>
      <c r="OOB468"/>
      <c r="OOC468"/>
      <c r="OOD468"/>
      <c r="OOE468"/>
      <c r="OOF468"/>
      <c r="OOG468"/>
      <c r="OOH468"/>
      <c r="OOI468"/>
      <c r="OOJ468"/>
      <c r="OOK468"/>
      <c r="OOL468"/>
      <c r="OOM468"/>
      <c r="OON468"/>
      <c r="OOO468"/>
      <c r="OOP468"/>
      <c r="OOQ468"/>
      <c r="OOR468"/>
      <c r="OOS468"/>
      <c r="OOT468"/>
      <c r="OOU468"/>
      <c r="OOV468"/>
      <c r="OOW468"/>
      <c r="OOX468"/>
      <c r="OOY468"/>
      <c r="OOZ468"/>
      <c r="OPA468"/>
      <c r="OPB468"/>
      <c r="OPC468"/>
      <c r="OPD468"/>
      <c r="OPE468"/>
      <c r="OPF468"/>
      <c r="OPG468"/>
      <c r="OPH468"/>
      <c r="OPI468"/>
      <c r="OPJ468"/>
      <c r="OPK468"/>
      <c r="OPL468"/>
      <c r="OPM468"/>
      <c r="OPN468"/>
      <c r="OPO468"/>
      <c r="OPP468"/>
      <c r="OPQ468"/>
      <c r="OPR468"/>
      <c r="OPS468"/>
      <c r="OPT468"/>
      <c r="OPU468"/>
      <c r="OPV468"/>
      <c r="OPW468"/>
      <c r="OPX468"/>
      <c r="OPY468"/>
      <c r="OPZ468"/>
      <c r="OQA468"/>
      <c r="OQB468"/>
      <c r="OQC468"/>
      <c r="OQD468"/>
      <c r="OQE468"/>
      <c r="OQF468"/>
      <c r="OQG468"/>
      <c r="OQH468"/>
      <c r="OQI468"/>
      <c r="OQJ468"/>
      <c r="OQK468"/>
      <c r="OQL468"/>
      <c r="OQM468"/>
      <c r="OQN468"/>
      <c r="OQO468"/>
      <c r="OQP468"/>
      <c r="OQQ468"/>
      <c r="OQR468"/>
      <c r="OQS468"/>
      <c r="OQT468"/>
      <c r="OQU468"/>
      <c r="OQV468"/>
      <c r="OQW468"/>
      <c r="OQX468"/>
      <c r="OQY468"/>
      <c r="OQZ468"/>
      <c r="ORA468"/>
      <c r="ORB468"/>
      <c r="ORC468"/>
      <c r="ORD468"/>
      <c r="ORE468"/>
      <c r="ORF468"/>
      <c r="ORG468"/>
      <c r="ORH468"/>
      <c r="ORI468"/>
      <c r="ORJ468"/>
      <c r="ORK468"/>
      <c r="ORL468"/>
      <c r="ORM468"/>
      <c r="ORN468"/>
      <c r="ORO468"/>
      <c r="ORP468"/>
      <c r="ORQ468"/>
      <c r="ORR468"/>
      <c r="ORS468"/>
      <c r="ORT468"/>
      <c r="ORU468"/>
      <c r="ORV468"/>
      <c r="ORW468"/>
      <c r="ORX468"/>
      <c r="ORY468"/>
      <c r="ORZ468"/>
      <c r="OSA468"/>
      <c r="OSB468"/>
      <c r="OSC468"/>
      <c r="OSD468"/>
      <c r="OSE468"/>
      <c r="OSF468"/>
      <c r="OSG468"/>
      <c r="OSH468"/>
      <c r="OSI468"/>
      <c r="OSJ468"/>
      <c r="OSK468"/>
      <c r="OSL468"/>
      <c r="OSM468"/>
      <c r="OSN468"/>
      <c r="OSO468"/>
      <c r="OSP468"/>
      <c r="OSQ468"/>
      <c r="OSR468"/>
      <c r="OSS468"/>
      <c r="OST468"/>
      <c r="OSU468"/>
      <c r="OSV468"/>
      <c r="OSW468"/>
      <c r="OSX468"/>
      <c r="OSY468"/>
      <c r="OSZ468"/>
      <c r="OTA468"/>
      <c r="OTB468"/>
      <c r="OTC468"/>
      <c r="OTD468"/>
      <c r="OTE468"/>
      <c r="OTF468"/>
      <c r="OTG468"/>
      <c r="OTH468"/>
      <c r="OTI468"/>
      <c r="OTJ468"/>
      <c r="OTK468"/>
      <c r="OTL468"/>
      <c r="OTM468"/>
      <c r="OTN468"/>
      <c r="OTO468"/>
      <c r="OTP468"/>
      <c r="OTQ468"/>
      <c r="OTR468"/>
      <c r="OTS468"/>
      <c r="OTT468"/>
      <c r="OTU468"/>
      <c r="OTV468"/>
      <c r="OTW468"/>
      <c r="OTX468"/>
      <c r="OTY468"/>
      <c r="OTZ468"/>
      <c r="OUA468"/>
      <c r="OUB468"/>
      <c r="OUC468"/>
      <c r="OUD468"/>
      <c r="OUE468"/>
      <c r="OUF468"/>
      <c r="OUG468"/>
      <c r="OUH468"/>
      <c r="OUI468"/>
      <c r="OUJ468"/>
      <c r="OUK468"/>
      <c r="OUL468"/>
      <c r="OUM468"/>
      <c r="OUN468"/>
      <c r="OUO468"/>
      <c r="OUP468"/>
      <c r="OUQ468"/>
      <c r="OUR468"/>
      <c r="OUS468"/>
      <c r="OUT468"/>
      <c r="OUU468"/>
      <c r="OUV468"/>
      <c r="OUW468"/>
      <c r="OUX468"/>
      <c r="OUY468"/>
      <c r="OUZ468"/>
      <c r="OVA468"/>
      <c r="OVB468"/>
      <c r="OVC468"/>
      <c r="OVD468"/>
      <c r="OVE468"/>
      <c r="OVF468"/>
      <c r="OVG468"/>
      <c r="OVH468"/>
      <c r="OVI468"/>
      <c r="OVJ468"/>
      <c r="OVK468"/>
      <c r="OVL468"/>
      <c r="OVM468"/>
      <c r="OVN468"/>
      <c r="OVO468"/>
      <c r="OVP468"/>
      <c r="OVQ468"/>
      <c r="OVR468"/>
      <c r="OVS468"/>
      <c r="OVT468"/>
      <c r="OVU468"/>
      <c r="OVV468"/>
      <c r="OVW468"/>
      <c r="OVX468"/>
      <c r="OVY468"/>
      <c r="OVZ468"/>
      <c r="OWA468"/>
      <c r="OWB468"/>
      <c r="OWC468"/>
      <c r="OWD468"/>
      <c r="OWE468"/>
      <c r="OWF468"/>
      <c r="OWG468"/>
      <c r="OWH468"/>
      <c r="OWI468"/>
      <c r="OWJ468"/>
      <c r="OWK468"/>
      <c r="OWL468"/>
      <c r="OWM468"/>
      <c r="OWN468"/>
      <c r="OWO468"/>
      <c r="OWP468"/>
      <c r="OWQ468"/>
      <c r="OWR468"/>
      <c r="OWS468"/>
      <c r="OWT468"/>
      <c r="OWU468"/>
      <c r="OWV468"/>
      <c r="OWW468"/>
      <c r="OWX468"/>
      <c r="OWY468"/>
      <c r="OWZ468"/>
      <c r="OXA468"/>
      <c r="OXB468"/>
      <c r="OXC468"/>
      <c r="OXD468"/>
      <c r="OXE468"/>
      <c r="OXF468"/>
      <c r="OXG468"/>
      <c r="OXH468"/>
      <c r="OXI468"/>
      <c r="OXJ468"/>
      <c r="OXK468"/>
      <c r="OXL468"/>
      <c r="OXM468"/>
      <c r="OXN468"/>
      <c r="OXO468"/>
      <c r="OXP468"/>
      <c r="OXQ468"/>
      <c r="OXR468"/>
      <c r="OXS468"/>
      <c r="OXT468"/>
      <c r="OXU468"/>
      <c r="OXV468"/>
      <c r="OXW468"/>
      <c r="OXX468"/>
      <c r="OXY468"/>
      <c r="OXZ468"/>
      <c r="OYA468"/>
      <c r="OYB468"/>
      <c r="OYC468"/>
      <c r="OYD468"/>
      <c r="OYE468"/>
      <c r="OYF468"/>
      <c r="OYG468"/>
      <c r="OYH468"/>
      <c r="OYI468"/>
      <c r="OYJ468"/>
      <c r="OYK468"/>
      <c r="OYL468"/>
      <c r="OYM468"/>
      <c r="OYN468"/>
      <c r="OYO468"/>
      <c r="OYP468"/>
      <c r="OYQ468"/>
      <c r="OYR468"/>
      <c r="OYS468"/>
      <c r="OYT468"/>
      <c r="OYU468"/>
      <c r="OYV468"/>
      <c r="OYW468"/>
      <c r="OYX468"/>
      <c r="OYY468"/>
      <c r="OYZ468"/>
      <c r="OZA468"/>
      <c r="OZB468"/>
      <c r="OZC468"/>
      <c r="OZD468"/>
      <c r="OZE468"/>
      <c r="OZF468"/>
      <c r="OZG468"/>
      <c r="OZH468"/>
      <c r="OZI468"/>
      <c r="OZJ468"/>
      <c r="OZK468"/>
      <c r="OZL468"/>
      <c r="OZM468"/>
      <c r="OZN468"/>
      <c r="OZO468"/>
      <c r="OZP468"/>
      <c r="OZQ468"/>
      <c r="OZR468"/>
      <c r="OZS468"/>
      <c r="OZT468"/>
      <c r="OZU468"/>
      <c r="OZV468"/>
      <c r="OZW468"/>
      <c r="OZX468"/>
      <c r="OZY468"/>
      <c r="OZZ468"/>
      <c r="PAA468"/>
      <c r="PAB468"/>
      <c r="PAC468"/>
      <c r="PAD468"/>
      <c r="PAE468"/>
      <c r="PAF468"/>
      <c r="PAG468"/>
      <c r="PAH468"/>
      <c r="PAI468"/>
      <c r="PAJ468"/>
      <c r="PAK468"/>
      <c r="PAL468"/>
      <c r="PAM468"/>
      <c r="PAN468"/>
      <c r="PAO468"/>
      <c r="PAP468"/>
      <c r="PAQ468"/>
      <c r="PAR468"/>
      <c r="PAS468"/>
      <c r="PAT468"/>
      <c r="PAU468"/>
      <c r="PAV468"/>
      <c r="PAW468"/>
      <c r="PAX468"/>
      <c r="PAY468"/>
      <c r="PAZ468"/>
      <c r="PBA468"/>
      <c r="PBB468"/>
      <c r="PBC468"/>
      <c r="PBD468"/>
      <c r="PBE468"/>
      <c r="PBF468"/>
      <c r="PBG468"/>
      <c r="PBH468"/>
      <c r="PBI468"/>
      <c r="PBJ468"/>
      <c r="PBK468"/>
      <c r="PBL468"/>
      <c r="PBM468"/>
      <c r="PBN468"/>
      <c r="PBO468"/>
      <c r="PBP468"/>
      <c r="PBQ468"/>
      <c r="PBR468"/>
      <c r="PBS468"/>
      <c r="PBT468"/>
      <c r="PBU468"/>
      <c r="PBV468"/>
      <c r="PBW468"/>
      <c r="PBX468"/>
      <c r="PBY468"/>
      <c r="PBZ468"/>
      <c r="PCA468"/>
      <c r="PCB468"/>
      <c r="PCC468"/>
      <c r="PCD468"/>
      <c r="PCE468"/>
      <c r="PCF468"/>
      <c r="PCG468"/>
      <c r="PCH468"/>
      <c r="PCI468"/>
      <c r="PCJ468"/>
      <c r="PCK468"/>
      <c r="PCL468"/>
      <c r="PCM468"/>
      <c r="PCN468"/>
      <c r="PCO468"/>
      <c r="PCP468"/>
      <c r="PCQ468"/>
      <c r="PCR468"/>
      <c r="PCS468"/>
      <c r="PCT468"/>
      <c r="PCU468"/>
      <c r="PCV468"/>
      <c r="PCW468"/>
      <c r="PCX468"/>
      <c r="PCY468"/>
      <c r="PCZ468"/>
      <c r="PDA468"/>
      <c r="PDB468"/>
      <c r="PDC468"/>
      <c r="PDD468"/>
      <c r="PDE468"/>
      <c r="PDF468"/>
      <c r="PDG468"/>
      <c r="PDH468"/>
      <c r="PDI468"/>
      <c r="PDJ468"/>
      <c r="PDK468"/>
      <c r="PDL468"/>
      <c r="PDM468"/>
      <c r="PDN468"/>
      <c r="PDO468"/>
      <c r="PDP468"/>
      <c r="PDQ468"/>
      <c r="PDR468"/>
      <c r="PDS468"/>
      <c r="PDT468"/>
      <c r="PDU468"/>
      <c r="PDV468"/>
      <c r="PDW468"/>
      <c r="PDX468"/>
      <c r="PDY468"/>
      <c r="PDZ468"/>
      <c r="PEA468"/>
      <c r="PEB468"/>
      <c r="PEC468"/>
      <c r="PED468"/>
      <c r="PEE468"/>
      <c r="PEF468"/>
      <c r="PEG468"/>
      <c r="PEH468"/>
      <c r="PEI468"/>
      <c r="PEJ468"/>
      <c r="PEK468"/>
      <c r="PEL468"/>
      <c r="PEM468"/>
      <c r="PEN468"/>
      <c r="PEO468"/>
      <c r="PEP468"/>
      <c r="PEQ468"/>
      <c r="PER468"/>
      <c r="PES468"/>
      <c r="PET468"/>
      <c r="PEU468"/>
      <c r="PEV468"/>
      <c r="PEW468"/>
      <c r="PEX468"/>
      <c r="PEY468"/>
      <c r="PEZ468"/>
      <c r="PFA468"/>
      <c r="PFB468"/>
      <c r="PFC468"/>
      <c r="PFD468"/>
      <c r="PFE468"/>
      <c r="PFF468"/>
      <c r="PFG468"/>
      <c r="PFH468"/>
      <c r="PFI468"/>
      <c r="PFJ468"/>
      <c r="PFK468"/>
      <c r="PFL468"/>
      <c r="PFM468"/>
      <c r="PFN468"/>
      <c r="PFO468"/>
      <c r="PFP468"/>
      <c r="PFQ468"/>
      <c r="PFR468"/>
      <c r="PFS468"/>
      <c r="PFT468"/>
      <c r="PFU468"/>
      <c r="PFV468"/>
      <c r="PFW468"/>
      <c r="PFX468"/>
      <c r="PFY468"/>
      <c r="PFZ468"/>
      <c r="PGA468"/>
      <c r="PGB468"/>
      <c r="PGC468"/>
      <c r="PGD468"/>
      <c r="PGE468"/>
      <c r="PGF468"/>
      <c r="PGG468"/>
      <c r="PGH468"/>
      <c r="PGI468"/>
      <c r="PGJ468"/>
      <c r="PGK468"/>
      <c r="PGL468"/>
      <c r="PGM468"/>
      <c r="PGN468"/>
      <c r="PGO468"/>
      <c r="PGP468"/>
      <c r="PGQ468"/>
      <c r="PGR468"/>
      <c r="PGS468"/>
      <c r="PGT468"/>
      <c r="PGU468"/>
      <c r="PGV468"/>
      <c r="PGW468"/>
      <c r="PGX468"/>
      <c r="PGY468"/>
      <c r="PGZ468"/>
      <c r="PHA468"/>
      <c r="PHB468"/>
      <c r="PHC468"/>
      <c r="PHD468"/>
      <c r="PHE468"/>
      <c r="PHF468"/>
      <c r="PHG468"/>
      <c r="PHH468"/>
      <c r="PHI468"/>
      <c r="PHJ468"/>
      <c r="PHK468"/>
      <c r="PHL468"/>
      <c r="PHM468"/>
      <c r="PHN468"/>
      <c r="PHO468"/>
      <c r="PHP468"/>
      <c r="PHQ468"/>
      <c r="PHR468"/>
      <c r="PHS468"/>
      <c r="PHT468"/>
      <c r="PHU468"/>
      <c r="PHV468"/>
      <c r="PHW468"/>
      <c r="PHX468"/>
      <c r="PHY468"/>
      <c r="PHZ468"/>
      <c r="PIA468"/>
      <c r="PIB468"/>
      <c r="PIC468"/>
      <c r="PID468"/>
      <c r="PIE468"/>
      <c r="PIF468"/>
      <c r="PIG468"/>
      <c r="PIH468"/>
      <c r="PII468"/>
      <c r="PIJ468"/>
      <c r="PIK468"/>
      <c r="PIL468"/>
      <c r="PIM468"/>
      <c r="PIN468"/>
      <c r="PIO468"/>
      <c r="PIP468"/>
      <c r="PIQ468"/>
      <c r="PIR468"/>
      <c r="PIS468"/>
      <c r="PIT468"/>
      <c r="PIU468"/>
      <c r="PIV468"/>
      <c r="PIW468"/>
      <c r="PIX468"/>
      <c r="PIY468"/>
      <c r="PIZ468"/>
      <c r="PJA468"/>
      <c r="PJB468"/>
      <c r="PJC468"/>
      <c r="PJD468"/>
      <c r="PJE468"/>
      <c r="PJF468"/>
      <c r="PJG468"/>
      <c r="PJH468"/>
      <c r="PJI468"/>
      <c r="PJJ468"/>
      <c r="PJK468"/>
      <c r="PJL468"/>
      <c r="PJM468"/>
      <c r="PJN468"/>
      <c r="PJO468"/>
      <c r="PJP468"/>
      <c r="PJQ468"/>
      <c r="PJR468"/>
      <c r="PJS468"/>
      <c r="PJT468"/>
      <c r="PJU468"/>
      <c r="PJV468"/>
      <c r="PJW468"/>
      <c r="PJX468"/>
      <c r="PJY468"/>
      <c r="PJZ468"/>
      <c r="PKA468"/>
      <c r="PKB468"/>
      <c r="PKC468"/>
      <c r="PKD468"/>
      <c r="PKE468"/>
      <c r="PKF468"/>
      <c r="PKG468"/>
      <c r="PKH468"/>
      <c r="PKI468"/>
      <c r="PKJ468"/>
      <c r="PKK468"/>
      <c r="PKL468"/>
      <c r="PKM468"/>
      <c r="PKN468"/>
      <c r="PKO468"/>
      <c r="PKP468"/>
      <c r="PKQ468"/>
      <c r="PKR468"/>
      <c r="PKS468"/>
      <c r="PKT468"/>
      <c r="PKU468"/>
      <c r="PKV468"/>
      <c r="PKW468"/>
      <c r="PKX468"/>
      <c r="PKY468"/>
      <c r="PKZ468"/>
      <c r="PLA468"/>
      <c r="PLB468"/>
      <c r="PLC468"/>
      <c r="PLD468"/>
      <c r="PLE468"/>
      <c r="PLF468"/>
      <c r="PLG468"/>
      <c r="PLH468"/>
      <c r="PLI468"/>
      <c r="PLJ468"/>
      <c r="PLK468"/>
      <c r="PLL468"/>
      <c r="PLM468"/>
      <c r="PLN468"/>
      <c r="PLO468"/>
      <c r="PLP468"/>
      <c r="PLQ468"/>
      <c r="PLR468"/>
      <c r="PLS468"/>
      <c r="PLT468"/>
      <c r="PLU468"/>
      <c r="PLV468"/>
      <c r="PLW468"/>
      <c r="PLX468"/>
      <c r="PLY468"/>
      <c r="PLZ468"/>
      <c r="PMA468"/>
      <c r="PMB468"/>
      <c r="PMC468"/>
      <c r="PMD468"/>
      <c r="PME468"/>
      <c r="PMF468"/>
      <c r="PMG468"/>
      <c r="PMH468"/>
      <c r="PMI468"/>
      <c r="PMJ468"/>
      <c r="PMK468"/>
      <c r="PML468"/>
      <c r="PMM468"/>
      <c r="PMN468"/>
      <c r="PMO468"/>
      <c r="PMP468"/>
      <c r="PMQ468"/>
      <c r="PMR468"/>
      <c r="PMS468"/>
      <c r="PMT468"/>
      <c r="PMU468"/>
      <c r="PMV468"/>
      <c r="PMW468"/>
      <c r="PMX468"/>
      <c r="PMY468"/>
      <c r="PMZ468"/>
      <c r="PNA468"/>
      <c r="PNB468"/>
      <c r="PNC468"/>
      <c r="PND468"/>
      <c r="PNE468"/>
      <c r="PNF468"/>
      <c r="PNG468"/>
      <c r="PNH468"/>
      <c r="PNI468"/>
      <c r="PNJ468"/>
      <c r="PNK468"/>
      <c r="PNL468"/>
      <c r="PNM468"/>
      <c r="PNN468"/>
      <c r="PNO468"/>
      <c r="PNP468"/>
      <c r="PNQ468"/>
      <c r="PNR468"/>
      <c r="PNS468"/>
      <c r="PNT468"/>
      <c r="PNU468"/>
      <c r="PNV468"/>
      <c r="PNW468"/>
      <c r="PNX468"/>
      <c r="PNY468"/>
      <c r="PNZ468"/>
      <c r="POA468"/>
      <c r="POB468"/>
      <c r="POC468"/>
      <c r="POD468"/>
      <c r="POE468"/>
      <c r="POF468"/>
      <c r="POG468"/>
      <c r="POH468"/>
      <c r="POI468"/>
      <c r="POJ468"/>
      <c r="POK468"/>
      <c r="POL468"/>
      <c r="POM468"/>
      <c r="PON468"/>
      <c r="POO468"/>
      <c r="POP468"/>
      <c r="POQ468"/>
      <c r="POR468"/>
      <c r="POS468"/>
      <c r="POT468"/>
      <c r="POU468"/>
      <c r="POV468"/>
      <c r="POW468"/>
      <c r="POX468"/>
      <c r="POY468"/>
      <c r="POZ468"/>
      <c r="PPA468"/>
      <c r="PPB468"/>
      <c r="PPC468"/>
      <c r="PPD468"/>
      <c r="PPE468"/>
      <c r="PPF468"/>
      <c r="PPG468"/>
      <c r="PPH468"/>
      <c r="PPI468"/>
      <c r="PPJ468"/>
      <c r="PPK468"/>
      <c r="PPL468"/>
      <c r="PPM468"/>
      <c r="PPN468"/>
      <c r="PPO468"/>
      <c r="PPP468"/>
      <c r="PPQ468"/>
      <c r="PPR468"/>
      <c r="PPS468"/>
      <c r="PPT468"/>
      <c r="PPU468"/>
      <c r="PPV468"/>
      <c r="PPW468"/>
      <c r="PPX468"/>
      <c r="PPY468"/>
      <c r="PPZ468"/>
      <c r="PQA468"/>
      <c r="PQB468"/>
      <c r="PQC468"/>
      <c r="PQD468"/>
      <c r="PQE468"/>
      <c r="PQF468"/>
      <c r="PQG468"/>
      <c r="PQH468"/>
      <c r="PQI468"/>
      <c r="PQJ468"/>
      <c r="PQK468"/>
      <c r="PQL468"/>
      <c r="PQM468"/>
      <c r="PQN468"/>
      <c r="PQO468"/>
      <c r="PQP468"/>
      <c r="PQQ468"/>
      <c r="PQR468"/>
      <c r="PQS468"/>
      <c r="PQT468"/>
      <c r="PQU468"/>
      <c r="PQV468"/>
      <c r="PQW468"/>
      <c r="PQX468"/>
      <c r="PQY468"/>
      <c r="PQZ468"/>
      <c r="PRA468"/>
      <c r="PRB468"/>
      <c r="PRC468"/>
      <c r="PRD468"/>
      <c r="PRE468"/>
      <c r="PRF468"/>
      <c r="PRG468"/>
      <c r="PRH468"/>
      <c r="PRI468"/>
      <c r="PRJ468"/>
      <c r="PRK468"/>
      <c r="PRL468"/>
      <c r="PRM468"/>
      <c r="PRN468"/>
      <c r="PRO468"/>
      <c r="PRP468"/>
      <c r="PRQ468"/>
      <c r="PRR468"/>
      <c r="PRS468"/>
      <c r="PRT468"/>
      <c r="PRU468"/>
      <c r="PRV468"/>
      <c r="PRW468"/>
      <c r="PRX468"/>
      <c r="PRY468"/>
      <c r="PRZ468"/>
      <c r="PSA468"/>
      <c r="PSB468"/>
      <c r="PSC468"/>
      <c r="PSD468"/>
      <c r="PSE468"/>
      <c r="PSF468"/>
      <c r="PSG468"/>
      <c r="PSH468"/>
      <c r="PSI468"/>
      <c r="PSJ468"/>
      <c r="PSK468"/>
      <c r="PSL468"/>
      <c r="PSM468"/>
      <c r="PSN468"/>
      <c r="PSO468"/>
      <c r="PSP468"/>
      <c r="PSQ468"/>
      <c r="PSR468"/>
      <c r="PSS468"/>
      <c r="PST468"/>
      <c r="PSU468"/>
      <c r="PSV468"/>
      <c r="PSW468"/>
      <c r="PSX468"/>
      <c r="PSY468"/>
      <c r="PSZ468"/>
      <c r="PTA468"/>
      <c r="PTB468"/>
      <c r="PTC468"/>
      <c r="PTD468"/>
      <c r="PTE468"/>
      <c r="PTF468"/>
      <c r="PTG468"/>
      <c r="PTH468"/>
      <c r="PTI468"/>
      <c r="PTJ468"/>
      <c r="PTK468"/>
      <c r="PTL468"/>
      <c r="PTM468"/>
      <c r="PTN468"/>
      <c r="PTO468"/>
      <c r="PTP468"/>
      <c r="PTQ468"/>
      <c r="PTR468"/>
      <c r="PTS468"/>
      <c r="PTT468"/>
      <c r="PTU468"/>
      <c r="PTV468"/>
      <c r="PTW468"/>
      <c r="PTX468"/>
      <c r="PTY468"/>
      <c r="PTZ468"/>
      <c r="PUA468"/>
      <c r="PUB468"/>
      <c r="PUC468"/>
      <c r="PUD468"/>
      <c r="PUE468"/>
      <c r="PUF468"/>
      <c r="PUG468"/>
      <c r="PUH468"/>
      <c r="PUI468"/>
      <c r="PUJ468"/>
      <c r="PUK468"/>
      <c r="PUL468"/>
      <c r="PUM468"/>
      <c r="PUN468"/>
      <c r="PUO468"/>
      <c r="PUP468"/>
      <c r="PUQ468"/>
      <c r="PUR468"/>
      <c r="PUS468"/>
      <c r="PUT468"/>
      <c r="PUU468"/>
      <c r="PUV468"/>
      <c r="PUW468"/>
      <c r="PUX468"/>
      <c r="PUY468"/>
      <c r="PUZ468"/>
      <c r="PVA468"/>
      <c r="PVB468"/>
      <c r="PVC468"/>
      <c r="PVD468"/>
      <c r="PVE468"/>
      <c r="PVF468"/>
      <c r="PVG468"/>
      <c r="PVH468"/>
      <c r="PVI468"/>
      <c r="PVJ468"/>
      <c r="PVK468"/>
      <c r="PVL468"/>
      <c r="PVM468"/>
      <c r="PVN468"/>
      <c r="PVO468"/>
      <c r="PVP468"/>
      <c r="PVQ468"/>
      <c r="PVR468"/>
      <c r="PVS468"/>
      <c r="PVT468"/>
      <c r="PVU468"/>
      <c r="PVV468"/>
      <c r="PVW468"/>
      <c r="PVX468"/>
      <c r="PVY468"/>
      <c r="PVZ468"/>
      <c r="PWA468"/>
      <c r="PWB468"/>
      <c r="PWC468"/>
      <c r="PWD468"/>
      <c r="PWE468"/>
      <c r="PWF468"/>
      <c r="PWG468"/>
      <c r="PWH468"/>
      <c r="PWI468"/>
      <c r="PWJ468"/>
      <c r="PWK468"/>
      <c r="PWL468"/>
      <c r="PWM468"/>
      <c r="PWN468"/>
      <c r="PWO468"/>
      <c r="PWP468"/>
      <c r="PWQ468"/>
      <c r="PWR468"/>
      <c r="PWS468"/>
      <c r="PWT468"/>
      <c r="PWU468"/>
      <c r="PWV468"/>
      <c r="PWW468"/>
      <c r="PWX468"/>
      <c r="PWY468"/>
      <c r="PWZ468"/>
      <c r="PXA468"/>
      <c r="PXB468"/>
      <c r="PXC468"/>
      <c r="PXD468"/>
      <c r="PXE468"/>
      <c r="PXF468"/>
      <c r="PXG468"/>
      <c r="PXH468"/>
      <c r="PXI468"/>
      <c r="PXJ468"/>
      <c r="PXK468"/>
      <c r="PXL468"/>
      <c r="PXM468"/>
      <c r="PXN468"/>
      <c r="PXO468"/>
      <c r="PXP468"/>
      <c r="PXQ468"/>
      <c r="PXR468"/>
      <c r="PXS468"/>
      <c r="PXT468"/>
      <c r="PXU468"/>
      <c r="PXV468"/>
      <c r="PXW468"/>
      <c r="PXX468"/>
      <c r="PXY468"/>
      <c r="PXZ468"/>
      <c r="PYA468"/>
      <c r="PYB468"/>
      <c r="PYC468"/>
      <c r="PYD468"/>
      <c r="PYE468"/>
      <c r="PYF468"/>
      <c r="PYG468"/>
      <c r="PYH468"/>
      <c r="PYI468"/>
      <c r="PYJ468"/>
      <c r="PYK468"/>
      <c r="PYL468"/>
      <c r="PYM468"/>
      <c r="PYN468"/>
      <c r="PYO468"/>
      <c r="PYP468"/>
      <c r="PYQ468"/>
      <c r="PYR468"/>
      <c r="PYS468"/>
      <c r="PYT468"/>
      <c r="PYU468"/>
      <c r="PYV468"/>
      <c r="PYW468"/>
      <c r="PYX468"/>
      <c r="PYY468"/>
      <c r="PYZ468"/>
      <c r="PZA468"/>
      <c r="PZB468"/>
      <c r="PZC468"/>
      <c r="PZD468"/>
      <c r="PZE468"/>
      <c r="PZF468"/>
      <c r="PZG468"/>
      <c r="PZH468"/>
      <c r="PZI468"/>
      <c r="PZJ468"/>
      <c r="PZK468"/>
      <c r="PZL468"/>
      <c r="PZM468"/>
      <c r="PZN468"/>
      <c r="PZO468"/>
      <c r="PZP468"/>
      <c r="PZQ468"/>
      <c r="PZR468"/>
      <c r="PZS468"/>
      <c r="PZT468"/>
      <c r="PZU468"/>
      <c r="PZV468"/>
      <c r="PZW468"/>
      <c r="PZX468"/>
      <c r="PZY468"/>
      <c r="PZZ468"/>
      <c r="QAA468"/>
      <c r="QAB468"/>
      <c r="QAC468"/>
      <c r="QAD468"/>
      <c r="QAE468"/>
      <c r="QAF468"/>
      <c r="QAG468"/>
      <c r="QAH468"/>
      <c r="QAI468"/>
      <c r="QAJ468"/>
      <c r="QAK468"/>
      <c r="QAL468"/>
      <c r="QAM468"/>
      <c r="QAN468"/>
      <c r="QAO468"/>
      <c r="QAP468"/>
      <c r="QAQ468"/>
      <c r="QAR468"/>
      <c r="QAS468"/>
      <c r="QAT468"/>
      <c r="QAU468"/>
      <c r="QAV468"/>
      <c r="QAW468"/>
      <c r="QAX468"/>
      <c r="QAY468"/>
      <c r="QAZ468"/>
      <c r="QBA468"/>
      <c r="QBB468"/>
      <c r="QBC468"/>
      <c r="QBD468"/>
      <c r="QBE468"/>
      <c r="QBF468"/>
      <c r="QBG468"/>
      <c r="QBH468"/>
      <c r="QBI468"/>
      <c r="QBJ468"/>
      <c r="QBK468"/>
      <c r="QBL468"/>
      <c r="QBM468"/>
      <c r="QBN468"/>
      <c r="QBO468"/>
      <c r="QBP468"/>
      <c r="QBQ468"/>
      <c r="QBR468"/>
      <c r="QBS468"/>
      <c r="QBT468"/>
      <c r="QBU468"/>
      <c r="QBV468"/>
      <c r="QBW468"/>
      <c r="QBX468"/>
      <c r="QBY468"/>
      <c r="QBZ468"/>
      <c r="QCA468"/>
      <c r="QCB468"/>
      <c r="QCC468"/>
      <c r="QCD468"/>
      <c r="QCE468"/>
      <c r="QCF468"/>
      <c r="QCG468"/>
      <c r="QCH468"/>
      <c r="QCI468"/>
      <c r="QCJ468"/>
      <c r="QCK468"/>
      <c r="QCL468"/>
      <c r="QCM468"/>
      <c r="QCN468"/>
      <c r="QCO468"/>
      <c r="QCP468"/>
      <c r="QCQ468"/>
      <c r="QCR468"/>
      <c r="QCS468"/>
      <c r="QCT468"/>
      <c r="QCU468"/>
      <c r="QCV468"/>
      <c r="QCW468"/>
      <c r="QCX468"/>
      <c r="QCY468"/>
      <c r="QCZ468"/>
      <c r="QDA468"/>
      <c r="QDB468"/>
      <c r="QDC468"/>
      <c r="QDD468"/>
      <c r="QDE468"/>
      <c r="QDF468"/>
      <c r="QDG468"/>
      <c r="QDH468"/>
      <c r="QDI468"/>
      <c r="QDJ468"/>
      <c r="QDK468"/>
      <c r="QDL468"/>
      <c r="QDM468"/>
      <c r="QDN468"/>
      <c r="QDO468"/>
      <c r="QDP468"/>
      <c r="QDQ468"/>
      <c r="QDR468"/>
      <c r="QDS468"/>
      <c r="QDT468"/>
      <c r="QDU468"/>
      <c r="QDV468"/>
      <c r="QDW468"/>
      <c r="QDX468"/>
      <c r="QDY468"/>
      <c r="QDZ468"/>
      <c r="QEA468"/>
      <c r="QEB468"/>
      <c r="QEC468"/>
      <c r="QED468"/>
      <c r="QEE468"/>
      <c r="QEF468"/>
      <c r="QEG468"/>
      <c r="QEH468"/>
      <c r="QEI468"/>
      <c r="QEJ468"/>
      <c r="QEK468"/>
      <c r="QEL468"/>
      <c r="QEM468"/>
      <c r="QEN468"/>
      <c r="QEO468"/>
      <c r="QEP468"/>
      <c r="QEQ468"/>
      <c r="QER468"/>
      <c r="QES468"/>
      <c r="QET468"/>
      <c r="QEU468"/>
      <c r="QEV468"/>
      <c r="QEW468"/>
      <c r="QEX468"/>
      <c r="QEY468"/>
      <c r="QEZ468"/>
      <c r="QFA468"/>
      <c r="QFB468"/>
      <c r="QFC468"/>
      <c r="QFD468"/>
      <c r="QFE468"/>
      <c r="QFF468"/>
      <c r="QFG468"/>
      <c r="QFH468"/>
      <c r="QFI468"/>
      <c r="QFJ468"/>
      <c r="QFK468"/>
      <c r="QFL468"/>
      <c r="QFM468"/>
      <c r="QFN468"/>
      <c r="QFO468"/>
      <c r="QFP468"/>
      <c r="QFQ468"/>
      <c r="QFR468"/>
      <c r="QFS468"/>
      <c r="QFT468"/>
      <c r="QFU468"/>
      <c r="QFV468"/>
      <c r="QFW468"/>
      <c r="QFX468"/>
      <c r="QFY468"/>
      <c r="QFZ468"/>
      <c r="QGA468"/>
      <c r="QGB468"/>
      <c r="QGC468"/>
      <c r="QGD468"/>
      <c r="QGE468"/>
      <c r="QGF468"/>
      <c r="QGG468"/>
      <c r="QGH468"/>
      <c r="QGI468"/>
      <c r="QGJ468"/>
      <c r="QGK468"/>
      <c r="QGL468"/>
      <c r="QGM468"/>
      <c r="QGN468"/>
      <c r="QGO468"/>
      <c r="QGP468"/>
      <c r="QGQ468"/>
      <c r="QGR468"/>
      <c r="QGS468"/>
      <c r="QGT468"/>
      <c r="QGU468"/>
      <c r="QGV468"/>
      <c r="QGW468"/>
      <c r="QGX468"/>
      <c r="QGY468"/>
      <c r="QGZ468"/>
      <c r="QHA468"/>
      <c r="QHB468"/>
      <c r="QHC468"/>
      <c r="QHD468"/>
      <c r="QHE468"/>
      <c r="QHF468"/>
      <c r="QHG468"/>
      <c r="QHH468"/>
      <c r="QHI468"/>
      <c r="QHJ468"/>
      <c r="QHK468"/>
      <c r="QHL468"/>
      <c r="QHM468"/>
      <c r="QHN468"/>
      <c r="QHO468"/>
      <c r="QHP468"/>
      <c r="QHQ468"/>
      <c r="QHR468"/>
      <c r="QHS468"/>
      <c r="QHT468"/>
      <c r="QHU468"/>
      <c r="QHV468"/>
      <c r="QHW468"/>
      <c r="QHX468"/>
      <c r="QHY468"/>
      <c r="QHZ468"/>
      <c r="QIA468"/>
      <c r="QIB468"/>
      <c r="QIC468"/>
      <c r="QID468"/>
      <c r="QIE468"/>
      <c r="QIF468"/>
      <c r="QIG468"/>
      <c r="QIH468"/>
      <c r="QII468"/>
      <c r="QIJ468"/>
      <c r="QIK468"/>
      <c r="QIL468"/>
      <c r="QIM468"/>
      <c r="QIN468"/>
      <c r="QIO468"/>
      <c r="QIP468"/>
      <c r="QIQ468"/>
      <c r="QIR468"/>
      <c r="QIS468"/>
      <c r="QIT468"/>
      <c r="QIU468"/>
      <c r="QIV468"/>
      <c r="QIW468"/>
      <c r="QIX468"/>
      <c r="QIY468"/>
      <c r="QIZ468"/>
      <c r="QJA468"/>
      <c r="QJB468"/>
      <c r="QJC468"/>
      <c r="QJD468"/>
      <c r="QJE468"/>
      <c r="QJF468"/>
      <c r="QJG468"/>
      <c r="QJH468"/>
      <c r="QJI468"/>
      <c r="QJJ468"/>
      <c r="QJK468"/>
      <c r="QJL468"/>
      <c r="QJM468"/>
      <c r="QJN468"/>
      <c r="QJO468"/>
      <c r="QJP468"/>
      <c r="QJQ468"/>
      <c r="QJR468"/>
      <c r="QJS468"/>
      <c r="QJT468"/>
      <c r="QJU468"/>
      <c r="QJV468"/>
      <c r="QJW468"/>
      <c r="QJX468"/>
      <c r="QJY468"/>
      <c r="QJZ468"/>
      <c r="QKA468"/>
      <c r="QKB468"/>
      <c r="QKC468"/>
      <c r="QKD468"/>
      <c r="QKE468"/>
      <c r="QKF468"/>
      <c r="QKG468"/>
      <c r="QKH468"/>
      <c r="QKI468"/>
      <c r="QKJ468"/>
      <c r="QKK468"/>
      <c r="QKL468"/>
      <c r="QKM468"/>
      <c r="QKN468"/>
      <c r="QKO468"/>
      <c r="QKP468"/>
      <c r="QKQ468"/>
      <c r="QKR468"/>
      <c r="QKS468"/>
      <c r="QKT468"/>
      <c r="QKU468"/>
      <c r="QKV468"/>
      <c r="QKW468"/>
      <c r="QKX468"/>
      <c r="QKY468"/>
      <c r="QKZ468"/>
      <c r="QLA468"/>
      <c r="QLB468"/>
      <c r="QLC468"/>
      <c r="QLD468"/>
      <c r="QLE468"/>
      <c r="QLF468"/>
      <c r="QLG468"/>
      <c r="QLH468"/>
      <c r="QLI468"/>
      <c r="QLJ468"/>
      <c r="QLK468"/>
      <c r="QLL468"/>
      <c r="QLM468"/>
      <c r="QLN468"/>
      <c r="QLO468"/>
      <c r="QLP468"/>
      <c r="QLQ468"/>
      <c r="QLR468"/>
      <c r="QLS468"/>
      <c r="QLT468"/>
      <c r="QLU468"/>
      <c r="QLV468"/>
      <c r="QLW468"/>
      <c r="QLX468"/>
      <c r="QLY468"/>
      <c r="QLZ468"/>
      <c r="QMA468"/>
      <c r="QMB468"/>
      <c r="QMC468"/>
      <c r="QMD468"/>
      <c r="QME468"/>
      <c r="QMF468"/>
      <c r="QMG468"/>
      <c r="QMH468"/>
      <c r="QMI468"/>
      <c r="QMJ468"/>
      <c r="QMK468"/>
      <c r="QML468"/>
      <c r="QMM468"/>
      <c r="QMN468"/>
      <c r="QMO468"/>
      <c r="QMP468"/>
      <c r="QMQ468"/>
      <c r="QMR468"/>
      <c r="QMS468"/>
      <c r="QMT468"/>
      <c r="QMU468"/>
      <c r="QMV468"/>
      <c r="QMW468"/>
      <c r="QMX468"/>
      <c r="QMY468"/>
      <c r="QMZ468"/>
      <c r="QNA468"/>
      <c r="QNB468"/>
      <c r="QNC468"/>
      <c r="QND468"/>
      <c r="QNE468"/>
      <c r="QNF468"/>
      <c r="QNG468"/>
      <c r="QNH468"/>
      <c r="QNI468"/>
      <c r="QNJ468"/>
      <c r="QNK468"/>
      <c r="QNL468"/>
      <c r="QNM468"/>
      <c r="QNN468"/>
      <c r="QNO468"/>
      <c r="QNP468"/>
      <c r="QNQ468"/>
      <c r="QNR468"/>
      <c r="QNS468"/>
      <c r="QNT468"/>
      <c r="QNU468"/>
      <c r="QNV468"/>
      <c r="QNW468"/>
      <c r="QNX468"/>
      <c r="QNY468"/>
      <c r="QNZ468"/>
      <c r="QOA468"/>
      <c r="QOB468"/>
      <c r="QOC468"/>
      <c r="QOD468"/>
      <c r="QOE468"/>
      <c r="QOF468"/>
      <c r="QOG468"/>
      <c r="QOH468"/>
      <c r="QOI468"/>
      <c r="QOJ468"/>
      <c r="QOK468"/>
      <c r="QOL468"/>
      <c r="QOM468"/>
      <c r="QON468"/>
      <c r="QOO468"/>
      <c r="QOP468"/>
      <c r="QOQ468"/>
      <c r="QOR468"/>
      <c r="QOS468"/>
      <c r="QOT468"/>
      <c r="QOU468"/>
      <c r="QOV468"/>
      <c r="QOW468"/>
      <c r="QOX468"/>
      <c r="QOY468"/>
      <c r="QOZ468"/>
      <c r="QPA468"/>
      <c r="QPB468"/>
      <c r="QPC468"/>
      <c r="QPD468"/>
      <c r="QPE468"/>
      <c r="QPF468"/>
      <c r="QPG468"/>
      <c r="QPH468"/>
      <c r="QPI468"/>
      <c r="QPJ468"/>
      <c r="QPK468"/>
      <c r="QPL468"/>
      <c r="QPM468"/>
      <c r="QPN468"/>
      <c r="QPO468"/>
      <c r="QPP468"/>
      <c r="QPQ468"/>
      <c r="QPR468"/>
      <c r="QPS468"/>
      <c r="QPT468"/>
      <c r="QPU468"/>
      <c r="QPV468"/>
      <c r="QPW468"/>
      <c r="QPX468"/>
      <c r="QPY468"/>
      <c r="QPZ468"/>
      <c r="QQA468"/>
      <c r="QQB468"/>
      <c r="QQC468"/>
      <c r="QQD468"/>
      <c r="QQE468"/>
      <c r="QQF468"/>
      <c r="QQG468"/>
      <c r="QQH468"/>
      <c r="QQI468"/>
      <c r="QQJ468"/>
      <c r="QQK468"/>
      <c r="QQL468"/>
      <c r="QQM468"/>
      <c r="QQN468"/>
      <c r="QQO468"/>
      <c r="QQP468"/>
      <c r="QQQ468"/>
      <c r="QQR468"/>
      <c r="QQS468"/>
      <c r="QQT468"/>
      <c r="QQU468"/>
      <c r="QQV468"/>
      <c r="QQW468"/>
      <c r="QQX468"/>
      <c r="QQY468"/>
      <c r="QQZ468"/>
      <c r="QRA468"/>
      <c r="QRB468"/>
      <c r="QRC468"/>
      <c r="QRD468"/>
      <c r="QRE468"/>
      <c r="QRF468"/>
      <c r="QRG468"/>
      <c r="QRH468"/>
      <c r="QRI468"/>
      <c r="QRJ468"/>
      <c r="QRK468"/>
      <c r="QRL468"/>
      <c r="QRM468"/>
      <c r="QRN468"/>
      <c r="QRO468"/>
      <c r="QRP468"/>
      <c r="QRQ468"/>
      <c r="QRR468"/>
      <c r="QRS468"/>
      <c r="QRT468"/>
      <c r="QRU468"/>
      <c r="QRV468"/>
      <c r="QRW468"/>
      <c r="QRX468"/>
      <c r="QRY468"/>
      <c r="QRZ468"/>
      <c r="QSA468"/>
      <c r="QSB468"/>
      <c r="QSC468"/>
      <c r="QSD468"/>
      <c r="QSE468"/>
      <c r="QSF468"/>
      <c r="QSG468"/>
      <c r="QSH468"/>
      <c r="QSI468"/>
      <c r="QSJ468"/>
      <c r="QSK468"/>
      <c r="QSL468"/>
      <c r="QSM468"/>
      <c r="QSN468"/>
      <c r="QSO468"/>
      <c r="QSP468"/>
      <c r="QSQ468"/>
      <c r="QSR468"/>
      <c r="QSS468"/>
      <c r="QST468"/>
      <c r="QSU468"/>
      <c r="QSV468"/>
      <c r="QSW468"/>
      <c r="QSX468"/>
      <c r="QSY468"/>
      <c r="QSZ468"/>
      <c r="QTA468"/>
      <c r="QTB468"/>
      <c r="QTC468"/>
      <c r="QTD468"/>
      <c r="QTE468"/>
      <c r="QTF468"/>
      <c r="QTG468"/>
      <c r="QTH468"/>
      <c r="QTI468"/>
      <c r="QTJ468"/>
      <c r="QTK468"/>
      <c r="QTL468"/>
      <c r="QTM468"/>
      <c r="QTN468"/>
      <c r="QTO468"/>
      <c r="QTP468"/>
      <c r="QTQ468"/>
      <c r="QTR468"/>
      <c r="QTS468"/>
      <c r="QTT468"/>
      <c r="QTU468"/>
      <c r="QTV468"/>
      <c r="QTW468"/>
      <c r="QTX468"/>
      <c r="QTY468"/>
      <c r="QTZ468"/>
      <c r="QUA468"/>
      <c r="QUB468"/>
      <c r="QUC468"/>
      <c r="QUD468"/>
      <c r="QUE468"/>
      <c r="QUF468"/>
      <c r="QUG468"/>
      <c r="QUH468"/>
      <c r="QUI468"/>
      <c r="QUJ468"/>
      <c r="QUK468"/>
      <c r="QUL468"/>
      <c r="QUM468"/>
      <c r="QUN468"/>
      <c r="QUO468"/>
      <c r="QUP468"/>
      <c r="QUQ468"/>
      <c r="QUR468"/>
      <c r="QUS468"/>
      <c r="QUT468"/>
      <c r="QUU468"/>
      <c r="QUV468"/>
      <c r="QUW468"/>
      <c r="QUX468"/>
      <c r="QUY468"/>
      <c r="QUZ468"/>
      <c r="QVA468"/>
      <c r="QVB468"/>
      <c r="QVC468"/>
      <c r="QVD468"/>
      <c r="QVE468"/>
      <c r="QVF468"/>
      <c r="QVG468"/>
      <c r="QVH468"/>
      <c r="QVI468"/>
      <c r="QVJ468"/>
      <c r="QVK468"/>
      <c r="QVL468"/>
      <c r="QVM468"/>
      <c r="QVN468"/>
      <c r="QVO468"/>
      <c r="QVP468"/>
      <c r="QVQ468"/>
      <c r="QVR468"/>
      <c r="QVS468"/>
      <c r="QVT468"/>
      <c r="QVU468"/>
      <c r="QVV468"/>
      <c r="QVW468"/>
      <c r="QVX468"/>
      <c r="QVY468"/>
      <c r="QVZ468"/>
      <c r="QWA468"/>
      <c r="QWB468"/>
      <c r="QWC468"/>
      <c r="QWD468"/>
      <c r="QWE468"/>
      <c r="QWF468"/>
      <c r="QWG468"/>
      <c r="QWH468"/>
      <c r="QWI468"/>
      <c r="QWJ468"/>
      <c r="QWK468"/>
      <c r="QWL468"/>
      <c r="QWM468"/>
      <c r="QWN468"/>
      <c r="QWO468"/>
      <c r="QWP468"/>
      <c r="QWQ468"/>
      <c r="QWR468"/>
      <c r="QWS468"/>
      <c r="QWT468"/>
      <c r="QWU468"/>
      <c r="QWV468"/>
      <c r="QWW468"/>
      <c r="QWX468"/>
      <c r="QWY468"/>
      <c r="QWZ468"/>
      <c r="QXA468"/>
      <c r="QXB468"/>
      <c r="QXC468"/>
      <c r="QXD468"/>
      <c r="QXE468"/>
      <c r="QXF468"/>
      <c r="QXG468"/>
      <c r="QXH468"/>
      <c r="QXI468"/>
      <c r="QXJ468"/>
      <c r="QXK468"/>
      <c r="QXL468"/>
      <c r="QXM468"/>
      <c r="QXN468"/>
      <c r="QXO468"/>
      <c r="QXP468"/>
      <c r="QXQ468"/>
      <c r="QXR468"/>
      <c r="QXS468"/>
      <c r="QXT468"/>
      <c r="QXU468"/>
      <c r="QXV468"/>
      <c r="QXW468"/>
      <c r="QXX468"/>
      <c r="QXY468"/>
      <c r="QXZ468"/>
      <c r="QYA468"/>
      <c r="QYB468"/>
      <c r="QYC468"/>
      <c r="QYD468"/>
      <c r="QYE468"/>
      <c r="QYF468"/>
      <c r="QYG468"/>
      <c r="QYH468"/>
      <c r="QYI468"/>
      <c r="QYJ468"/>
      <c r="QYK468"/>
      <c r="QYL468"/>
      <c r="QYM468"/>
      <c r="QYN468"/>
      <c r="QYO468"/>
      <c r="QYP468"/>
      <c r="QYQ468"/>
      <c r="QYR468"/>
      <c r="QYS468"/>
      <c r="QYT468"/>
      <c r="QYU468"/>
      <c r="QYV468"/>
      <c r="QYW468"/>
      <c r="QYX468"/>
      <c r="QYY468"/>
      <c r="QYZ468"/>
      <c r="QZA468"/>
      <c r="QZB468"/>
      <c r="QZC468"/>
      <c r="QZD468"/>
      <c r="QZE468"/>
      <c r="QZF468"/>
      <c r="QZG468"/>
      <c r="QZH468"/>
      <c r="QZI468"/>
      <c r="QZJ468"/>
      <c r="QZK468"/>
      <c r="QZL468"/>
      <c r="QZM468"/>
      <c r="QZN468"/>
      <c r="QZO468"/>
      <c r="QZP468"/>
      <c r="QZQ468"/>
      <c r="QZR468"/>
      <c r="QZS468"/>
      <c r="QZT468"/>
      <c r="QZU468"/>
      <c r="QZV468"/>
      <c r="QZW468"/>
      <c r="QZX468"/>
      <c r="QZY468"/>
      <c r="QZZ468"/>
      <c r="RAA468"/>
      <c r="RAB468"/>
      <c r="RAC468"/>
      <c r="RAD468"/>
      <c r="RAE468"/>
      <c r="RAF468"/>
      <c r="RAG468"/>
      <c r="RAH468"/>
      <c r="RAI468"/>
      <c r="RAJ468"/>
      <c r="RAK468"/>
      <c r="RAL468"/>
      <c r="RAM468"/>
      <c r="RAN468"/>
      <c r="RAO468"/>
      <c r="RAP468"/>
      <c r="RAQ468"/>
      <c r="RAR468"/>
      <c r="RAS468"/>
      <c r="RAT468"/>
      <c r="RAU468"/>
      <c r="RAV468"/>
      <c r="RAW468"/>
      <c r="RAX468"/>
      <c r="RAY468"/>
      <c r="RAZ468"/>
      <c r="RBA468"/>
      <c r="RBB468"/>
      <c r="RBC468"/>
      <c r="RBD468"/>
      <c r="RBE468"/>
      <c r="RBF468"/>
      <c r="RBG468"/>
      <c r="RBH468"/>
      <c r="RBI468"/>
      <c r="RBJ468"/>
      <c r="RBK468"/>
      <c r="RBL468"/>
      <c r="RBM468"/>
      <c r="RBN468"/>
      <c r="RBO468"/>
      <c r="RBP468"/>
      <c r="RBQ468"/>
      <c r="RBR468"/>
      <c r="RBS468"/>
      <c r="RBT468"/>
      <c r="RBU468"/>
      <c r="RBV468"/>
      <c r="RBW468"/>
      <c r="RBX468"/>
      <c r="RBY468"/>
      <c r="RBZ468"/>
      <c r="RCA468"/>
      <c r="RCB468"/>
      <c r="RCC468"/>
      <c r="RCD468"/>
      <c r="RCE468"/>
      <c r="RCF468"/>
      <c r="RCG468"/>
      <c r="RCH468"/>
      <c r="RCI468"/>
      <c r="RCJ468"/>
      <c r="RCK468"/>
      <c r="RCL468"/>
      <c r="RCM468"/>
      <c r="RCN468"/>
      <c r="RCO468"/>
      <c r="RCP468"/>
      <c r="RCQ468"/>
      <c r="RCR468"/>
      <c r="RCS468"/>
      <c r="RCT468"/>
      <c r="RCU468"/>
      <c r="RCV468"/>
      <c r="RCW468"/>
      <c r="RCX468"/>
      <c r="RCY468"/>
      <c r="RCZ468"/>
      <c r="RDA468"/>
      <c r="RDB468"/>
      <c r="RDC468"/>
      <c r="RDD468"/>
      <c r="RDE468"/>
      <c r="RDF468"/>
      <c r="RDG468"/>
      <c r="RDH468"/>
      <c r="RDI468"/>
      <c r="RDJ468"/>
      <c r="RDK468"/>
      <c r="RDL468"/>
      <c r="RDM468"/>
      <c r="RDN468"/>
      <c r="RDO468"/>
      <c r="RDP468"/>
      <c r="RDQ468"/>
      <c r="RDR468"/>
      <c r="RDS468"/>
      <c r="RDT468"/>
      <c r="RDU468"/>
      <c r="RDV468"/>
      <c r="RDW468"/>
      <c r="RDX468"/>
      <c r="RDY468"/>
      <c r="RDZ468"/>
      <c r="REA468"/>
      <c r="REB468"/>
      <c r="REC468"/>
      <c r="RED468"/>
      <c r="REE468"/>
      <c r="REF468"/>
      <c r="REG468"/>
      <c r="REH468"/>
      <c r="REI468"/>
      <c r="REJ468"/>
      <c r="REK468"/>
      <c r="REL468"/>
      <c r="REM468"/>
      <c r="REN468"/>
      <c r="REO468"/>
      <c r="REP468"/>
      <c r="REQ468"/>
      <c r="RER468"/>
      <c r="RES468"/>
      <c r="RET468"/>
      <c r="REU468"/>
      <c r="REV468"/>
      <c r="REW468"/>
      <c r="REX468"/>
      <c r="REY468"/>
      <c r="REZ468"/>
      <c r="RFA468"/>
      <c r="RFB468"/>
      <c r="RFC468"/>
      <c r="RFD468"/>
      <c r="RFE468"/>
      <c r="RFF468"/>
      <c r="RFG468"/>
      <c r="RFH468"/>
      <c r="RFI468"/>
      <c r="RFJ468"/>
      <c r="RFK468"/>
      <c r="RFL468"/>
      <c r="RFM468"/>
      <c r="RFN468"/>
      <c r="RFO468"/>
      <c r="RFP468"/>
      <c r="RFQ468"/>
      <c r="RFR468"/>
      <c r="RFS468"/>
      <c r="RFT468"/>
      <c r="RFU468"/>
      <c r="RFV468"/>
      <c r="RFW468"/>
      <c r="RFX468"/>
      <c r="RFY468"/>
      <c r="RFZ468"/>
      <c r="RGA468"/>
      <c r="RGB468"/>
      <c r="RGC468"/>
      <c r="RGD468"/>
      <c r="RGE468"/>
      <c r="RGF468"/>
      <c r="RGG468"/>
      <c r="RGH468"/>
      <c r="RGI468"/>
      <c r="RGJ468"/>
      <c r="RGK468"/>
      <c r="RGL468"/>
      <c r="RGM468"/>
      <c r="RGN468"/>
      <c r="RGO468"/>
      <c r="RGP468"/>
      <c r="RGQ468"/>
      <c r="RGR468"/>
      <c r="RGS468"/>
      <c r="RGT468"/>
      <c r="RGU468"/>
      <c r="RGV468"/>
      <c r="RGW468"/>
      <c r="RGX468"/>
      <c r="RGY468"/>
      <c r="RGZ468"/>
      <c r="RHA468"/>
      <c r="RHB468"/>
      <c r="RHC468"/>
      <c r="RHD468"/>
      <c r="RHE468"/>
      <c r="RHF468"/>
      <c r="RHG468"/>
      <c r="RHH468"/>
      <c r="RHI468"/>
      <c r="RHJ468"/>
      <c r="RHK468"/>
      <c r="RHL468"/>
      <c r="RHM468"/>
      <c r="RHN468"/>
      <c r="RHO468"/>
      <c r="RHP468"/>
      <c r="RHQ468"/>
      <c r="RHR468"/>
      <c r="RHS468"/>
      <c r="RHT468"/>
      <c r="RHU468"/>
      <c r="RHV468"/>
      <c r="RHW468"/>
      <c r="RHX468"/>
      <c r="RHY468"/>
      <c r="RHZ468"/>
      <c r="RIA468"/>
      <c r="RIB468"/>
      <c r="RIC468"/>
      <c r="RID468"/>
      <c r="RIE468"/>
      <c r="RIF468"/>
      <c r="RIG468"/>
      <c r="RIH468"/>
      <c r="RII468"/>
      <c r="RIJ468"/>
      <c r="RIK468"/>
      <c r="RIL468"/>
      <c r="RIM468"/>
      <c r="RIN468"/>
      <c r="RIO468"/>
      <c r="RIP468"/>
      <c r="RIQ468"/>
      <c r="RIR468"/>
      <c r="RIS468"/>
      <c r="RIT468"/>
      <c r="RIU468"/>
      <c r="RIV468"/>
      <c r="RIW468"/>
      <c r="RIX468"/>
      <c r="RIY468"/>
      <c r="RIZ468"/>
      <c r="RJA468"/>
      <c r="RJB468"/>
      <c r="RJC468"/>
      <c r="RJD468"/>
      <c r="RJE468"/>
      <c r="RJF468"/>
      <c r="RJG468"/>
      <c r="RJH468"/>
      <c r="RJI468"/>
      <c r="RJJ468"/>
      <c r="RJK468"/>
      <c r="RJL468"/>
      <c r="RJM468"/>
      <c r="RJN468"/>
      <c r="RJO468"/>
      <c r="RJP468"/>
      <c r="RJQ468"/>
      <c r="RJR468"/>
      <c r="RJS468"/>
      <c r="RJT468"/>
      <c r="RJU468"/>
      <c r="RJV468"/>
      <c r="RJW468"/>
      <c r="RJX468"/>
      <c r="RJY468"/>
      <c r="RJZ468"/>
      <c r="RKA468"/>
      <c r="RKB468"/>
      <c r="RKC468"/>
      <c r="RKD468"/>
      <c r="RKE468"/>
      <c r="RKF468"/>
      <c r="RKG468"/>
      <c r="RKH468"/>
      <c r="RKI468"/>
      <c r="RKJ468"/>
      <c r="RKK468"/>
      <c r="RKL468"/>
      <c r="RKM468"/>
      <c r="RKN468"/>
      <c r="RKO468"/>
      <c r="RKP468"/>
      <c r="RKQ468"/>
      <c r="RKR468"/>
      <c r="RKS468"/>
      <c r="RKT468"/>
      <c r="RKU468"/>
      <c r="RKV468"/>
      <c r="RKW468"/>
      <c r="RKX468"/>
      <c r="RKY468"/>
      <c r="RKZ468"/>
      <c r="RLA468"/>
      <c r="RLB468"/>
      <c r="RLC468"/>
      <c r="RLD468"/>
      <c r="RLE468"/>
      <c r="RLF468"/>
      <c r="RLG468"/>
      <c r="RLH468"/>
      <c r="RLI468"/>
      <c r="RLJ468"/>
      <c r="RLK468"/>
      <c r="RLL468"/>
      <c r="RLM468"/>
      <c r="RLN468"/>
      <c r="RLO468"/>
      <c r="RLP468"/>
      <c r="RLQ468"/>
      <c r="RLR468"/>
      <c r="RLS468"/>
      <c r="RLT468"/>
      <c r="RLU468"/>
      <c r="RLV468"/>
      <c r="RLW468"/>
      <c r="RLX468"/>
      <c r="RLY468"/>
      <c r="RLZ468"/>
      <c r="RMA468"/>
      <c r="RMB468"/>
      <c r="RMC468"/>
      <c r="RMD468"/>
      <c r="RME468"/>
      <c r="RMF468"/>
      <c r="RMG468"/>
      <c r="RMH468"/>
      <c r="RMI468"/>
      <c r="RMJ468"/>
      <c r="RMK468"/>
      <c r="RML468"/>
      <c r="RMM468"/>
      <c r="RMN468"/>
      <c r="RMO468"/>
      <c r="RMP468"/>
      <c r="RMQ468"/>
      <c r="RMR468"/>
      <c r="RMS468"/>
      <c r="RMT468"/>
      <c r="RMU468"/>
      <c r="RMV468"/>
      <c r="RMW468"/>
      <c r="RMX468"/>
      <c r="RMY468"/>
      <c r="RMZ468"/>
      <c r="RNA468"/>
      <c r="RNB468"/>
      <c r="RNC468"/>
      <c r="RND468"/>
      <c r="RNE468"/>
      <c r="RNF468"/>
      <c r="RNG468"/>
      <c r="RNH468"/>
      <c r="RNI468"/>
      <c r="RNJ468"/>
      <c r="RNK468"/>
      <c r="RNL468"/>
      <c r="RNM468"/>
      <c r="RNN468"/>
      <c r="RNO468"/>
      <c r="RNP468"/>
      <c r="RNQ468"/>
      <c r="RNR468"/>
      <c r="RNS468"/>
      <c r="RNT468"/>
      <c r="RNU468"/>
      <c r="RNV468"/>
      <c r="RNW468"/>
      <c r="RNX468"/>
      <c r="RNY468"/>
      <c r="RNZ468"/>
      <c r="ROA468"/>
      <c r="ROB468"/>
      <c r="ROC468"/>
      <c r="ROD468"/>
      <c r="ROE468"/>
      <c r="ROF468"/>
      <c r="ROG468"/>
      <c r="ROH468"/>
      <c r="ROI468"/>
      <c r="ROJ468"/>
      <c r="ROK468"/>
      <c r="ROL468"/>
      <c r="ROM468"/>
      <c r="RON468"/>
      <c r="ROO468"/>
      <c r="ROP468"/>
      <c r="ROQ468"/>
      <c r="ROR468"/>
      <c r="ROS468"/>
      <c r="ROT468"/>
      <c r="ROU468"/>
      <c r="ROV468"/>
      <c r="ROW468"/>
      <c r="ROX468"/>
      <c r="ROY468"/>
      <c r="ROZ468"/>
      <c r="RPA468"/>
      <c r="RPB468"/>
      <c r="RPC468"/>
      <c r="RPD468"/>
      <c r="RPE468"/>
      <c r="RPF468"/>
      <c r="RPG468"/>
      <c r="RPH468"/>
      <c r="RPI468"/>
      <c r="RPJ468"/>
      <c r="RPK468"/>
      <c r="RPL468"/>
      <c r="RPM468"/>
      <c r="RPN468"/>
      <c r="RPO468"/>
      <c r="RPP468"/>
      <c r="RPQ468"/>
      <c r="RPR468"/>
      <c r="RPS468"/>
      <c r="RPT468"/>
      <c r="RPU468"/>
      <c r="RPV468"/>
      <c r="RPW468"/>
      <c r="RPX468"/>
      <c r="RPY468"/>
      <c r="RPZ468"/>
      <c r="RQA468"/>
      <c r="RQB468"/>
      <c r="RQC468"/>
      <c r="RQD468"/>
      <c r="RQE468"/>
      <c r="RQF468"/>
      <c r="RQG468"/>
      <c r="RQH468"/>
      <c r="RQI468"/>
      <c r="RQJ468"/>
      <c r="RQK468"/>
      <c r="RQL468"/>
      <c r="RQM468"/>
      <c r="RQN468"/>
      <c r="RQO468"/>
      <c r="RQP468"/>
      <c r="RQQ468"/>
      <c r="RQR468"/>
      <c r="RQS468"/>
      <c r="RQT468"/>
      <c r="RQU468"/>
      <c r="RQV468"/>
      <c r="RQW468"/>
      <c r="RQX468"/>
      <c r="RQY468"/>
      <c r="RQZ468"/>
      <c r="RRA468"/>
      <c r="RRB468"/>
      <c r="RRC468"/>
      <c r="RRD468"/>
      <c r="RRE468"/>
      <c r="RRF468"/>
      <c r="RRG468"/>
      <c r="RRH468"/>
      <c r="RRI468"/>
      <c r="RRJ468"/>
      <c r="RRK468"/>
      <c r="RRL468"/>
      <c r="RRM468"/>
      <c r="RRN468"/>
      <c r="RRO468"/>
      <c r="RRP468"/>
      <c r="RRQ468"/>
      <c r="RRR468"/>
      <c r="RRS468"/>
      <c r="RRT468"/>
      <c r="RRU468"/>
      <c r="RRV468"/>
      <c r="RRW468"/>
      <c r="RRX468"/>
      <c r="RRY468"/>
      <c r="RRZ468"/>
      <c r="RSA468"/>
      <c r="RSB468"/>
      <c r="RSC468"/>
      <c r="RSD468"/>
      <c r="RSE468"/>
      <c r="RSF468"/>
      <c r="RSG468"/>
      <c r="RSH468"/>
      <c r="RSI468"/>
      <c r="RSJ468"/>
      <c r="RSK468"/>
      <c r="RSL468"/>
      <c r="RSM468"/>
      <c r="RSN468"/>
      <c r="RSO468"/>
      <c r="RSP468"/>
      <c r="RSQ468"/>
      <c r="RSR468"/>
      <c r="RSS468"/>
      <c r="RST468"/>
      <c r="RSU468"/>
      <c r="RSV468"/>
      <c r="RSW468"/>
      <c r="RSX468"/>
      <c r="RSY468"/>
      <c r="RSZ468"/>
      <c r="RTA468"/>
      <c r="RTB468"/>
      <c r="RTC468"/>
      <c r="RTD468"/>
      <c r="RTE468"/>
      <c r="RTF468"/>
      <c r="RTG468"/>
      <c r="RTH468"/>
      <c r="RTI468"/>
      <c r="RTJ468"/>
      <c r="RTK468"/>
      <c r="RTL468"/>
      <c r="RTM468"/>
      <c r="RTN468"/>
      <c r="RTO468"/>
      <c r="RTP468"/>
      <c r="RTQ468"/>
      <c r="RTR468"/>
      <c r="RTS468"/>
      <c r="RTT468"/>
      <c r="RTU468"/>
      <c r="RTV468"/>
      <c r="RTW468"/>
      <c r="RTX468"/>
      <c r="RTY468"/>
      <c r="RTZ468"/>
      <c r="RUA468"/>
      <c r="RUB468"/>
      <c r="RUC468"/>
      <c r="RUD468"/>
      <c r="RUE468"/>
      <c r="RUF468"/>
      <c r="RUG468"/>
      <c r="RUH468"/>
      <c r="RUI468"/>
      <c r="RUJ468"/>
      <c r="RUK468"/>
      <c r="RUL468"/>
      <c r="RUM468"/>
      <c r="RUN468"/>
      <c r="RUO468"/>
      <c r="RUP468"/>
      <c r="RUQ468"/>
      <c r="RUR468"/>
      <c r="RUS468"/>
      <c r="RUT468"/>
      <c r="RUU468"/>
      <c r="RUV468"/>
      <c r="RUW468"/>
      <c r="RUX468"/>
      <c r="RUY468"/>
      <c r="RUZ468"/>
      <c r="RVA468"/>
      <c r="RVB468"/>
      <c r="RVC468"/>
      <c r="RVD468"/>
      <c r="RVE468"/>
      <c r="RVF468"/>
      <c r="RVG468"/>
      <c r="RVH468"/>
      <c r="RVI468"/>
      <c r="RVJ468"/>
      <c r="RVK468"/>
      <c r="RVL468"/>
      <c r="RVM468"/>
      <c r="RVN468"/>
      <c r="RVO468"/>
      <c r="RVP468"/>
      <c r="RVQ468"/>
      <c r="RVR468"/>
      <c r="RVS468"/>
      <c r="RVT468"/>
      <c r="RVU468"/>
      <c r="RVV468"/>
      <c r="RVW468"/>
      <c r="RVX468"/>
      <c r="RVY468"/>
      <c r="RVZ468"/>
      <c r="RWA468"/>
      <c r="RWB468"/>
      <c r="RWC468"/>
      <c r="RWD468"/>
      <c r="RWE468"/>
      <c r="RWF468"/>
      <c r="RWG468"/>
      <c r="RWH468"/>
      <c r="RWI468"/>
      <c r="RWJ468"/>
      <c r="RWK468"/>
      <c r="RWL468"/>
      <c r="RWM468"/>
      <c r="RWN468"/>
      <c r="RWO468"/>
      <c r="RWP468"/>
      <c r="RWQ468"/>
      <c r="RWR468"/>
      <c r="RWS468"/>
      <c r="RWT468"/>
      <c r="RWU468"/>
      <c r="RWV468"/>
      <c r="RWW468"/>
      <c r="RWX468"/>
      <c r="RWY468"/>
      <c r="RWZ468"/>
      <c r="RXA468"/>
      <c r="RXB468"/>
      <c r="RXC468"/>
      <c r="RXD468"/>
      <c r="RXE468"/>
      <c r="RXF468"/>
      <c r="RXG468"/>
      <c r="RXH468"/>
      <c r="RXI468"/>
      <c r="RXJ468"/>
      <c r="RXK468"/>
      <c r="RXL468"/>
      <c r="RXM468"/>
      <c r="RXN468"/>
      <c r="RXO468"/>
      <c r="RXP468"/>
      <c r="RXQ468"/>
      <c r="RXR468"/>
      <c r="RXS468"/>
      <c r="RXT468"/>
      <c r="RXU468"/>
      <c r="RXV468"/>
      <c r="RXW468"/>
      <c r="RXX468"/>
      <c r="RXY468"/>
      <c r="RXZ468"/>
      <c r="RYA468"/>
      <c r="RYB468"/>
      <c r="RYC468"/>
      <c r="RYD468"/>
      <c r="RYE468"/>
      <c r="RYF468"/>
      <c r="RYG468"/>
      <c r="RYH468"/>
      <c r="RYI468"/>
      <c r="RYJ468"/>
      <c r="RYK468"/>
      <c r="RYL468"/>
      <c r="RYM468"/>
      <c r="RYN468"/>
      <c r="RYO468"/>
      <c r="RYP468"/>
      <c r="RYQ468"/>
      <c r="RYR468"/>
      <c r="RYS468"/>
      <c r="RYT468"/>
      <c r="RYU468"/>
      <c r="RYV468"/>
      <c r="RYW468"/>
      <c r="RYX468"/>
      <c r="RYY468"/>
      <c r="RYZ468"/>
      <c r="RZA468"/>
      <c r="RZB468"/>
      <c r="RZC468"/>
      <c r="RZD468"/>
      <c r="RZE468"/>
      <c r="RZF468"/>
      <c r="RZG468"/>
      <c r="RZH468"/>
      <c r="RZI468"/>
      <c r="RZJ468"/>
      <c r="RZK468"/>
      <c r="RZL468"/>
      <c r="RZM468"/>
      <c r="RZN468"/>
      <c r="RZO468"/>
      <c r="RZP468"/>
      <c r="RZQ468"/>
      <c r="RZR468"/>
      <c r="RZS468"/>
      <c r="RZT468"/>
      <c r="RZU468"/>
      <c r="RZV468"/>
      <c r="RZW468"/>
      <c r="RZX468"/>
      <c r="RZY468"/>
      <c r="RZZ468"/>
      <c r="SAA468"/>
      <c r="SAB468"/>
      <c r="SAC468"/>
      <c r="SAD468"/>
      <c r="SAE468"/>
      <c r="SAF468"/>
      <c r="SAG468"/>
      <c r="SAH468"/>
      <c r="SAI468"/>
      <c r="SAJ468"/>
      <c r="SAK468"/>
      <c r="SAL468"/>
      <c r="SAM468"/>
      <c r="SAN468"/>
      <c r="SAO468"/>
      <c r="SAP468"/>
      <c r="SAQ468"/>
      <c r="SAR468"/>
      <c r="SAS468"/>
      <c r="SAT468"/>
      <c r="SAU468"/>
      <c r="SAV468"/>
      <c r="SAW468"/>
      <c r="SAX468"/>
      <c r="SAY468"/>
      <c r="SAZ468"/>
      <c r="SBA468"/>
      <c r="SBB468"/>
      <c r="SBC468"/>
      <c r="SBD468"/>
      <c r="SBE468"/>
      <c r="SBF468"/>
      <c r="SBG468"/>
      <c r="SBH468"/>
      <c r="SBI468"/>
      <c r="SBJ468"/>
      <c r="SBK468"/>
      <c r="SBL468"/>
      <c r="SBM468"/>
      <c r="SBN468"/>
      <c r="SBO468"/>
      <c r="SBP468"/>
      <c r="SBQ468"/>
      <c r="SBR468"/>
      <c r="SBS468"/>
      <c r="SBT468"/>
      <c r="SBU468"/>
      <c r="SBV468"/>
      <c r="SBW468"/>
      <c r="SBX468"/>
      <c r="SBY468"/>
      <c r="SBZ468"/>
      <c r="SCA468"/>
      <c r="SCB468"/>
      <c r="SCC468"/>
      <c r="SCD468"/>
      <c r="SCE468"/>
      <c r="SCF468"/>
      <c r="SCG468"/>
      <c r="SCH468"/>
      <c r="SCI468"/>
      <c r="SCJ468"/>
      <c r="SCK468"/>
      <c r="SCL468"/>
      <c r="SCM468"/>
      <c r="SCN468"/>
      <c r="SCO468"/>
      <c r="SCP468"/>
      <c r="SCQ468"/>
      <c r="SCR468"/>
      <c r="SCS468"/>
      <c r="SCT468"/>
      <c r="SCU468"/>
      <c r="SCV468"/>
      <c r="SCW468"/>
      <c r="SCX468"/>
      <c r="SCY468"/>
      <c r="SCZ468"/>
      <c r="SDA468"/>
      <c r="SDB468"/>
      <c r="SDC468"/>
      <c r="SDD468"/>
      <c r="SDE468"/>
      <c r="SDF468"/>
      <c r="SDG468"/>
      <c r="SDH468"/>
      <c r="SDI468"/>
      <c r="SDJ468"/>
      <c r="SDK468"/>
      <c r="SDL468"/>
      <c r="SDM468"/>
      <c r="SDN468"/>
      <c r="SDO468"/>
      <c r="SDP468"/>
      <c r="SDQ468"/>
      <c r="SDR468"/>
      <c r="SDS468"/>
      <c r="SDT468"/>
      <c r="SDU468"/>
      <c r="SDV468"/>
      <c r="SDW468"/>
      <c r="SDX468"/>
      <c r="SDY468"/>
      <c r="SDZ468"/>
      <c r="SEA468"/>
      <c r="SEB468"/>
      <c r="SEC468"/>
      <c r="SED468"/>
      <c r="SEE468"/>
      <c r="SEF468"/>
      <c r="SEG468"/>
      <c r="SEH468"/>
      <c r="SEI468"/>
      <c r="SEJ468"/>
      <c r="SEK468"/>
      <c r="SEL468"/>
      <c r="SEM468"/>
      <c r="SEN468"/>
      <c r="SEO468"/>
      <c r="SEP468"/>
      <c r="SEQ468"/>
      <c r="SER468"/>
      <c r="SES468"/>
      <c r="SET468"/>
      <c r="SEU468"/>
      <c r="SEV468"/>
      <c r="SEW468"/>
      <c r="SEX468"/>
      <c r="SEY468"/>
      <c r="SEZ468"/>
      <c r="SFA468"/>
      <c r="SFB468"/>
      <c r="SFC468"/>
      <c r="SFD468"/>
      <c r="SFE468"/>
      <c r="SFF468"/>
      <c r="SFG468"/>
      <c r="SFH468"/>
      <c r="SFI468"/>
      <c r="SFJ468"/>
      <c r="SFK468"/>
      <c r="SFL468"/>
      <c r="SFM468"/>
      <c r="SFN468"/>
      <c r="SFO468"/>
      <c r="SFP468"/>
      <c r="SFQ468"/>
      <c r="SFR468"/>
      <c r="SFS468"/>
      <c r="SFT468"/>
      <c r="SFU468"/>
      <c r="SFV468"/>
      <c r="SFW468"/>
      <c r="SFX468"/>
      <c r="SFY468"/>
      <c r="SFZ468"/>
      <c r="SGA468"/>
      <c r="SGB468"/>
      <c r="SGC468"/>
      <c r="SGD468"/>
      <c r="SGE468"/>
      <c r="SGF468"/>
      <c r="SGG468"/>
      <c r="SGH468"/>
      <c r="SGI468"/>
      <c r="SGJ468"/>
      <c r="SGK468"/>
      <c r="SGL468"/>
      <c r="SGM468"/>
      <c r="SGN468"/>
      <c r="SGO468"/>
      <c r="SGP468"/>
      <c r="SGQ468"/>
      <c r="SGR468"/>
      <c r="SGS468"/>
      <c r="SGT468"/>
      <c r="SGU468"/>
      <c r="SGV468"/>
      <c r="SGW468"/>
      <c r="SGX468"/>
      <c r="SGY468"/>
      <c r="SGZ468"/>
      <c r="SHA468"/>
      <c r="SHB468"/>
      <c r="SHC468"/>
      <c r="SHD468"/>
      <c r="SHE468"/>
      <c r="SHF468"/>
      <c r="SHG468"/>
      <c r="SHH468"/>
      <c r="SHI468"/>
      <c r="SHJ468"/>
      <c r="SHK468"/>
      <c r="SHL468"/>
      <c r="SHM468"/>
      <c r="SHN468"/>
      <c r="SHO468"/>
      <c r="SHP468"/>
      <c r="SHQ468"/>
      <c r="SHR468"/>
      <c r="SHS468"/>
      <c r="SHT468"/>
      <c r="SHU468"/>
      <c r="SHV468"/>
      <c r="SHW468"/>
      <c r="SHX468"/>
      <c r="SHY468"/>
      <c r="SHZ468"/>
      <c r="SIA468"/>
      <c r="SIB468"/>
      <c r="SIC468"/>
      <c r="SID468"/>
      <c r="SIE468"/>
      <c r="SIF468"/>
      <c r="SIG468"/>
      <c r="SIH468"/>
      <c r="SII468"/>
      <c r="SIJ468"/>
      <c r="SIK468"/>
      <c r="SIL468"/>
      <c r="SIM468"/>
      <c r="SIN468"/>
      <c r="SIO468"/>
      <c r="SIP468"/>
      <c r="SIQ468"/>
      <c r="SIR468"/>
      <c r="SIS468"/>
      <c r="SIT468"/>
      <c r="SIU468"/>
      <c r="SIV468"/>
      <c r="SIW468"/>
      <c r="SIX468"/>
      <c r="SIY468"/>
      <c r="SIZ468"/>
      <c r="SJA468"/>
      <c r="SJB468"/>
      <c r="SJC468"/>
      <c r="SJD468"/>
      <c r="SJE468"/>
      <c r="SJF468"/>
      <c r="SJG468"/>
      <c r="SJH468"/>
      <c r="SJI468"/>
      <c r="SJJ468"/>
      <c r="SJK468"/>
      <c r="SJL468"/>
      <c r="SJM468"/>
      <c r="SJN468"/>
      <c r="SJO468"/>
      <c r="SJP468"/>
      <c r="SJQ468"/>
      <c r="SJR468"/>
      <c r="SJS468"/>
      <c r="SJT468"/>
      <c r="SJU468"/>
      <c r="SJV468"/>
      <c r="SJW468"/>
      <c r="SJX468"/>
      <c r="SJY468"/>
      <c r="SJZ468"/>
      <c r="SKA468"/>
      <c r="SKB468"/>
      <c r="SKC468"/>
      <c r="SKD468"/>
      <c r="SKE468"/>
      <c r="SKF468"/>
      <c r="SKG468"/>
      <c r="SKH468"/>
      <c r="SKI468"/>
      <c r="SKJ468"/>
      <c r="SKK468"/>
      <c r="SKL468"/>
      <c r="SKM468"/>
      <c r="SKN468"/>
      <c r="SKO468"/>
      <c r="SKP468"/>
      <c r="SKQ468"/>
      <c r="SKR468"/>
      <c r="SKS468"/>
      <c r="SKT468"/>
      <c r="SKU468"/>
      <c r="SKV468"/>
      <c r="SKW468"/>
      <c r="SKX468"/>
      <c r="SKY468"/>
      <c r="SKZ468"/>
      <c r="SLA468"/>
      <c r="SLB468"/>
      <c r="SLC468"/>
      <c r="SLD468"/>
      <c r="SLE468"/>
      <c r="SLF468"/>
      <c r="SLG468"/>
      <c r="SLH468"/>
      <c r="SLI468"/>
      <c r="SLJ468"/>
      <c r="SLK468"/>
      <c r="SLL468"/>
      <c r="SLM468"/>
      <c r="SLN468"/>
      <c r="SLO468"/>
      <c r="SLP468"/>
      <c r="SLQ468"/>
      <c r="SLR468"/>
      <c r="SLS468"/>
      <c r="SLT468"/>
      <c r="SLU468"/>
      <c r="SLV468"/>
      <c r="SLW468"/>
      <c r="SLX468"/>
      <c r="SLY468"/>
      <c r="SLZ468"/>
      <c r="SMA468"/>
      <c r="SMB468"/>
      <c r="SMC468"/>
      <c r="SMD468"/>
      <c r="SME468"/>
      <c r="SMF468"/>
      <c r="SMG468"/>
      <c r="SMH468"/>
      <c r="SMI468"/>
      <c r="SMJ468"/>
      <c r="SMK468"/>
      <c r="SML468"/>
      <c r="SMM468"/>
      <c r="SMN468"/>
      <c r="SMO468"/>
      <c r="SMP468"/>
      <c r="SMQ468"/>
      <c r="SMR468"/>
      <c r="SMS468"/>
      <c r="SMT468"/>
      <c r="SMU468"/>
      <c r="SMV468"/>
      <c r="SMW468"/>
      <c r="SMX468"/>
      <c r="SMY468"/>
      <c r="SMZ468"/>
      <c r="SNA468"/>
      <c r="SNB468"/>
      <c r="SNC468"/>
      <c r="SND468"/>
      <c r="SNE468"/>
      <c r="SNF468"/>
      <c r="SNG468"/>
      <c r="SNH468"/>
      <c r="SNI468"/>
      <c r="SNJ468"/>
      <c r="SNK468"/>
      <c r="SNL468"/>
      <c r="SNM468"/>
      <c r="SNN468"/>
      <c r="SNO468"/>
      <c r="SNP468"/>
      <c r="SNQ468"/>
      <c r="SNR468"/>
      <c r="SNS468"/>
      <c r="SNT468"/>
      <c r="SNU468"/>
      <c r="SNV468"/>
      <c r="SNW468"/>
      <c r="SNX468"/>
      <c r="SNY468"/>
      <c r="SNZ468"/>
      <c r="SOA468"/>
      <c r="SOB468"/>
      <c r="SOC468"/>
      <c r="SOD468"/>
      <c r="SOE468"/>
      <c r="SOF468"/>
      <c r="SOG468"/>
      <c r="SOH468"/>
      <c r="SOI468"/>
      <c r="SOJ468"/>
      <c r="SOK468"/>
      <c r="SOL468"/>
      <c r="SOM468"/>
      <c r="SON468"/>
      <c r="SOO468"/>
      <c r="SOP468"/>
      <c r="SOQ468"/>
      <c r="SOR468"/>
      <c r="SOS468"/>
      <c r="SOT468"/>
      <c r="SOU468"/>
      <c r="SOV468"/>
      <c r="SOW468"/>
      <c r="SOX468"/>
      <c r="SOY468"/>
      <c r="SOZ468"/>
      <c r="SPA468"/>
      <c r="SPB468"/>
      <c r="SPC468"/>
      <c r="SPD468"/>
      <c r="SPE468"/>
      <c r="SPF468"/>
      <c r="SPG468"/>
      <c r="SPH468"/>
      <c r="SPI468"/>
      <c r="SPJ468"/>
      <c r="SPK468"/>
      <c r="SPL468"/>
      <c r="SPM468"/>
      <c r="SPN468"/>
      <c r="SPO468"/>
      <c r="SPP468"/>
      <c r="SPQ468"/>
      <c r="SPR468"/>
      <c r="SPS468"/>
      <c r="SPT468"/>
      <c r="SPU468"/>
      <c r="SPV468"/>
      <c r="SPW468"/>
      <c r="SPX468"/>
      <c r="SPY468"/>
      <c r="SPZ468"/>
      <c r="SQA468"/>
      <c r="SQB468"/>
      <c r="SQC468"/>
      <c r="SQD468"/>
      <c r="SQE468"/>
      <c r="SQF468"/>
      <c r="SQG468"/>
      <c r="SQH468"/>
      <c r="SQI468"/>
      <c r="SQJ468"/>
      <c r="SQK468"/>
      <c r="SQL468"/>
      <c r="SQM468"/>
      <c r="SQN468"/>
      <c r="SQO468"/>
      <c r="SQP468"/>
      <c r="SQQ468"/>
      <c r="SQR468"/>
      <c r="SQS468"/>
      <c r="SQT468"/>
      <c r="SQU468"/>
      <c r="SQV468"/>
      <c r="SQW468"/>
      <c r="SQX468"/>
      <c r="SQY468"/>
      <c r="SQZ468"/>
      <c r="SRA468"/>
      <c r="SRB468"/>
      <c r="SRC468"/>
      <c r="SRD468"/>
      <c r="SRE468"/>
      <c r="SRF468"/>
      <c r="SRG468"/>
      <c r="SRH468"/>
      <c r="SRI468"/>
      <c r="SRJ468"/>
      <c r="SRK468"/>
      <c r="SRL468"/>
      <c r="SRM468"/>
      <c r="SRN468"/>
      <c r="SRO468"/>
      <c r="SRP468"/>
      <c r="SRQ468"/>
      <c r="SRR468"/>
      <c r="SRS468"/>
      <c r="SRT468"/>
      <c r="SRU468"/>
      <c r="SRV468"/>
      <c r="SRW468"/>
      <c r="SRX468"/>
      <c r="SRY468"/>
      <c r="SRZ468"/>
      <c r="SSA468"/>
      <c r="SSB468"/>
      <c r="SSC468"/>
      <c r="SSD468"/>
      <c r="SSE468"/>
      <c r="SSF468"/>
      <c r="SSG468"/>
      <c r="SSH468"/>
      <c r="SSI468"/>
      <c r="SSJ468"/>
      <c r="SSK468"/>
      <c r="SSL468"/>
      <c r="SSM468"/>
      <c r="SSN468"/>
      <c r="SSO468"/>
      <c r="SSP468"/>
      <c r="SSQ468"/>
      <c r="SSR468"/>
      <c r="SSS468"/>
      <c r="SST468"/>
      <c r="SSU468"/>
      <c r="SSV468"/>
      <c r="SSW468"/>
      <c r="SSX468"/>
      <c r="SSY468"/>
      <c r="SSZ468"/>
      <c r="STA468"/>
      <c r="STB468"/>
      <c r="STC468"/>
      <c r="STD468"/>
      <c r="STE468"/>
      <c r="STF468"/>
      <c r="STG468"/>
      <c r="STH468"/>
      <c r="STI468"/>
      <c r="STJ468"/>
      <c r="STK468"/>
      <c r="STL468"/>
      <c r="STM468"/>
      <c r="STN468"/>
      <c r="STO468"/>
      <c r="STP468"/>
      <c r="STQ468"/>
      <c r="STR468"/>
      <c r="STS468"/>
      <c r="STT468"/>
      <c r="STU468"/>
      <c r="STV468"/>
      <c r="STW468"/>
      <c r="STX468"/>
      <c r="STY468"/>
      <c r="STZ468"/>
      <c r="SUA468"/>
      <c r="SUB468"/>
      <c r="SUC468"/>
      <c r="SUD468"/>
      <c r="SUE468"/>
      <c r="SUF468"/>
      <c r="SUG468"/>
      <c r="SUH468"/>
      <c r="SUI468"/>
      <c r="SUJ468"/>
      <c r="SUK468"/>
      <c r="SUL468"/>
      <c r="SUM468"/>
      <c r="SUN468"/>
      <c r="SUO468"/>
      <c r="SUP468"/>
      <c r="SUQ468"/>
      <c r="SUR468"/>
      <c r="SUS468"/>
      <c r="SUT468"/>
      <c r="SUU468"/>
      <c r="SUV468"/>
      <c r="SUW468"/>
      <c r="SUX468"/>
      <c r="SUY468"/>
      <c r="SUZ468"/>
      <c r="SVA468"/>
      <c r="SVB468"/>
      <c r="SVC468"/>
      <c r="SVD468"/>
      <c r="SVE468"/>
      <c r="SVF468"/>
      <c r="SVG468"/>
      <c r="SVH468"/>
      <c r="SVI468"/>
      <c r="SVJ468"/>
      <c r="SVK468"/>
      <c r="SVL468"/>
      <c r="SVM468"/>
      <c r="SVN468"/>
      <c r="SVO468"/>
      <c r="SVP468"/>
      <c r="SVQ468"/>
      <c r="SVR468"/>
      <c r="SVS468"/>
      <c r="SVT468"/>
      <c r="SVU468"/>
      <c r="SVV468"/>
      <c r="SVW468"/>
      <c r="SVX468"/>
      <c r="SVY468"/>
      <c r="SVZ468"/>
      <c r="SWA468"/>
      <c r="SWB468"/>
      <c r="SWC468"/>
      <c r="SWD468"/>
      <c r="SWE468"/>
      <c r="SWF468"/>
      <c r="SWG468"/>
      <c r="SWH468"/>
      <c r="SWI468"/>
      <c r="SWJ468"/>
      <c r="SWK468"/>
      <c r="SWL468"/>
      <c r="SWM468"/>
      <c r="SWN468"/>
      <c r="SWO468"/>
      <c r="SWP468"/>
      <c r="SWQ468"/>
      <c r="SWR468"/>
      <c r="SWS468"/>
      <c r="SWT468"/>
      <c r="SWU468"/>
      <c r="SWV468"/>
      <c r="SWW468"/>
      <c r="SWX468"/>
      <c r="SWY468"/>
      <c r="SWZ468"/>
      <c r="SXA468"/>
      <c r="SXB468"/>
      <c r="SXC468"/>
      <c r="SXD468"/>
      <c r="SXE468"/>
      <c r="SXF468"/>
      <c r="SXG468"/>
      <c r="SXH468"/>
      <c r="SXI468"/>
      <c r="SXJ468"/>
      <c r="SXK468"/>
      <c r="SXL468"/>
      <c r="SXM468"/>
      <c r="SXN468"/>
      <c r="SXO468"/>
      <c r="SXP468"/>
      <c r="SXQ468"/>
      <c r="SXR468"/>
      <c r="SXS468"/>
      <c r="SXT468"/>
      <c r="SXU468"/>
      <c r="SXV468"/>
      <c r="SXW468"/>
      <c r="SXX468"/>
      <c r="SXY468"/>
      <c r="SXZ468"/>
      <c r="SYA468"/>
      <c r="SYB468"/>
      <c r="SYC468"/>
      <c r="SYD468"/>
      <c r="SYE468"/>
      <c r="SYF468"/>
      <c r="SYG468"/>
      <c r="SYH468"/>
      <c r="SYI468"/>
      <c r="SYJ468"/>
      <c r="SYK468"/>
      <c r="SYL468"/>
      <c r="SYM468"/>
      <c r="SYN468"/>
      <c r="SYO468"/>
      <c r="SYP468"/>
      <c r="SYQ468"/>
      <c r="SYR468"/>
      <c r="SYS468"/>
      <c r="SYT468"/>
      <c r="SYU468"/>
      <c r="SYV468"/>
      <c r="SYW468"/>
      <c r="SYX468"/>
      <c r="SYY468"/>
      <c r="SYZ468"/>
      <c r="SZA468"/>
      <c r="SZB468"/>
      <c r="SZC468"/>
      <c r="SZD468"/>
      <c r="SZE468"/>
      <c r="SZF468"/>
      <c r="SZG468"/>
      <c r="SZH468"/>
      <c r="SZI468"/>
      <c r="SZJ468"/>
      <c r="SZK468"/>
      <c r="SZL468"/>
      <c r="SZM468"/>
      <c r="SZN468"/>
      <c r="SZO468"/>
      <c r="SZP468"/>
      <c r="SZQ468"/>
      <c r="SZR468"/>
      <c r="SZS468"/>
      <c r="SZT468"/>
      <c r="SZU468"/>
      <c r="SZV468"/>
      <c r="SZW468"/>
      <c r="SZX468"/>
      <c r="SZY468"/>
      <c r="SZZ468"/>
      <c r="TAA468"/>
      <c r="TAB468"/>
      <c r="TAC468"/>
      <c r="TAD468"/>
      <c r="TAE468"/>
      <c r="TAF468"/>
      <c r="TAG468"/>
      <c r="TAH468"/>
      <c r="TAI468"/>
      <c r="TAJ468"/>
      <c r="TAK468"/>
      <c r="TAL468"/>
      <c r="TAM468"/>
      <c r="TAN468"/>
      <c r="TAO468"/>
      <c r="TAP468"/>
      <c r="TAQ468"/>
      <c r="TAR468"/>
      <c r="TAS468"/>
      <c r="TAT468"/>
      <c r="TAU468"/>
      <c r="TAV468"/>
      <c r="TAW468"/>
      <c r="TAX468"/>
      <c r="TAY468"/>
      <c r="TAZ468"/>
      <c r="TBA468"/>
      <c r="TBB468"/>
      <c r="TBC468"/>
      <c r="TBD468"/>
      <c r="TBE468"/>
      <c r="TBF468"/>
      <c r="TBG468"/>
      <c r="TBH468"/>
      <c r="TBI468"/>
      <c r="TBJ468"/>
      <c r="TBK468"/>
      <c r="TBL468"/>
      <c r="TBM468"/>
      <c r="TBN468"/>
      <c r="TBO468"/>
      <c r="TBP468"/>
      <c r="TBQ468"/>
      <c r="TBR468"/>
      <c r="TBS468"/>
      <c r="TBT468"/>
      <c r="TBU468"/>
      <c r="TBV468"/>
      <c r="TBW468"/>
      <c r="TBX468"/>
      <c r="TBY468"/>
      <c r="TBZ468"/>
      <c r="TCA468"/>
      <c r="TCB468"/>
      <c r="TCC468"/>
      <c r="TCD468"/>
      <c r="TCE468"/>
      <c r="TCF468"/>
      <c r="TCG468"/>
      <c r="TCH468"/>
      <c r="TCI468"/>
      <c r="TCJ468"/>
      <c r="TCK468"/>
      <c r="TCL468"/>
      <c r="TCM468"/>
      <c r="TCN468"/>
      <c r="TCO468"/>
      <c r="TCP468"/>
      <c r="TCQ468"/>
      <c r="TCR468"/>
      <c r="TCS468"/>
      <c r="TCT468"/>
      <c r="TCU468"/>
      <c r="TCV468"/>
      <c r="TCW468"/>
      <c r="TCX468"/>
      <c r="TCY468"/>
      <c r="TCZ468"/>
      <c r="TDA468"/>
      <c r="TDB468"/>
      <c r="TDC468"/>
      <c r="TDD468"/>
      <c r="TDE468"/>
      <c r="TDF468"/>
      <c r="TDG468"/>
      <c r="TDH468"/>
      <c r="TDI468"/>
      <c r="TDJ468"/>
      <c r="TDK468"/>
      <c r="TDL468"/>
      <c r="TDM468"/>
      <c r="TDN468"/>
      <c r="TDO468"/>
      <c r="TDP468"/>
      <c r="TDQ468"/>
      <c r="TDR468"/>
      <c r="TDS468"/>
      <c r="TDT468"/>
      <c r="TDU468"/>
      <c r="TDV468"/>
      <c r="TDW468"/>
      <c r="TDX468"/>
      <c r="TDY468"/>
      <c r="TDZ468"/>
      <c r="TEA468"/>
      <c r="TEB468"/>
      <c r="TEC468"/>
      <c r="TED468"/>
      <c r="TEE468"/>
      <c r="TEF468"/>
      <c r="TEG468"/>
      <c r="TEH468"/>
      <c r="TEI468"/>
      <c r="TEJ468"/>
      <c r="TEK468"/>
      <c r="TEL468"/>
      <c r="TEM468"/>
      <c r="TEN468"/>
      <c r="TEO468"/>
      <c r="TEP468"/>
      <c r="TEQ468"/>
      <c r="TER468"/>
      <c r="TES468"/>
      <c r="TET468"/>
      <c r="TEU468"/>
      <c r="TEV468"/>
      <c r="TEW468"/>
      <c r="TEX468"/>
      <c r="TEY468"/>
      <c r="TEZ468"/>
      <c r="TFA468"/>
      <c r="TFB468"/>
      <c r="TFC468"/>
      <c r="TFD468"/>
      <c r="TFE468"/>
      <c r="TFF468"/>
      <c r="TFG468"/>
      <c r="TFH468"/>
      <c r="TFI468"/>
      <c r="TFJ468"/>
      <c r="TFK468"/>
      <c r="TFL468"/>
      <c r="TFM468"/>
      <c r="TFN468"/>
      <c r="TFO468"/>
      <c r="TFP468"/>
      <c r="TFQ468"/>
      <c r="TFR468"/>
      <c r="TFS468"/>
      <c r="TFT468"/>
      <c r="TFU468"/>
      <c r="TFV468"/>
      <c r="TFW468"/>
      <c r="TFX468"/>
      <c r="TFY468"/>
      <c r="TFZ468"/>
      <c r="TGA468"/>
      <c r="TGB468"/>
      <c r="TGC468"/>
      <c r="TGD468"/>
      <c r="TGE468"/>
      <c r="TGF468"/>
      <c r="TGG468"/>
      <c r="TGH468"/>
      <c r="TGI468"/>
      <c r="TGJ468"/>
      <c r="TGK468"/>
      <c r="TGL468"/>
      <c r="TGM468"/>
      <c r="TGN468"/>
      <c r="TGO468"/>
      <c r="TGP468"/>
      <c r="TGQ468"/>
      <c r="TGR468"/>
      <c r="TGS468"/>
      <c r="TGT468"/>
      <c r="TGU468"/>
      <c r="TGV468"/>
      <c r="TGW468"/>
      <c r="TGX468"/>
      <c r="TGY468"/>
      <c r="TGZ468"/>
      <c r="THA468"/>
      <c r="THB468"/>
      <c r="THC468"/>
      <c r="THD468"/>
      <c r="THE468"/>
      <c r="THF468"/>
      <c r="THG468"/>
      <c r="THH468"/>
      <c r="THI468"/>
      <c r="THJ468"/>
      <c r="THK468"/>
      <c r="THL468"/>
      <c r="THM468"/>
      <c r="THN468"/>
      <c r="THO468"/>
      <c r="THP468"/>
      <c r="THQ468"/>
      <c r="THR468"/>
      <c r="THS468"/>
      <c r="THT468"/>
      <c r="THU468"/>
      <c r="THV468"/>
      <c r="THW468"/>
      <c r="THX468"/>
      <c r="THY468"/>
      <c r="THZ468"/>
      <c r="TIA468"/>
      <c r="TIB468"/>
      <c r="TIC468"/>
      <c r="TID468"/>
      <c r="TIE468"/>
      <c r="TIF468"/>
      <c r="TIG468"/>
      <c r="TIH468"/>
      <c r="TII468"/>
      <c r="TIJ468"/>
      <c r="TIK468"/>
      <c r="TIL468"/>
      <c r="TIM468"/>
      <c r="TIN468"/>
      <c r="TIO468"/>
      <c r="TIP468"/>
      <c r="TIQ468"/>
      <c r="TIR468"/>
      <c r="TIS468"/>
      <c r="TIT468"/>
      <c r="TIU468"/>
      <c r="TIV468"/>
      <c r="TIW468"/>
      <c r="TIX468"/>
      <c r="TIY468"/>
      <c r="TIZ468"/>
      <c r="TJA468"/>
      <c r="TJB468"/>
      <c r="TJC468"/>
      <c r="TJD468"/>
      <c r="TJE468"/>
      <c r="TJF468"/>
      <c r="TJG468"/>
      <c r="TJH468"/>
      <c r="TJI468"/>
      <c r="TJJ468"/>
      <c r="TJK468"/>
      <c r="TJL468"/>
      <c r="TJM468"/>
      <c r="TJN468"/>
      <c r="TJO468"/>
      <c r="TJP468"/>
      <c r="TJQ468"/>
      <c r="TJR468"/>
      <c r="TJS468"/>
      <c r="TJT468"/>
      <c r="TJU468"/>
      <c r="TJV468"/>
      <c r="TJW468"/>
      <c r="TJX468"/>
      <c r="TJY468"/>
      <c r="TJZ468"/>
      <c r="TKA468"/>
      <c r="TKB468"/>
      <c r="TKC468"/>
      <c r="TKD468"/>
      <c r="TKE468"/>
      <c r="TKF468"/>
      <c r="TKG468"/>
      <c r="TKH468"/>
      <c r="TKI468"/>
      <c r="TKJ468"/>
      <c r="TKK468"/>
      <c r="TKL468"/>
      <c r="TKM468"/>
      <c r="TKN468"/>
      <c r="TKO468"/>
      <c r="TKP468"/>
      <c r="TKQ468"/>
      <c r="TKR468"/>
      <c r="TKS468"/>
      <c r="TKT468"/>
      <c r="TKU468"/>
      <c r="TKV468"/>
      <c r="TKW468"/>
      <c r="TKX468"/>
      <c r="TKY468"/>
      <c r="TKZ468"/>
      <c r="TLA468"/>
      <c r="TLB468"/>
      <c r="TLC468"/>
      <c r="TLD468"/>
      <c r="TLE468"/>
      <c r="TLF468"/>
      <c r="TLG468"/>
      <c r="TLH468"/>
      <c r="TLI468"/>
      <c r="TLJ468"/>
      <c r="TLK468"/>
      <c r="TLL468"/>
      <c r="TLM468"/>
      <c r="TLN468"/>
      <c r="TLO468"/>
      <c r="TLP468"/>
      <c r="TLQ468"/>
      <c r="TLR468"/>
      <c r="TLS468"/>
      <c r="TLT468"/>
      <c r="TLU468"/>
      <c r="TLV468"/>
      <c r="TLW468"/>
      <c r="TLX468"/>
      <c r="TLY468"/>
      <c r="TLZ468"/>
      <c r="TMA468"/>
      <c r="TMB468"/>
      <c r="TMC468"/>
      <c r="TMD468"/>
      <c r="TME468"/>
      <c r="TMF468"/>
      <c r="TMG468"/>
      <c r="TMH468"/>
      <c r="TMI468"/>
      <c r="TMJ468"/>
      <c r="TMK468"/>
      <c r="TML468"/>
      <c r="TMM468"/>
      <c r="TMN468"/>
      <c r="TMO468"/>
      <c r="TMP468"/>
      <c r="TMQ468"/>
      <c r="TMR468"/>
      <c r="TMS468"/>
      <c r="TMT468"/>
      <c r="TMU468"/>
      <c r="TMV468"/>
      <c r="TMW468"/>
      <c r="TMX468"/>
      <c r="TMY468"/>
      <c r="TMZ468"/>
      <c r="TNA468"/>
      <c r="TNB468"/>
      <c r="TNC468"/>
      <c r="TND468"/>
      <c r="TNE468"/>
      <c r="TNF468"/>
      <c r="TNG468"/>
      <c r="TNH468"/>
      <c r="TNI468"/>
      <c r="TNJ468"/>
      <c r="TNK468"/>
      <c r="TNL468"/>
      <c r="TNM468"/>
      <c r="TNN468"/>
      <c r="TNO468"/>
      <c r="TNP468"/>
      <c r="TNQ468"/>
      <c r="TNR468"/>
      <c r="TNS468"/>
      <c r="TNT468"/>
      <c r="TNU468"/>
      <c r="TNV468"/>
      <c r="TNW468"/>
      <c r="TNX468"/>
      <c r="TNY468"/>
      <c r="TNZ468"/>
      <c r="TOA468"/>
      <c r="TOB468"/>
      <c r="TOC468"/>
      <c r="TOD468"/>
      <c r="TOE468"/>
      <c r="TOF468"/>
      <c r="TOG468"/>
      <c r="TOH468"/>
      <c r="TOI468"/>
      <c r="TOJ468"/>
      <c r="TOK468"/>
      <c r="TOL468"/>
      <c r="TOM468"/>
      <c r="TON468"/>
      <c r="TOO468"/>
      <c r="TOP468"/>
      <c r="TOQ468"/>
      <c r="TOR468"/>
      <c r="TOS468"/>
      <c r="TOT468"/>
      <c r="TOU468"/>
      <c r="TOV468"/>
      <c r="TOW468"/>
      <c r="TOX468"/>
      <c r="TOY468"/>
      <c r="TOZ468"/>
      <c r="TPA468"/>
      <c r="TPB468"/>
      <c r="TPC468"/>
      <c r="TPD468"/>
      <c r="TPE468"/>
      <c r="TPF468"/>
      <c r="TPG468"/>
      <c r="TPH468"/>
      <c r="TPI468"/>
      <c r="TPJ468"/>
      <c r="TPK468"/>
      <c r="TPL468"/>
      <c r="TPM468"/>
      <c r="TPN468"/>
      <c r="TPO468"/>
      <c r="TPP468"/>
      <c r="TPQ468"/>
      <c r="TPR468"/>
      <c r="TPS468"/>
      <c r="TPT468"/>
      <c r="TPU468"/>
      <c r="TPV468"/>
      <c r="TPW468"/>
      <c r="TPX468"/>
      <c r="TPY468"/>
      <c r="TPZ468"/>
      <c r="TQA468"/>
      <c r="TQB468"/>
      <c r="TQC468"/>
      <c r="TQD468"/>
      <c r="TQE468"/>
      <c r="TQF468"/>
      <c r="TQG468"/>
      <c r="TQH468"/>
      <c r="TQI468"/>
      <c r="TQJ468"/>
      <c r="TQK468"/>
      <c r="TQL468"/>
      <c r="TQM468"/>
      <c r="TQN468"/>
      <c r="TQO468"/>
      <c r="TQP468"/>
      <c r="TQQ468"/>
      <c r="TQR468"/>
      <c r="TQS468"/>
      <c r="TQT468"/>
      <c r="TQU468"/>
      <c r="TQV468"/>
      <c r="TQW468"/>
      <c r="TQX468"/>
      <c r="TQY468"/>
      <c r="TQZ468"/>
      <c r="TRA468"/>
      <c r="TRB468"/>
      <c r="TRC468"/>
      <c r="TRD468"/>
      <c r="TRE468"/>
      <c r="TRF468"/>
      <c r="TRG468"/>
      <c r="TRH468"/>
      <c r="TRI468"/>
      <c r="TRJ468"/>
      <c r="TRK468"/>
      <c r="TRL468"/>
      <c r="TRM468"/>
      <c r="TRN468"/>
      <c r="TRO468"/>
      <c r="TRP468"/>
      <c r="TRQ468"/>
      <c r="TRR468"/>
      <c r="TRS468"/>
      <c r="TRT468"/>
      <c r="TRU468"/>
      <c r="TRV468"/>
      <c r="TRW468"/>
      <c r="TRX468"/>
      <c r="TRY468"/>
      <c r="TRZ468"/>
      <c r="TSA468"/>
      <c r="TSB468"/>
      <c r="TSC468"/>
      <c r="TSD468"/>
      <c r="TSE468"/>
      <c r="TSF468"/>
      <c r="TSG468"/>
      <c r="TSH468"/>
      <c r="TSI468"/>
      <c r="TSJ468"/>
      <c r="TSK468"/>
      <c r="TSL468"/>
      <c r="TSM468"/>
      <c r="TSN468"/>
      <c r="TSO468"/>
      <c r="TSP468"/>
      <c r="TSQ468"/>
      <c r="TSR468"/>
      <c r="TSS468"/>
      <c r="TST468"/>
      <c r="TSU468"/>
      <c r="TSV468"/>
      <c r="TSW468"/>
      <c r="TSX468"/>
      <c r="TSY468"/>
      <c r="TSZ468"/>
      <c r="TTA468"/>
      <c r="TTB468"/>
      <c r="TTC468"/>
      <c r="TTD468"/>
      <c r="TTE468"/>
      <c r="TTF468"/>
      <c r="TTG468"/>
      <c r="TTH468"/>
      <c r="TTI468"/>
      <c r="TTJ468"/>
      <c r="TTK468"/>
      <c r="TTL468"/>
      <c r="TTM468"/>
      <c r="TTN468"/>
      <c r="TTO468"/>
      <c r="TTP468"/>
      <c r="TTQ468"/>
      <c r="TTR468"/>
      <c r="TTS468"/>
      <c r="TTT468"/>
      <c r="TTU468"/>
      <c r="TTV468"/>
      <c r="TTW468"/>
      <c r="TTX468"/>
      <c r="TTY468"/>
      <c r="TTZ468"/>
      <c r="TUA468"/>
      <c r="TUB468"/>
      <c r="TUC468"/>
      <c r="TUD468"/>
      <c r="TUE468"/>
      <c r="TUF468"/>
      <c r="TUG468"/>
      <c r="TUH468"/>
      <c r="TUI468"/>
      <c r="TUJ468"/>
      <c r="TUK468"/>
      <c r="TUL468"/>
      <c r="TUM468"/>
      <c r="TUN468"/>
      <c r="TUO468"/>
      <c r="TUP468"/>
      <c r="TUQ468"/>
      <c r="TUR468"/>
      <c r="TUS468"/>
      <c r="TUT468"/>
      <c r="TUU468"/>
      <c r="TUV468"/>
      <c r="TUW468"/>
      <c r="TUX468"/>
      <c r="TUY468"/>
      <c r="TUZ468"/>
      <c r="TVA468"/>
      <c r="TVB468"/>
      <c r="TVC468"/>
      <c r="TVD468"/>
      <c r="TVE468"/>
      <c r="TVF468"/>
      <c r="TVG468"/>
      <c r="TVH468"/>
      <c r="TVI468"/>
      <c r="TVJ468"/>
      <c r="TVK468"/>
      <c r="TVL468"/>
      <c r="TVM468"/>
      <c r="TVN468"/>
      <c r="TVO468"/>
      <c r="TVP468"/>
      <c r="TVQ468"/>
      <c r="TVR468"/>
      <c r="TVS468"/>
      <c r="TVT468"/>
      <c r="TVU468"/>
      <c r="TVV468"/>
      <c r="TVW468"/>
      <c r="TVX468"/>
      <c r="TVY468"/>
      <c r="TVZ468"/>
      <c r="TWA468"/>
      <c r="TWB468"/>
      <c r="TWC468"/>
      <c r="TWD468"/>
      <c r="TWE468"/>
      <c r="TWF468"/>
      <c r="TWG468"/>
      <c r="TWH468"/>
      <c r="TWI468"/>
      <c r="TWJ468"/>
      <c r="TWK468"/>
      <c r="TWL468"/>
      <c r="TWM468"/>
      <c r="TWN468"/>
      <c r="TWO468"/>
      <c r="TWP468"/>
      <c r="TWQ468"/>
      <c r="TWR468"/>
      <c r="TWS468"/>
      <c r="TWT468"/>
      <c r="TWU468"/>
      <c r="TWV468"/>
      <c r="TWW468"/>
      <c r="TWX468"/>
      <c r="TWY468"/>
      <c r="TWZ468"/>
      <c r="TXA468"/>
      <c r="TXB468"/>
      <c r="TXC468"/>
      <c r="TXD468"/>
      <c r="TXE468"/>
      <c r="TXF468"/>
      <c r="TXG468"/>
      <c r="TXH468"/>
      <c r="TXI468"/>
      <c r="TXJ468"/>
      <c r="TXK468"/>
      <c r="TXL468"/>
      <c r="TXM468"/>
      <c r="TXN468"/>
      <c r="TXO468"/>
      <c r="TXP468"/>
      <c r="TXQ468"/>
      <c r="TXR468"/>
      <c r="TXS468"/>
      <c r="TXT468"/>
      <c r="TXU468"/>
      <c r="TXV468"/>
      <c r="TXW468"/>
      <c r="TXX468"/>
      <c r="TXY468"/>
      <c r="TXZ468"/>
      <c r="TYA468"/>
      <c r="TYB468"/>
      <c r="TYC468"/>
      <c r="TYD468"/>
      <c r="TYE468"/>
      <c r="TYF468"/>
      <c r="TYG468"/>
      <c r="TYH468"/>
      <c r="TYI468"/>
      <c r="TYJ468"/>
      <c r="TYK468"/>
      <c r="TYL468"/>
      <c r="TYM468"/>
      <c r="TYN468"/>
      <c r="TYO468"/>
      <c r="TYP468"/>
      <c r="TYQ468"/>
      <c r="TYR468"/>
      <c r="TYS468"/>
      <c r="TYT468"/>
      <c r="TYU468"/>
      <c r="TYV468"/>
      <c r="TYW468"/>
      <c r="TYX468"/>
      <c r="TYY468"/>
      <c r="TYZ468"/>
      <c r="TZA468"/>
      <c r="TZB468"/>
      <c r="TZC468"/>
      <c r="TZD468"/>
      <c r="TZE468"/>
      <c r="TZF468"/>
      <c r="TZG468"/>
      <c r="TZH468"/>
      <c r="TZI468"/>
      <c r="TZJ468"/>
      <c r="TZK468"/>
      <c r="TZL468"/>
      <c r="TZM468"/>
      <c r="TZN468"/>
      <c r="TZO468"/>
      <c r="TZP468"/>
      <c r="TZQ468"/>
      <c r="TZR468"/>
      <c r="TZS468"/>
      <c r="TZT468"/>
      <c r="TZU468"/>
      <c r="TZV468"/>
      <c r="TZW468"/>
      <c r="TZX468"/>
      <c r="TZY468"/>
      <c r="TZZ468"/>
      <c r="UAA468"/>
      <c r="UAB468"/>
      <c r="UAC468"/>
      <c r="UAD468"/>
      <c r="UAE468"/>
      <c r="UAF468"/>
      <c r="UAG468"/>
      <c r="UAH468"/>
      <c r="UAI468"/>
      <c r="UAJ468"/>
      <c r="UAK468"/>
      <c r="UAL468"/>
      <c r="UAM468"/>
      <c r="UAN468"/>
      <c r="UAO468"/>
      <c r="UAP468"/>
      <c r="UAQ468"/>
      <c r="UAR468"/>
      <c r="UAS468"/>
      <c r="UAT468"/>
      <c r="UAU468"/>
      <c r="UAV468"/>
      <c r="UAW468"/>
      <c r="UAX468"/>
      <c r="UAY468"/>
      <c r="UAZ468"/>
      <c r="UBA468"/>
      <c r="UBB468"/>
      <c r="UBC468"/>
      <c r="UBD468"/>
      <c r="UBE468"/>
      <c r="UBF468"/>
      <c r="UBG468"/>
      <c r="UBH468"/>
      <c r="UBI468"/>
      <c r="UBJ468"/>
      <c r="UBK468"/>
      <c r="UBL468"/>
      <c r="UBM468"/>
      <c r="UBN468"/>
      <c r="UBO468"/>
      <c r="UBP468"/>
      <c r="UBQ468"/>
      <c r="UBR468"/>
      <c r="UBS468"/>
      <c r="UBT468"/>
      <c r="UBU468"/>
      <c r="UBV468"/>
      <c r="UBW468"/>
      <c r="UBX468"/>
      <c r="UBY468"/>
      <c r="UBZ468"/>
      <c r="UCA468"/>
      <c r="UCB468"/>
      <c r="UCC468"/>
      <c r="UCD468"/>
      <c r="UCE468"/>
      <c r="UCF468"/>
      <c r="UCG468"/>
      <c r="UCH468"/>
      <c r="UCI468"/>
      <c r="UCJ468"/>
      <c r="UCK468"/>
      <c r="UCL468"/>
      <c r="UCM468"/>
      <c r="UCN468"/>
      <c r="UCO468"/>
      <c r="UCP468"/>
      <c r="UCQ468"/>
      <c r="UCR468"/>
      <c r="UCS468"/>
      <c r="UCT468"/>
      <c r="UCU468"/>
      <c r="UCV468"/>
      <c r="UCW468"/>
      <c r="UCX468"/>
      <c r="UCY468"/>
      <c r="UCZ468"/>
      <c r="UDA468"/>
      <c r="UDB468"/>
      <c r="UDC468"/>
      <c r="UDD468"/>
      <c r="UDE468"/>
      <c r="UDF468"/>
      <c r="UDG468"/>
      <c r="UDH468"/>
      <c r="UDI468"/>
      <c r="UDJ468"/>
      <c r="UDK468"/>
      <c r="UDL468"/>
      <c r="UDM468"/>
      <c r="UDN468"/>
      <c r="UDO468"/>
      <c r="UDP468"/>
      <c r="UDQ468"/>
      <c r="UDR468"/>
      <c r="UDS468"/>
      <c r="UDT468"/>
      <c r="UDU468"/>
      <c r="UDV468"/>
      <c r="UDW468"/>
      <c r="UDX468"/>
      <c r="UDY468"/>
      <c r="UDZ468"/>
      <c r="UEA468"/>
      <c r="UEB468"/>
      <c r="UEC468"/>
      <c r="UED468"/>
      <c r="UEE468"/>
      <c r="UEF468"/>
      <c r="UEG468"/>
      <c r="UEH468"/>
      <c r="UEI468"/>
      <c r="UEJ468"/>
      <c r="UEK468"/>
      <c r="UEL468"/>
      <c r="UEM468"/>
      <c r="UEN468"/>
      <c r="UEO468"/>
      <c r="UEP468"/>
      <c r="UEQ468"/>
      <c r="UER468"/>
      <c r="UES468"/>
      <c r="UET468"/>
      <c r="UEU468"/>
      <c r="UEV468"/>
      <c r="UEW468"/>
      <c r="UEX468"/>
      <c r="UEY468"/>
      <c r="UEZ468"/>
      <c r="UFA468"/>
      <c r="UFB468"/>
      <c r="UFC468"/>
      <c r="UFD468"/>
      <c r="UFE468"/>
      <c r="UFF468"/>
      <c r="UFG468"/>
      <c r="UFH468"/>
      <c r="UFI468"/>
      <c r="UFJ468"/>
      <c r="UFK468"/>
      <c r="UFL468"/>
      <c r="UFM468"/>
      <c r="UFN468"/>
      <c r="UFO468"/>
      <c r="UFP468"/>
      <c r="UFQ468"/>
      <c r="UFR468"/>
      <c r="UFS468"/>
      <c r="UFT468"/>
      <c r="UFU468"/>
      <c r="UFV468"/>
      <c r="UFW468"/>
      <c r="UFX468"/>
      <c r="UFY468"/>
      <c r="UFZ468"/>
      <c r="UGA468"/>
      <c r="UGB468"/>
      <c r="UGC468"/>
      <c r="UGD468"/>
      <c r="UGE468"/>
      <c r="UGF468"/>
      <c r="UGG468"/>
      <c r="UGH468"/>
      <c r="UGI468"/>
      <c r="UGJ468"/>
      <c r="UGK468"/>
      <c r="UGL468"/>
      <c r="UGM468"/>
      <c r="UGN468"/>
      <c r="UGO468"/>
      <c r="UGP468"/>
      <c r="UGQ468"/>
      <c r="UGR468"/>
      <c r="UGS468"/>
      <c r="UGT468"/>
      <c r="UGU468"/>
      <c r="UGV468"/>
      <c r="UGW468"/>
      <c r="UGX468"/>
      <c r="UGY468"/>
      <c r="UGZ468"/>
      <c r="UHA468"/>
      <c r="UHB468"/>
      <c r="UHC468"/>
      <c r="UHD468"/>
      <c r="UHE468"/>
      <c r="UHF468"/>
      <c r="UHG468"/>
      <c r="UHH468"/>
      <c r="UHI468"/>
      <c r="UHJ468"/>
      <c r="UHK468"/>
      <c r="UHL468"/>
      <c r="UHM468"/>
      <c r="UHN468"/>
      <c r="UHO468"/>
      <c r="UHP468"/>
      <c r="UHQ468"/>
      <c r="UHR468"/>
      <c r="UHS468"/>
      <c r="UHT468"/>
      <c r="UHU468"/>
      <c r="UHV468"/>
      <c r="UHW468"/>
      <c r="UHX468"/>
      <c r="UHY468"/>
      <c r="UHZ468"/>
      <c r="UIA468"/>
      <c r="UIB468"/>
      <c r="UIC468"/>
      <c r="UID468"/>
      <c r="UIE468"/>
      <c r="UIF468"/>
      <c r="UIG468"/>
      <c r="UIH468"/>
      <c r="UII468"/>
      <c r="UIJ468"/>
      <c r="UIK468"/>
      <c r="UIL468"/>
      <c r="UIM468"/>
      <c r="UIN468"/>
      <c r="UIO468"/>
      <c r="UIP468"/>
      <c r="UIQ468"/>
      <c r="UIR468"/>
      <c r="UIS468"/>
      <c r="UIT468"/>
      <c r="UIU468"/>
      <c r="UIV468"/>
      <c r="UIW468"/>
      <c r="UIX468"/>
      <c r="UIY468"/>
      <c r="UIZ468"/>
      <c r="UJA468"/>
      <c r="UJB468"/>
      <c r="UJC468"/>
      <c r="UJD468"/>
      <c r="UJE468"/>
      <c r="UJF468"/>
      <c r="UJG468"/>
      <c r="UJH468"/>
      <c r="UJI468"/>
      <c r="UJJ468"/>
      <c r="UJK468"/>
      <c r="UJL468"/>
      <c r="UJM468"/>
      <c r="UJN468"/>
      <c r="UJO468"/>
      <c r="UJP468"/>
      <c r="UJQ468"/>
      <c r="UJR468"/>
      <c r="UJS468"/>
      <c r="UJT468"/>
      <c r="UJU468"/>
      <c r="UJV468"/>
      <c r="UJW468"/>
      <c r="UJX468"/>
      <c r="UJY468"/>
      <c r="UJZ468"/>
      <c r="UKA468"/>
      <c r="UKB468"/>
      <c r="UKC468"/>
      <c r="UKD468"/>
      <c r="UKE468"/>
      <c r="UKF468"/>
      <c r="UKG468"/>
      <c r="UKH468"/>
      <c r="UKI468"/>
      <c r="UKJ468"/>
      <c r="UKK468"/>
      <c r="UKL468"/>
      <c r="UKM468"/>
      <c r="UKN468"/>
      <c r="UKO468"/>
      <c r="UKP468"/>
      <c r="UKQ468"/>
      <c r="UKR468"/>
      <c r="UKS468"/>
      <c r="UKT468"/>
      <c r="UKU468"/>
      <c r="UKV468"/>
      <c r="UKW468"/>
      <c r="UKX468"/>
      <c r="UKY468"/>
      <c r="UKZ468"/>
      <c r="ULA468"/>
      <c r="ULB468"/>
      <c r="ULC468"/>
      <c r="ULD468"/>
      <c r="ULE468"/>
      <c r="ULF468"/>
      <c r="ULG468"/>
      <c r="ULH468"/>
      <c r="ULI468"/>
      <c r="ULJ468"/>
      <c r="ULK468"/>
      <c r="ULL468"/>
      <c r="ULM468"/>
      <c r="ULN468"/>
      <c r="ULO468"/>
      <c r="ULP468"/>
      <c r="ULQ468"/>
      <c r="ULR468"/>
      <c r="ULS468"/>
      <c r="ULT468"/>
      <c r="ULU468"/>
      <c r="ULV468"/>
      <c r="ULW468"/>
      <c r="ULX468"/>
      <c r="ULY468"/>
      <c r="ULZ468"/>
      <c r="UMA468"/>
      <c r="UMB468"/>
      <c r="UMC468"/>
      <c r="UMD468"/>
      <c r="UME468"/>
      <c r="UMF468"/>
      <c r="UMG468"/>
      <c r="UMH468"/>
      <c r="UMI468"/>
      <c r="UMJ468"/>
      <c r="UMK468"/>
      <c r="UML468"/>
      <c r="UMM468"/>
      <c r="UMN468"/>
      <c r="UMO468"/>
      <c r="UMP468"/>
      <c r="UMQ468"/>
      <c r="UMR468"/>
      <c r="UMS468"/>
      <c r="UMT468"/>
      <c r="UMU468"/>
      <c r="UMV468"/>
      <c r="UMW468"/>
      <c r="UMX468"/>
      <c r="UMY468"/>
      <c r="UMZ468"/>
      <c r="UNA468"/>
      <c r="UNB468"/>
      <c r="UNC468"/>
      <c r="UND468"/>
      <c r="UNE468"/>
      <c r="UNF468"/>
      <c r="UNG468"/>
      <c r="UNH468"/>
      <c r="UNI468"/>
      <c r="UNJ468"/>
      <c r="UNK468"/>
      <c r="UNL468"/>
      <c r="UNM468"/>
      <c r="UNN468"/>
      <c r="UNO468"/>
      <c r="UNP468"/>
      <c r="UNQ468"/>
      <c r="UNR468"/>
      <c r="UNS468"/>
      <c r="UNT468"/>
      <c r="UNU468"/>
      <c r="UNV468"/>
      <c r="UNW468"/>
      <c r="UNX468"/>
      <c r="UNY468"/>
      <c r="UNZ468"/>
      <c r="UOA468"/>
      <c r="UOB468"/>
      <c r="UOC468"/>
      <c r="UOD468"/>
      <c r="UOE468"/>
      <c r="UOF468"/>
      <c r="UOG468"/>
      <c r="UOH468"/>
      <c r="UOI468"/>
      <c r="UOJ468"/>
      <c r="UOK468"/>
      <c r="UOL468"/>
      <c r="UOM468"/>
      <c r="UON468"/>
      <c r="UOO468"/>
      <c r="UOP468"/>
      <c r="UOQ468"/>
      <c r="UOR468"/>
      <c r="UOS468"/>
      <c r="UOT468"/>
      <c r="UOU468"/>
      <c r="UOV468"/>
      <c r="UOW468"/>
      <c r="UOX468"/>
      <c r="UOY468"/>
      <c r="UOZ468"/>
      <c r="UPA468"/>
      <c r="UPB468"/>
      <c r="UPC468"/>
      <c r="UPD468"/>
      <c r="UPE468"/>
      <c r="UPF468"/>
      <c r="UPG468"/>
      <c r="UPH468"/>
      <c r="UPI468"/>
      <c r="UPJ468"/>
      <c r="UPK468"/>
      <c r="UPL468"/>
      <c r="UPM468"/>
      <c r="UPN468"/>
      <c r="UPO468"/>
      <c r="UPP468"/>
      <c r="UPQ468"/>
      <c r="UPR468"/>
      <c r="UPS468"/>
      <c r="UPT468"/>
      <c r="UPU468"/>
      <c r="UPV468"/>
      <c r="UPW468"/>
      <c r="UPX468"/>
      <c r="UPY468"/>
      <c r="UPZ468"/>
      <c r="UQA468"/>
      <c r="UQB468"/>
      <c r="UQC468"/>
      <c r="UQD468"/>
      <c r="UQE468"/>
      <c r="UQF468"/>
      <c r="UQG468"/>
      <c r="UQH468"/>
      <c r="UQI468"/>
      <c r="UQJ468"/>
      <c r="UQK468"/>
      <c r="UQL468"/>
      <c r="UQM468"/>
      <c r="UQN468"/>
      <c r="UQO468"/>
      <c r="UQP468"/>
      <c r="UQQ468"/>
      <c r="UQR468"/>
      <c r="UQS468"/>
      <c r="UQT468"/>
      <c r="UQU468"/>
      <c r="UQV468"/>
      <c r="UQW468"/>
      <c r="UQX468"/>
      <c r="UQY468"/>
      <c r="UQZ468"/>
      <c r="URA468"/>
      <c r="URB468"/>
      <c r="URC468"/>
      <c r="URD468"/>
      <c r="URE468"/>
      <c r="URF468"/>
      <c r="URG468"/>
      <c r="URH468"/>
      <c r="URI468"/>
      <c r="URJ468"/>
      <c r="URK468"/>
      <c r="URL468"/>
      <c r="URM468"/>
      <c r="URN468"/>
      <c r="URO468"/>
      <c r="URP468"/>
      <c r="URQ468"/>
      <c r="URR468"/>
      <c r="URS468"/>
      <c r="URT468"/>
      <c r="URU468"/>
      <c r="URV468"/>
      <c r="URW468"/>
      <c r="URX468"/>
      <c r="URY468"/>
      <c r="URZ468"/>
      <c r="USA468"/>
      <c r="USB468"/>
      <c r="USC468"/>
      <c r="USD468"/>
      <c r="USE468"/>
      <c r="USF468"/>
      <c r="USG468"/>
      <c r="USH468"/>
      <c r="USI468"/>
      <c r="USJ468"/>
      <c r="USK468"/>
      <c r="USL468"/>
      <c r="USM468"/>
      <c r="USN468"/>
      <c r="USO468"/>
      <c r="USP468"/>
      <c r="USQ468"/>
      <c r="USR468"/>
      <c r="USS468"/>
      <c r="UST468"/>
      <c r="USU468"/>
      <c r="USV468"/>
      <c r="USW468"/>
      <c r="USX468"/>
      <c r="USY468"/>
      <c r="USZ468"/>
      <c r="UTA468"/>
      <c r="UTB468"/>
      <c r="UTC468"/>
      <c r="UTD468"/>
      <c r="UTE468"/>
      <c r="UTF468"/>
      <c r="UTG468"/>
      <c r="UTH468"/>
      <c r="UTI468"/>
      <c r="UTJ468"/>
      <c r="UTK468"/>
      <c r="UTL468"/>
      <c r="UTM468"/>
      <c r="UTN468"/>
      <c r="UTO468"/>
      <c r="UTP468"/>
      <c r="UTQ468"/>
      <c r="UTR468"/>
      <c r="UTS468"/>
      <c r="UTT468"/>
      <c r="UTU468"/>
      <c r="UTV468"/>
      <c r="UTW468"/>
      <c r="UTX468"/>
      <c r="UTY468"/>
      <c r="UTZ468"/>
      <c r="UUA468"/>
      <c r="UUB468"/>
      <c r="UUC468"/>
      <c r="UUD468"/>
      <c r="UUE468"/>
      <c r="UUF468"/>
      <c r="UUG468"/>
      <c r="UUH468"/>
      <c r="UUI468"/>
      <c r="UUJ468"/>
      <c r="UUK468"/>
      <c r="UUL468"/>
      <c r="UUM468"/>
      <c r="UUN468"/>
      <c r="UUO468"/>
      <c r="UUP468"/>
      <c r="UUQ468"/>
      <c r="UUR468"/>
      <c r="UUS468"/>
      <c r="UUT468"/>
      <c r="UUU468"/>
      <c r="UUV468"/>
      <c r="UUW468"/>
      <c r="UUX468"/>
      <c r="UUY468"/>
      <c r="UUZ468"/>
      <c r="UVA468"/>
      <c r="UVB468"/>
      <c r="UVC468"/>
      <c r="UVD468"/>
      <c r="UVE468"/>
      <c r="UVF468"/>
      <c r="UVG468"/>
      <c r="UVH468"/>
      <c r="UVI468"/>
      <c r="UVJ468"/>
      <c r="UVK468"/>
      <c r="UVL468"/>
      <c r="UVM468"/>
      <c r="UVN468"/>
      <c r="UVO468"/>
      <c r="UVP468"/>
      <c r="UVQ468"/>
      <c r="UVR468"/>
      <c r="UVS468"/>
      <c r="UVT468"/>
      <c r="UVU468"/>
      <c r="UVV468"/>
      <c r="UVW468"/>
      <c r="UVX468"/>
      <c r="UVY468"/>
      <c r="UVZ468"/>
      <c r="UWA468"/>
      <c r="UWB468"/>
      <c r="UWC468"/>
      <c r="UWD468"/>
      <c r="UWE468"/>
      <c r="UWF468"/>
      <c r="UWG468"/>
      <c r="UWH468"/>
      <c r="UWI468"/>
      <c r="UWJ468"/>
      <c r="UWK468"/>
      <c r="UWL468"/>
      <c r="UWM468"/>
      <c r="UWN468"/>
      <c r="UWO468"/>
      <c r="UWP468"/>
      <c r="UWQ468"/>
      <c r="UWR468"/>
      <c r="UWS468"/>
      <c r="UWT468"/>
      <c r="UWU468"/>
      <c r="UWV468"/>
      <c r="UWW468"/>
      <c r="UWX468"/>
      <c r="UWY468"/>
      <c r="UWZ468"/>
      <c r="UXA468"/>
      <c r="UXB468"/>
      <c r="UXC468"/>
      <c r="UXD468"/>
      <c r="UXE468"/>
      <c r="UXF468"/>
      <c r="UXG468"/>
      <c r="UXH468"/>
      <c r="UXI468"/>
      <c r="UXJ468"/>
      <c r="UXK468"/>
      <c r="UXL468"/>
      <c r="UXM468"/>
      <c r="UXN468"/>
      <c r="UXO468"/>
      <c r="UXP468"/>
      <c r="UXQ468"/>
      <c r="UXR468"/>
      <c r="UXS468"/>
      <c r="UXT468"/>
      <c r="UXU468"/>
      <c r="UXV468"/>
      <c r="UXW468"/>
      <c r="UXX468"/>
      <c r="UXY468"/>
      <c r="UXZ468"/>
      <c r="UYA468"/>
      <c r="UYB468"/>
      <c r="UYC468"/>
      <c r="UYD468"/>
      <c r="UYE468"/>
      <c r="UYF468"/>
      <c r="UYG468"/>
      <c r="UYH468"/>
      <c r="UYI468"/>
      <c r="UYJ468"/>
      <c r="UYK468"/>
      <c r="UYL468"/>
      <c r="UYM468"/>
      <c r="UYN468"/>
      <c r="UYO468"/>
      <c r="UYP468"/>
      <c r="UYQ468"/>
      <c r="UYR468"/>
      <c r="UYS468"/>
      <c r="UYT468"/>
      <c r="UYU468"/>
      <c r="UYV468"/>
      <c r="UYW468"/>
      <c r="UYX468"/>
      <c r="UYY468"/>
      <c r="UYZ468"/>
      <c r="UZA468"/>
      <c r="UZB468"/>
      <c r="UZC468"/>
      <c r="UZD468"/>
      <c r="UZE468"/>
      <c r="UZF468"/>
      <c r="UZG468"/>
      <c r="UZH468"/>
      <c r="UZI468"/>
      <c r="UZJ468"/>
      <c r="UZK468"/>
      <c r="UZL468"/>
      <c r="UZM468"/>
      <c r="UZN468"/>
      <c r="UZO468"/>
      <c r="UZP468"/>
      <c r="UZQ468"/>
      <c r="UZR468"/>
      <c r="UZS468"/>
      <c r="UZT468"/>
      <c r="UZU468"/>
      <c r="UZV468"/>
      <c r="UZW468"/>
      <c r="UZX468"/>
      <c r="UZY468"/>
      <c r="UZZ468"/>
      <c r="VAA468"/>
      <c r="VAB468"/>
      <c r="VAC468"/>
      <c r="VAD468"/>
      <c r="VAE468"/>
      <c r="VAF468"/>
      <c r="VAG468"/>
      <c r="VAH468"/>
      <c r="VAI468"/>
      <c r="VAJ468"/>
      <c r="VAK468"/>
      <c r="VAL468"/>
      <c r="VAM468"/>
      <c r="VAN468"/>
      <c r="VAO468"/>
      <c r="VAP468"/>
      <c r="VAQ468"/>
      <c r="VAR468"/>
      <c r="VAS468"/>
      <c r="VAT468"/>
      <c r="VAU468"/>
      <c r="VAV468"/>
      <c r="VAW468"/>
      <c r="VAX468"/>
      <c r="VAY468"/>
      <c r="VAZ468"/>
      <c r="VBA468"/>
      <c r="VBB468"/>
      <c r="VBC468"/>
      <c r="VBD468"/>
      <c r="VBE468"/>
      <c r="VBF468"/>
      <c r="VBG468"/>
      <c r="VBH468"/>
      <c r="VBI468"/>
      <c r="VBJ468"/>
      <c r="VBK468"/>
      <c r="VBL468"/>
      <c r="VBM468"/>
      <c r="VBN468"/>
      <c r="VBO468"/>
      <c r="VBP468"/>
      <c r="VBQ468"/>
      <c r="VBR468"/>
      <c r="VBS468"/>
      <c r="VBT468"/>
      <c r="VBU468"/>
      <c r="VBV468"/>
      <c r="VBW468"/>
      <c r="VBX468"/>
      <c r="VBY468"/>
      <c r="VBZ468"/>
      <c r="VCA468"/>
      <c r="VCB468"/>
      <c r="VCC468"/>
      <c r="VCD468"/>
      <c r="VCE468"/>
      <c r="VCF468"/>
      <c r="VCG468"/>
      <c r="VCH468"/>
      <c r="VCI468"/>
      <c r="VCJ468"/>
      <c r="VCK468"/>
      <c r="VCL468"/>
      <c r="VCM468"/>
      <c r="VCN468"/>
      <c r="VCO468"/>
      <c r="VCP468"/>
      <c r="VCQ468"/>
      <c r="VCR468"/>
      <c r="VCS468"/>
      <c r="VCT468"/>
      <c r="VCU468"/>
      <c r="VCV468"/>
      <c r="VCW468"/>
      <c r="VCX468"/>
      <c r="VCY468"/>
      <c r="VCZ468"/>
      <c r="VDA468"/>
      <c r="VDB468"/>
      <c r="VDC468"/>
      <c r="VDD468"/>
      <c r="VDE468"/>
      <c r="VDF468"/>
      <c r="VDG468"/>
      <c r="VDH468"/>
      <c r="VDI468"/>
      <c r="VDJ468"/>
      <c r="VDK468"/>
      <c r="VDL468"/>
      <c r="VDM468"/>
      <c r="VDN468"/>
      <c r="VDO468"/>
      <c r="VDP468"/>
      <c r="VDQ468"/>
      <c r="VDR468"/>
      <c r="VDS468"/>
      <c r="VDT468"/>
      <c r="VDU468"/>
      <c r="VDV468"/>
      <c r="VDW468"/>
      <c r="VDX468"/>
      <c r="VDY468"/>
      <c r="VDZ468"/>
      <c r="VEA468"/>
      <c r="VEB468"/>
      <c r="VEC468"/>
      <c r="VED468"/>
      <c r="VEE468"/>
      <c r="VEF468"/>
      <c r="VEG468"/>
      <c r="VEH468"/>
      <c r="VEI468"/>
      <c r="VEJ468"/>
      <c r="VEK468"/>
      <c r="VEL468"/>
      <c r="VEM468"/>
      <c r="VEN468"/>
      <c r="VEO468"/>
      <c r="VEP468"/>
      <c r="VEQ468"/>
      <c r="VER468"/>
      <c r="VES468"/>
      <c r="VET468"/>
      <c r="VEU468"/>
      <c r="VEV468"/>
      <c r="VEW468"/>
      <c r="VEX468"/>
      <c r="VEY468"/>
      <c r="VEZ468"/>
      <c r="VFA468"/>
      <c r="VFB468"/>
      <c r="VFC468"/>
      <c r="VFD468"/>
      <c r="VFE468"/>
      <c r="VFF468"/>
      <c r="VFG468"/>
      <c r="VFH468"/>
      <c r="VFI468"/>
      <c r="VFJ468"/>
      <c r="VFK468"/>
      <c r="VFL468"/>
      <c r="VFM468"/>
      <c r="VFN468"/>
      <c r="VFO468"/>
      <c r="VFP468"/>
      <c r="VFQ468"/>
      <c r="VFR468"/>
      <c r="VFS468"/>
      <c r="VFT468"/>
      <c r="VFU468"/>
      <c r="VFV468"/>
      <c r="VFW468"/>
      <c r="VFX468"/>
      <c r="VFY468"/>
      <c r="VFZ468"/>
      <c r="VGA468"/>
      <c r="VGB468"/>
      <c r="VGC468"/>
      <c r="VGD468"/>
      <c r="VGE468"/>
      <c r="VGF468"/>
      <c r="VGG468"/>
      <c r="VGH468"/>
      <c r="VGI468"/>
      <c r="VGJ468"/>
      <c r="VGK468"/>
      <c r="VGL468"/>
      <c r="VGM468"/>
      <c r="VGN468"/>
      <c r="VGO468"/>
      <c r="VGP468"/>
      <c r="VGQ468"/>
      <c r="VGR468"/>
      <c r="VGS468"/>
      <c r="VGT468"/>
      <c r="VGU468"/>
      <c r="VGV468"/>
      <c r="VGW468"/>
      <c r="VGX468"/>
      <c r="VGY468"/>
      <c r="VGZ468"/>
      <c r="VHA468"/>
      <c r="VHB468"/>
      <c r="VHC468"/>
      <c r="VHD468"/>
      <c r="VHE468"/>
      <c r="VHF468"/>
      <c r="VHG468"/>
      <c r="VHH468"/>
      <c r="VHI468"/>
      <c r="VHJ468"/>
      <c r="VHK468"/>
      <c r="VHL468"/>
      <c r="VHM468"/>
      <c r="VHN468"/>
      <c r="VHO468"/>
      <c r="VHP468"/>
      <c r="VHQ468"/>
      <c r="VHR468"/>
      <c r="VHS468"/>
      <c r="VHT468"/>
      <c r="VHU468"/>
      <c r="VHV468"/>
      <c r="VHW468"/>
      <c r="VHX468"/>
      <c r="VHY468"/>
      <c r="VHZ468"/>
      <c r="VIA468"/>
      <c r="VIB468"/>
      <c r="VIC468"/>
      <c r="VID468"/>
      <c r="VIE468"/>
      <c r="VIF468"/>
      <c r="VIG468"/>
      <c r="VIH468"/>
      <c r="VII468"/>
      <c r="VIJ468"/>
      <c r="VIK468"/>
      <c r="VIL468"/>
      <c r="VIM468"/>
      <c r="VIN468"/>
      <c r="VIO468"/>
      <c r="VIP468"/>
      <c r="VIQ468"/>
      <c r="VIR468"/>
      <c r="VIS468"/>
      <c r="VIT468"/>
      <c r="VIU468"/>
      <c r="VIV468"/>
      <c r="VIW468"/>
      <c r="VIX468"/>
      <c r="VIY468"/>
      <c r="VIZ468"/>
      <c r="VJA468"/>
      <c r="VJB468"/>
      <c r="VJC468"/>
      <c r="VJD468"/>
      <c r="VJE468"/>
      <c r="VJF468"/>
      <c r="VJG468"/>
      <c r="VJH468"/>
      <c r="VJI468"/>
      <c r="VJJ468"/>
      <c r="VJK468"/>
      <c r="VJL468"/>
      <c r="VJM468"/>
      <c r="VJN468"/>
      <c r="VJO468"/>
      <c r="VJP468"/>
      <c r="VJQ468"/>
      <c r="VJR468"/>
      <c r="VJS468"/>
      <c r="VJT468"/>
      <c r="VJU468"/>
      <c r="VJV468"/>
      <c r="VJW468"/>
      <c r="VJX468"/>
      <c r="VJY468"/>
      <c r="VJZ468"/>
      <c r="VKA468"/>
      <c r="VKB468"/>
      <c r="VKC468"/>
      <c r="VKD468"/>
      <c r="VKE468"/>
      <c r="VKF468"/>
      <c r="VKG468"/>
      <c r="VKH468"/>
      <c r="VKI468"/>
      <c r="VKJ468"/>
      <c r="VKK468"/>
      <c r="VKL468"/>
      <c r="VKM468"/>
      <c r="VKN468"/>
      <c r="VKO468"/>
      <c r="VKP468"/>
      <c r="VKQ468"/>
      <c r="VKR468"/>
      <c r="VKS468"/>
      <c r="VKT468"/>
      <c r="VKU468"/>
      <c r="VKV468"/>
      <c r="VKW468"/>
      <c r="VKX468"/>
      <c r="VKY468"/>
      <c r="VKZ468"/>
      <c r="VLA468"/>
      <c r="VLB468"/>
      <c r="VLC468"/>
      <c r="VLD468"/>
      <c r="VLE468"/>
      <c r="VLF468"/>
      <c r="VLG468"/>
      <c r="VLH468"/>
      <c r="VLI468"/>
      <c r="VLJ468"/>
      <c r="VLK468"/>
      <c r="VLL468"/>
      <c r="VLM468"/>
      <c r="VLN468"/>
      <c r="VLO468"/>
      <c r="VLP468"/>
      <c r="VLQ468"/>
      <c r="VLR468"/>
      <c r="VLS468"/>
      <c r="VLT468"/>
      <c r="VLU468"/>
      <c r="VLV468"/>
      <c r="VLW468"/>
      <c r="VLX468"/>
      <c r="VLY468"/>
      <c r="VLZ468"/>
      <c r="VMA468"/>
      <c r="VMB468"/>
      <c r="VMC468"/>
      <c r="VMD468"/>
      <c r="VME468"/>
      <c r="VMF468"/>
      <c r="VMG468"/>
      <c r="VMH468"/>
      <c r="VMI468"/>
      <c r="VMJ468"/>
      <c r="VMK468"/>
      <c r="VML468"/>
      <c r="VMM468"/>
      <c r="VMN468"/>
      <c r="VMO468"/>
      <c r="VMP468"/>
      <c r="VMQ468"/>
      <c r="VMR468"/>
      <c r="VMS468"/>
      <c r="VMT468"/>
      <c r="VMU468"/>
      <c r="VMV468"/>
      <c r="VMW468"/>
      <c r="VMX468"/>
      <c r="VMY468"/>
      <c r="VMZ468"/>
      <c r="VNA468"/>
      <c r="VNB468"/>
      <c r="VNC468"/>
      <c r="VND468"/>
      <c r="VNE468"/>
      <c r="VNF468"/>
      <c r="VNG468"/>
      <c r="VNH468"/>
      <c r="VNI468"/>
      <c r="VNJ468"/>
      <c r="VNK468"/>
      <c r="VNL468"/>
      <c r="VNM468"/>
      <c r="VNN468"/>
      <c r="VNO468"/>
      <c r="VNP468"/>
      <c r="VNQ468"/>
      <c r="VNR468"/>
      <c r="VNS468"/>
      <c r="VNT468"/>
      <c r="VNU468"/>
      <c r="VNV468"/>
      <c r="VNW468"/>
      <c r="VNX468"/>
      <c r="VNY468"/>
      <c r="VNZ468"/>
      <c r="VOA468"/>
      <c r="VOB468"/>
      <c r="VOC468"/>
      <c r="VOD468"/>
      <c r="VOE468"/>
      <c r="VOF468"/>
      <c r="VOG468"/>
      <c r="VOH468"/>
      <c r="VOI468"/>
      <c r="VOJ468"/>
      <c r="VOK468"/>
      <c r="VOL468"/>
      <c r="VOM468"/>
      <c r="VON468"/>
      <c r="VOO468"/>
      <c r="VOP468"/>
      <c r="VOQ468"/>
      <c r="VOR468"/>
      <c r="VOS468"/>
      <c r="VOT468"/>
      <c r="VOU468"/>
      <c r="VOV468"/>
      <c r="VOW468"/>
      <c r="VOX468"/>
      <c r="VOY468"/>
      <c r="VOZ468"/>
      <c r="VPA468"/>
      <c r="VPB468"/>
      <c r="VPC468"/>
      <c r="VPD468"/>
      <c r="VPE468"/>
      <c r="VPF468"/>
      <c r="VPG468"/>
      <c r="VPH468"/>
      <c r="VPI468"/>
      <c r="VPJ468"/>
      <c r="VPK468"/>
      <c r="VPL468"/>
      <c r="VPM468"/>
      <c r="VPN468"/>
      <c r="VPO468"/>
      <c r="VPP468"/>
      <c r="VPQ468"/>
      <c r="VPR468"/>
      <c r="VPS468"/>
      <c r="VPT468"/>
      <c r="VPU468"/>
      <c r="VPV468"/>
      <c r="VPW468"/>
      <c r="VPX468"/>
      <c r="VPY468"/>
      <c r="VPZ468"/>
      <c r="VQA468"/>
      <c r="VQB468"/>
      <c r="VQC468"/>
      <c r="VQD468"/>
      <c r="VQE468"/>
      <c r="VQF468"/>
      <c r="VQG468"/>
      <c r="VQH468"/>
      <c r="VQI468"/>
      <c r="VQJ468"/>
      <c r="VQK468"/>
      <c r="VQL468"/>
      <c r="VQM468"/>
      <c r="VQN468"/>
      <c r="VQO468"/>
      <c r="VQP468"/>
      <c r="VQQ468"/>
      <c r="VQR468"/>
      <c r="VQS468"/>
      <c r="VQT468"/>
      <c r="VQU468"/>
      <c r="VQV468"/>
      <c r="VQW468"/>
      <c r="VQX468"/>
      <c r="VQY468"/>
      <c r="VQZ468"/>
      <c r="VRA468"/>
      <c r="VRB468"/>
      <c r="VRC468"/>
      <c r="VRD468"/>
      <c r="VRE468"/>
      <c r="VRF468"/>
      <c r="VRG468"/>
      <c r="VRH468"/>
      <c r="VRI468"/>
      <c r="VRJ468"/>
      <c r="VRK468"/>
      <c r="VRL468"/>
      <c r="VRM468"/>
      <c r="VRN468"/>
      <c r="VRO468"/>
      <c r="VRP468"/>
      <c r="VRQ468"/>
      <c r="VRR468"/>
      <c r="VRS468"/>
      <c r="VRT468"/>
      <c r="VRU468"/>
      <c r="VRV468"/>
      <c r="VRW468"/>
      <c r="VRX468"/>
      <c r="VRY468"/>
      <c r="VRZ468"/>
      <c r="VSA468"/>
      <c r="VSB468"/>
      <c r="VSC468"/>
      <c r="VSD468"/>
      <c r="VSE468"/>
      <c r="VSF468"/>
      <c r="VSG468"/>
      <c r="VSH468"/>
      <c r="VSI468"/>
      <c r="VSJ468"/>
      <c r="VSK468"/>
      <c r="VSL468"/>
      <c r="VSM468"/>
      <c r="VSN468"/>
      <c r="VSO468"/>
      <c r="VSP468"/>
      <c r="VSQ468"/>
      <c r="VSR468"/>
      <c r="VSS468"/>
      <c r="VST468"/>
      <c r="VSU468"/>
      <c r="VSV468"/>
      <c r="VSW468"/>
      <c r="VSX468"/>
      <c r="VSY468"/>
      <c r="VSZ468"/>
      <c r="VTA468"/>
      <c r="VTB468"/>
      <c r="VTC468"/>
      <c r="VTD468"/>
      <c r="VTE468"/>
      <c r="VTF468"/>
      <c r="VTG468"/>
      <c r="VTH468"/>
      <c r="VTI468"/>
      <c r="VTJ468"/>
      <c r="VTK468"/>
      <c r="VTL468"/>
      <c r="VTM468"/>
      <c r="VTN468"/>
      <c r="VTO468"/>
      <c r="VTP468"/>
      <c r="VTQ468"/>
      <c r="VTR468"/>
      <c r="VTS468"/>
      <c r="VTT468"/>
      <c r="VTU468"/>
      <c r="VTV468"/>
      <c r="VTW468"/>
      <c r="VTX468"/>
      <c r="VTY468"/>
      <c r="VTZ468"/>
      <c r="VUA468"/>
      <c r="VUB468"/>
      <c r="VUC468"/>
      <c r="VUD468"/>
      <c r="VUE468"/>
      <c r="VUF468"/>
      <c r="VUG468"/>
      <c r="VUH468"/>
      <c r="VUI468"/>
      <c r="VUJ468"/>
      <c r="VUK468"/>
      <c r="VUL468"/>
      <c r="VUM468"/>
      <c r="VUN468"/>
      <c r="VUO468"/>
      <c r="VUP468"/>
      <c r="VUQ468"/>
      <c r="VUR468"/>
      <c r="VUS468"/>
      <c r="VUT468"/>
      <c r="VUU468"/>
      <c r="VUV468"/>
      <c r="VUW468"/>
      <c r="VUX468"/>
      <c r="VUY468"/>
      <c r="VUZ468"/>
      <c r="VVA468"/>
      <c r="VVB468"/>
      <c r="VVC468"/>
      <c r="VVD468"/>
      <c r="VVE468"/>
      <c r="VVF468"/>
      <c r="VVG468"/>
      <c r="VVH468"/>
      <c r="VVI468"/>
      <c r="VVJ468"/>
      <c r="VVK468"/>
      <c r="VVL468"/>
      <c r="VVM468"/>
      <c r="VVN468"/>
      <c r="VVO468"/>
      <c r="VVP468"/>
      <c r="VVQ468"/>
      <c r="VVR468"/>
      <c r="VVS468"/>
      <c r="VVT468"/>
      <c r="VVU468"/>
      <c r="VVV468"/>
      <c r="VVW468"/>
      <c r="VVX468"/>
      <c r="VVY468"/>
      <c r="VVZ468"/>
      <c r="VWA468"/>
      <c r="VWB468"/>
      <c r="VWC468"/>
      <c r="VWD468"/>
      <c r="VWE468"/>
      <c r="VWF468"/>
      <c r="VWG468"/>
      <c r="VWH468"/>
      <c r="VWI468"/>
      <c r="VWJ468"/>
      <c r="VWK468"/>
      <c r="VWL468"/>
      <c r="VWM468"/>
      <c r="VWN468"/>
      <c r="VWO468"/>
      <c r="VWP468"/>
      <c r="VWQ468"/>
      <c r="VWR468"/>
      <c r="VWS468"/>
      <c r="VWT468"/>
      <c r="VWU468"/>
      <c r="VWV468"/>
      <c r="VWW468"/>
      <c r="VWX468"/>
      <c r="VWY468"/>
      <c r="VWZ468"/>
      <c r="VXA468"/>
      <c r="VXB468"/>
      <c r="VXC468"/>
      <c r="VXD468"/>
      <c r="VXE468"/>
      <c r="VXF468"/>
      <c r="VXG468"/>
      <c r="VXH468"/>
      <c r="VXI468"/>
      <c r="VXJ468"/>
      <c r="VXK468"/>
      <c r="VXL468"/>
      <c r="VXM468"/>
      <c r="VXN468"/>
      <c r="VXO468"/>
      <c r="VXP468"/>
      <c r="VXQ468"/>
      <c r="VXR468"/>
      <c r="VXS468"/>
      <c r="VXT468"/>
      <c r="VXU468"/>
      <c r="VXV468"/>
      <c r="VXW468"/>
      <c r="VXX468"/>
      <c r="VXY468"/>
      <c r="VXZ468"/>
      <c r="VYA468"/>
      <c r="VYB468"/>
      <c r="VYC468"/>
      <c r="VYD468"/>
      <c r="VYE468"/>
      <c r="VYF468"/>
      <c r="VYG468"/>
      <c r="VYH468"/>
      <c r="VYI468"/>
      <c r="VYJ468"/>
      <c r="VYK468"/>
      <c r="VYL468"/>
      <c r="VYM468"/>
      <c r="VYN468"/>
      <c r="VYO468"/>
      <c r="VYP468"/>
      <c r="VYQ468"/>
      <c r="VYR468"/>
      <c r="VYS468"/>
      <c r="VYT468"/>
      <c r="VYU468"/>
      <c r="VYV468"/>
      <c r="VYW468"/>
      <c r="VYX468"/>
      <c r="VYY468"/>
      <c r="VYZ468"/>
      <c r="VZA468"/>
      <c r="VZB468"/>
      <c r="VZC468"/>
      <c r="VZD468"/>
      <c r="VZE468"/>
      <c r="VZF468"/>
      <c r="VZG468"/>
      <c r="VZH468"/>
      <c r="VZI468"/>
      <c r="VZJ468"/>
      <c r="VZK468"/>
      <c r="VZL468"/>
      <c r="VZM468"/>
      <c r="VZN468"/>
      <c r="VZO468"/>
      <c r="VZP468"/>
      <c r="VZQ468"/>
      <c r="VZR468"/>
      <c r="VZS468"/>
      <c r="VZT468"/>
      <c r="VZU468"/>
      <c r="VZV468"/>
      <c r="VZW468"/>
      <c r="VZX468"/>
      <c r="VZY468"/>
      <c r="VZZ468"/>
      <c r="WAA468"/>
      <c r="WAB468"/>
      <c r="WAC468"/>
      <c r="WAD468"/>
      <c r="WAE468"/>
      <c r="WAF468"/>
      <c r="WAG468"/>
      <c r="WAH468"/>
      <c r="WAI468"/>
      <c r="WAJ468"/>
      <c r="WAK468"/>
      <c r="WAL468"/>
      <c r="WAM468"/>
      <c r="WAN468"/>
      <c r="WAO468"/>
      <c r="WAP468"/>
      <c r="WAQ468"/>
      <c r="WAR468"/>
      <c r="WAS468"/>
      <c r="WAT468"/>
      <c r="WAU468"/>
      <c r="WAV468"/>
      <c r="WAW468"/>
      <c r="WAX468"/>
      <c r="WAY468"/>
      <c r="WAZ468"/>
      <c r="WBA468"/>
      <c r="WBB468"/>
      <c r="WBC468"/>
      <c r="WBD468"/>
      <c r="WBE468"/>
      <c r="WBF468"/>
      <c r="WBG468"/>
      <c r="WBH468"/>
      <c r="WBI468"/>
      <c r="WBJ468"/>
      <c r="WBK468"/>
      <c r="WBL468"/>
      <c r="WBM468"/>
      <c r="WBN468"/>
      <c r="WBO468"/>
      <c r="WBP468"/>
      <c r="WBQ468"/>
      <c r="WBR468"/>
      <c r="WBS468"/>
      <c r="WBT468"/>
      <c r="WBU468"/>
      <c r="WBV468"/>
      <c r="WBW468"/>
      <c r="WBX468"/>
      <c r="WBY468"/>
      <c r="WBZ468"/>
      <c r="WCA468"/>
      <c r="WCB468"/>
      <c r="WCC468"/>
      <c r="WCD468"/>
      <c r="WCE468"/>
      <c r="WCF468"/>
      <c r="WCG468"/>
      <c r="WCH468"/>
      <c r="WCI468"/>
      <c r="WCJ468"/>
      <c r="WCK468"/>
      <c r="WCL468"/>
      <c r="WCM468"/>
      <c r="WCN468"/>
      <c r="WCO468"/>
      <c r="WCP468"/>
      <c r="WCQ468"/>
      <c r="WCR468"/>
      <c r="WCS468"/>
      <c r="WCT468"/>
      <c r="WCU468"/>
      <c r="WCV468"/>
      <c r="WCW468"/>
      <c r="WCX468"/>
      <c r="WCY468"/>
      <c r="WCZ468"/>
      <c r="WDA468"/>
      <c r="WDB468"/>
      <c r="WDC468"/>
      <c r="WDD468"/>
      <c r="WDE468"/>
      <c r="WDF468"/>
      <c r="WDG468"/>
      <c r="WDH468"/>
      <c r="WDI468"/>
      <c r="WDJ468"/>
      <c r="WDK468"/>
      <c r="WDL468"/>
      <c r="WDM468"/>
      <c r="WDN468"/>
      <c r="WDO468"/>
      <c r="WDP468"/>
      <c r="WDQ468"/>
      <c r="WDR468"/>
      <c r="WDS468"/>
      <c r="WDT468"/>
      <c r="WDU468"/>
      <c r="WDV468"/>
      <c r="WDW468"/>
      <c r="WDX468"/>
      <c r="WDY468"/>
      <c r="WDZ468"/>
      <c r="WEA468"/>
      <c r="WEB468"/>
      <c r="WEC468"/>
      <c r="WED468"/>
      <c r="WEE468"/>
      <c r="WEF468"/>
      <c r="WEG468"/>
      <c r="WEH468"/>
      <c r="WEI468"/>
      <c r="WEJ468"/>
      <c r="WEK468"/>
      <c r="WEL468"/>
      <c r="WEM468"/>
      <c r="WEN468"/>
      <c r="WEO468"/>
      <c r="WEP468"/>
      <c r="WEQ468"/>
      <c r="WER468"/>
      <c r="WES468"/>
      <c r="WET468"/>
      <c r="WEU468"/>
      <c r="WEV468"/>
      <c r="WEW468"/>
      <c r="WEX468"/>
      <c r="WEY468"/>
      <c r="WEZ468"/>
      <c r="WFA468"/>
      <c r="WFB468"/>
      <c r="WFC468"/>
      <c r="WFD468"/>
      <c r="WFE468"/>
      <c r="WFF468"/>
      <c r="WFG468"/>
      <c r="WFH468"/>
      <c r="WFI468"/>
      <c r="WFJ468"/>
      <c r="WFK468"/>
      <c r="WFL468"/>
      <c r="WFM468"/>
      <c r="WFN468"/>
      <c r="WFO468"/>
      <c r="WFP468"/>
      <c r="WFQ468"/>
      <c r="WFR468"/>
      <c r="WFS468"/>
      <c r="WFT468"/>
      <c r="WFU468"/>
      <c r="WFV468"/>
      <c r="WFW468"/>
      <c r="WFX468"/>
      <c r="WFY468"/>
      <c r="WFZ468"/>
      <c r="WGA468"/>
      <c r="WGB468"/>
      <c r="WGC468"/>
      <c r="WGD468"/>
      <c r="WGE468"/>
      <c r="WGF468"/>
      <c r="WGG468"/>
      <c r="WGH468"/>
      <c r="WGI468"/>
      <c r="WGJ468"/>
      <c r="WGK468"/>
      <c r="WGL468"/>
      <c r="WGM468"/>
      <c r="WGN468"/>
      <c r="WGO468"/>
      <c r="WGP468"/>
      <c r="WGQ468"/>
      <c r="WGR468"/>
      <c r="WGS468"/>
      <c r="WGT468"/>
      <c r="WGU468"/>
      <c r="WGV468"/>
      <c r="WGW468"/>
      <c r="WGX468"/>
      <c r="WGY468"/>
      <c r="WGZ468"/>
      <c r="WHA468"/>
      <c r="WHB468"/>
      <c r="WHC468"/>
      <c r="WHD468"/>
      <c r="WHE468"/>
      <c r="WHF468"/>
      <c r="WHG468"/>
      <c r="WHH468"/>
      <c r="WHI468"/>
      <c r="WHJ468"/>
      <c r="WHK468"/>
      <c r="WHL468"/>
      <c r="WHM468"/>
      <c r="WHN468"/>
      <c r="WHO468"/>
      <c r="WHP468"/>
      <c r="WHQ468"/>
      <c r="WHR468"/>
      <c r="WHS468"/>
      <c r="WHT468"/>
      <c r="WHU468"/>
      <c r="WHV468"/>
      <c r="WHW468"/>
      <c r="WHX468"/>
      <c r="WHY468"/>
      <c r="WHZ468"/>
      <c r="WIA468"/>
      <c r="WIB468"/>
      <c r="WIC468"/>
      <c r="WID468"/>
      <c r="WIE468"/>
      <c r="WIF468"/>
      <c r="WIG468"/>
      <c r="WIH468"/>
      <c r="WII468"/>
      <c r="WIJ468"/>
      <c r="WIK468"/>
      <c r="WIL468"/>
      <c r="WIM468"/>
      <c r="WIN468"/>
      <c r="WIO468"/>
      <c r="WIP468"/>
      <c r="WIQ468"/>
      <c r="WIR468"/>
      <c r="WIS468"/>
      <c r="WIT468"/>
      <c r="WIU468"/>
      <c r="WIV468"/>
      <c r="WIW468"/>
      <c r="WIX468"/>
      <c r="WIY468"/>
      <c r="WIZ468"/>
      <c r="WJA468"/>
      <c r="WJB468"/>
      <c r="WJC468"/>
      <c r="WJD468"/>
      <c r="WJE468"/>
      <c r="WJF468"/>
      <c r="WJG468"/>
      <c r="WJH468"/>
      <c r="WJI468"/>
      <c r="WJJ468"/>
      <c r="WJK468"/>
      <c r="WJL468"/>
      <c r="WJM468"/>
      <c r="WJN468"/>
      <c r="WJO468"/>
      <c r="WJP468"/>
      <c r="WJQ468"/>
      <c r="WJR468"/>
      <c r="WJS468"/>
      <c r="WJT468"/>
      <c r="WJU468"/>
      <c r="WJV468"/>
      <c r="WJW468"/>
      <c r="WJX468"/>
      <c r="WJY468"/>
      <c r="WJZ468"/>
      <c r="WKA468"/>
      <c r="WKB468"/>
      <c r="WKC468"/>
      <c r="WKD468"/>
      <c r="WKE468"/>
      <c r="WKF468"/>
      <c r="WKG468"/>
      <c r="WKH468"/>
      <c r="WKI468"/>
      <c r="WKJ468"/>
      <c r="WKK468"/>
      <c r="WKL468"/>
      <c r="WKM468"/>
      <c r="WKN468"/>
      <c r="WKO468"/>
      <c r="WKP468"/>
      <c r="WKQ468"/>
      <c r="WKR468"/>
      <c r="WKS468"/>
      <c r="WKT468"/>
      <c r="WKU468"/>
      <c r="WKV468"/>
      <c r="WKW468"/>
      <c r="WKX468"/>
      <c r="WKY468"/>
      <c r="WKZ468"/>
      <c r="WLA468"/>
      <c r="WLB468"/>
      <c r="WLC468"/>
      <c r="WLD468"/>
      <c r="WLE468"/>
      <c r="WLF468"/>
      <c r="WLG468"/>
      <c r="WLH468"/>
      <c r="WLI468"/>
      <c r="WLJ468"/>
      <c r="WLK468"/>
      <c r="WLL468"/>
      <c r="WLM468"/>
      <c r="WLN468"/>
      <c r="WLO468"/>
      <c r="WLP468"/>
      <c r="WLQ468"/>
      <c r="WLR468"/>
      <c r="WLS468"/>
      <c r="WLT468"/>
      <c r="WLU468"/>
      <c r="WLV468"/>
      <c r="WLW468"/>
      <c r="WLX468"/>
      <c r="WLY468"/>
      <c r="WLZ468"/>
      <c r="WMA468"/>
      <c r="WMB468"/>
      <c r="WMC468"/>
      <c r="WMD468"/>
      <c r="WME468"/>
      <c r="WMF468"/>
      <c r="WMG468"/>
      <c r="WMH468"/>
      <c r="WMI468"/>
      <c r="WMJ468"/>
      <c r="WMK468"/>
      <c r="WML468"/>
      <c r="WMM468"/>
      <c r="WMN468"/>
      <c r="WMO468"/>
      <c r="WMP468"/>
      <c r="WMQ468"/>
      <c r="WMR468"/>
      <c r="WMS468"/>
      <c r="WMT468"/>
      <c r="WMU468"/>
      <c r="WMV468"/>
      <c r="WMW468"/>
      <c r="WMX468"/>
      <c r="WMY468"/>
      <c r="WMZ468"/>
      <c r="WNA468"/>
      <c r="WNB468"/>
      <c r="WNC468"/>
      <c r="WND468"/>
      <c r="WNE468"/>
      <c r="WNF468"/>
      <c r="WNG468"/>
      <c r="WNH468"/>
      <c r="WNI468"/>
      <c r="WNJ468"/>
      <c r="WNK468"/>
      <c r="WNL468"/>
      <c r="WNM468"/>
      <c r="WNN468"/>
      <c r="WNO468"/>
      <c r="WNP468"/>
      <c r="WNQ468"/>
      <c r="WNR468"/>
      <c r="WNS468"/>
      <c r="WNT468"/>
      <c r="WNU468"/>
      <c r="WNV468"/>
      <c r="WNW468"/>
      <c r="WNX468"/>
      <c r="WNY468"/>
      <c r="WNZ468"/>
      <c r="WOA468"/>
      <c r="WOB468"/>
      <c r="WOC468"/>
      <c r="WOD468"/>
      <c r="WOE468"/>
      <c r="WOF468"/>
      <c r="WOG468"/>
      <c r="WOH468"/>
      <c r="WOI468"/>
      <c r="WOJ468"/>
      <c r="WOK468"/>
      <c r="WOL468"/>
      <c r="WOM468"/>
      <c r="WON468"/>
      <c r="WOO468"/>
      <c r="WOP468"/>
      <c r="WOQ468"/>
      <c r="WOR468"/>
      <c r="WOS468"/>
      <c r="WOT468"/>
      <c r="WOU468"/>
      <c r="WOV468"/>
      <c r="WOW468"/>
      <c r="WOX468"/>
      <c r="WOY468"/>
      <c r="WOZ468"/>
      <c r="WPA468"/>
      <c r="WPB468"/>
      <c r="WPC468"/>
      <c r="WPD468"/>
      <c r="WPE468"/>
      <c r="WPF468"/>
      <c r="WPG468"/>
      <c r="WPH468"/>
      <c r="WPI468"/>
      <c r="WPJ468"/>
      <c r="WPK468"/>
      <c r="WPL468"/>
      <c r="WPM468"/>
      <c r="WPN468"/>
      <c r="WPO468"/>
      <c r="WPP468"/>
      <c r="WPQ468"/>
      <c r="WPR468"/>
      <c r="WPS468"/>
      <c r="WPT468"/>
      <c r="WPU468"/>
      <c r="WPV468"/>
      <c r="WPW468"/>
      <c r="WPX468"/>
      <c r="WPY468"/>
      <c r="WPZ468"/>
      <c r="WQA468"/>
      <c r="WQB468"/>
      <c r="WQC468"/>
      <c r="WQD468"/>
      <c r="WQE468"/>
      <c r="WQF468"/>
      <c r="WQG468"/>
      <c r="WQH468"/>
      <c r="WQI468"/>
      <c r="WQJ468"/>
      <c r="WQK468"/>
      <c r="WQL468"/>
      <c r="WQM468"/>
      <c r="WQN468"/>
      <c r="WQO468"/>
      <c r="WQP468"/>
      <c r="WQQ468"/>
      <c r="WQR468"/>
      <c r="WQS468"/>
      <c r="WQT468"/>
      <c r="WQU468"/>
      <c r="WQV468"/>
      <c r="WQW468"/>
      <c r="WQX468"/>
      <c r="WQY468"/>
      <c r="WQZ468"/>
      <c r="WRA468"/>
      <c r="WRB468"/>
      <c r="WRC468"/>
      <c r="WRD468"/>
      <c r="WRE468"/>
      <c r="WRF468"/>
      <c r="WRG468"/>
      <c r="WRH468"/>
      <c r="WRI468"/>
      <c r="WRJ468"/>
      <c r="WRK468"/>
      <c r="WRL468"/>
      <c r="WRM468"/>
      <c r="WRN468"/>
      <c r="WRO468"/>
      <c r="WRP468"/>
      <c r="WRQ468"/>
      <c r="WRR468"/>
      <c r="WRS468"/>
      <c r="WRT468"/>
      <c r="WRU468"/>
      <c r="WRV468"/>
      <c r="WRW468"/>
      <c r="WRX468"/>
      <c r="WRY468"/>
      <c r="WRZ468"/>
      <c r="WSA468"/>
      <c r="WSB468"/>
      <c r="WSC468"/>
      <c r="WSD468"/>
      <c r="WSE468"/>
      <c r="WSF468"/>
      <c r="WSG468"/>
      <c r="WSH468"/>
      <c r="WSI468"/>
      <c r="WSJ468"/>
      <c r="WSK468"/>
      <c r="WSL468"/>
      <c r="WSM468"/>
      <c r="WSN468"/>
      <c r="WSO468"/>
      <c r="WSP468"/>
      <c r="WSQ468"/>
      <c r="WSR468"/>
      <c r="WSS468"/>
      <c r="WST468"/>
      <c r="WSU468"/>
      <c r="WSV468"/>
      <c r="WSW468"/>
      <c r="WSX468"/>
      <c r="WSY468"/>
      <c r="WSZ468"/>
      <c r="WTA468"/>
      <c r="WTB468"/>
      <c r="WTC468"/>
      <c r="WTD468"/>
      <c r="WTE468"/>
      <c r="WTF468"/>
      <c r="WTG468"/>
      <c r="WTH468"/>
      <c r="WTI468"/>
      <c r="WTJ468"/>
      <c r="WTK468"/>
      <c r="WTL468"/>
      <c r="WTM468"/>
      <c r="WTN468"/>
      <c r="WTO468"/>
      <c r="WTP468"/>
      <c r="WTQ468"/>
      <c r="WTR468"/>
      <c r="WTS468"/>
      <c r="WTT468"/>
      <c r="WTU468"/>
      <c r="WTV468"/>
      <c r="WTW468"/>
      <c r="WTX468"/>
      <c r="WTY468"/>
      <c r="WTZ468"/>
      <c r="WUA468"/>
      <c r="WUB468"/>
      <c r="WUC468"/>
      <c r="WUD468"/>
      <c r="WUE468"/>
      <c r="WUF468"/>
      <c r="WUG468"/>
      <c r="WUH468"/>
      <c r="WUI468"/>
      <c r="WUJ468"/>
      <c r="WUK468"/>
      <c r="WUL468"/>
      <c r="WUM468"/>
      <c r="WUN468"/>
      <c r="WUO468"/>
      <c r="WUP468"/>
      <c r="WUQ468"/>
      <c r="WUR468"/>
      <c r="WUS468"/>
      <c r="WUT468"/>
      <c r="WUU468"/>
      <c r="WUV468"/>
      <c r="WUW468"/>
      <c r="WUX468"/>
      <c r="WUY468"/>
      <c r="WUZ468"/>
      <c r="WVA468"/>
      <c r="WVB468"/>
      <c r="WVC468"/>
      <c r="WVD468"/>
      <c r="WVE468"/>
      <c r="WVF468"/>
      <c r="WVG468"/>
      <c r="WVH468"/>
      <c r="WVI468"/>
      <c r="WVJ468"/>
      <c r="WVK468"/>
      <c r="WVL468"/>
      <c r="WVM468"/>
      <c r="WVN468"/>
      <c r="WVO468"/>
      <c r="WVP468"/>
      <c r="WVQ468"/>
      <c r="WVR468"/>
      <c r="WVS468"/>
      <c r="WVT468"/>
      <c r="WVU468"/>
      <c r="WVV468"/>
      <c r="WVW468"/>
      <c r="WVX468"/>
      <c r="WVY468"/>
      <c r="WVZ468"/>
      <c r="WWA468"/>
      <c r="WWB468"/>
      <c r="WWC468"/>
      <c r="WWD468"/>
      <c r="WWE468"/>
      <c r="WWF468"/>
      <c r="WWG468"/>
      <c r="WWH468"/>
      <c r="WWI468"/>
      <c r="WWJ468"/>
      <c r="WWK468"/>
      <c r="WWL468"/>
      <c r="WWM468"/>
      <c r="WWN468"/>
      <c r="WWO468"/>
      <c r="WWP468"/>
      <c r="WWQ468"/>
      <c r="WWR468"/>
      <c r="WWS468"/>
      <c r="WWT468"/>
      <c r="WWU468"/>
      <c r="WWV468"/>
      <c r="WWW468"/>
      <c r="WWX468"/>
      <c r="WWY468"/>
      <c r="WWZ468"/>
      <c r="WXA468"/>
      <c r="WXB468"/>
      <c r="WXC468"/>
      <c r="WXD468"/>
      <c r="WXE468"/>
      <c r="WXF468"/>
      <c r="WXG468"/>
      <c r="WXH468"/>
      <c r="WXI468"/>
      <c r="WXJ468"/>
      <c r="WXK468"/>
      <c r="WXL468"/>
      <c r="WXM468"/>
      <c r="WXN468"/>
      <c r="WXO468"/>
      <c r="WXP468"/>
      <c r="WXQ468"/>
      <c r="WXR468"/>
      <c r="WXS468"/>
      <c r="WXT468"/>
      <c r="WXU468"/>
      <c r="WXV468"/>
      <c r="WXW468"/>
      <c r="WXX468"/>
      <c r="WXY468"/>
      <c r="WXZ468"/>
      <c r="WYA468"/>
      <c r="WYB468"/>
      <c r="WYC468"/>
      <c r="WYD468"/>
      <c r="WYE468"/>
      <c r="WYF468"/>
      <c r="WYG468"/>
      <c r="WYH468"/>
      <c r="WYI468"/>
      <c r="WYJ468"/>
      <c r="WYK468"/>
      <c r="WYL468"/>
      <c r="WYM468"/>
      <c r="WYN468"/>
      <c r="WYO468"/>
      <c r="WYP468"/>
      <c r="WYQ468"/>
      <c r="WYR468"/>
      <c r="WYS468"/>
      <c r="WYT468"/>
      <c r="WYU468"/>
      <c r="WYV468"/>
      <c r="WYW468"/>
      <c r="WYX468"/>
      <c r="WYY468"/>
      <c r="WYZ468"/>
      <c r="WZA468"/>
      <c r="WZB468"/>
      <c r="WZC468"/>
      <c r="WZD468"/>
      <c r="WZE468"/>
      <c r="WZF468"/>
      <c r="WZG468"/>
      <c r="WZH468"/>
      <c r="WZI468"/>
      <c r="WZJ468"/>
      <c r="WZK468"/>
      <c r="WZL468"/>
      <c r="WZM468"/>
      <c r="WZN468"/>
      <c r="WZO468"/>
      <c r="WZP468"/>
      <c r="WZQ468"/>
      <c r="WZR468"/>
      <c r="WZS468"/>
      <c r="WZT468"/>
      <c r="WZU468"/>
      <c r="WZV468"/>
      <c r="WZW468"/>
      <c r="WZX468"/>
      <c r="WZY468"/>
      <c r="WZZ468"/>
      <c r="XAA468"/>
      <c r="XAB468"/>
      <c r="XAC468"/>
      <c r="XAD468"/>
      <c r="XAE468"/>
      <c r="XAF468"/>
      <c r="XAG468"/>
      <c r="XAH468"/>
      <c r="XAI468"/>
      <c r="XAJ468"/>
      <c r="XAK468"/>
      <c r="XAL468"/>
      <c r="XAM468"/>
      <c r="XAN468"/>
      <c r="XAO468"/>
      <c r="XAP468"/>
      <c r="XAQ468"/>
      <c r="XAR468"/>
      <c r="XAS468"/>
      <c r="XAT468"/>
      <c r="XAU468"/>
      <c r="XAV468"/>
      <c r="XAW468"/>
      <c r="XAX468"/>
      <c r="XAY468"/>
      <c r="XAZ468"/>
      <c r="XBA468"/>
      <c r="XBB468"/>
      <c r="XBC468"/>
      <c r="XBD468"/>
      <c r="XBE468"/>
      <c r="XBF468"/>
      <c r="XBG468"/>
      <c r="XBH468"/>
      <c r="XBI468"/>
      <c r="XBJ468"/>
      <c r="XBK468"/>
      <c r="XBL468"/>
      <c r="XBM468"/>
      <c r="XBN468"/>
      <c r="XBO468"/>
      <c r="XBP468"/>
      <c r="XBQ468"/>
      <c r="XBR468"/>
      <c r="XBS468"/>
      <c r="XBT468"/>
      <c r="XBU468"/>
      <c r="XBV468"/>
      <c r="XBW468"/>
      <c r="XBX468"/>
      <c r="XBY468"/>
      <c r="XBZ468"/>
      <c r="XCA468"/>
      <c r="XCB468"/>
      <c r="XCC468"/>
      <c r="XCD468"/>
      <c r="XCE468"/>
      <c r="XCF468"/>
      <c r="XCG468"/>
      <c r="XCH468"/>
      <c r="XCI468"/>
      <c r="XCJ468"/>
      <c r="XCK468"/>
      <c r="XCL468"/>
      <c r="XCM468"/>
      <c r="XCN468"/>
      <c r="XCO468"/>
      <c r="XCP468"/>
      <c r="XCQ468"/>
      <c r="XCR468"/>
      <c r="XCS468"/>
      <c r="XCT468"/>
      <c r="XCU468"/>
      <c r="XCV468"/>
      <c r="XCW468"/>
      <c r="XCX468"/>
      <c r="XCY468"/>
      <c r="XCZ468"/>
      <c r="XDA468"/>
      <c r="XDB468"/>
      <c r="XDC468"/>
      <c r="XDD468"/>
      <c r="XDE468"/>
      <c r="XDF468"/>
      <c r="XDG468"/>
      <c r="XDH468"/>
      <c r="XDI468"/>
      <c r="XDJ468"/>
      <c r="XDK468"/>
      <c r="XDL468"/>
      <c r="XDM468"/>
      <c r="XDN468"/>
      <c r="XDO468"/>
      <c r="XDP468"/>
      <c r="XDQ468"/>
      <c r="XDR468"/>
      <c r="XDS468"/>
      <c r="XDT468"/>
      <c r="XDU468"/>
      <c r="XDV468"/>
      <c r="XDW468"/>
      <c r="XDX468"/>
      <c r="XDY468"/>
      <c r="XDZ468"/>
      <c r="XEA468"/>
      <c r="XEB468"/>
      <c r="XEC468"/>
      <c r="XED468"/>
      <c r="XEE468"/>
      <c r="XEF468"/>
      <c r="XEG468"/>
      <c r="XEH468"/>
      <c r="XEI468"/>
      <c r="XEJ468"/>
      <c r="XEK468"/>
      <c r="XEL468"/>
      <c r="XEM468"/>
      <c r="XEN468"/>
      <c r="XEO468"/>
      <c r="XEP468"/>
      <c r="XEQ468"/>
      <c r="XER468"/>
      <c r="XES468"/>
      <c r="XET468"/>
      <c r="XEU468"/>
      <c r="XEV468"/>
      <c r="XEW468"/>
      <c r="XEX468"/>
      <c r="XEY468"/>
      <c r="XEZ468"/>
      <c r="XFA468"/>
      <c r="XFB468"/>
      <c r="XFC468"/>
      <c r="XFD468"/>
    </row>
    <row r="469" spans="1:16384" s="46" customFormat="1" ht="15" customHeight="1">
      <c r="A469" s="46" t="s">
        <v>7815</v>
      </c>
      <c r="B469" s="46" t="str">
        <f t="shared" ca="1" si="6"/>
        <v>Branch Of Salary Account (Brazil)</v>
      </c>
      <c r="D469" s="46" t="s">
        <v>7815</v>
      </c>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c r="TI469"/>
      <c r="TJ469"/>
      <c r="TK469"/>
      <c r="TL469"/>
      <c r="TM469"/>
      <c r="TN469"/>
      <c r="TO469"/>
      <c r="TP469"/>
      <c r="TQ469"/>
      <c r="TR469"/>
      <c r="TS469"/>
      <c r="TT469"/>
      <c r="TU469"/>
      <c r="TV469"/>
      <c r="TW469"/>
      <c r="TX469"/>
      <c r="TY469"/>
      <c r="TZ469"/>
      <c r="UA469"/>
      <c r="UB469"/>
      <c r="UC469"/>
      <c r="UD469"/>
      <c r="UE469"/>
      <c r="UF469"/>
      <c r="UG469"/>
      <c r="UH469"/>
      <c r="UI469"/>
      <c r="UJ469"/>
      <c r="UK469"/>
      <c r="UL469"/>
      <c r="UM469"/>
      <c r="UN469"/>
      <c r="UO469"/>
      <c r="UP469"/>
      <c r="UQ469"/>
      <c r="UR469"/>
      <c r="US469"/>
      <c r="UT469"/>
      <c r="UU469"/>
      <c r="UV469"/>
      <c r="UW469"/>
      <c r="UX469"/>
      <c r="UY469"/>
      <c r="UZ469"/>
      <c r="VA469"/>
      <c r="VB469"/>
      <c r="VC469"/>
      <c r="VD469"/>
      <c r="VE469"/>
      <c r="VF469"/>
      <c r="VG469"/>
      <c r="VH469"/>
      <c r="VI469"/>
      <c r="VJ469"/>
      <c r="VK469"/>
      <c r="VL469"/>
      <c r="VM469"/>
      <c r="VN469"/>
      <c r="VO469"/>
      <c r="VP469"/>
      <c r="VQ469"/>
      <c r="VR469"/>
      <c r="VS469"/>
      <c r="VT469"/>
      <c r="VU469"/>
      <c r="VV469"/>
      <c r="VW469"/>
      <c r="VX469"/>
      <c r="VY469"/>
      <c r="VZ469"/>
      <c r="WA469"/>
      <c r="WB469"/>
      <c r="WC469"/>
      <c r="WD469"/>
      <c r="WE469"/>
      <c r="WF469"/>
      <c r="WG469"/>
      <c r="WH469"/>
      <c r="WI469"/>
      <c r="WJ469"/>
      <c r="WK469"/>
      <c r="WL469"/>
      <c r="WM469"/>
      <c r="WN469"/>
      <c r="WO469"/>
      <c r="WP469"/>
      <c r="WQ469"/>
      <c r="WR469"/>
      <c r="WS469"/>
      <c r="WT469"/>
      <c r="WU469"/>
      <c r="WV469"/>
      <c r="WW469"/>
      <c r="WX469"/>
      <c r="WY469"/>
      <c r="WZ469"/>
      <c r="XA469"/>
      <c r="XB469"/>
      <c r="XC469"/>
      <c r="XD469"/>
      <c r="XE469"/>
      <c r="XF469"/>
      <c r="XG469"/>
      <c r="XH469"/>
      <c r="XI469"/>
      <c r="XJ469"/>
      <c r="XK469"/>
      <c r="XL469"/>
      <c r="XM469"/>
      <c r="XN469"/>
      <c r="XO469"/>
      <c r="XP469"/>
      <c r="XQ469"/>
      <c r="XR469"/>
      <c r="XS469"/>
      <c r="XT469"/>
      <c r="XU469"/>
      <c r="XV469"/>
      <c r="XW469"/>
      <c r="XX469"/>
      <c r="XY469"/>
      <c r="XZ469"/>
      <c r="YA469"/>
      <c r="YB469"/>
      <c r="YC469"/>
      <c r="YD469"/>
      <c r="YE469"/>
      <c r="YF469"/>
      <c r="YG469"/>
      <c r="YH469"/>
      <c r="YI469"/>
      <c r="YJ469"/>
      <c r="YK469"/>
      <c r="YL469"/>
      <c r="YM469"/>
      <c r="YN469"/>
      <c r="YO469"/>
      <c r="YP469"/>
      <c r="YQ469"/>
      <c r="YR469"/>
      <c r="YS469"/>
      <c r="YT469"/>
      <c r="YU469"/>
      <c r="YV469"/>
      <c r="YW469"/>
      <c r="YX469"/>
      <c r="YY469"/>
      <c r="YZ469"/>
      <c r="ZA469"/>
      <c r="ZB469"/>
      <c r="ZC469"/>
      <c r="ZD469"/>
      <c r="ZE469"/>
      <c r="ZF469"/>
      <c r="ZG469"/>
      <c r="ZH469"/>
      <c r="ZI469"/>
      <c r="ZJ469"/>
      <c r="ZK469"/>
      <c r="ZL469"/>
      <c r="ZM469"/>
      <c r="ZN469"/>
      <c r="ZO469"/>
      <c r="ZP469"/>
      <c r="ZQ469"/>
      <c r="ZR469"/>
      <c r="ZS469"/>
      <c r="ZT469"/>
      <c r="ZU469"/>
      <c r="ZV469"/>
      <c r="ZW469"/>
      <c r="ZX469"/>
      <c r="ZY469"/>
      <c r="ZZ469"/>
      <c r="AAA469"/>
      <c r="AAB469"/>
      <c r="AAC469"/>
      <c r="AAD469"/>
      <c r="AAE469"/>
      <c r="AAF469"/>
      <c r="AAG469"/>
      <c r="AAH469"/>
      <c r="AAI469"/>
      <c r="AAJ469"/>
      <c r="AAK469"/>
      <c r="AAL469"/>
      <c r="AAM469"/>
      <c r="AAN469"/>
      <c r="AAO469"/>
      <c r="AAP469"/>
      <c r="AAQ469"/>
      <c r="AAR469"/>
      <c r="AAS469"/>
      <c r="AAT469"/>
      <c r="AAU469"/>
      <c r="AAV469"/>
      <c r="AAW469"/>
      <c r="AAX469"/>
      <c r="AAY469"/>
      <c r="AAZ469"/>
      <c r="ABA469"/>
      <c r="ABB469"/>
      <c r="ABC469"/>
      <c r="ABD469"/>
      <c r="ABE469"/>
      <c r="ABF469"/>
      <c r="ABG469"/>
      <c r="ABH469"/>
      <c r="ABI469"/>
      <c r="ABJ469"/>
      <c r="ABK469"/>
      <c r="ABL469"/>
      <c r="ABM469"/>
      <c r="ABN469"/>
      <c r="ABO469"/>
      <c r="ABP469"/>
      <c r="ABQ469"/>
      <c r="ABR469"/>
      <c r="ABS469"/>
      <c r="ABT469"/>
      <c r="ABU469"/>
      <c r="ABV469"/>
      <c r="ABW469"/>
      <c r="ABX469"/>
      <c r="ABY469"/>
      <c r="ABZ469"/>
      <c r="ACA469"/>
      <c r="ACB469"/>
      <c r="ACC469"/>
      <c r="ACD469"/>
      <c r="ACE469"/>
      <c r="ACF469"/>
      <c r="ACG469"/>
      <c r="ACH469"/>
      <c r="ACI469"/>
      <c r="ACJ469"/>
      <c r="ACK469"/>
      <c r="ACL469"/>
      <c r="ACM469"/>
      <c r="ACN469"/>
      <c r="ACO469"/>
      <c r="ACP469"/>
      <c r="ACQ469"/>
      <c r="ACR469"/>
      <c r="ACS469"/>
      <c r="ACT469"/>
      <c r="ACU469"/>
      <c r="ACV469"/>
      <c r="ACW469"/>
      <c r="ACX469"/>
      <c r="ACY469"/>
      <c r="ACZ469"/>
      <c r="ADA469"/>
      <c r="ADB469"/>
      <c r="ADC469"/>
      <c r="ADD469"/>
      <c r="ADE469"/>
      <c r="ADF469"/>
      <c r="ADG469"/>
      <c r="ADH469"/>
      <c r="ADI469"/>
      <c r="ADJ469"/>
      <c r="ADK469"/>
      <c r="ADL469"/>
      <c r="ADM469"/>
      <c r="ADN469"/>
      <c r="ADO469"/>
      <c r="ADP469"/>
      <c r="ADQ469"/>
      <c r="ADR469"/>
      <c r="ADS469"/>
      <c r="ADT469"/>
      <c r="ADU469"/>
      <c r="ADV469"/>
      <c r="ADW469"/>
      <c r="ADX469"/>
      <c r="ADY469"/>
      <c r="ADZ469"/>
      <c r="AEA469"/>
      <c r="AEB469"/>
      <c r="AEC469"/>
      <c r="AED469"/>
      <c r="AEE469"/>
      <c r="AEF469"/>
      <c r="AEG469"/>
      <c r="AEH469"/>
      <c r="AEI469"/>
      <c r="AEJ469"/>
      <c r="AEK469"/>
      <c r="AEL469"/>
      <c r="AEM469"/>
      <c r="AEN469"/>
      <c r="AEO469"/>
      <c r="AEP469"/>
      <c r="AEQ469"/>
      <c r="AER469"/>
      <c r="AES469"/>
      <c r="AET469"/>
      <c r="AEU469"/>
      <c r="AEV469"/>
      <c r="AEW469"/>
      <c r="AEX469"/>
      <c r="AEY469"/>
      <c r="AEZ469"/>
      <c r="AFA469"/>
      <c r="AFB469"/>
      <c r="AFC469"/>
      <c r="AFD469"/>
      <c r="AFE469"/>
      <c r="AFF469"/>
      <c r="AFG469"/>
      <c r="AFH469"/>
      <c r="AFI469"/>
      <c r="AFJ469"/>
      <c r="AFK469"/>
      <c r="AFL469"/>
      <c r="AFM469"/>
      <c r="AFN469"/>
      <c r="AFO469"/>
      <c r="AFP469"/>
      <c r="AFQ469"/>
      <c r="AFR469"/>
      <c r="AFS469"/>
      <c r="AFT469"/>
      <c r="AFU469"/>
      <c r="AFV469"/>
      <c r="AFW469"/>
      <c r="AFX469"/>
      <c r="AFY469"/>
      <c r="AFZ469"/>
      <c r="AGA469"/>
      <c r="AGB469"/>
      <c r="AGC469"/>
      <c r="AGD469"/>
      <c r="AGE469"/>
      <c r="AGF469"/>
      <c r="AGG469"/>
      <c r="AGH469"/>
      <c r="AGI469"/>
      <c r="AGJ469"/>
      <c r="AGK469"/>
      <c r="AGL469"/>
      <c r="AGM469"/>
      <c r="AGN469"/>
      <c r="AGO469"/>
      <c r="AGP469"/>
      <c r="AGQ469"/>
      <c r="AGR469"/>
      <c r="AGS469"/>
      <c r="AGT469"/>
      <c r="AGU469"/>
      <c r="AGV469"/>
      <c r="AGW469"/>
      <c r="AGX469"/>
      <c r="AGY469"/>
      <c r="AGZ469"/>
      <c r="AHA469"/>
      <c r="AHB469"/>
      <c r="AHC469"/>
      <c r="AHD469"/>
      <c r="AHE469"/>
      <c r="AHF469"/>
      <c r="AHG469"/>
      <c r="AHH469"/>
      <c r="AHI469"/>
      <c r="AHJ469"/>
      <c r="AHK469"/>
      <c r="AHL469"/>
      <c r="AHM469"/>
      <c r="AHN469"/>
      <c r="AHO469"/>
      <c r="AHP469"/>
      <c r="AHQ469"/>
      <c r="AHR469"/>
      <c r="AHS469"/>
      <c r="AHT469"/>
      <c r="AHU469"/>
      <c r="AHV469"/>
      <c r="AHW469"/>
      <c r="AHX469"/>
      <c r="AHY469"/>
      <c r="AHZ469"/>
      <c r="AIA469"/>
      <c r="AIB469"/>
      <c r="AIC469"/>
      <c r="AID469"/>
      <c r="AIE469"/>
      <c r="AIF469"/>
      <c r="AIG469"/>
      <c r="AIH469"/>
      <c r="AII469"/>
      <c r="AIJ469"/>
      <c r="AIK469"/>
      <c r="AIL469"/>
      <c r="AIM469"/>
      <c r="AIN469"/>
      <c r="AIO469"/>
      <c r="AIP469"/>
      <c r="AIQ469"/>
      <c r="AIR469"/>
      <c r="AIS469"/>
      <c r="AIT469"/>
      <c r="AIU469"/>
      <c r="AIV469"/>
      <c r="AIW469"/>
      <c r="AIX469"/>
      <c r="AIY469"/>
      <c r="AIZ469"/>
      <c r="AJA469"/>
      <c r="AJB469"/>
      <c r="AJC469"/>
      <c r="AJD469"/>
      <c r="AJE469"/>
      <c r="AJF469"/>
      <c r="AJG469"/>
      <c r="AJH469"/>
      <c r="AJI469"/>
      <c r="AJJ469"/>
      <c r="AJK469"/>
      <c r="AJL469"/>
      <c r="AJM469"/>
      <c r="AJN469"/>
      <c r="AJO469"/>
      <c r="AJP469"/>
      <c r="AJQ469"/>
      <c r="AJR469"/>
      <c r="AJS469"/>
      <c r="AJT469"/>
      <c r="AJU469"/>
      <c r="AJV469"/>
      <c r="AJW469"/>
      <c r="AJX469"/>
      <c r="AJY469"/>
      <c r="AJZ469"/>
      <c r="AKA469"/>
      <c r="AKB469"/>
      <c r="AKC469"/>
      <c r="AKD469"/>
      <c r="AKE469"/>
      <c r="AKF469"/>
      <c r="AKG469"/>
      <c r="AKH469"/>
      <c r="AKI469"/>
      <c r="AKJ469"/>
      <c r="AKK469"/>
      <c r="AKL469"/>
      <c r="AKM469"/>
      <c r="AKN469"/>
      <c r="AKO469"/>
      <c r="AKP469"/>
      <c r="AKQ469"/>
      <c r="AKR469"/>
      <c r="AKS469"/>
      <c r="AKT469"/>
      <c r="AKU469"/>
      <c r="AKV469"/>
      <c r="AKW469"/>
      <c r="AKX469"/>
      <c r="AKY469"/>
      <c r="AKZ469"/>
      <c r="ALA469"/>
      <c r="ALB469"/>
      <c r="ALC469"/>
      <c r="ALD469"/>
      <c r="ALE469"/>
      <c r="ALF469"/>
      <c r="ALG469"/>
      <c r="ALH469"/>
      <c r="ALI469"/>
      <c r="ALJ469"/>
      <c r="ALK469"/>
      <c r="ALL469"/>
      <c r="ALM469"/>
      <c r="ALN469"/>
      <c r="ALO469"/>
      <c r="ALP469"/>
      <c r="ALQ469"/>
      <c r="ALR469"/>
      <c r="ALS469"/>
      <c r="ALT469"/>
      <c r="ALU469"/>
      <c r="ALV469"/>
      <c r="ALW469"/>
      <c r="ALX469"/>
      <c r="ALY469"/>
      <c r="ALZ469"/>
      <c r="AMA469"/>
      <c r="AMB469"/>
      <c r="AMC469"/>
      <c r="AMD469"/>
      <c r="AME469"/>
      <c r="AMF469"/>
      <c r="AMG469"/>
      <c r="AMH469"/>
      <c r="AMI469"/>
      <c r="AMJ469"/>
      <c r="AMK469"/>
      <c r="AML469"/>
      <c r="AMM469"/>
      <c r="AMN469"/>
      <c r="AMO469"/>
      <c r="AMP469"/>
      <c r="AMQ469"/>
      <c r="AMR469"/>
      <c r="AMS469"/>
      <c r="AMT469"/>
      <c r="AMU469"/>
      <c r="AMV469"/>
      <c r="AMW469"/>
      <c r="AMX469"/>
      <c r="AMY469"/>
      <c r="AMZ469"/>
      <c r="ANA469"/>
      <c r="ANB469"/>
      <c r="ANC469"/>
      <c r="AND469"/>
      <c r="ANE469"/>
      <c r="ANF469"/>
      <c r="ANG469"/>
      <c r="ANH469"/>
      <c r="ANI469"/>
      <c r="ANJ469"/>
      <c r="ANK469"/>
      <c r="ANL469"/>
      <c r="ANM469"/>
      <c r="ANN469"/>
      <c r="ANO469"/>
      <c r="ANP469"/>
      <c r="ANQ469"/>
      <c r="ANR469"/>
      <c r="ANS469"/>
      <c r="ANT469"/>
      <c r="ANU469"/>
      <c r="ANV469"/>
      <c r="ANW469"/>
      <c r="ANX469"/>
      <c r="ANY469"/>
      <c r="ANZ469"/>
      <c r="AOA469"/>
      <c r="AOB469"/>
      <c r="AOC469"/>
      <c r="AOD469"/>
      <c r="AOE469"/>
      <c r="AOF469"/>
      <c r="AOG469"/>
      <c r="AOH469"/>
      <c r="AOI469"/>
      <c r="AOJ469"/>
      <c r="AOK469"/>
      <c r="AOL469"/>
      <c r="AOM469"/>
      <c r="AON469"/>
      <c r="AOO469"/>
      <c r="AOP469"/>
      <c r="AOQ469"/>
      <c r="AOR469"/>
      <c r="AOS469"/>
      <c r="AOT469"/>
      <c r="AOU469"/>
      <c r="AOV469"/>
      <c r="AOW469"/>
      <c r="AOX469"/>
      <c r="AOY469"/>
      <c r="AOZ469"/>
      <c r="APA469"/>
      <c r="APB469"/>
      <c r="APC469"/>
      <c r="APD469"/>
      <c r="APE469"/>
      <c r="APF469"/>
      <c r="APG469"/>
      <c r="APH469"/>
      <c r="API469"/>
      <c r="APJ469"/>
      <c r="APK469"/>
      <c r="APL469"/>
      <c r="APM469"/>
      <c r="APN469"/>
      <c r="APO469"/>
      <c r="APP469"/>
      <c r="APQ469"/>
      <c r="APR469"/>
      <c r="APS469"/>
      <c r="APT469"/>
      <c r="APU469"/>
      <c r="APV469"/>
      <c r="APW469"/>
      <c r="APX469"/>
      <c r="APY469"/>
      <c r="APZ469"/>
      <c r="AQA469"/>
      <c r="AQB469"/>
      <c r="AQC469"/>
      <c r="AQD469"/>
      <c r="AQE469"/>
      <c r="AQF469"/>
      <c r="AQG469"/>
      <c r="AQH469"/>
      <c r="AQI469"/>
      <c r="AQJ469"/>
      <c r="AQK469"/>
      <c r="AQL469"/>
      <c r="AQM469"/>
      <c r="AQN469"/>
      <c r="AQO469"/>
      <c r="AQP469"/>
      <c r="AQQ469"/>
      <c r="AQR469"/>
      <c r="AQS469"/>
      <c r="AQT469"/>
      <c r="AQU469"/>
      <c r="AQV469"/>
      <c r="AQW469"/>
      <c r="AQX469"/>
      <c r="AQY469"/>
      <c r="AQZ469"/>
      <c r="ARA469"/>
      <c r="ARB469"/>
      <c r="ARC469"/>
      <c r="ARD469"/>
      <c r="ARE469"/>
      <c r="ARF469"/>
      <c r="ARG469"/>
      <c r="ARH469"/>
      <c r="ARI469"/>
      <c r="ARJ469"/>
      <c r="ARK469"/>
      <c r="ARL469"/>
      <c r="ARM469"/>
      <c r="ARN469"/>
      <c r="ARO469"/>
      <c r="ARP469"/>
      <c r="ARQ469"/>
      <c r="ARR469"/>
      <c r="ARS469"/>
      <c r="ART469"/>
      <c r="ARU469"/>
      <c r="ARV469"/>
      <c r="ARW469"/>
      <c r="ARX469"/>
      <c r="ARY469"/>
      <c r="ARZ469"/>
      <c r="ASA469"/>
      <c r="ASB469"/>
      <c r="ASC469"/>
      <c r="ASD469"/>
      <c r="ASE469"/>
      <c r="ASF469"/>
      <c r="ASG469"/>
      <c r="ASH469"/>
      <c r="ASI469"/>
      <c r="ASJ469"/>
      <c r="ASK469"/>
      <c r="ASL469"/>
      <c r="ASM469"/>
      <c r="ASN469"/>
      <c r="ASO469"/>
      <c r="ASP469"/>
      <c r="ASQ469"/>
      <c r="ASR469"/>
      <c r="ASS469"/>
      <c r="AST469"/>
      <c r="ASU469"/>
      <c r="ASV469"/>
      <c r="ASW469"/>
      <c r="ASX469"/>
      <c r="ASY469"/>
      <c r="ASZ469"/>
      <c r="ATA469"/>
      <c r="ATB469"/>
      <c r="ATC469"/>
      <c r="ATD469"/>
      <c r="ATE469"/>
      <c r="ATF469"/>
      <c r="ATG469"/>
      <c r="ATH469"/>
      <c r="ATI469"/>
      <c r="ATJ469"/>
      <c r="ATK469"/>
      <c r="ATL469"/>
      <c r="ATM469"/>
      <c r="ATN469"/>
      <c r="ATO469"/>
      <c r="ATP469"/>
      <c r="ATQ469"/>
      <c r="ATR469"/>
      <c r="ATS469"/>
      <c r="ATT469"/>
      <c r="ATU469"/>
      <c r="ATV469"/>
      <c r="ATW469"/>
      <c r="ATX469"/>
      <c r="ATY469"/>
      <c r="ATZ469"/>
      <c r="AUA469"/>
      <c r="AUB469"/>
      <c r="AUC469"/>
      <c r="AUD469"/>
      <c r="AUE469"/>
      <c r="AUF469"/>
      <c r="AUG469"/>
      <c r="AUH469"/>
      <c r="AUI469"/>
      <c r="AUJ469"/>
      <c r="AUK469"/>
      <c r="AUL469"/>
      <c r="AUM469"/>
      <c r="AUN469"/>
      <c r="AUO469"/>
      <c r="AUP469"/>
      <c r="AUQ469"/>
      <c r="AUR469"/>
      <c r="AUS469"/>
      <c r="AUT469"/>
      <c r="AUU469"/>
      <c r="AUV469"/>
      <c r="AUW469"/>
      <c r="AUX469"/>
      <c r="AUY469"/>
      <c r="AUZ469"/>
      <c r="AVA469"/>
      <c r="AVB469"/>
      <c r="AVC469"/>
      <c r="AVD469"/>
      <c r="AVE469"/>
      <c r="AVF469"/>
      <c r="AVG469"/>
      <c r="AVH469"/>
      <c r="AVI469"/>
      <c r="AVJ469"/>
      <c r="AVK469"/>
      <c r="AVL469"/>
      <c r="AVM469"/>
      <c r="AVN469"/>
      <c r="AVO469"/>
      <c r="AVP469"/>
      <c r="AVQ469"/>
      <c r="AVR469"/>
      <c r="AVS469"/>
      <c r="AVT469"/>
      <c r="AVU469"/>
      <c r="AVV469"/>
      <c r="AVW469"/>
      <c r="AVX469"/>
      <c r="AVY469"/>
      <c r="AVZ469"/>
      <c r="AWA469"/>
      <c r="AWB469"/>
      <c r="AWC469"/>
      <c r="AWD469"/>
      <c r="AWE469"/>
      <c r="AWF469"/>
      <c r="AWG469"/>
      <c r="AWH469"/>
      <c r="AWI469"/>
      <c r="AWJ469"/>
      <c r="AWK469"/>
      <c r="AWL469"/>
      <c r="AWM469"/>
      <c r="AWN469"/>
      <c r="AWO469"/>
      <c r="AWP469"/>
      <c r="AWQ469"/>
      <c r="AWR469"/>
      <c r="AWS469"/>
      <c r="AWT469"/>
      <c r="AWU469"/>
      <c r="AWV469"/>
      <c r="AWW469"/>
      <c r="AWX469"/>
      <c r="AWY469"/>
      <c r="AWZ469"/>
      <c r="AXA469"/>
      <c r="AXB469"/>
      <c r="AXC469"/>
      <c r="AXD469"/>
      <c r="AXE469"/>
      <c r="AXF469"/>
      <c r="AXG469"/>
      <c r="AXH469"/>
      <c r="AXI469"/>
      <c r="AXJ469"/>
      <c r="AXK469"/>
      <c r="AXL469"/>
      <c r="AXM469"/>
      <c r="AXN469"/>
      <c r="AXO469"/>
      <c r="AXP469"/>
      <c r="AXQ469"/>
      <c r="AXR469"/>
      <c r="AXS469"/>
      <c r="AXT469"/>
      <c r="AXU469"/>
      <c r="AXV469"/>
      <c r="AXW469"/>
      <c r="AXX469"/>
      <c r="AXY469"/>
      <c r="AXZ469"/>
      <c r="AYA469"/>
      <c r="AYB469"/>
      <c r="AYC469"/>
      <c r="AYD469"/>
      <c r="AYE469"/>
      <c r="AYF469"/>
      <c r="AYG469"/>
      <c r="AYH469"/>
      <c r="AYI469"/>
      <c r="AYJ469"/>
      <c r="AYK469"/>
      <c r="AYL469"/>
      <c r="AYM469"/>
      <c r="AYN469"/>
      <c r="AYO469"/>
      <c r="AYP469"/>
      <c r="AYQ469"/>
      <c r="AYR469"/>
      <c r="AYS469"/>
      <c r="AYT469"/>
      <c r="AYU469"/>
      <c r="AYV469"/>
      <c r="AYW469"/>
      <c r="AYX469"/>
      <c r="AYY469"/>
      <c r="AYZ469"/>
      <c r="AZA469"/>
      <c r="AZB469"/>
      <c r="AZC469"/>
      <c r="AZD469"/>
      <c r="AZE469"/>
      <c r="AZF469"/>
      <c r="AZG469"/>
      <c r="AZH469"/>
      <c r="AZI469"/>
      <c r="AZJ469"/>
      <c r="AZK469"/>
      <c r="AZL469"/>
      <c r="AZM469"/>
      <c r="AZN469"/>
      <c r="AZO469"/>
      <c r="AZP469"/>
      <c r="AZQ469"/>
      <c r="AZR469"/>
      <c r="AZS469"/>
      <c r="AZT469"/>
      <c r="AZU469"/>
      <c r="AZV469"/>
      <c r="AZW469"/>
      <c r="AZX469"/>
      <c r="AZY469"/>
      <c r="AZZ469"/>
      <c r="BAA469"/>
      <c r="BAB469"/>
      <c r="BAC469"/>
      <c r="BAD469"/>
      <c r="BAE469"/>
      <c r="BAF469"/>
      <c r="BAG469"/>
      <c r="BAH469"/>
      <c r="BAI469"/>
      <c r="BAJ469"/>
      <c r="BAK469"/>
      <c r="BAL469"/>
      <c r="BAM469"/>
      <c r="BAN469"/>
      <c r="BAO469"/>
      <c r="BAP469"/>
      <c r="BAQ469"/>
      <c r="BAR469"/>
      <c r="BAS469"/>
      <c r="BAT469"/>
      <c r="BAU469"/>
      <c r="BAV469"/>
      <c r="BAW469"/>
      <c r="BAX469"/>
      <c r="BAY469"/>
      <c r="BAZ469"/>
      <c r="BBA469"/>
      <c r="BBB469"/>
      <c r="BBC469"/>
      <c r="BBD469"/>
      <c r="BBE469"/>
      <c r="BBF469"/>
      <c r="BBG469"/>
      <c r="BBH469"/>
      <c r="BBI469"/>
      <c r="BBJ469"/>
      <c r="BBK469"/>
      <c r="BBL469"/>
      <c r="BBM469"/>
      <c r="BBN469"/>
      <c r="BBO469"/>
      <c r="BBP469"/>
      <c r="BBQ469"/>
      <c r="BBR469"/>
      <c r="BBS469"/>
      <c r="BBT469"/>
      <c r="BBU469"/>
      <c r="BBV469"/>
      <c r="BBW469"/>
      <c r="BBX469"/>
      <c r="BBY469"/>
      <c r="BBZ469"/>
      <c r="BCA469"/>
      <c r="BCB469"/>
      <c r="BCC469"/>
      <c r="BCD469"/>
      <c r="BCE469"/>
      <c r="BCF469"/>
      <c r="BCG469"/>
      <c r="BCH469"/>
      <c r="BCI469"/>
      <c r="BCJ469"/>
      <c r="BCK469"/>
      <c r="BCL469"/>
      <c r="BCM469"/>
      <c r="BCN469"/>
      <c r="BCO469"/>
      <c r="BCP469"/>
      <c r="BCQ469"/>
      <c r="BCR469"/>
      <c r="BCS469"/>
      <c r="BCT469"/>
      <c r="BCU469"/>
      <c r="BCV469"/>
      <c r="BCW469"/>
      <c r="BCX469"/>
      <c r="BCY469"/>
      <c r="BCZ469"/>
      <c r="BDA469"/>
      <c r="BDB469"/>
      <c r="BDC469"/>
      <c r="BDD469"/>
      <c r="BDE469"/>
      <c r="BDF469"/>
      <c r="BDG469"/>
      <c r="BDH469"/>
      <c r="BDI469"/>
      <c r="BDJ469"/>
      <c r="BDK469"/>
      <c r="BDL469"/>
      <c r="BDM469"/>
      <c r="BDN469"/>
      <c r="BDO469"/>
      <c r="BDP469"/>
      <c r="BDQ469"/>
      <c r="BDR469"/>
      <c r="BDS469"/>
      <c r="BDT469"/>
      <c r="BDU469"/>
      <c r="BDV469"/>
      <c r="BDW469"/>
      <c r="BDX469"/>
      <c r="BDY469"/>
      <c r="BDZ469"/>
      <c r="BEA469"/>
      <c r="BEB469"/>
      <c r="BEC469"/>
      <c r="BED469"/>
      <c r="BEE469"/>
      <c r="BEF469"/>
      <c r="BEG469"/>
      <c r="BEH469"/>
      <c r="BEI469"/>
      <c r="BEJ469"/>
      <c r="BEK469"/>
      <c r="BEL469"/>
      <c r="BEM469"/>
      <c r="BEN469"/>
      <c r="BEO469"/>
      <c r="BEP469"/>
      <c r="BEQ469"/>
      <c r="BER469"/>
      <c r="BES469"/>
      <c r="BET469"/>
      <c r="BEU469"/>
      <c r="BEV469"/>
      <c r="BEW469"/>
      <c r="BEX469"/>
      <c r="BEY469"/>
      <c r="BEZ469"/>
      <c r="BFA469"/>
      <c r="BFB469"/>
      <c r="BFC469"/>
      <c r="BFD469"/>
      <c r="BFE469"/>
      <c r="BFF469"/>
      <c r="BFG469"/>
      <c r="BFH469"/>
      <c r="BFI469"/>
      <c r="BFJ469"/>
      <c r="BFK469"/>
      <c r="BFL469"/>
      <c r="BFM469"/>
      <c r="BFN469"/>
      <c r="BFO469"/>
      <c r="BFP469"/>
      <c r="BFQ469"/>
      <c r="BFR469"/>
      <c r="BFS469"/>
      <c r="BFT469"/>
      <c r="BFU469"/>
      <c r="BFV469"/>
      <c r="BFW469"/>
      <c r="BFX469"/>
      <c r="BFY469"/>
      <c r="BFZ469"/>
      <c r="BGA469"/>
      <c r="BGB469"/>
      <c r="BGC469"/>
      <c r="BGD469"/>
      <c r="BGE469"/>
      <c r="BGF469"/>
      <c r="BGG469"/>
      <c r="BGH469"/>
      <c r="BGI469"/>
      <c r="BGJ469"/>
      <c r="BGK469"/>
      <c r="BGL469"/>
      <c r="BGM469"/>
      <c r="BGN469"/>
      <c r="BGO469"/>
      <c r="BGP469"/>
      <c r="BGQ469"/>
      <c r="BGR469"/>
      <c r="BGS469"/>
      <c r="BGT469"/>
      <c r="BGU469"/>
      <c r="BGV469"/>
      <c r="BGW469"/>
      <c r="BGX469"/>
      <c r="BGY469"/>
      <c r="BGZ469"/>
      <c r="BHA469"/>
      <c r="BHB469"/>
      <c r="BHC469"/>
      <c r="BHD469"/>
      <c r="BHE469"/>
      <c r="BHF469"/>
      <c r="BHG469"/>
      <c r="BHH469"/>
      <c r="BHI469"/>
      <c r="BHJ469"/>
      <c r="BHK469"/>
      <c r="BHL469"/>
      <c r="BHM469"/>
      <c r="BHN469"/>
      <c r="BHO469"/>
      <c r="BHP469"/>
      <c r="BHQ469"/>
      <c r="BHR469"/>
      <c r="BHS469"/>
      <c r="BHT469"/>
      <c r="BHU469"/>
      <c r="BHV469"/>
      <c r="BHW469"/>
      <c r="BHX469"/>
      <c r="BHY469"/>
      <c r="BHZ469"/>
      <c r="BIA469"/>
      <c r="BIB469"/>
      <c r="BIC469"/>
      <c r="BID469"/>
      <c r="BIE469"/>
      <c r="BIF469"/>
      <c r="BIG469"/>
      <c r="BIH469"/>
      <c r="BII469"/>
      <c r="BIJ469"/>
      <c r="BIK469"/>
      <c r="BIL469"/>
      <c r="BIM469"/>
      <c r="BIN469"/>
      <c r="BIO469"/>
      <c r="BIP469"/>
      <c r="BIQ469"/>
      <c r="BIR469"/>
      <c r="BIS469"/>
      <c r="BIT469"/>
      <c r="BIU469"/>
      <c r="BIV469"/>
      <c r="BIW469"/>
      <c r="BIX469"/>
      <c r="BIY469"/>
      <c r="BIZ469"/>
      <c r="BJA469"/>
      <c r="BJB469"/>
      <c r="BJC469"/>
      <c r="BJD469"/>
      <c r="BJE469"/>
      <c r="BJF469"/>
      <c r="BJG469"/>
      <c r="BJH469"/>
      <c r="BJI469"/>
      <c r="BJJ469"/>
      <c r="BJK469"/>
      <c r="BJL469"/>
      <c r="BJM469"/>
      <c r="BJN469"/>
      <c r="BJO469"/>
      <c r="BJP469"/>
      <c r="BJQ469"/>
      <c r="BJR469"/>
      <c r="BJS469"/>
      <c r="BJT469"/>
      <c r="BJU469"/>
      <c r="BJV469"/>
      <c r="BJW469"/>
      <c r="BJX469"/>
      <c r="BJY469"/>
      <c r="BJZ469"/>
      <c r="BKA469"/>
      <c r="BKB469"/>
      <c r="BKC469"/>
      <c r="BKD469"/>
      <c r="BKE469"/>
      <c r="BKF469"/>
      <c r="BKG469"/>
      <c r="BKH469"/>
      <c r="BKI469"/>
      <c r="BKJ469"/>
      <c r="BKK469"/>
      <c r="BKL469"/>
      <c r="BKM469"/>
      <c r="BKN469"/>
      <c r="BKO469"/>
      <c r="BKP469"/>
      <c r="BKQ469"/>
      <c r="BKR469"/>
      <c r="BKS469"/>
      <c r="BKT469"/>
      <c r="BKU469"/>
      <c r="BKV469"/>
      <c r="BKW469"/>
      <c r="BKX469"/>
      <c r="BKY469"/>
      <c r="BKZ469"/>
      <c r="BLA469"/>
      <c r="BLB469"/>
      <c r="BLC469"/>
      <c r="BLD469"/>
      <c r="BLE469"/>
      <c r="BLF469"/>
      <c r="BLG469"/>
      <c r="BLH469"/>
      <c r="BLI469"/>
      <c r="BLJ469"/>
      <c r="BLK469"/>
      <c r="BLL469"/>
      <c r="BLM469"/>
      <c r="BLN469"/>
      <c r="BLO469"/>
      <c r="BLP469"/>
      <c r="BLQ469"/>
      <c r="BLR469"/>
      <c r="BLS469"/>
      <c r="BLT469"/>
      <c r="BLU469"/>
      <c r="BLV469"/>
      <c r="BLW469"/>
      <c r="BLX469"/>
      <c r="BLY469"/>
      <c r="BLZ469"/>
      <c r="BMA469"/>
      <c r="BMB469"/>
      <c r="BMC469"/>
      <c r="BMD469"/>
      <c r="BME469"/>
      <c r="BMF469"/>
      <c r="BMG469"/>
      <c r="BMH469"/>
      <c r="BMI469"/>
      <c r="BMJ469"/>
      <c r="BMK469"/>
      <c r="BML469"/>
      <c r="BMM469"/>
      <c r="BMN469"/>
      <c r="BMO469"/>
      <c r="BMP469"/>
      <c r="BMQ469"/>
      <c r="BMR469"/>
      <c r="BMS469"/>
      <c r="BMT469"/>
      <c r="BMU469"/>
      <c r="BMV469"/>
      <c r="BMW469"/>
      <c r="BMX469"/>
      <c r="BMY469"/>
      <c r="BMZ469"/>
      <c r="BNA469"/>
      <c r="BNB469"/>
      <c r="BNC469"/>
      <c r="BND469"/>
      <c r="BNE469"/>
      <c r="BNF469"/>
      <c r="BNG469"/>
      <c r="BNH469"/>
      <c r="BNI469"/>
      <c r="BNJ469"/>
      <c r="BNK469"/>
      <c r="BNL469"/>
      <c r="BNM469"/>
      <c r="BNN469"/>
      <c r="BNO469"/>
      <c r="BNP469"/>
      <c r="BNQ469"/>
      <c r="BNR469"/>
      <c r="BNS469"/>
      <c r="BNT469"/>
      <c r="BNU469"/>
      <c r="BNV469"/>
      <c r="BNW469"/>
      <c r="BNX469"/>
      <c r="BNY469"/>
      <c r="BNZ469"/>
      <c r="BOA469"/>
      <c r="BOB469"/>
      <c r="BOC469"/>
      <c r="BOD469"/>
      <c r="BOE469"/>
      <c r="BOF469"/>
      <c r="BOG469"/>
      <c r="BOH469"/>
      <c r="BOI469"/>
      <c r="BOJ469"/>
      <c r="BOK469"/>
      <c r="BOL469"/>
      <c r="BOM469"/>
      <c r="BON469"/>
      <c r="BOO469"/>
      <c r="BOP469"/>
      <c r="BOQ469"/>
      <c r="BOR469"/>
      <c r="BOS469"/>
      <c r="BOT469"/>
      <c r="BOU469"/>
      <c r="BOV469"/>
      <c r="BOW469"/>
      <c r="BOX469"/>
      <c r="BOY469"/>
      <c r="BOZ469"/>
      <c r="BPA469"/>
      <c r="BPB469"/>
      <c r="BPC469"/>
      <c r="BPD469"/>
      <c r="BPE469"/>
      <c r="BPF469"/>
      <c r="BPG469"/>
      <c r="BPH469"/>
      <c r="BPI469"/>
      <c r="BPJ469"/>
      <c r="BPK469"/>
      <c r="BPL469"/>
      <c r="BPM469"/>
      <c r="BPN469"/>
      <c r="BPO469"/>
      <c r="BPP469"/>
      <c r="BPQ469"/>
      <c r="BPR469"/>
      <c r="BPS469"/>
      <c r="BPT469"/>
      <c r="BPU469"/>
      <c r="BPV469"/>
      <c r="BPW469"/>
      <c r="BPX469"/>
      <c r="BPY469"/>
      <c r="BPZ469"/>
      <c r="BQA469"/>
      <c r="BQB469"/>
      <c r="BQC469"/>
      <c r="BQD469"/>
      <c r="BQE469"/>
      <c r="BQF469"/>
      <c r="BQG469"/>
      <c r="BQH469"/>
      <c r="BQI469"/>
      <c r="BQJ469"/>
      <c r="BQK469"/>
      <c r="BQL469"/>
      <c r="BQM469"/>
      <c r="BQN469"/>
      <c r="BQO469"/>
      <c r="BQP469"/>
      <c r="BQQ469"/>
      <c r="BQR469"/>
      <c r="BQS469"/>
      <c r="BQT469"/>
      <c r="BQU469"/>
      <c r="BQV469"/>
      <c r="BQW469"/>
      <c r="BQX469"/>
      <c r="BQY469"/>
      <c r="BQZ469"/>
      <c r="BRA469"/>
      <c r="BRB469"/>
      <c r="BRC469"/>
      <c r="BRD469"/>
      <c r="BRE469"/>
      <c r="BRF469"/>
      <c r="BRG469"/>
      <c r="BRH469"/>
      <c r="BRI469"/>
      <c r="BRJ469"/>
      <c r="BRK469"/>
      <c r="BRL469"/>
      <c r="BRM469"/>
      <c r="BRN469"/>
      <c r="BRO469"/>
      <c r="BRP469"/>
      <c r="BRQ469"/>
      <c r="BRR469"/>
      <c r="BRS469"/>
      <c r="BRT469"/>
      <c r="BRU469"/>
      <c r="BRV469"/>
      <c r="BRW469"/>
      <c r="BRX469"/>
      <c r="BRY469"/>
      <c r="BRZ469"/>
      <c r="BSA469"/>
      <c r="BSB469"/>
      <c r="BSC469"/>
      <c r="BSD469"/>
      <c r="BSE469"/>
      <c r="BSF469"/>
      <c r="BSG469"/>
      <c r="BSH469"/>
      <c r="BSI469"/>
      <c r="BSJ469"/>
      <c r="BSK469"/>
      <c r="BSL469"/>
      <c r="BSM469"/>
      <c r="BSN469"/>
      <c r="BSO469"/>
      <c r="BSP469"/>
      <c r="BSQ469"/>
      <c r="BSR469"/>
      <c r="BSS469"/>
      <c r="BST469"/>
      <c r="BSU469"/>
      <c r="BSV469"/>
      <c r="BSW469"/>
      <c r="BSX469"/>
      <c r="BSY469"/>
      <c r="BSZ469"/>
      <c r="BTA469"/>
      <c r="BTB469"/>
      <c r="BTC469"/>
      <c r="BTD469"/>
      <c r="BTE469"/>
      <c r="BTF469"/>
      <c r="BTG469"/>
      <c r="BTH469"/>
      <c r="BTI469"/>
      <c r="BTJ469"/>
      <c r="BTK469"/>
      <c r="BTL469"/>
      <c r="BTM469"/>
      <c r="BTN469"/>
      <c r="BTO469"/>
      <c r="BTP469"/>
      <c r="BTQ469"/>
      <c r="BTR469"/>
      <c r="BTS469"/>
      <c r="BTT469"/>
      <c r="BTU469"/>
      <c r="BTV469"/>
      <c r="BTW469"/>
      <c r="BTX469"/>
      <c r="BTY469"/>
      <c r="BTZ469"/>
      <c r="BUA469"/>
      <c r="BUB469"/>
      <c r="BUC469"/>
      <c r="BUD469"/>
      <c r="BUE469"/>
      <c r="BUF469"/>
      <c r="BUG469"/>
      <c r="BUH469"/>
      <c r="BUI469"/>
      <c r="BUJ469"/>
      <c r="BUK469"/>
      <c r="BUL469"/>
      <c r="BUM469"/>
      <c r="BUN469"/>
      <c r="BUO469"/>
      <c r="BUP469"/>
      <c r="BUQ469"/>
      <c r="BUR469"/>
      <c r="BUS469"/>
      <c r="BUT469"/>
      <c r="BUU469"/>
      <c r="BUV469"/>
      <c r="BUW469"/>
      <c r="BUX469"/>
      <c r="BUY469"/>
      <c r="BUZ469"/>
      <c r="BVA469"/>
      <c r="BVB469"/>
      <c r="BVC469"/>
      <c r="BVD469"/>
      <c r="BVE469"/>
      <c r="BVF469"/>
      <c r="BVG469"/>
      <c r="BVH469"/>
      <c r="BVI469"/>
      <c r="BVJ469"/>
      <c r="BVK469"/>
      <c r="BVL469"/>
      <c r="BVM469"/>
      <c r="BVN469"/>
      <c r="BVO469"/>
      <c r="BVP469"/>
      <c r="BVQ469"/>
      <c r="BVR469"/>
      <c r="BVS469"/>
      <c r="BVT469"/>
      <c r="BVU469"/>
      <c r="BVV469"/>
      <c r="BVW469"/>
      <c r="BVX469"/>
      <c r="BVY469"/>
      <c r="BVZ469"/>
      <c r="BWA469"/>
      <c r="BWB469"/>
      <c r="BWC469"/>
      <c r="BWD469"/>
      <c r="BWE469"/>
      <c r="BWF469"/>
      <c r="BWG469"/>
      <c r="BWH469"/>
      <c r="BWI469"/>
      <c r="BWJ469"/>
      <c r="BWK469"/>
      <c r="BWL469"/>
      <c r="BWM469"/>
      <c r="BWN469"/>
      <c r="BWO469"/>
      <c r="BWP469"/>
      <c r="BWQ469"/>
      <c r="BWR469"/>
      <c r="BWS469"/>
      <c r="BWT469"/>
      <c r="BWU469"/>
      <c r="BWV469"/>
      <c r="BWW469"/>
      <c r="BWX469"/>
      <c r="BWY469"/>
      <c r="BWZ469"/>
      <c r="BXA469"/>
      <c r="BXB469"/>
      <c r="BXC469"/>
      <c r="BXD469"/>
      <c r="BXE469"/>
      <c r="BXF469"/>
      <c r="BXG469"/>
      <c r="BXH469"/>
      <c r="BXI469"/>
      <c r="BXJ469"/>
      <c r="BXK469"/>
      <c r="BXL469"/>
      <c r="BXM469"/>
      <c r="BXN469"/>
      <c r="BXO469"/>
      <c r="BXP469"/>
      <c r="BXQ469"/>
      <c r="BXR469"/>
      <c r="BXS469"/>
      <c r="BXT469"/>
      <c r="BXU469"/>
      <c r="BXV469"/>
      <c r="BXW469"/>
      <c r="BXX469"/>
      <c r="BXY469"/>
      <c r="BXZ469"/>
      <c r="BYA469"/>
      <c r="BYB469"/>
      <c r="BYC469"/>
      <c r="BYD469"/>
      <c r="BYE469"/>
      <c r="BYF469"/>
      <c r="BYG469"/>
      <c r="BYH469"/>
      <c r="BYI469"/>
      <c r="BYJ469"/>
      <c r="BYK469"/>
      <c r="BYL469"/>
      <c r="BYM469"/>
      <c r="BYN469"/>
      <c r="BYO469"/>
      <c r="BYP469"/>
      <c r="BYQ469"/>
      <c r="BYR469"/>
      <c r="BYS469"/>
      <c r="BYT469"/>
      <c r="BYU469"/>
      <c r="BYV469"/>
      <c r="BYW469"/>
      <c r="BYX469"/>
      <c r="BYY469"/>
      <c r="BYZ469"/>
      <c r="BZA469"/>
      <c r="BZB469"/>
      <c r="BZC469"/>
      <c r="BZD469"/>
      <c r="BZE469"/>
      <c r="BZF469"/>
      <c r="BZG469"/>
      <c r="BZH469"/>
      <c r="BZI469"/>
      <c r="BZJ469"/>
      <c r="BZK469"/>
      <c r="BZL469"/>
      <c r="BZM469"/>
      <c r="BZN469"/>
      <c r="BZO469"/>
      <c r="BZP469"/>
      <c r="BZQ469"/>
      <c r="BZR469"/>
      <c r="BZS469"/>
      <c r="BZT469"/>
      <c r="BZU469"/>
      <c r="BZV469"/>
      <c r="BZW469"/>
      <c r="BZX469"/>
      <c r="BZY469"/>
      <c r="BZZ469"/>
      <c r="CAA469"/>
      <c r="CAB469"/>
      <c r="CAC469"/>
      <c r="CAD469"/>
      <c r="CAE469"/>
      <c r="CAF469"/>
      <c r="CAG469"/>
      <c r="CAH469"/>
      <c r="CAI469"/>
      <c r="CAJ469"/>
      <c r="CAK469"/>
      <c r="CAL469"/>
      <c r="CAM469"/>
      <c r="CAN469"/>
      <c r="CAO469"/>
      <c r="CAP469"/>
      <c r="CAQ469"/>
      <c r="CAR469"/>
      <c r="CAS469"/>
      <c r="CAT469"/>
      <c r="CAU469"/>
      <c r="CAV469"/>
      <c r="CAW469"/>
      <c r="CAX469"/>
      <c r="CAY469"/>
      <c r="CAZ469"/>
      <c r="CBA469"/>
      <c r="CBB469"/>
      <c r="CBC469"/>
      <c r="CBD469"/>
      <c r="CBE469"/>
      <c r="CBF469"/>
      <c r="CBG469"/>
      <c r="CBH469"/>
      <c r="CBI469"/>
      <c r="CBJ469"/>
      <c r="CBK469"/>
      <c r="CBL469"/>
      <c r="CBM469"/>
      <c r="CBN469"/>
      <c r="CBO469"/>
      <c r="CBP469"/>
      <c r="CBQ469"/>
      <c r="CBR469"/>
      <c r="CBS469"/>
      <c r="CBT469"/>
      <c r="CBU469"/>
      <c r="CBV469"/>
      <c r="CBW469"/>
      <c r="CBX469"/>
      <c r="CBY469"/>
      <c r="CBZ469"/>
      <c r="CCA469"/>
      <c r="CCB469"/>
      <c r="CCC469"/>
      <c r="CCD469"/>
      <c r="CCE469"/>
      <c r="CCF469"/>
      <c r="CCG469"/>
      <c r="CCH469"/>
      <c r="CCI469"/>
      <c r="CCJ469"/>
      <c r="CCK469"/>
      <c r="CCL469"/>
      <c r="CCM469"/>
      <c r="CCN469"/>
      <c r="CCO469"/>
      <c r="CCP469"/>
      <c r="CCQ469"/>
      <c r="CCR469"/>
      <c r="CCS469"/>
      <c r="CCT469"/>
      <c r="CCU469"/>
      <c r="CCV469"/>
      <c r="CCW469"/>
      <c r="CCX469"/>
      <c r="CCY469"/>
      <c r="CCZ469"/>
      <c r="CDA469"/>
      <c r="CDB469"/>
      <c r="CDC469"/>
      <c r="CDD469"/>
      <c r="CDE469"/>
      <c r="CDF469"/>
      <c r="CDG469"/>
      <c r="CDH469"/>
      <c r="CDI469"/>
      <c r="CDJ469"/>
      <c r="CDK469"/>
      <c r="CDL469"/>
      <c r="CDM469"/>
      <c r="CDN469"/>
      <c r="CDO469"/>
      <c r="CDP469"/>
      <c r="CDQ469"/>
      <c r="CDR469"/>
      <c r="CDS469"/>
      <c r="CDT469"/>
      <c r="CDU469"/>
      <c r="CDV469"/>
      <c r="CDW469"/>
      <c r="CDX469"/>
      <c r="CDY469"/>
      <c r="CDZ469"/>
      <c r="CEA469"/>
      <c r="CEB469"/>
      <c r="CEC469"/>
      <c r="CED469"/>
      <c r="CEE469"/>
      <c r="CEF469"/>
      <c r="CEG469"/>
      <c r="CEH469"/>
      <c r="CEI469"/>
      <c r="CEJ469"/>
      <c r="CEK469"/>
      <c r="CEL469"/>
      <c r="CEM469"/>
      <c r="CEN469"/>
      <c r="CEO469"/>
      <c r="CEP469"/>
      <c r="CEQ469"/>
      <c r="CER469"/>
      <c r="CES469"/>
      <c r="CET469"/>
      <c r="CEU469"/>
      <c r="CEV469"/>
      <c r="CEW469"/>
      <c r="CEX469"/>
      <c r="CEY469"/>
      <c r="CEZ469"/>
      <c r="CFA469"/>
      <c r="CFB469"/>
      <c r="CFC469"/>
      <c r="CFD469"/>
      <c r="CFE469"/>
      <c r="CFF469"/>
      <c r="CFG469"/>
      <c r="CFH469"/>
      <c r="CFI469"/>
      <c r="CFJ469"/>
      <c r="CFK469"/>
      <c r="CFL469"/>
      <c r="CFM469"/>
      <c r="CFN469"/>
      <c r="CFO469"/>
      <c r="CFP469"/>
      <c r="CFQ469"/>
      <c r="CFR469"/>
      <c r="CFS469"/>
      <c r="CFT469"/>
      <c r="CFU469"/>
      <c r="CFV469"/>
      <c r="CFW469"/>
      <c r="CFX469"/>
      <c r="CFY469"/>
      <c r="CFZ469"/>
      <c r="CGA469"/>
      <c r="CGB469"/>
      <c r="CGC469"/>
      <c r="CGD469"/>
      <c r="CGE469"/>
      <c r="CGF469"/>
      <c r="CGG469"/>
      <c r="CGH469"/>
      <c r="CGI469"/>
      <c r="CGJ469"/>
      <c r="CGK469"/>
      <c r="CGL469"/>
      <c r="CGM469"/>
      <c r="CGN469"/>
      <c r="CGO469"/>
      <c r="CGP469"/>
      <c r="CGQ469"/>
      <c r="CGR469"/>
      <c r="CGS469"/>
      <c r="CGT469"/>
      <c r="CGU469"/>
      <c r="CGV469"/>
      <c r="CGW469"/>
      <c r="CGX469"/>
      <c r="CGY469"/>
      <c r="CGZ469"/>
      <c r="CHA469"/>
      <c r="CHB469"/>
      <c r="CHC469"/>
      <c r="CHD469"/>
      <c r="CHE469"/>
      <c r="CHF469"/>
      <c r="CHG469"/>
      <c r="CHH469"/>
      <c r="CHI469"/>
      <c r="CHJ469"/>
      <c r="CHK469"/>
      <c r="CHL469"/>
      <c r="CHM469"/>
      <c r="CHN469"/>
      <c r="CHO469"/>
      <c r="CHP469"/>
      <c r="CHQ469"/>
      <c r="CHR469"/>
      <c r="CHS469"/>
      <c r="CHT469"/>
      <c r="CHU469"/>
      <c r="CHV469"/>
      <c r="CHW469"/>
      <c r="CHX469"/>
      <c r="CHY469"/>
      <c r="CHZ469"/>
      <c r="CIA469"/>
      <c r="CIB469"/>
      <c r="CIC469"/>
      <c r="CID469"/>
      <c r="CIE469"/>
      <c r="CIF469"/>
      <c r="CIG469"/>
      <c r="CIH469"/>
      <c r="CII469"/>
      <c r="CIJ469"/>
      <c r="CIK469"/>
      <c r="CIL469"/>
      <c r="CIM469"/>
      <c r="CIN469"/>
      <c r="CIO469"/>
      <c r="CIP469"/>
      <c r="CIQ469"/>
      <c r="CIR469"/>
      <c r="CIS469"/>
      <c r="CIT469"/>
      <c r="CIU469"/>
      <c r="CIV469"/>
      <c r="CIW469"/>
      <c r="CIX469"/>
      <c r="CIY469"/>
      <c r="CIZ469"/>
      <c r="CJA469"/>
      <c r="CJB469"/>
      <c r="CJC469"/>
      <c r="CJD469"/>
      <c r="CJE469"/>
      <c r="CJF469"/>
      <c r="CJG469"/>
      <c r="CJH469"/>
      <c r="CJI469"/>
      <c r="CJJ469"/>
      <c r="CJK469"/>
      <c r="CJL469"/>
      <c r="CJM469"/>
      <c r="CJN469"/>
      <c r="CJO469"/>
      <c r="CJP469"/>
      <c r="CJQ469"/>
      <c r="CJR469"/>
      <c r="CJS469"/>
      <c r="CJT469"/>
      <c r="CJU469"/>
      <c r="CJV469"/>
      <c r="CJW469"/>
      <c r="CJX469"/>
      <c r="CJY469"/>
      <c r="CJZ469"/>
      <c r="CKA469"/>
      <c r="CKB469"/>
      <c r="CKC469"/>
      <c r="CKD469"/>
      <c r="CKE469"/>
      <c r="CKF469"/>
      <c r="CKG469"/>
      <c r="CKH469"/>
      <c r="CKI469"/>
      <c r="CKJ469"/>
      <c r="CKK469"/>
      <c r="CKL469"/>
      <c r="CKM469"/>
      <c r="CKN469"/>
      <c r="CKO469"/>
      <c r="CKP469"/>
      <c r="CKQ469"/>
      <c r="CKR469"/>
      <c r="CKS469"/>
      <c r="CKT469"/>
      <c r="CKU469"/>
      <c r="CKV469"/>
      <c r="CKW469"/>
      <c r="CKX469"/>
      <c r="CKY469"/>
      <c r="CKZ469"/>
      <c r="CLA469"/>
      <c r="CLB469"/>
      <c r="CLC469"/>
      <c r="CLD469"/>
      <c r="CLE469"/>
      <c r="CLF469"/>
      <c r="CLG469"/>
      <c r="CLH469"/>
      <c r="CLI469"/>
      <c r="CLJ469"/>
      <c r="CLK469"/>
      <c r="CLL469"/>
      <c r="CLM469"/>
      <c r="CLN469"/>
      <c r="CLO469"/>
      <c r="CLP469"/>
      <c r="CLQ469"/>
      <c r="CLR469"/>
      <c r="CLS469"/>
      <c r="CLT469"/>
      <c r="CLU469"/>
      <c r="CLV469"/>
      <c r="CLW469"/>
      <c r="CLX469"/>
      <c r="CLY469"/>
      <c r="CLZ469"/>
      <c r="CMA469"/>
      <c r="CMB469"/>
      <c r="CMC469"/>
      <c r="CMD469"/>
      <c r="CME469"/>
      <c r="CMF469"/>
      <c r="CMG469"/>
      <c r="CMH469"/>
      <c r="CMI469"/>
      <c r="CMJ469"/>
      <c r="CMK469"/>
      <c r="CML469"/>
      <c r="CMM469"/>
      <c r="CMN469"/>
      <c r="CMO469"/>
      <c r="CMP469"/>
      <c r="CMQ469"/>
      <c r="CMR469"/>
      <c r="CMS469"/>
      <c r="CMT469"/>
      <c r="CMU469"/>
      <c r="CMV469"/>
      <c r="CMW469"/>
      <c r="CMX469"/>
      <c r="CMY469"/>
      <c r="CMZ469"/>
      <c r="CNA469"/>
      <c r="CNB469"/>
      <c r="CNC469"/>
      <c r="CND469"/>
      <c r="CNE469"/>
      <c r="CNF469"/>
      <c r="CNG469"/>
      <c r="CNH469"/>
      <c r="CNI469"/>
      <c r="CNJ469"/>
      <c r="CNK469"/>
      <c r="CNL469"/>
      <c r="CNM469"/>
      <c r="CNN469"/>
      <c r="CNO469"/>
      <c r="CNP469"/>
      <c r="CNQ469"/>
      <c r="CNR469"/>
      <c r="CNS469"/>
      <c r="CNT469"/>
      <c r="CNU469"/>
      <c r="CNV469"/>
      <c r="CNW469"/>
      <c r="CNX469"/>
      <c r="CNY469"/>
      <c r="CNZ469"/>
      <c r="COA469"/>
      <c r="COB469"/>
      <c r="COC469"/>
      <c r="COD469"/>
      <c r="COE469"/>
      <c r="COF469"/>
      <c r="COG469"/>
      <c r="COH469"/>
      <c r="COI469"/>
      <c r="COJ469"/>
      <c r="COK469"/>
      <c r="COL469"/>
      <c r="COM469"/>
      <c r="CON469"/>
      <c r="COO469"/>
      <c r="COP469"/>
      <c r="COQ469"/>
      <c r="COR469"/>
      <c r="COS469"/>
      <c r="COT469"/>
      <c r="COU469"/>
      <c r="COV469"/>
      <c r="COW469"/>
      <c r="COX469"/>
      <c r="COY469"/>
      <c r="COZ469"/>
      <c r="CPA469"/>
      <c r="CPB469"/>
      <c r="CPC469"/>
      <c r="CPD469"/>
      <c r="CPE469"/>
      <c r="CPF469"/>
      <c r="CPG469"/>
      <c r="CPH469"/>
      <c r="CPI469"/>
      <c r="CPJ469"/>
      <c r="CPK469"/>
      <c r="CPL469"/>
      <c r="CPM469"/>
      <c r="CPN469"/>
      <c r="CPO469"/>
      <c r="CPP469"/>
      <c r="CPQ469"/>
      <c r="CPR469"/>
      <c r="CPS469"/>
      <c r="CPT469"/>
      <c r="CPU469"/>
      <c r="CPV469"/>
      <c r="CPW469"/>
      <c r="CPX469"/>
      <c r="CPY469"/>
      <c r="CPZ469"/>
      <c r="CQA469"/>
      <c r="CQB469"/>
      <c r="CQC469"/>
      <c r="CQD469"/>
      <c r="CQE469"/>
      <c r="CQF469"/>
      <c r="CQG469"/>
      <c r="CQH469"/>
      <c r="CQI469"/>
      <c r="CQJ469"/>
      <c r="CQK469"/>
      <c r="CQL469"/>
      <c r="CQM469"/>
      <c r="CQN469"/>
      <c r="CQO469"/>
      <c r="CQP469"/>
      <c r="CQQ469"/>
      <c r="CQR469"/>
      <c r="CQS469"/>
      <c r="CQT469"/>
      <c r="CQU469"/>
      <c r="CQV469"/>
      <c r="CQW469"/>
      <c r="CQX469"/>
      <c r="CQY469"/>
      <c r="CQZ469"/>
      <c r="CRA469"/>
      <c r="CRB469"/>
      <c r="CRC469"/>
      <c r="CRD469"/>
      <c r="CRE469"/>
      <c r="CRF469"/>
      <c r="CRG469"/>
      <c r="CRH469"/>
      <c r="CRI469"/>
      <c r="CRJ469"/>
      <c r="CRK469"/>
      <c r="CRL469"/>
      <c r="CRM469"/>
      <c r="CRN469"/>
      <c r="CRO469"/>
      <c r="CRP469"/>
      <c r="CRQ469"/>
      <c r="CRR469"/>
      <c r="CRS469"/>
      <c r="CRT469"/>
      <c r="CRU469"/>
      <c r="CRV469"/>
      <c r="CRW469"/>
      <c r="CRX469"/>
      <c r="CRY469"/>
      <c r="CRZ469"/>
      <c r="CSA469"/>
      <c r="CSB469"/>
      <c r="CSC469"/>
      <c r="CSD469"/>
      <c r="CSE469"/>
      <c r="CSF469"/>
      <c r="CSG469"/>
      <c r="CSH469"/>
      <c r="CSI469"/>
      <c r="CSJ469"/>
      <c r="CSK469"/>
      <c r="CSL469"/>
      <c r="CSM469"/>
      <c r="CSN469"/>
      <c r="CSO469"/>
      <c r="CSP469"/>
      <c r="CSQ469"/>
      <c r="CSR469"/>
      <c r="CSS469"/>
      <c r="CST469"/>
      <c r="CSU469"/>
      <c r="CSV469"/>
      <c r="CSW469"/>
      <c r="CSX469"/>
      <c r="CSY469"/>
      <c r="CSZ469"/>
      <c r="CTA469"/>
      <c r="CTB469"/>
      <c r="CTC469"/>
      <c r="CTD469"/>
      <c r="CTE469"/>
      <c r="CTF469"/>
      <c r="CTG469"/>
      <c r="CTH469"/>
      <c r="CTI469"/>
      <c r="CTJ469"/>
      <c r="CTK469"/>
      <c r="CTL469"/>
      <c r="CTM469"/>
      <c r="CTN469"/>
      <c r="CTO469"/>
      <c r="CTP469"/>
      <c r="CTQ469"/>
      <c r="CTR469"/>
      <c r="CTS469"/>
      <c r="CTT469"/>
      <c r="CTU469"/>
      <c r="CTV469"/>
      <c r="CTW469"/>
      <c r="CTX469"/>
      <c r="CTY469"/>
      <c r="CTZ469"/>
      <c r="CUA469"/>
      <c r="CUB469"/>
      <c r="CUC469"/>
      <c r="CUD469"/>
      <c r="CUE469"/>
      <c r="CUF469"/>
      <c r="CUG469"/>
      <c r="CUH469"/>
      <c r="CUI469"/>
      <c r="CUJ469"/>
      <c r="CUK469"/>
      <c r="CUL469"/>
      <c r="CUM469"/>
      <c r="CUN469"/>
      <c r="CUO469"/>
      <c r="CUP469"/>
      <c r="CUQ469"/>
      <c r="CUR469"/>
      <c r="CUS469"/>
      <c r="CUT469"/>
      <c r="CUU469"/>
      <c r="CUV469"/>
      <c r="CUW469"/>
      <c r="CUX469"/>
      <c r="CUY469"/>
      <c r="CUZ469"/>
      <c r="CVA469"/>
      <c r="CVB469"/>
      <c r="CVC469"/>
      <c r="CVD469"/>
      <c r="CVE469"/>
      <c r="CVF469"/>
      <c r="CVG469"/>
      <c r="CVH469"/>
      <c r="CVI469"/>
      <c r="CVJ469"/>
      <c r="CVK469"/>
      <c r="CVL469"/>
      <c r="CVM469"/>
      <c r="CVN469"/>
      <c r="CVO469"/>
      <c r="CVP469"/>
      <c r="CVQ469"/>
      <c r="CVR469"/>
      <c r="CVS469"/>
      <c r="CVT469"/>
      <c r="CVU469"/>
      <c r="CVV469"/>
      <c r="CVW469"/>
      <c r="CVX469"/>
      <c r="CVY469"/>
      <c r="CVZ469"/>
      <c r="CWA469"/>
      <c r="CWB469"/>
      <c r="CWC469"/>
      <c r="CWD469"/>
      <c r="CWE469"/>
      <c r="CWF469"/>
      <c r="CWG469"/>
      <c r="CWH469"/>
      <c r="CWI469"/>
      <c r="CWJ469"/>
      <c r="CWK469"/>
      <c r="CWL469"/>
      <c r="CWM469"/>
      <c r="CWN469"/>
      <c r="CWO469"/>
      <c r="CWP469"/>
      <c r="CWQ469"/>
      <c r="CWR469"/>
      <c r="CWS469"/>
      <c r="CWT469"/>
      <c r="CWU469"/>
      <c r="CWV469"/>
      <c r="CWW469"/>
      <c r="CWX469"/>
      <c r="CWY469"/>
      <c r="CWZ469"/>
      <c r="CXA469"/>
      <c r="CXB469"/>
      <c r="CXC469"/>
      <c r="CXD469"/>
      <c r="CXE469"/>
      <c r="CXF469"/>
      <c r="CXG469"/>
      <c r="CXH469"/>
      <c r="CXI469"/>
      <c r="CXJ469"/>
      <c r="CXK469"/>
      <c r="CXL469"/>
      <c r="CXM469"/>
      <c r="CXN469"/>
      <c r="CXO469"/>
      <c r="CXP469"/>
      <c r="CXQ469"/>
      <c r="CXR469"/>
      <c r="CXS469"/>
      <c r="CXT469"/>
      <c r="CXU469"/>
      <c r="CXV469"/>
      <c r="CXW469"/>
      <c r="CXX469"/>
      <c r="CXY469"/>
      <c r="CXZ469"/>
      <c r="CYA469"/>
      <c r="CYB469"/>
      <c r="CYC469"/>
      <c r="CYD469"/>
      <c r="CYE469"/>
      <c r="CYF469"/>
      <c r="CYG469"/>
      <c r="CYH469"/>
      <c r="CYI469"/>
      <c r="CYJ469"/>
      <c r="CYK469"/>
      <c r="CYL469"/>
      <c r="CYM469"/>
      <c r="CYN469"/>
      <c r="CYO469"/>
      <c r="CYP469"/>
      <c r="CYQ469"/>
      <c r="CYR469"/>
      <c r="CYS469"/>
      <c r="CYT469"/>
      <c r="CYU469"/>
      <c r="CYV469"/>
      <c r="CYW469"/>
      <c r="CYX469"/>
      <c r="CYY469"/>
      <c r="CYZ469"/>
      <c r="CZA469"/>
      <c r="CZB469"/>
      <c r="CZC469"/>
      <c r="CZD469"/>
      <c r="CZE469"/>
      <c r="CZF469"/>
      <c r="CZG469"/>
      <c r="CZH469"/>
      <c r="CZI469"/>
      <c r="CZJ469"/>
      <c r="CZK469"/>
      <c r="CZL469"/>
      <c r="CZM469"/>
      <c r="CZN469"/>
      <c r="CZO469"/>
      <c r="CZP469"/>
      <c r="CZQ469"/>
      <c r="CZR469"/>
      <c r="CZS469"/>
      <c r="CZT469"/>
      <c r="CZU469"/>
      <c r="CZV469"/>
      <c r="CZW469"/>
      <c r="CZX469"/>
      <c r="CZY469"/>
      <c r="CZZ469"/>
      <c r="DAA469"/>
      <c r="DAB469"/>
      <c r="DAC469"/>
      <c r="DAD469"/>
      <c r="DAE469"/>
      <c r="DAF469"/>
      <c r="DAG469"/>
      <c r="DAH469"/>
      <c r="DAI469"/>
      <c r="DAJ469"/>
      <c r="DAK469"/>
      <c r="DAL469"/>
      <c r="DAM469"/>
      <c r="DAN469"/>
      <c r="DAO469"/>
      <c r="DAP469"/>
      <c r="DAQ469"/>
      <c r="DAR469"/>
      <c r="DAS469"/>
      <c r="DAT469"/>
      <c r="DAU469"/>
      <c r="DAV469"/>
      <c r="DAW469"/>
      <c r="DAX469"/>
      <c r="DAY469"/>
      <c r="DAZ469"/>
      <c r="DBA469"/>
      <c r="DBB469"/>
      <c r="DBC469"/>
      <c r="DBD469"/>
      <c r="DBE469"/>
      <c r="DBF469"/>
      <c r="DBG469"/>
      <c r="DBH469"/>
      <c r="DBI469"/>
      <c r="DBJ469"/>
      <c r="DBK469"/>
      <c r="DBL469"/>
      <c r="DBM469"/>
      <c r="DBN469"/>
      <c r="DBO469"/>
      <c r="DBP469"/>
      <c r="DBQ469"/>
      <c r="DBR469"/>
      <c r="DBS469"/>
      <c r="DBT469"/>
      <c r="DBU469"/>
      <c r="DBV469"/>
      <c r="DBW469"/>
      <c r="DBX469"/>
      <c r="DBY469"/>
      <c r="DBZ469"/>
      <c r="DCA469"/>
      <c r="DCB469"/>
      <c r="DCC469"/>
      <c r="DCD469"/>
      <c r="DCE469"/>
      <c r="DCF469"/>
      <c r="DCG469"/>
      <c r="DCH469"/>
      <c r="DCI469"/>
      <c r="DCJ469"/>
      <c r="DCK469"/>
      <c r="DCL469"/>
      <c r="DCM469"/>
      <c r="DCN469"/>
      <c r="DCO469"/>
      <c r="DCP469"/>
      <c r="DCQ469"/>
      <c r="DCR469"/>
      <c r="DCS469"/>
      <c r="DCT469"/>
      <c r="DCU469"/>
      <c r="DCV469"/>
      <c r="DCW469"/>
      <c r="DCX469"/>
      <c r="DCY469"/>
      <c r="DCZ469"/>
      <c r="DDA469"/>
      <c r="DDB469"/>
      <c r="DDC469"/>
      <c r="DDD469"/>
      <c r="DDE469"/>
      <c r="DDF469"/>
      <c r="DDG469"/>
      <c r="DDH469"/>
      <c r="DDI469"/>
      <c r="DDJ469"/>
      <c r="DDK469"/>
      <c r="DDL469"/>
      <c r="DDM469"/>
      <c r="DDN469"/>
      <c r="DDO469"/>
      <c r="DDP469"/>
      <c r="DDQ469"/>
      <c r="DDR469"/>
      <c r="DDS469"/>
      <c r="DDT469"/>
      <c r="DDU469"/>
      <c r="DDV469"/>
      <c r="DDW469"/>
      <c r="DDX469"/>
      <c r="DDY469"/>
      <c r="DDZ469"/>
      <c r="DEA469"/>
      <c r="DEB469"/>
      <c r="DEC469"/>
      <c r="DED469"/>
      <c r="DEE469"/>
      <c r="DEF469"/>
      <c r="DEG469"/>
      <c r="DEH469"/>
      <c r="DEI469"/>
      <c r="DEJ469"/>
      <c r="DEK469"/>
      <c r="DEL469"/>
      <c r="DEM469"/>
      <c r="DEN469"/>
      <c r="DEO469"/>
      <c r="DEP469"/>
      <c r="DEQ469"/>
      <c r="DER469"/>
      <c r="DES469"/>
      <c r="DET469"/>
      <c r="DEU469"/>
      <c r="DEV469"/>
      <c r="DEW469"/>
      <c r="DEX469"/>
      <c r="DEY469"/>
      <c r="DEZ469"/>
      <c r="DFA469"/>
      <c r="DFB469"/>
      <c r="DFC469"/>
      <c r="DFD469"/>
      <c r="DFE469"/>
      <c r="DFF469"/>
      <c r="DFG469"/>
      <c r="DFH469"/>
      <c r="DFI469"/>
      <c r="DFJ469"/>
      <c r="DFK469"/>
      <c r="DFL469"/>
      <c r="DFM469"/>
      <c r="DFN469"/>
      <c r="DFO469"/>
      <c r="DFP469"/>
      <c r="DFQ469"/>
      <c r="DFR469"/>
      <c r="DFS469"/>
      <c r="DFT469"/>
      <c r="DFU469"/>
      <c r="DFV469"/>
      <c r="DFW469"/>
      <c r="DFX469"/>
      <c r="DFY469"/>
      <c r="DFZ469"/>
      <c r="DGA469"/>
      <c r="DGB469"/>
      <c r="DGC469"/>
      <c r="DGD469"/>
      <c r="DGE469"/>
      <c r="DGF469"/>
      <c r="DGG469"/>
      <c r="DGH469"/>
      <c r="DGI469"/>
      <c r="DGJ469"/>
      <c r="DGK469"/>
      <c r="DGL469"/>
      <c r="DGM469"/>
      <c r="DGN469"/>
      <c r="DGO469"/>
      <c r="DGP469"/>
      <c r="DGQ469"/>
      <c r="DGR469"/>
      <c r="DGS469"/>
      <c r="DGT469"/>
      <c r="DGU469"/>
      <c r="DGV469"/>
      <c r="DGW469"/>
      <c r="DGX469"/>
      <c r="DGY469"/>
      <c r="DGZ469"/>
      <c r="DHA469"/>
      <c r="DHB469"/>
      <c r="DHC469"/>
      <c r="DHD469"/>
      <c r="DHE469"/>
      <c r="DHF469"/>
      <c r="DHG469"/>
      <c r="DHH469"/>
      <c r="DHI469"/>
      <c r="DHJ469"/>
      <c r="DHK469"/>
      <c r="DHL469"/>
      <c r="DHM469"/>
      <c r="DHN469"/>
      <c r="DHO469"/>
      <c r="DHP469"/>
      <c r="DHQ469"/>
      <c r="DHR469"/>
      <c r="DHS469"/>
      <c r="DHT469"/>
      <c r="DHU469"/>
      <c r="DHV469"/>
      <c r="DHW469"/>
      <c r="DHX469"/>
      <c r="DHY469"/>
      <c r="DHZ469"/>
      <c r="DIA469"/>
      <c r="DIB469"/>
      <c r="DIC469"/>
      <c r="DID469"/>
      <c r="DIE469"/>
      <c r="DIF469"/>
      <c r="DIG469"/>
      <c r="DIH469"/>
      <c r="DII469"/>
      <c r="DIJ469"/>
      <c r="DIK469"/>
      <c r="DIL469"/>
      <c r="DIM469"/>
      <c r="DIN469"/>
      <c r="DIO469"/>
      <c r="DIP469"/>
      <c r="DIQ469"/>
      <c r="DIR469"/>
      <c r="DIS469"/>
      <c r="DIT469"/>
      <c r="DIU469"/>
      <c r="DIV469"/>
      <c r="DIW469"/>
      <c r="DIX469"/>
      <c r="DIY469"/>
      <c r="DIZ469"/>
      <c r="DJA469"/>
      <c r="DJB469"/>
      <c r="DJC469"/>
      <c r="DJD469"/>
      <c r="DJE469"/>
      <c r="DJF469"/>
      <c r="DJG469"/>
      <c r="DJH469"/>
      <c r="DJI469"/>
      <c r="DJJ469"/>
      <c r="DJK469"/>
      <c r="DJL469"/>
      <c r="DJM469"/>
      <c r="DJN469"/>
      <c r="DJO469"/>
      <c r="DJP469"/>
      <c r="DJQ469"/>
      <c r="DJR469"/>
      <c r="DJS469"/>
      <c r="DJT469"/>
      <c r="DJU469"/>
      <c r="DJV469"/>
      <c r="DJW469"/>
      <c r="DJX469"/>
      <c r="DJY469"/>
      <c r="DJZ469"/>
      <c r="DKA469"/>
      <c r="DKB469"/>
      <c r="DKC469"/>
      <c r="DKD469"/>
      <c r="DKE469"/>
      <c r="DKF469"/>
      <c r="DKG469"/>
      <c r="DKH469"/>
      <c r="DKI469"/>
      <c r="DKJ469"/>
      <c r="DKK469"/>
      <c r="DKL469"/>
      <c r="DKM469"/>
      <c r="DKN469"/>
      <c r="DKO469"/>
      <c r="DKP469"/>
      <c r="DKQ469"/>
      <c r="DKR469"/>
      <c r="DKS469"/>
      <c r="DKT469"/>
      <c r="DKU469"/>
      <c r="DKV469"/>
      <c r="DKW469"/>
      <c r="DKX469"/>
      <c r="DKY469"/>
      <c r="DKZ469"/>
      <c r="DLA469"/>
      <c r="DLB469"/>
      <c r="DLC469"/>
      <c r="DLD469"/>
      <c r="DLE469"/>
      <c r="DLF469"/>
      <c r="DLG469"/>
      <c r="DLH469"/>
      <c r="DLI469"/>
      <c r="DLJ469"/>
      <c r="DLK469"/>
      <c r="DLL469"/>
      <c r="DLM469"/>
      <c r="DLN469"/>
      <c r="DLO469"/>
      <c r="DLP469"/>
      <c r="DLQ469"/>
      <c r="DLR469"/>
      <c r="DLS469"/>
      <c r="DLT469"/>
      <c r="DLU469"/>
      <c r="DLV469"/>
      <c r="DLW469"/>
      <c r="DLX469"/>
      <c r="DLY469"/>
      <c r="DLZ469"/>
      <c r="DMA469"/>
      <c r="DMB469"/>
      <c r="DMC469"/>
      <c r="DMD469"/>
      <c r="DME469"/>
      <c r="DMF469"/>
      <c r="DMG469"/>
      <c r="DMH469"/>
      <c r="DMI469"/>
      <c r="DMJ469"/>
      <c r="DMK469"/>
      <c r="DML469"/>
      <c r="DMM469"/>
      <c r="DMN469"/>
      <c r="DMO469"/>
      <c r="DMP469"/>
      <c r="DMQ469"/>
      <c r="DMR469"/>
      <c r="DMS469"/>
      <c r="DMT469"/>
      <c r="DMU469"/>
      <c r="DMV469"/>
      <c r="DMW469"/>
      <c r="DMX469"/>
      <c r="DMY469"/>
      <c r="DMZ469"/>
      <c r="DNA469"/>
      <c r="DNB469"/>
      <c r="DNC469"/>
      <c r="DND469"/>
      <c r="DNE469"/>
      <c r="DNF469"/>
      <c r="DNG469"/>
      <c r="DNH469"/>
      <c r="DNI469"/>
      <c r="DNJ469"/>
      <c r="DNK469"/>
      <c r="DNL469"/>
      <c r="DNM469"/>
      <c r="DNN469"/>
      <c r="DNO469"/>
      <c r="DNP469"/>
      <c r="DNQ469"/>
      <c r="DNR469"/>
      <c r="DNS469"/>
      <c r="DNT469"/>
      <c r="DNU469"/>
      <c r="DNV469"/>
      <c r="DNW469"/>
      <c r="DNX469"/>
      <c r="DNY469"/>
      <c r="DNZ469"/>
      <c r="DOA469"/>
      <c r="DOB469"/>
      <c r="DOC469"/>
      <c r="DOD469"/>
      <c r="DOE469"/>
      <c r="DOF469"/>
      <c r="DOG469"/>
      <c r="DOH469"/>
      <c r="DOI469"/>
      <c r="DOJ469"/>
      <c r="DOK469"/>
      <c r="DOL469"/>
      <c r="DOM469"/>
      <c r="DON469"/>
      <c r="DOO469"/>
      <c r="DOP469"/>
      <c r="DOQ469"/>
      <c r="DOR469"/>
      <c r="DOS469"/>
      <c r="DOT469"/>
      <c r="DOU469"/>
      <c r="DOV469"/>
      <c r="DOW469"/>
      <c r="DOX469"/>
      <c r="DOY469"/>
      <c r="DOZ469"/>
      <c r="DPA469"/>
      <c r="DPB469"/>
      <c r="DPC469"/>
      <c r="DPD469"/>
      <c r="DPE469"/>
      <c r="DPF469"/>
      <c r="DPG469"/>
      <c r="DPH469"/>
      <c r="DPI469"/>
      <c r="DPJ469"/>
      <c r="DPK469"/>
      <c r="DPL469"/>
      <c r="DPM469"/>
      <c r="DPN469"/>
      <c r="DPO469"/>
      <c r="DPP469"/>
      <c r="DPQ469"/>
      <c r="DPR469"/>
      <c r="DPS469"/>
      <c r="DPT469"/>
      <c r="DPU469"/>
      <c r="DPV469"/>
      <c r="DPW469"/>
      <c r="DPX469"/>
      <c r="DPY469"/>
      <c r="DPZ469"/>
      <c r="DQA469"/>
      <c r="DQB469"/>
      <c r="DQC469"/>
      <c r="DQD469"/>
      <c r="DQE469"/>
      <c r="DQF469"/>
      <c r="DQG469"/>
      <c r="DQH469"/>
      <c r="DQI469"/>
      <c r="DQJ469"/>
      <c r="DQK469"/>
      <c r="DQL469"/>
      <c r="DQM469"/>
      <c r="DQN469"/>
      <c r="DQO469"/>
      <c r="DQP469"/>
      <c r="DQQ469"/>
      <c r="DQR469"/>
      <c r="DQS469"/>
      <c r="DQT469"/>
      <c r="DQU469"/>
      <c r="DQV469"/>
      <c r="DQW469"/>
      <c r="DQX469"/>
      <c r="DQY469"/>
      <c r="DQZ469"/>
      <c r="DRA469"/>
      <c r="DRB469"/>
      <c r="DRC469"/>
      <c r="DRD469"/>
      <c r="DRE469"/>
      <c r="DRF469"/>
      <c r="DRG469"/>
      <c r="DRH469"/>
      <c r="DRI469"/>
      <c r="DRJ469"/>
      <c r="DRK469"/>
      <c r="DRL469"/>
      <c r="DRM469"/>
      <c r="DRN469"/>
      <c r="DRO469"/>
      <c r="DRP469"/>
      <c r="DRQ469"/>
      <c r="DRR469"/>
      <c r="DRS469"/>
      <c r="DRT469"/>
      <c r="DRU469"/>
      <c r="DRV469"/>
      <c r="DRW469"/>
      <c r="DRX469"/>
      <c r="DRY469"/>
      <c r="DRZ469"/>
      <c r="DSA469"/>
      <c r="DSB469"/>
      <c r="DSC469"/>
      <c r="DSD469"/>
      <c r="DSE469"/>
      <c r="DSF469"/>
      <c r="DSG469"/>
      <c r="DSH469"/>
      <c r="DSI469"/>
      <c r="DSJ469"/>
      <c r="DSK469"/>
      <c r="DSL469"/>
      <c r="DSM469"/>
      <c r="DSN469"/>
      <c r="DSO469"/>
      <c r="DSP469"/>
      <c r="DSQ469"/>
      <c r="DSR469"/>
      <c r="DSS469"/>
      <c r="DST469"/>
      <c r="DSU469"/>
      <c r="DSV469"/>
      <c r="DSW469"/>
      <c r="DSX469"/>
      <c r="DSY469"/>
      <c r="DSZ469"/>
      <c r="DTA469"/>
      <c r="DTB469"/>
      <c r="DTC469"/>
      <c r="DTD469"/>
      <c r="DTE469"/>
      <c r="DTF469"/>
      <c r="DTG469"/>
      <c r="DTH469"/>
      <c r="DTI469"/>
      <c r="DTJ469"/>
      <c r="DTK469"/>
      <c r="DTL469"/>
      <c r="DTM469"/>
      <c r="DTN469"/>
      <c r="DTO469"/>
      <c r="DTP469"/>
      <c r="DTQ469"/>
      <c r="DTR469"/>
      <c r="DTS469"/>
      <c r="DTT469"/>
      <c r="DTU469"/>
      <c r="DTV469"/>
      <c r="DTW469"/>
      <c r="DTX469"/>
      <c r="DTY469"/>
      <c r="DTZ469"/>
      <c r="DUA469"/>
      <c r="DUB469"/>
      <c r="DUC469"/>
      <c r="DUD469"/>
      <c r="DUE469"/>
      <c r="DUF469"/>
      <c r="DUG469"/>
      <c r="DUH469"/>
      <c r="DUI469"/>
      <c r="DUJ469"/>
      <c r="DUK469"/>
      <c r="DUL469"/>
      <c r="DUM469"/>
      <c r="DUN469"/>
      <c r="DUO469"/>
      <c r="DUP469"/>
      <c r="DUQ469"/>
      <c r="DUR469"/>
      <c r="DUS469"/>
      <c r="DUT469"/>
      <c r="DUU469"/>
      <c r="DUV469"/>
      <c r="DUW469"/>
      <c r="DUX469"/>
      <c r="DUY469"/>
      <c r="DUZ469"/>
      <c r="DVA469"/>
      <c r="DVB469"/>
      <c r="DVC469"/>
      <c r="DVD469"/>
      <c r="DVE469"/>
      <c r="DVF469"/>
      <c r="DVG469"/>
      <c r="DVH469"/>
      <c r="DVI469"/>
      <c r="DVJ469"/>
      <c r="DVK469"/>
      <c r="DVL469"/>
      <c r="DVM469"/>
      <c r="DVN469"/>
      <c r="DVO469"/>
      <c r="DVP469"/>
      <c r="DVQ469"/>
      <c r="DVR469"/>
      <c r="DVS469"/>
      <c r="DVT469"/>
      <c r="DVU469"/>
      <c r="DVV469"/>
      <c r="DVW469"/>
      <c r="DVX469"/>
      <c r="DVY469"/>
      <c r="DVZ469"/>
      <c r="DWA469"/>
      <c r="DWB469"/>
      <c r="DWC469"/>
      <c r="DWD469"/>
      <c r="DWE469"/>
      <c r="DWF469"/>
      <c r="DWG469"/>
      <c r="DWH469"/>
      <c r="DWI469"/>
      <c r="DWJ469"/>
      <c r="DWK469"/>
      <c r="DWL469"/>
      <c r="DWM469"/>
      <c r="DWN469"/>
      <c r="DWO469"/>
      <c r="DWP469"/>
      <c r="DWQ469"/>
      <c r="DWR469"/>
      <c r="DWS469"/>
      <c r="DWT469"/>
      <c r="DWU469"/>
      <c r="DWV469"/>
      <c r="DWW469"/>
      <c r="DWX469"/>
      <c r="DWY469"/>
      <c r="DWZ469"/>
      <c r="DXA469"/>
      <c r="DXB469"/>
      <c r="DXC469"/>
      <c r="DXD469"/>
      <c r="DXE469"/>
      <c r="DXF469"/>
      <c r="DXG469"/>
      <c r="DXH469"/>
      <c r="DXI469"/>
      <c r="DXJ469"/>
      <c r="DXK469"/>
      <c r="DXL469"/>
      <c r="DXM469"/>
      <c r="DXN469"/>
      <c r="DXO469"/>
      <c r="DXP469"/>
      <c r="DXQ469"/>
      <c r="DXR469"/>
      <c r="DXS469"/>
      <c r="DXT469"/>
      <c r="DXU469"/>
      <c r="DXV469"/>
      <c r="DXW469"/>
      <c r="DXX469"/>
      <c r="DXY469"/>
      <c r="DXZ469"/>
      <c r="DYA469"/>
      <c r="DYB469"/>
      <c r="DYC469"/>
      <c r="DYD469"/>
      <c r="DYE469"/>
      <c r="DYF469"/>
      <c r="DYG469"/>
      <c r="DYH469"/>
      <c r="DYI469"/>
      <c r="DYJ469"/>
      <c r="DYK469"/>
      <c r="DYL469"/>
      <c r="DYM469"/>
      <c r="DYN469"/>
      <c r="DYO469"/>
      <c r="DYP469"/>
      <c r="DYQ469"/>
      <c r="DYR469"/>
      <c r="DYS469"/>
      <c r="DYT469"/>
      <c r="DYU469"/>
      <c r="DYV469"/>
      <c r="DYW469"/>
      <c r="DYX469"/>
      <c r="DYY469"/>
      <c r="DYZ469"/>
      <c r="DZA469"/>
      <c r="DZB469"/>
      <c r="DZC469"/>
      <c r="DZD469"/>
      <c r="DZE469"/>
      <c r="DZF469"/>
      <c r="DZG469"/>
      <c r="DZH469"/>
      <c r="DZI469"/>
      <c r="DZJ469"/>
      <c r="DZK469"/>
      <c r="DZL469"/>
      <c r="DZM469"/>
      <c r="DZN469"/>
      <c r="DZO469"/>
      <c r="DZP469"/>
      <c r="DZQ469"/>
      <c r="DZR469"/>
      <c r="DZS469"/>
      <c r="DZT469"/>
      <c r="DZU469"/>
      <c r="DZV469"/>
      <c r="DZW469"/>
      <c r="DZX469"/>
      <c r="DZY469"/>
      <c r="DZZ469"/>
      <c r="EAA469"/>
      <c r="EAB469"/>
      <c r="EAC469"/>
      <c r="EAD469"/>
      <c r="EAE469"/>
      <c r="EAF469"/>
      <c r="EAG469"/>
      <c r="EAH469"/>
      <c r="EAI469"/>
      <c r="EAJ469"/>
      <c r="EAK469"/>
      <c r="EAL469"/>
      <c r="EAM469"/>
      <c r="EAN469"/>
      <c r="EAO469"/>
      <c r="EAP469"/>
      <c r="EAQ469"/>
      <c r="EAR469"/>
      <c r="EAS469"/>
      <c r="EAT469"/>
      <c r="EAU469"/>
      <c r="EAV469"/>
      <c r="EAW469"/>
      <c r="EAX469"/>
      <c r="EAY469"/>
      <c r="EAZ469"/>
      <c r="EBA469"/>
      <c r="EBB469"/>
      <c r="EBC469"/>
      <c r="EBD469"/>
      <c r="EBE469"/>
      <c r="EBF469"/>
      <c r="EBG469"/>
      <c r="EBH469"/>
      <c r="EBI469"/>
      <c r="EBJ469"/>
      <c r="EBK469"/>
      <c r="EBL469"/>
      <c r="EBM469"/>
      <c r="EBN469"/>
      <c r="EBO469"/>
      <c r="EBP469"/>
      <c r="EBQ469"/>
      <c r="EBR469"/>
      <c r="EBS469"/>
      <c r="EBT469"/>
      <c r="EBU469"/>
      <c r="EBV469"/>
      <c r="EBW469"/>
      <c r="EBX469"/>
      <c r="EBY469"/>
      <c r="EBZ469"/>
      <c r="ECA469"/>
      <c r="ECB469"/>
      <c r="ECC469"/>
      <c r="ECD469"/>
      <c r="ECE469"/>
      <c r="ECF469"/>
      <c r="ECG469"/>
      <c r="ECH469"/>
      <c r="ECI469"/>
      <c r="ECJ469"/>
      <c r="ECK469"/>
      <c r="ECL469"/>
      <c r="ECM469"/>
      <c r="ECN469"/>
      <c r="ECO469"/>
      <c r="ECP469"/>
      <c r="ECQ469"/>
      <c r="ECR469"/>
      <c r="ECS469"/>
      <c r="ECT469"/>
      <c r="ECU469"/>
      <c r="ECV469"/>
      <c r="ECW469"/>
      <c r="ECX469"/>
      <c r="ECY469"/>
      <c r="ECZ469"/>
      <c r="EDA469"/>
      <c r="EDB469"/>
      <c r="EDC469"/>
      <c r="EDD469"/>
      <c r="EDE469"/>
      <c r="EDF469"/>
      <c r="EDG469"/>
      <c r="EDH469"/>
      <c r="EDI469"/>
      <c r="EDJ469"/>
      <c r="EDK469"/>
      <c r="EDL469"/>
      <c r="EDM469"/>
      <c r="EDN469"/>
      <c r="EDO469"/>
      <c r="EDP469"/>
      <c r="EDQ469"/>
      <c r="EDR469"/>
      <c r="EDS469"/>
      <c r="EDT469"/>
      <c r="EDU469"/>
      <c r="EDV469"/>
      <c r="EDW469"/>
      <c r="EDX469"/>
      <c r="EDY469"/>
      <c r="EDZ469"/>
      <c r="EEA469"/>
      <c r="EEB469"/>
      <c r="EEC469"/>
      <c r="EED469"/>
      <c r="EEE469"/>
      <c r="EEF469"/>
      <c r="EEG469"/>
      <c r="EEH469"/>
      <c r="EEI469"/>
      <c r="EEJ469"/>
      <c r="EEK469"/>
      <c r="EEL469"/>
      <c r="EEM469"/>
      <c r="EEN469"/>
      <c r="EEO469"/>
      <c r="EEP469"/>
      <c r="EEQ469"/>
      <c r="EER469"/>
      <c r="EES469"/>
      <c r="EET469"/>
      <c r="EEU469"/>
      <c r="EEV469"/>
      <c r="EEW469"/>
      <c r="EEX469"/>
      <c r="EEY469"/>
      <c r="EEZ469"/>
      <c r="EFA469"/>
      <c r="EFB469"/>
      <c r="EFC469"/>
      <c r="EFD469"/>
      <c r="EFE469"/>
      <c r="EFF469"/>
      <c r="EFG469"/>
      <c r="EFH469"/>
      <c r="EFI469"/>
      <c r="EFJ469"/>
      <c r="EFK469"/>
      <c r="EFL469"/>
      <c r="EFM469"/>
      <c r="EFN469"/>
      <c r="EFO469"/>
      <c r="EFP469"/>
      <c r="EFQ469"/>
      <c r="EFR469"/>
      <c r="EFS469"/>
      <c r="EFT469"/>
      <c r="EFU469"/>
      <c r="EFV469"/>
      <c r="EFW469"/>
      <c r="EFX469"/>
      <c r="EFY469"/>
      <c r="EFZ469"/>
      <c r="EGA469"/>
      <c r="EGB469"/>
      <c r="EGC469"/>
      <c r="EGD469"/>
      <c r="EGE469"/>
      <c r="EGF469"/>
      <c r="EGG469"/>
      <c r="EGH469"/>
      <c r="EGI469"/>
      <c r="EGJ469"/>
      <c r="EGK469"/>
      <c r="EGL469"/>
      <c r="EGM469"/>
      <c r="EGN469"/>
      <c r="EGO469"/>
      <c r="EGP469"/>
      <c r="EGQ469"/>
      <c r="EGR469"/>
      <c r="EGS469"/>
      <c r="EGT469"/>
      <c r="EGU469"/>
      <c r="EGV469"/>
      <c r="EGW469"/>
      <c r="EGX469"/>
      <c r="EGY469"/>
      <c r="EGZ469"/>
      <c r="EHA469"/>
      <c r="EHB469"/>
      <c r="EHC469"/>
      <c r="EHD469"/>
      <c r="EHE469"/>
      <c r="EHF469"/>
      <c r="EHG469"/>
      <c r="EHH469"/>
      <c r="EHI469"/>
      <c r="EHJ469"/>
      <c r="EHK469"/>
      <c r="EHL469"/>
      <c r="EHM469"/>
      <c r="EHN469"/>
      <c r="EHO469"/>
      <c r="EHP469"/>
      <c r="EHQ469"/>
      <c r="EHR469"/>
      <c r="EHS469"/>
      <c r="EHT469"/>
      <c r="EHU469"/>
      <c r="EHV469"/>
      <c r="EHW469"/>
      <c r="EHX469"/>
      <c r="EHY469"/>
      <c r="EHZ469"/>
      <c r="EIA469"/>
      <c r="EIB469"/>
      <c r="EIC469"/>
      <c r="EID469"/>
      <c r="EIE469"/>
      <c r="EIF469"/>
      <c r="EIG469"/>
      <c r="EIH469"/>
      <c r="EII469"/>
      <c r="EIJ469"/>
      <c r="EIK469"/>
      <c r="EIL469"/>
      <c r="EIM469"/>
      <c r="EIN469"/>
      <c r="EIO469"/>
      <c r="EIP469"/>
      <c r="EIQ469"/>
      <c r="EIR469"/>
      <c r="EIS469"/>
      <c r="EIT469"/>
      <c r="EIU469"/>
      <c r="EIV469"/>
      <c r="EIW469"/>
      <c r="EIX469"/>
      <c r="EIY469"/>
      <c r="EIZ469"/>
      <c r="EJA469"/>
      <c r="EJB469"/>
      <c r="EJC469"/>
      <c r="EJD469"/>
      <c r="EJE469"/>
      <c r="EJF469"/>
      <c r="EJG469"/>
      <c r="EJH469"/>
      <c r="EJI469"/>
      <c r="EJJ469"/>
      <c r="EJK469"/>
      <c r="EJL469"/>
      <c r="EJM469"/>
      <c r="EJN469"/>
      <c r="EJO469"/>
      <c r="EJP469"/>
      <c r="EJQ469"/>
      <c r="EJR469"/>
      <c r="EJS469"/>
      <c r="EJT469"/>
      <c r="EJU469"/>
      <c r="EJV469"/>
      <c r="EJW469"/>
      <c r="EJX469"/>
      <c r="EJY469"/>
      <c r="EJZ469"/>
      <c r="EKA469"/>
      <c r="EKB469"/>
      <c r="EKC469"/>
      <c r="EKD469"/>
      <c r="EKE469"/>
      <c r="EKF469"/>
      <c r="EKG469"/>
      <c r="EKH469"/>
      <c r="EKI469"/>
      <c r="EKJ469"/>
      <c r="EKK469"/>
      <c r="EKL469"/>
      <c r="EKM469"/>
      <c r="EKN469"/>
      <c r="EKO469"/>
      <c r="EKP469"/>
      <c r="EKQ469"/>
      <c r="EKR469"/>
      <c r="EKS469"/>
      <c r="EKT469"/>
      <c r="EKU469"/>
      <c r="EKV469"/>
      <c r="EKW469"/>
      <c r="EKX469"/>
      <c r="EKY469"/>
      <c r="EKZ469"/>
      <c r="ELA469"/>
      <c r="ELB469"/>
      <c r="ELC469"/>
      <c r="ELD469"/>
      <c r="ELE469"/>
      <c r="ELF469"/>
      <c r="ELG469"/>
      <c r="ELH469"/>
      <c r="ELI469"/>
      <c r="ELJ469"/>
      <c r="ELK469"/>
      <c r="ELL469"/>
      <c r="ELM469"/>
      <c r="ELN469"/>
      <c r="ELO469"/>
      <c r="ELP469"/>
      <c r="ELQ469"/>
      <c r="ELR469"/>
      <c r="ELS469"/>
      <c r="ELT469"/>
      <c r="ELU469"/>
      <c r="ELV469"/>
      <c r="ELW469"/>
      <c r="ELX469"/>
      <c r="ELY469"/>
      <c r="ELZ469"/>
      <c r="EMA469"/>
      <c r="EMB469"/>
      <c r="EMC469"/>
      <c r="EMD469"/>
      <c r="EME469"/>
      <c r="EMF469"/>
      <c r="EMG469"/>
      <c r="EMH469"/>
      <c r="EMI469"/>
      <c r="EMJ469"/>
      <c r="EMK469"/>
      <c r="EML469"/>
      <c r="EMM469"/>
      <c r="EMN469"/>
      <c r="EMO469"/>
      <c r="EMP469"/>
      <c r="EMQ469"/>
      <c r="EMR469"/>
      <c r="EMS469"/>
      <c r="EMT469"/>
      <c r="EMU469"/>
      <c r="EMV469"/>
      <c r="EMW469"/>
      <c r="EMX469"/>
      <c r="EMY469"/>
      <c r="EMZ469"/>
      <c r="ENA469"/>
      <c r="ENB469"/>
      <c r="ENC469"/>
      <c r="END469"/>
      <c r="ENE469"/>
      <c r="ENF469"/>
      <c r="ENG469"/>
      <c r="ENH469"/>
      <c r="ENI469"/>
      <c r="ENJ469"/>
      <c r="ENK469"/>
      <c r="ENL469"/>
      <c r="ENM469"/>
      <c r="ENN469"/>
      <c r="ENO469"/>
      <c r="ENP469"/>
      <c r="ENQ469"/>
      <c r="ENR469"/>
      <c r="ENS469"/>
      <c r="ENT469"/>
      <c r="ENU469"/>
      <c r="ENV469"/>
      <c r="ENW469"/>
      <c r="ENX469"/>
      <c r="ENY469"/>
      <c r="ENZ469"/>
      <c r="EOA469"/>
      <c r="EOB469"/>
      <c r="EOC469"/>
      <c r="EOD469"/>
      <c r="EOE469"/>
      <c r="EOF469"/>
      <c r="EOG469"/>
      <c r="EOH469"/>
      <c r="EOI469"/>
      <c r="EOJ469"/>
      <c r="EOK469"/>
      <c r="EOL469"/>
      <c r="EOM469"/>
      <c r="EON469"/>
      <c r="EOO469"/>
      <c r="EOP469"/>
      <c r="EOQ469"/>
      <c r="EOR469"/>
      <c r="EOS469"/>
      <c r="EOT469"/>
      <c r="EOU469"/>
      <c r="EOV469"/>
      <c r="EOW469"/>
      <c r="EOX469"/>
      <c r="EOY469"/>
      <c r="EOZ469"/>
      <c r="EPA469"/>
      <c r="EPB469"/>
      <c r="EPC469"/>
      <c r="EPD469"/>
      <c r="EPE469"/>
      <c r="EPF469"/>
      <c r="EPG469"/>
      <c r="EPH469"/>
      <c r="EPI469"/>
      <c r="EPJ469"/>
      <c r="EPK469"/>
      <c r="EPL469"/>
      <c r="EPM469"/>
      <c r="EPN469"/>
      <c r="EPO469"/>
      <c r="EPP469"/>
      <c r="EPQ469"/>
      <c r="EPR469"/>
      <c r="EPS469"/>
      <c r="EPT469"/>
      <c r="EPU469"/>
      <c r="EPV469"/>
      <c r="EPW469"/>
      <c r="EPX469"/>
      <c r="EPY469"/>
      <c r="EPZ469"/>
      <c r="EQA469"/>
      <c r="EQB469"/>
      <c r="EQC469"/>
      <c r="EQD469"/>
      <c r="EQE469"/>
      <c r="EQF469"/>
      <c r="EQG469"/>
      <c r="EQH469"/>
      <c r="EQI469"/>
      <c r="EQJ469"/>
      <c r="EQK469"/>
      <c r="EQL469"/>
      <c r="EQM469"/>
      <c r="EQN469"/>
      <c r="EQO469"/>
      <c r="EQP469"/>
      <c r="EQQ469"/>
      <c r="EQR469"/>
      <c r="EQS469"/>
      <c r="EQT469"/>
      <c r="EQU469"/>
      <c r="EQV469"/>
      <c r="EQW469"/>
      <c r="EQX469"/>
      <c r="EQY469"/>
      <c r="EQZ469"/>
      <c r="ERA469"/>
      <c r="ERB469"/>
      <c r="ERC469"/>
      <c r="ERD469"/>
      <c r="ERE469"/>
      <c r="ERF469"/>
      <c r="ERG469"/>
      <c r="ERH469"/>
      <c r="ERI469"/>
      <c r="ERJ469"/>
      <c r="ERK469"/>
      <c r="ERL469"/>
      <c r="ERM469"/>
      <c r="ERN469"/>
      <c r="ERO469"/>
      <c r="ERP469"/>
      <c r="ERQ469"/>
      <c r="ERR469"/>
      <c r="ERS469"/>
      <c r="ERT469"/>
      <c r="ERU469"/>
      <c r="ERV469"/>
      <c r="ERW469"/>
      <c r="ERX469"/>
      <c r="ERY469"/>
      <c r="ERZ469"/>
      <c r="ESA469"/>
      <c r="ESB469"/>
      <c r="ESC469"/>
      <c r="ESD469"/>
      <c r="ESE469"/>
      <c r="ESF469"/>
      <c r="ESG469"/>
      <c r="ESH469"/>
      <c r="ESI469"/>
      <c r="ESJ469"/>
      <c r="ESK469"/>
      <c r="ESL469"/>
      <c r="ESM469"/>
      <c r="ESN469"/>
      <c r="ESO469"/>
      <c r="ESP469"/>
      <c r="ESQ469"/>
      <c r="ESR469"/>
      <c r="ESS469"/>
      <c r="EST469"/>
      <c r="ESU469"/>
      <c r="ESV469"/>
      <c r="ESW469"/>
      <c r="ESX469"/>
      <c r="ESY469"/>
      <c r="ESZ469"/>
      <c r="ETA469"/>
      <c r="ETB469"/>
      <c r="ETC469"/>
      <c r="ETD469"/>
      <c r="ETE469"/>
      <c r="ETF469"/>
      <c r="ETG469"/>
      <c r="ETH469"/>
      <c r="ETI469"/>
      <c r="ETJ469"/>
      <c r="ETK469"/>
      <c r="ETL469"/>
      <c r="ETM469"/>
      <c r="ETN469"/>
      <c r="ETO469"/>
      <c r="ETP469"/>
      <c r="ETQ469"/>
      <c r="ETR469"/>
      <c r="ETS469"/>
      <c r="ETT469"/>
      <c r="ETU469"/>
      <c r="ETV469"/>
      <c r="ETW469"/>
      <c r="ETX469"/>
      <c r="ETY469"/>
      <c r="ETZ469"/>
      <c r="EUA469"/>
      <c r="EUB469"/>
      <c r="EUC469"/>
      <c r="EUD469"/>
      <c r="EUE469"/>
      <c r="EUF469"/>
      <c r="EUG469"/>
      <c r="EUH469"/>
      <c r="EUI469"/>
      <c r="EUJ469"/>
      <c r="EUK469"/>
      <c r="EUL469"/>
      <c r="EUM469"/>
      <c r="EUN469"/>
      <c r="EUO469"/>
      <c r="EUP469"/>
      <c r="EUQ469"/>
      <c r="EUR469"/>
      <c r="EUS469"/>
      <c r="EUT469"/>
      <c r="EUU469"/>
      <c r="EUV469"/>
      <c r="EUW469"/>
      <c r="EUX469"/>
      <c r="EUY469"/>
      <c r="EUZ469"/>
      <c r="EVA469"/>
      <c r="EVB469"/>
      <c r="EVC469"/>
      <c r="EVD469"/>
      <c r="EVE469"/>
      <c r="EVF469"/>
      <c r="EVG469"/>
      <c r="EVH469"/>
      <c r="EVI469"/>
      <c r="EVJ469"/>
      <c r="EVK469"/>
      <c r="EVL469"/>
      <c r="EVM469"/>
      <c r="EVN469"/>
      <c r="EVO469"/>
      <c r="EVP469"/>
      <c r="EVQ469"/>
      <c r="EVR469"/>
      <c r="EVS469"/>
      <c r="EVT469"/>
      <c r="EVU469"/>
      <c r="EVV469"/>
      <c r="EVW469"/>
      <c r="EVX469"/>
      <c r="EVY469"/>
      <c r="EVZ469"/>
      <c r="EWA469"/>
      <c r="EWB469"/>
      <c r="EWC469"/>
      <c r="EWD469"/>
      <c r="EWE469"/>
      <c r="EWF469"/>
      <c r="EWG469"/>
      <c r="EWH469"/>
      <c r="EWI469"/>
      <c r="EWJ469"/>
      <c r="EWK469"/>
      <c r="EWL469"/>
      <c r="EWM469"/>
      <c r="EWN469"/>
      <c r="EWO469"/>
      <c r="EWP469"/>
      <c r="EWQ469"/>
      <c r="EWR469"/>
      <c r="EWS469"/>
      <c r="EWT469"/>
      <c r="EWU469"/>
      <c r="EWV469"/>
      <c r="EWW469"/>
      <c r="EWX469"/>
      <c r="EWY469"/>
      <c r="EWZ469"/>
      <c r="EXA469"/>
      <c r="EXB469"/>
      <c r="EXC469"/>
      <c r="EXD469"/>
      <c r="EXE469"/>
      <c r="EXF469"/>
      <c r="EXG469"/>
      <c r="EXH469"/>
      <c r="EXI469"/>
      <c r="EXJ469"/>
      <c r="EXK469"/>
      <c r="EXL469"/>
      <c r="EXM469"/>
      <c r="EXN469"/>
      <c r="EXO469"/>
      <c r="EXP469"/>
      <c r="EXQ469"/>
      <c r="EXR469"/>
      <c r="EXS469"/>
      <c r="EXT469"/>
      <c r="EXU469"/>
      <c r="EXV469"/>
      <c r="EXW469"/>
      <c r="EXX469"/>
      <c r="EXY469"/>
      <c r="EXZ469"/>
      <c r="EYA469"/>
      <c r="EYB469"/>
      <c r="EYC469"/>
      <c r="EYD469"/>
      <c r="EYE469"/>
      <c r="EYF469"/>
      <c r="EYG469"/>
      <c r="EYH469"/>
      <c r="EYI469"/>
      <c r="EYJ469"/>
      <c r="EYK469"/>
      <c r="EYL469"/>
      <c r="EYM469"/>
      <c r="EYN469"/>
      <c r="EYO469"/>
      <c r="EYP469"/>
      <c r="EYQ469"/>
      <c r="EYR469"/>
      <c r="EYS469"/>
      <c r="EYT469"/>
      <c r="EYU469"/>
      <c r="EYV469"/>
      <c r="EYW469"/>
      <c r="EYX469"/>
      <c r="EYY469"/>
      <c r="EYZ469"/>
      <c r="EZA469"/>
      <c r="EZB469"/>
      <c r="EZC469"/>
      <c r="EZD469"/>
      <c r="EZE469"/>
      <c r="EZF469"/>
      <c r="EZG469"/>
      <c r="EZH469"/>
      <c r="EZI469"/>
      <c r="EZJ469"/>
      <c r="EZK469"/>
      <c r="EZL469"/>
      <c r="EZM469"/>
      <c r="EZN469"/>
      <c r="EZO469"/>
      <c r="EZP469"/>
      <c r="EZQ469"/>
      <c r="EZR469"/>
      <c r="EZS469"/>
      <c r="EZT469"/>
      <c r="EZU469"/>
      <c r="EZV469"/>
      <c r="EZW469"/>
      <c r="EZX469"/>
      <c r="EZY469"/>
      <c r="EZZ469"/>
      <c r="FAA469"/>
      <c r="FAB469"/>
      <c r="FAC469"/>
      <c r="FAD469"/>
      <c r="FAE469"/>
      <c r="FAF469"/>
      <c r="FAG469"/>
      <c r="FAH469"/>
      <c r="FAI469"/>
      <c r="FAJ469"/>
      <c r="FAK469"/>
      <c r="FAL469"/>
      <c r="FAM469"/>
      <c r="FAN469"/>
      <c r="FAO469"/>
      <c r="FAP469"/>
      <c r="FAQ469"/>
      <c r="FAR469"/>
      <c r="FAS469"/>
      <c r="FAT469"/>
      <c r="FAU469"/>
      <c r="FAV469"/>
      <c r="FAW469"/>
      <c r="FAX469"/>
      <c r="FAY469"/>
      <c r="FAZ469"/>
      <c r="FBA469"/>
      <c r="FBB469"/>
      <c r="FBC469"/>
      <c r="FBD469"/>
      <c r="FBE469"/>
      <c r="FBF469"/>
      <c r="FBG469"/>
      <c r="FBH469"/>
      <c r="FBI469"/>
      <c r="FBJ469"/>
      <c r="FBK469"/>
      <c r="FBL469"/>
      <c r="FBM469"/>
      <c r="FBN469"/>
      <c r="FBO469"/>
      <c r="FBP469"/>
      <c r="FBQ469"/>
      <c r="FBR469"/>
      <c r="FBS469"/>
      <c r="FBT469"/>
      <c r="FBU469"/>
      <c r="FBV469"/>
      <c r="FBW469"/>
      <c r="FBX469"/>
      <c r="FBY469"/>
      <c r="FBZ469"/>
      <c r="FCA469"/>
      <c r="FCB469"/>
      <c r="FCC469"/>
      <c r="FCD469"/>
      <c r="FCE469"/>
      <c r="FCF469"/>
      <c r="FCG469"/>
      <c r="FCH469"/>
      <c r="FCI469"/>
      <c r="FCJ469"/>
      <c r="FCK469"/>
      <c r="FCL469"/>
      <c r="FCM469"/>
      <c r="FCN469"/>
      <c r="FCO469"/>
      <c r="FCP469"/>
      <c r="FCQ469"/>
      <c r="FCR469"/>
      <c r="FCS469"/>
      <c r="FCT469"/>
      <c r="FCU469"/>
      <c r="FCV469"/>
      <c r="FCW469"/>
      <c r="FCX469"/>
      <c r="FCY469"/>
      <c r="FCZ469"/>
      <c r="FDA469"/>
      <c r="FDB469"/>
      <c r="FDC469"/>
      <c r="FDD469"/>
      <c r="FDE469"/>
      <c r="FDF469"/>
      <c r="FDG469"/>
      <c r="FDH469"/>
      <c r="FDI469"/>
      <c r="FDJ469"/>
      <c r="FDK469"/>
      <c r="FDL469"/>
      <c r="FDM469"/>
      <c r="FDN469"/>
      <c r="FDO469"/>
      <c r="FDP469"/>
      <c r="FDQ469"/>
      <c r="FDR469"/>
      <c r="FDS469"/>
      <c r="FDT469"/>
      <c r="FDU469"/>
      <c r="FDV469"/>
      <c r="FDW469"/>
      <c r="FDX469"/>
      <c r="FDY469"/>
      <c r="FDZ469"/>
      <c r="FEA469"/>
      <c r="FEB469"/>
      <c r="FEC469"/>
      <c r="FED469"/>
      <c r="FEE469"/>
      <c r="FEF469"/>
      <c r="FEG469"/>
      <c r="FEH469"/>
      <c r="FEI469"/>
      <c r="FEJ469"/>
      <c r="FEK469"/>
      <c r="FEL469"/>
      <c r="FEM469"/>
      <c r="FEN469"/>
      <c r="FEO469"/>
      <c r="FEP469"/>
      <c r="FEQ469"/>
      <c r="FER469"/>
      <c r="FES469"/>
      <c r="FET469"/>
      <c r="FEU469"/>
      <c r="FEV469"/>
      <c r="FEW469"/>
      <c r="FEX469"/>
      <c r="FEY469"/>
      <c r="FEZ469"/>
      <c r="FFA469"/>
      <c r="FFB469"/>
      <c r="FFC469"/>
      <c r="FFD469"/>
      <c r="FFE469"/>
      <c r="FFF469"/>
      <c r="FFG469"/>
      <c r="FFH469"/>
      <c r="FFI469"/>
      <c r="FFJ469"/>
      <c r="FFK469"/>
      <c r="FFL469"/>
      <c r="FFM469"/>
      <c r="FFN469"/>
      <c r="FFO469"/>
      <c r="FFP469"/>
      <c r="FFQ469"/>
      <c r="FFR469"/>
      <c r="FFS469"/>
      <c r="FFT469"/>
      <c r="FFU469"/>
      <c r="FFV469"/>
      <c r="FFW469"/>
      <c r="FFX469"/>
      <c r="FFY469"/>
      <c r="FFZ469"/>
      <c r="FGA469"/>
      <c r="FGB469"/>
      <c r="FGC469"/>
      <c r="FGD469"/>
      <c r="FGE469"/>
      <c r="FGF469"/>
      <c r="FGG469"/>
      <c r="FGH469"/>
      <c r="FGI469"/>
      <c r="FGJ469"/>
      <c r="FGK469"/>
      <c r="FGL469"/>
      <c r="FGM469"/>
      <c r="FGN469"/>
      <c r="FGO469"/>
      <c r="FGP469"/>
      <c r="FGQ469"/>
      <c r="FGR469"/>
      <c r="FGS469"/>
      <c r="FGT469"/>
      <c r="FGU469"/>
      <c r="FGV469"/>
      <c r="FGW469"/>
      <c r="FGX469"/>
      <c r="FGY469"/>
      <c r="FGZ469"/>
      <c r="FHA469"/>
      <c r="FHB469"/>
      <c r="FHC469"/>
      <c r="FHD469"/>
      <c r="FHE469"/>
      <c r="FHF469"/>
      <c r="FHG469"/>
      <c r="FHH469"/>
      <c r="FHI469"/>
      <c r="FHJ469"/>
      <c r="FHK469"/>
      <c r="FHL469"/>
      <c r="FHM469"/>
      <c r="FHN469"/>
      <c r="FHO469"/>
      <c r="FHP469"/>
      <c r="FHQ469"/>
      <c r="FHR469"/>
      <c r="FHS469"/>
      <c r="FHT469"/>
      <c r="FHU469"/>
      <c r="FHV469"/>
      <c r="FHW469"/>
      <c r="FHX469"/>
      <c r="FHY469"/>
      <c r="FHZ469"/>
      <c r="FIA469"/>
      <c r="FIB469"/>
      <c r="FIC469"/>
      <c r="FID469"/>
      <c r="FIE469"/>
      <c r="FIF469"/>
      <c r="FIG469"/>
      <c r="FIH469"/>
      <c r="FII469"/>
      <c r="FIJ469"/>
      <c r="FIK469"/>
      <c r="FIL469"/>
      <c r="FIM469"/>
      <c r="FIN469"/>
      <c r="FIO469"/>
      <c r="FIP469"/>
      <c r="FIQ469"/>
      <c r="FIR469"/>
      <c r="FIS469"/>
      <c r="FIT469"/>
      <c r="FIU469"/>
      <c r="FIV469"/>
      <c r="FIW469"/>
      <c r="FIX469"/>
      <c r="FIY469"/>
      <c r="FIZ469"/>
      <c r="FJA469"/>
      <c r="FJB469"/>
      <c r="FJC469"/>
      <c r="FJD469"/>
      <c r="FJE469"/>
      <c r="FJF469"/>
      <c r="FJG469"/>
      <c r="FJH469"/>
      <c r="FJI469"/>
      <c r="FJJ469"/>
      <c r="FJK469"/>
      <c r="FJL469"/>
      <c r="FJM469"/>
      <c r="FJN469"/>
      <c r="FJO469"/>
      <c r="FJP469"/>
      <c r="FJQ469"/>
      <c r="FJR469"/>
      <c r="FJS469"/>
      <c r="FJT469"/>
      <c r="FJU469"/>
      <c r="FJV469"/>
      <c r="FJW469"/>
      <c r="FJX469"/>
      <c r="FJY469"/>
      <c r="FJZ469"/>
      <c r="FKA469"/>
      <c r="FKB469"/>
      <c r="FKC469"/>
      <c r="FKD469"/>
      <c r="FKE469"/>
      <c r="FKF469"/>
      <c r="FKG469"/>
      <c r="FKH469"/>
      <c r="FKI469"/>
      <c r="FKJ469"/>
      <c r="FKK469"/>
      <c r="FKL469"/>
      <c r="FKM469"/>
      <c r="FKN469"/>
      <c r="FKO469"/>
      <c r="FKP469"/>
      <c r="FKQ469"/>
      <c r="FKR469"/>
      <c r="FKS469"/>
      <c r="FKT469"/>
      <c r="FKU469"/>
      <c r="FKV469"/>
      <c r="FKW469"/>
      <c r="FKX469"/>
      <c r="FKY469"/>
      <c r="FKZ469"/>
      <c r="FLA469"/>
      <c r="FLB469"/>
      <c r="FLC469"/>
      <c r="FLD469"/>
      <c r="FLE469"/>
      <c r="FLF469"/>
      <c r="FLG469"/>
      <c r="FLH469"/>
      <c r="FLI469"/>
      <c r="FLJ469"/>
      <c r="FLK469"/>
      <c r="FLL469"/>
      <c r="FLM469"/>
      <c r="FLN469"/>
      <c r="FLO469"/>
      <c r="FLP469"/>
      <c r="FLQ469"/>
      <c r="FLR469"/>
      <c r="FLS469"/>
      <c r="FLT469"/>
      <c r="FLU469"/>
      <c r="FLV469"/>
      <c r="FLW469"/>
      <c r="FLX469"/>
      <c r="FLY469"/>
      <c r="FLZ469"/>
      <c r="FMA469"/>
      <c r="FMB469"/>
      <c r="FMC469"/>
      <c r="FMD469"/>
      <c r="FME469"/>
      <c r="FMF469"/>
      <c r="FMG469"/>
      <c r="FMH469"/>
      <c r="FMI469"/>
      <c r="FMJ469"/>
      <c r="FMK469"/>
      <c r="FML469"/>
      <c r="FMM469"/>
      <c r="FMN469"/>
      <c r="FMO469"/>
      <c r="FMP469"/>
      <c r="FMQ469"/>
      <c r="FMR469"/>
      <c r="FMS469"/>
      <c r="FMT469"/>
      <c r="FMU469"/>
      <c r="FMV469"/>
      <c r="FMW469"/>
      <c r="FMX469"/>
      <c r="FMY469"/>
      <c r="FMZ469"/>
      <c r="FNA469"/>
      <c r="FNB469"/>
      <c r="FNC469"/>
      <c r="FND469"/>
      <c r="FNE469"/>
      <c r="FNF469"/>
      <c r="FNG469"/>
      <c r="FNH469"/>
      <c r="FNI469"/>
      <c r="FNJ469"/>
      <c r="FNK469"/>
      <c r="FNL469"/>
      <c r="FNM469"/>
      <c r="FNN469"/>
      <c r="FNO469"/>
      <c r="FNP469"/>
      <c r="FNQ469"/>
      <c r="FNR469"/>
      <c r="FNS469"/>
      <c r="FNT469"/>
      <c r="FNU469"/>
      <c r="FNV469"/>
      <c r="FNW469"/>
      <c r="FNX469"/>
      <c r="FNY469"/>
      <c r="FNZ469"/>
      <c r="FOA469"/>
      <c r="FOB469"/>
      <c r="FOC469"/>
      <c r="FOD469"/>
      <c r="FOE469"/>
      <c r="FOF469"/>
      <c r="FOG469"/>
      <c r="FOH469"/>
      <c r="FOI469"/>
      <c r="FOJ469"/>
      <c r="FOK469"/>
      <c r="FOL469"/>
      <c r="FOM469"/>
      <c r="FON469"/>
      <c r="FOO469"/>
      <c r="FOP469"/>
      <c r="FOQ469"/>
      <c r="FOR469"/>
      <c r="FOS469"/>
      <c r="FOT469"/>
      <c r="FOU469"/>
      <c r="FOV469"/>
      <c r="FOW469"/>
      <c r="FOX469"/>
      <c r="FOY469"/>
      <c r="FOZ469"/>
      <c r="FPA469"/>
      <c r="FPB469"/>
      <c r="FPC469"/>
      <c r="FPD469"/>
      <c r="FPE469"/>
      <c r="FPF469"/>
      <c r="FPG469"/>
      <c r="FPH469"/>
      <c r="FPI469"/>
      <c r="FPJ469"/>
      <c r="FPK469"/>
      <c r="FPL469"/>
      <c r="FPM469"/>
      <c r="FPN469"/>
      <c r="FPO469"/>
      <c r="FPP469"/>
      <c r="FPQ469"/>
      <c r="FPR469"/>
      <c r="FPS469"/>
      <c r="FPT469"/>
      <c r="FPU469"/>
      <c r="FPV469"/>
      <c r="FPW469"/>
      <c r="FPX469"/>
      <c r="FPY469"/>
      <c r="FPZ469"/>
      <c r="FQA469"/>
      <c r="FQB469"/>
      <c r="FQC469"/>
      <c r="FQD469"/>
      <c r="FQE469"/>
      <c r="FQF469"/>
      <c r="FQG469"/>
      <c r="FQH469"/>
      <c r="FQI469"/>
      <c r="FQJ469"/>
      <c r="FQK469"/>
      <c r="FQL469"/>
      <c r="FQM469"/>
      <c r="FQN469"/>
      <c r="FQO469"/>
      <c r="FQP469"/>
      <c r="FQQ469"/>
      <c r="FQR469"/>
      <c r="FQS469"/>
      <c r="FQT469"/>
      <c r="FQU469"/>
      <c r="FQV469"/>
      <c r="FQW469"/>
      <c r="FQX469"/>
      <c r="FQY469"/>
      <c r="FQZ469"/>
      <c r="FRA469"/>
      <c r="FRB469"/>
      <c r="FRC469"/>
      <c r="FRD469"/>
      <c r="FRE469"/>
      <c r="FRF469"/>
      <c r="FRG469"/>
      <c r="FRH469"/>
      <c r="FRI469"/>
      <c r="FRJ469"/>
      <c r="FRK469"/>
      <c r="FRL469"/>
      <c r="FRM469"/>
      <c r="FRN469"/>
      <c r="FRO469"/>
      <c r="FRP469"/>
      <c r="FRQ469"/>
      <c r="FRR469"/>
      <c r="FRS469"/>
      <c r="FRT469"/>
      <c r="FRU469"/>
      <c r="FRV469"/>
      <c r="FRW469"/>
      <c r="FRX469"/>
      <c r="FRY469"/>
      <c r="FRZ469"/>
      <c r="FSA469"/>
      <c r="FSB469"/>
      <c r="FSC469"/>
      <c r="FSD469"/>
      <c r="FSE469"/>
      <c r="FSF469"/>
      <c r="FSG469"/>
      <c r="FSH469"/>
      <c r="FSI469"/>
      <c r="FSJ469"/>
      <c r="FSK469"/>
      <c r="FSL469"/>
      <c r="FSM469"/>
      <c r="FSN469"/>
      <c r="FSO469"/>
      <c r="FSP469"/>
      <c r="FSQ469"/>
      <c r="FSR469"/>
      <c r="FSS469"/>
      <c r="FST469"/>
      <c r="FSU469"/>
      <c r="FSV469"/>
      <c r="FSW469"/>
      <c r="FSX469"/>
      <c r="FSY469"/>
      <c r="FSZ469"/>
      <c r="FTA469"/>
      <c r="FTB469"/>
      <c r="FTC469"/>
      <c r="FTD469"/>
      <c r="FTE469"/>
      <c r="FTF469"/>
      <c r="FTG469"/>
      <c r="FTH469"/>
      <c r="FTI469"/>
      <c r="FTJ469"/>
      <c r="FTK469"/>
      <c r="FTL469"/>
      <c r="FTM469"/>
      <c r="FTN469"/>
      <c r="FTO469"/>
      <c r="FTP469"/>
      <c r="FTQ469"/>
      <c r="FTR469"/>
      <c r="FTS469"/>
      <c r="FTT469"/>
      <c r="FTU469"/>
      <c r="FTV469"/>
      <c r="FTW469"/>
      <c r="FTX469"/>
      <c r="FTY469"/>
      <c r="FTZ469"/>
      <c r="FUA469"/>
      <c r="FUB469"/>
      <c r="FUC469"/>
      <c r="FUD469"/>
      <c r="FUE469"/>
      <c r="FUF469"/>
      <c r="FUG469"/>
      <c r="FUH469"/>
      <c r="FUI469"/>
      <c r="FUJ469"/>
      <c r="FUK469"/>
      <c r="FUL469"/>
      <c r="FUM469"/>
      <c r="FUN469"/>
      <c r="FUO469"/>
      <c r="FUP469"/>
      <c r="FUQ469"/>
      <c r="FUR469"/>
      <c r="FUS469"/>
      <c r="FUT469"/>
      <c r="FUU469"/>
      <c r="FUV469"/>
      <c r="FUW469"/>
      <c r="FUX469"/>
      <c r="FUY469"/>
      <c r="FUZ469"/>
      <c r="FVA469"/>
      <c r="FVB469"/>
      <c r="FVC469"/>
      <c r="FVD469"/>
      <c r="FVE469"/>
      <c r="FVF469"/>
      <c r="FVG469"/>
      <c r="FVH469"/>
      <c r="FVI469"/>
      <c r="FVJ469"/>
      <c r="FVK469"/>
      <c r="FVL469"/>
      <c r="FVM469"/>
      <c r="FVN469"/>
      <c r="FVO469"/>
      <c r="FVP469"/>
      <c r="FVQ469"/>
      <c r="FVR469"/>
      <c r="FVS469"/>
      <c r="FVT469"/>
      <c r="FVU469"/>
      <c r="FVV469"/>
      <c r="FVW469"/>
      <c r="FVX469"/>
      <c r="FVY469"/>
      <c r="FVZ469"/>
      <c r="FWA469"/>
      <c r="FWB469"/>
      <c r="FWC469"/>
      <c r="FWD469"/>
      <c r="FWE469"/>
      <c r="FWF469"/>
      <c r="FWG469"/>
      <c r="FWH469"/>
      <c r="FWI469"/>
      <c r="FWJ469"/>
      <c r="FWK469"/>
      <c r="FWL469"/>
      <c r="FWM469"/>
      <c r="FWN469"/>
      <c r="FWO469"/>
      <c r="FWP469"/>
      <c r="FWQ469"/>
      <c r="FWR469"/>
      <c r="FWS469"/>
      <c r="FWT469"/>
      <c r="FWU469"/>
      <c r="FWV469"/>
      <c r="FWW469"/>
      <c r="FWX469"/>
      <c r="FWY469"/>
      <c r="FWZ469"/>
      <c r="FXA469"/>
      <c r="FXB469"/>
      <c r="FXC469"/>
      <c r="FXD469"/>
      <c r="FXE469"/>
      <c r="FXF469"/>
      <c r="FXG469"/>
      <c r="FXH469"/>
      <c r="FXI469"/>
      <c r="FXJ469"/>
      <c r="FXK469"/>
      <c r="FXL469"/>
      <c r="FXM469"/>
      <c r="FXN469"/>
      <c r="FXO469"/>
      <c r="FXP469"/>
      <c r="FXQ469"/>
      <c r="FXR469"/>
      <c r="FXS469"/>
      <c r="FXT469"/>
      <c r="FXU469"/>
      <c r="FXV469"/>
      <c r="FXW469"/>
      <c r="FXX469"/>
      <c r="FXY469"/>
      <c r="FXZ469"/>
      <c r="FYA469"/>
      <c r="FYB469"/>
      <c r="FYC469"/>
      <c r="FYD469"/>
      <c r="FYE469"/>
      <c r="FYF469"/>
      <c r="FYG469"/>
      <c r="FYH469"/>
      <c r="FYI469"/>
      <c r="FYJ469"/>
      <c r="FYK469"/>
      <c r="FYL469"/>
      <c r="FYM469"/>
      <c r="FYN469"/>
      <c r="FYO469"/>
      <c r="FYP469"/>
      <c r="FYQ469"/>
      <c r="FYR469"/>
      <c r="FYS469"/>
      <c r="FYT469"/>
      <c r="FYU469"/>
      <c r="FYV469"/>
      <c r="FYW469"/>
      <c r="FYX469"/>
      <c r="FYY469"/>
      <c r="FYZ469"/>
      <c r="FZA469"/>
      <c r="FZB469"/>
      <c r="FZC469"/>
      <c r="FZD469"/>
      <c r="FZE469"/>
      <c r="FZF469"/>
      <c r="FZG469"/>
      <c r="FZH469"/>
      <c r="FZI469"/>
      <c r="FZJ469"/>
      <c r="FZK469"/>
      <c r="FZL469"/>
      <c r="FZM469"/>
      <c r="FZN469"/>
      <c r="FZO469"/>
      <c r="FZP469"/>
      <c r="FZQ469"/>
      <c r="FZR469"/>
      <c r="FZS469"/>
      <c r="FZT469"/>
      <c r="FZU469"/>
      <c r="FZV469"/>
      <c r="FZW469"/>
      <c r="FZX469"/>
      <c r="FZY469"/>
      <c r="FZZ469"/>
      <c r="GAA469"/>
      <c r="GAB469"/>
      <c r="GAC469"/>
      <c r="GAD469"/>
      <c r="GAE469"/>
      <c r="GAF469"/>
      <c r="GAG469"/>
      <c r="GAH469"/>
      <c r="GAI469"/>
      <c r="GAJ469"/>
      <c r="GAK469"/>
      <c r="GAL469"/>
      <c r="GAM469"/>
      <c r="GAN469"/>
      <c r="GAO469"/>
      <c r="GAP469"/>
      <c r="GAQ469"/>
      <c r="GAR469"/>
      <c r="GAS469"/>
      <c r="GAT469"/>
      <c r="GAU469"/>
      <c r="GAV469"/>
      <c r="GAW469"/>
      <c r="GAX469"/>
      <c r="GAY469"/>
      <c r="GAZ469"/>
      <c r="GBA469"/>
      <c r="GBB469"/>
      <c r="GBC469"/>
      <c r="GBD469"/>
      <c r="GBE469"/>
      <c r="GBF469"/>
      <c r="GBG469"/>
      <c r="GBH469"/>
      <c r="GBI469"/>
      <c r="GBJ469"/>
      <c r="GBK469"/>
      <c r="GBL469"/>
      <c r="GBM469"/>
      <c r="GBN469"/>
      <c r="GBO469"/>
      <c r="GBP469"/>
      <c r="GBQ469"/>
      <c r="GBR469"/>
      <c r="GBS469"/>
      <c r="GBT469"/>
      <c r="GBU469"/>
      <c r="GBV469"/>
      <c r="GBW469"/>
      <c r="GBX469"/>
      <c r="GBY469"/>
      <c r="GBZ469"/>
      <c r="GCA469"/>
      <c r="GCB469"/>
      <c r="GCC469"/>
      <c r="GCD469"/>
      <c r="GCE469"/>
      <c r="GCF469"/>
      <c r="GCG469"/>
      <c r="GCH469"/>
      <c r="GCI469"/>
      <c r="GCJ469"/>
      <c r="GCK469"/>
      <c r="GCL469"/>
      <c r="GCM469"/>
      <c r="GCN469"/>
      <c r="GCO469"/>
      <c r="GCP469"/>
      <c r="GCQ469"/>
      <c r="GCR469"/>
      <c r="GCS469"/>
      <c r="GCT469"/>
      <c r="GCU469"/>
      <c r="GCV469"/>
      <c r="GCW469"/>
      <c r="GCX469"/>
      <c r="GCY469"/>
      <c r="GCZ469"/>
      <c r="GDA469"/>
      <c r="GDB469"/>
      <c r="GDC469"/>
      <c r="GDD469"/>
      <c r="GDE469"/>
      <c r="GDF469"/>
      <c r="GDG469"/>
      <c r="GDH469"/>
      <c r="GDI469"/>
      <c r="GDJ469"/>
      <c r="GDK469"/>
      <c r="GDL469"/>
      <c r="GDM469"/>
      <c r="GDN469"/>
      <c r="GDO469"/>
      <c r="GDP469"/>
      <c r="GDQ469"/>
      <c r="GDR469"/>
      <c r="GDS469"/>
      <c r="GDT469"/>
      <c r="GDU469"/>
      <c r="GDV469"/>
      <c r="GDW469"/>
      <c r="GDX469"/>
      <c r="GDY469"/>
      <c r="GDZ469"/>
      <c r="GEA469"/>
      <c r="GEB469"/>
      <c r="GEC469"/>
      <c r="GED469"/>
      <c r="GEE469"/>
      <c r="GEF469"/>
      <c r="GEG469"/>
      <c r="GEH469"/>
      <c r="GEI469"/>
      <c r="GEJ469"/>
      <c r="GEK469"/>
      <c r="GEL469"/>
      <c r="GEM469"/>
      <c r="GEN469"/>
      <c r="GEO469"/>
      <c r="GEP469"/>
      <c r="GEQ469"/>
      <c r="GER469"/>
      <c r="GES469"/>
      <c r="GET469"/>
      <c r="GEU469"/>
      <c r="GEV469"/>
      <c r="GEW469"/>
      <c r="GEX469"/>
      <c r="GEY469"/>
      <c r="GEZ469"/>
      <c r="GFA469"/>
      <c r="GFB469"/>
      <c r="GFC469"/>
      <c r="GFD469"/>
      <c r="GFE469"/>
      <c r="GFF469"/>
      <c r="GFG469"/>
      <c r="GFH469"/>
      <c r="GFI469"/>
      <c r="GFJ469"/>
      <c r="GFK469"/>
      <c r="GFL469"/>
      <c r="GFM469"/>
      <c r="GFN469"/>
      <c r="GFO469"/>
      <c r="GFP469"/>
      <c r="GFQ469"/>
      <c r="GFR469"/>
      <c r="GFS469"/>
      <c r="GFT469"/>
      <c r="GFU469"/>
      <c r="GFV469"/>
      <c r="GFW469"/>
      <c r="GFX469"/>
      <c r="GFY469"/>
      <c r="GFZ469"/>
      <c r="GGA469"/>
      <c r="GGB469"/>
      <c r="GGC469"/>
      <c r="GGD469"/>
      <c r="GGE469"/>
      <c r="GGF469"/>
      <c r="GGG469"/>
      <c r="GGH469"/>
      <c r="GGI469"/>
      <c r="GGJ469"/>
      <c r="GGK469"/>
      <c r="GGL469"/>
      <c r="GGM469"/>
      <c r="GGN469"/>
      <c r="GGO469"/>
      <c r="GGP469"/>
      <c r="GGQ469"/>
      <c r="GGR469"/>
      <c r="GGS469"/>
      <c r="GGT469"/>
      <c r="GGU469"/>
      <c r="GGV469"/>
      <c r="GGW469"/>
      <c r="GGX469"/>
      <c r="GGY469"/>
      <c r="GGZ469"/>
      <c r="GHA469"/>
      <c r="GHB469"/>
      <c r="GHC469"/>
      <c r="GHD469"/>
      <c r="GHE469"/>
      <c r="GHF469"/>
      <c r="GHG469"/>
      <c r="GHH469"/>
      <c r="GHI469"/>
      <c r="GHJ469"/>
      <c r="GHK469"/>
      <c r="GHL469"/>
      <c r="GHM469"/>
      <c r="GHN469"/>
      <c r="GHO469"/>
      <c r="GHP469"/>
      <c r="GHQ469"/>
      <c r="GHR469"/>
      <c r="GHS469"/>
      <c r="GHT469"/>
      <c r="GHU469"/>
      <c r="GHV469"/>
      <c r="GHW469"/>
      <c r="GHX469"/>
      <c r="GHY469"/>
      <c r="GHZ469"/>
      <c r="GIA469"/>
      <c r="GIB469"/>
      <c r="GIC469"/>
      <c r="GID469"/>
      <c r="GIE469"/>
      <c r="GIF469"/>
      <c r="GIG469"/>
      <c r="GIH469"/>
      <c r="GII469"/>
      <c r="GIJ469"/>
      <c r="GIK469"/>
      <c r="GIL469"/>
      <c r="GIM469"/>
      <c r="GIN469"/>
      <c r="GIO469"/>
      <c r="GIP469"/>
      <c r="GIQ469"/>
      <c r="GIR469"/>
      <c r="GIS469"/>
      <c r="GIT469"/>
      <c r="GIU469"/>
      <c r="GIV469"/>
      <c r="GIW469"/>
      <c r="GIX469"/>
      <c r="GIY469"/>
      <c r="GIZ469"/>
      <c r="GJA469"/>
      <c r="GJB469"/>
      <c r="GJC469"/>
      <c r="GJD469"/>
      <c r="GJE469"/>
      <c r="GJF469"/>
      <c r="GJG469"/>
      <c r="GJH469"/>
      <c r="GJI469"/>
      <c r="GJJ469"/>
      <c r="GJK469"/>
      <c r="GJL469"/>
      <c r="GJM469"/>
      <c r="GJN469"/>
      <c r="GJO469"/>
      <c r="GJP469"/>
      <c r="GJQ469"/>
      <c r="GJR469"/>
      <c r="GJS469"/>
      <c r="GJT469"/>
      <c r="GJU469"/>
      <c r="GJV469"/>
      <c r="GJW469"/>
      <c r="GJX469"/>
      <c r="GJY469"/>
      <c r="GJZ469"/>
      <c r="GKA469"/>
      <c r="GKB469"/>
      <c r="GKC469"/>
      <c r="GKD469"/>
      <c r="GKE469"/>
      <c r="GKF469"/>
      <c r="GKG469"/>
      <c r="GKH469"/>
      <c r="GKI469"/>
      <c r="GKJ469"/>
      <c r="GKK469"/>
      <c r="GKL469"/>
      <c r="GKM469"/>
      <c r="GKN469"/>
      <c r="GKO469"/>
      <c r="GKP469"/>
      <c r="GKQ469"/>
      <c r="GKR469"/>
      <c r="GKS469"/>
      <c r="GKT469"/>
      <c r="GKU469"/>
      <c r="GKV469"/>
      <c r="GKW469"/>
      <c r="GKX469"/>
      <c r="GKY469"/>
      <c r="GKZ469"/>
      <c r="GLA469"/>
      <c r="GLB469"/>
      <c r="GLC469"/>
      <c r="GLD469"/>
      <c r="GLE469"/>
      <c r="GLF469"/>
      <c r="GLG469"/>
      <c r="GLH469"/>
      <c r="GLI469"/>
      <c r="GLJ469"/>
      <c r="GLK469"/>
      <c r="GLL469"/>
      <c r="GLM469"/>
      <c r="GLN469"/>
      <c r="GLO469"/>
      <c r="GLP469"/>
      <c r="GLQ469"/>
      <c r="GLR469"/>
      <c r="GLS469"/>
      <c r="GLT469"/>
      <c r="GLU469"/>
      <c r="GLV469"/>
      <c r="GLW469"/>
      <c r="GLX469"/>
      <c r="GLY469"/>
      <c r="GLZ469"/>
      <c r="GMA469"/>
      <c r="GMB469"/>
      <c r="GMC469"/>
      <c r="GMD469"/>
      <c r="GME469"/>
      <c r="GMF469"/>
      <c r="GMG469"/>
      <c r="GMH469"/>
      <c r="GMI469"/>
      <c r="GMJ469"/>
      <c r="GMK469"/>
      <c r="GML469"/>
      <c r="GMM469"/>
      <c r="GMN469"/>
      <c r="GMO469"/>
      <c r="GMP469"/>
      <c r="GMQ469"/>
      <c r="GMR469"/>
      <c r="GMS469"/>
      <c r="GMT469"/>
      <c r="GMU469"/>
      <c r="GMV469"/>
      <c r="GMW469"/>
      <c r="GMX469"/>
      <c r="GMY469"/>
      <c r="GMZ469"/>
      <c r="GNA469"/>
      <c r="GNB469"/>
      <c r="GNC469"/>
      <c r="GND469"/>
      <c r="GNE469"/>
      <c r="GNF469"/>
      <c r="GNG469"/>
      <c r="GNH469"/>
      <c r="GNI469"/>
      <c r="GNJ469"/>
      <c r="GNK469"/>
      <c r="GNL469"/>
      <c r="GNM469"/>
      <c r="GNN469"/>
      <c r="GNO469"/>
      <c r="GNP469"/>
      <c r="GNQ469"/>
      <c r="GNR469"/>
      <c r="GNS469"/>
      <c r="GNT469"/>
      <c r="GNU469"/>
      <c r="GNV469"/>
      <c r="GNW469"/>
      <c r="GNX469"/>
      <c r="GNY469"/>
      <c r="GNZ469"/>
      <c r="GOA469"/>
      <c r="GOB469"/>
      <c r="GOC469"/>
      <c r="GOD469"/>
      <c r="GOE469"/>
      <c r="GOF469"/>
      <c r="GOG469"/>
      <c r="GOH469"/>
      <c r="GOI469"/>
      <c r="GOJ469"/>
      <c r="GOK469"/>
      <c r="GOL469"/>
      <c r="GOM469"/>
      <c r="GON469"/>
      <c r="GOO469"/>
      <c r="GOP469"/>
      <c r="GOQ469"/>
      <c r="GOR469"/>
      <c r="GOS469"/>
      <c r="GOT469"/>
      <c r="GOU469"/>
      <c r="GOV469"/>
      <c r="GOW469"/>
      <c r="GOX469"/>
      <c r="GOY469"/>
      <c r="GOZ469"/>
      <c r="GPA469"/>
      <c r="GPB469"/>
      <c r="GPC469"/>
      <c r="GPD469"/>
      <c r="GPE469"/>
      <c r="GPF469"/>
      <c r="GPG469"/>
      <c r="GPH469"/>
      <c r="GPI469"/>
      <c r="GPJ469"/>
      <c r="GPK469"/>
      <c r="GPL469"/>
      <c r="GPM469"/>
      <c r="GPN469"/>
      <c r="GPO469"/>
      <c r="GPP469"/>
      <c r="GPQ469"/>
      <c r="GPR469"/>
      <c r="GPS469"/>
      <c r="GPT469"/>
      <c r="GPU469"/>
      <c r="GPV469"/>
      <c r="GPW469"/>
      <c r="GPX469"/>
      <c r="GPY469"/>
      <c r="GPZ469"/>
      <c r="GQA469"/>
      <c r="GQB469"/>
      <c r="GQC469"/>
      <c r="GQD469"/>
      <c r="GQE469"/>
      <c r="GQF469"/>
      <c r="GQG469"/>
      <c r="GQH469"/>
      <c r="GQI469"/>
      <c r="GQJ469"/>
      <c r="GQK469"/>
      <c r="GQL469"/>
      <c r="GQM469"/>
      <c r="GQN469"/>
      <c r="GQO469"/>
      <c r="GQP469"/>
      <c r="GQQ469"/>
      <c r="GQR469"/>
      <c r="GQS469"/>
      <c r="GQT469"/>
      <c r="GQU469"/>
      <c r="GQV469"/>
      <c r="GQW469"/>
      <c r="GQX469"/>
      <c r="GQY469"/>
      <c r="GQZ469"/>
      <c r="GRA469"/>
      <c r="GRB469"/>
      <c r="GRC469"/>
      <c r="GRD469"/>
      <c r="GRE469"/>
      <c r="GRF469"/>
      <c r="GRG469"/>
      <c r="GRH469"/>
      <c r="GRI469"/>
      <c r="GRJ469"/>
      <c r="GRK469"/>
      <c r="GRL469"/>
      <c r="GRM469"/>
      <c r="GRN469"/>
      <c r="GRO469"/>
      <c r="GRP469"/>
      <c r="GRQ469"/>
      <c r="GRR469"/>
      <c r="GRS469"/>
      <c r="GRT469"/>
      <c r="GRU469"/>
      <c r="GRV469"/>
      <c r="GRW469"/>
      <c r="GRX469"/>
      <c r="GRY469"/>
      <c r="GRZ469"/>
      <c r="GSA469"/>
      <c r="GSB469"/>
      <c r="GSC469"/>
      <c r="GSD469"/>
      <c r="GSE469"/>
      <c r="GSF469"/>
      <c r="GSG469"/>
      <c r="GSH469"/>
      <c r="GSI469"/>
      <c r="GSJ469"/>
      <c r="GSK469"/>
      <c r="GSL469"/>
      <c r="GSM469"/>
      <c r="GSN469"/>
      <c r="GSO469"/>
      <c r="GSP469"/>
      <c r="GSQ469"/>
      <c r="GSR469"/>
      <c r="GSS469"/>
      <c r="GST469"/>
      <c r="GSU469"/>
      <c r="GSV469"/>
      <c r="GSW469"/>
      <c r="GSX469"/>
      <c r="GSY469"/>
      <c r="GSZ469"/>
      <c r="GTA469"/>
      <c r="GTB469"/>
      <c r="GTC469"/>
      <c r="GTD469"/>
      <c r="GTE469"/>
      <c r="GTF469"/>
      <c r="GTG469"/>
      <c r="GTH469"/>
      <c r="GTI469"/>
      <c r="GTJ469"/>
      <c r="GTK469"/>
      <c r="GTL469"/>
      <c r="GTM469"/>
      <c r="GTN469"/>
      <c r="GTO469"/>
      <c r="GTP469"/>
      <c r="GTQ469"/>
      <c r="GTR469"/>
      <c r="GTS469"/>
      <c r="GTT469"/>
      <c r="GTU469"/>
      <c r="GTV469"/>
      <c r="GTW469"/>
      <c r="GTX469"/>
      <c r="GTY469"/>
      <c r="GTZ469"/>
      <c r="GUA469"/>
      <c r="GUB469"/>
      <c r="GUC469"/>
      <c r="GUD469"/>
      <c r="GUE469"/>
      <c r="GUF469"/>
      <c r="GUG469"/>
      <c r="GUH469"/>
      <c r="GUI469"/>
      <c r="GUJ469"/>
      <c r="GUK469"/>
      <c r="GUL469"/>
      <c r="GUM469"/>
      <c r="GUN469"/>
      <c r="GUO469"/>
      <c r="GUP469"/>
      <c r="GUQ469"/>
      <c r="GUR469"/>
      <c r="GUS469"/>
      <c r="GUT469"/>
      <c r="GUU469"/>
      <c r="GUV469"/>
      <c r="GUW469"/>
      <c r="GUX469"/>
      <c r="GUY469"/>
      <c r="GUZ469"/>
      <c r="GVA469"/>
      <c r="GVB469"/>
      <c r="GVC469"/>
      <c r="GVD469"/>
      <c r="GVE469"/>
      <c r="GVF469"/>
      <c r="GVG469"/>
      <c r="GVH469"/>
      <c r="GVI469"/>
      <c r="GVJ469"/>
      <c r="GVK469"/>
      <c r="GVL469"/>
      <c r="GVM469"/>
      <c r="GVN469"/>
      <c r="GVO469"/>
      <c r="GVP469"/>
      <c r="GVQ469"/>
      <c r="GVR469"/>
      <c r="GVS469"/>
      <c r="GVT469"/>
      <c r="GVU469"/>
      <c r="GVV469"/>
      <c r="GVW469"/>
      <c r="GVX469"/>
      <c r="GVY469"/>
      <c r="GVZ469"/>
      <c r="GWA469"/>
      <c r="GWB469"/>
      <c r="GWC469"/>
      <c r="GWD469"/>
      <c r="GWE469"/>
      <c r="GWF469"/>
      <c r="GWG469"/>
      <c r="GWH469"/>
      <c r="GWI469"/>
      <c r="GWJ469"/>
      <c r="GWK469"/>
      <c r="GWL469"/>
      <c r="GWM469"/>
      <c r="GWN469"/>
      <c r="GWO469"/>
      <c r="GWP469"/>
      <c r="GWQ469"/>
      <c r="GWR469"/>
      <c r="GWS469"/>
      <c r="GWT469"/>
      <c r="GWU469"/>
      <c r="GWV469"/>
      <c r="GWW469"/>
      <c r="GWX469"/>
      <c r="GWY469"/>
      <c r="GWZ469"/>
      <c r="GXA469"/>
      <c r="GXB469"/>
      <c r="GXC469"/>
      <c r="GXD469"/>
      <c r="GXE469"/>
      <c r="GXF469"/>
      <c r="GXG469"/>
      <c r="GXH469"/>
      <c r="GXI469"/>
      <c r="GXJ469"/>
      <c r="GXK469"/>
      <c r="GXL469"/>
      <c r="GXM469"/>
      <c r="GXN469"/>
      <c r="GXO469"/>
      <c r="GXP469"/>
      <c r="GXQ469"/>
      <c r="GXR469"/>
      <c r="GXS469"/>
      <c r="GXT469"/>
      <c r="GXU469"/>
      <c r="GXV469"/>
      <c r="GXW469"/>
      <c r="GXX469"/>
      <c r="GXY469"/>
      <c r="GXZ469"/>
      <c r="GYA469"/>
      <c r="GYB469"/>
      <c r="GYC469"/>
      <c r="GYD469"/>
      <c r="GYE469"/>
      <c r="GYF469"/>
      <c r="GYG469"/>
      <c r="GYH469"/>
      <c r="GYI469"/>
      <c r="GYJ469"/>
      <c r="GYK469"/>
      <c r="GYL469"/>
      <c r="GYM469"/>
      <c r="GYN469"/>
      <c r="GYO469"/>
      <c r="GYP469"/>
      <c r="GYQ469"/>
      <c r="GYR469"/>
      <c r="GYS469"/>
      <c r="GYT469"/>
      <c r="GYU469"/>
      <c r="GYV469"/>
      <c r="GYW469"/>
      <c r="GYX469"/>
      <c r="GYY469"/>
      <c r="GYZ469"/>
      <c r="GZA469"/>
      <c r="GZB469"/>
      <c r="GZC469"/>
      <c r="GZD469"/>
      <c r="GZE469"/>
      <c r="GZF469"/>
      <c r="GZG469"/>
      <c r="GZH469"/>
      <c r="GZI469"/>
      <c r="GZJ469"/>
      <c r="GZK469"/>
      <c r="GZL469"/>
      <c r="GZM469"/>
      <c r="GZN469"/>
      <c r="GZO469"/>
      <c r="GZP469"/>
      <c r="GZQ469"/>
      <c r="GZR469"/>
      <c r="GZS469"/>
      <c r="GZT469"/>
      <c r="GZU469"/>
      <c r="GZV469"/>
      <c r="GZW469"/>
      <c r="GZX469"/>
      <c r="GZY469"/>
      <c r="GZZ469"/>
      <c r="HAA469"/>
      <c r="HAB469"/>
      <c r="HAC469"/>
      <c r="HAD469"/>
      <c r="HAE469"/>
      <c r="HAF469"/>
      <c r="HAG469"/>
      <c r="HAH469"/>
      <c r="HAI469"/>
      <c r="HAJ469"/>
      <c r="HAK469"/>
      <c r="HAL469"/>
      <c r="HAM469"/>
      <c r="HAN469"/>
      <c r="HAO469"/>
      <c r="HAP469"/>
      <c r="HAQ469"/>
      <c r="HAR469"/>
      <c r="HAS469"/>
      <c r="HAT469"/>
      <c r="HAU469"/>
      <c r="HAV469"/>
      <c r="HAW469"/>
      <c r="HAX469"/>
      <c r="HAY469"/>
      <c r="HAZ469"/>
      <c r="HBA469"/>
      <c r="HBB469"/>
      <c r="HBC469"/>
      <c r="HBD469"/>
      <c r="HBE469"/>
      <c r="HBF469"/>
      <c r="HBG469"/>
      <c r="HBH469"/>
      <c r="HBI469"/>
      <c r="HBJ469"/>
      <c r="HBK469"/>
      <c r="HBL469"/>
      <c r="HBM469"/>
      <c r="HBN469"/>
      <c r="HBO469"/>
      <c r="HBP469"/>
      <c r="HBQ469"/>
      <c r="HBR469"/>
      <c r="HBS469"/>
      <c r="HBT469"/>
      <c r="HBU469"/>
      <c r="HBV469"/>
      <c r="HBW469"/>
      <c r="HBX469"/>
      <c r="HBY469"/>
      <c r="HBZ469"/>
      <c r="HCA469"/>
      <c r="HCB469"/>
      <c r="HCC469"/>
      <c r="HCD469"/>
      <c r="HCE469"/>
      <c r="HCF469"/>
      <c r="HCG469"/>
      <c r="HCH469"/>
      <c r="HCI469"/>
      <c r="HCJ469"/>
      <c r="HCK469"/>
      <c r="HCL469"/>
      <c r="HCM469"/>
      <c r="HCN469"/>
      <c r="HCO469"/>
      <c r="HCP469"/>
      <c r="HCQ469"/>
      <c r="HCR469"/>
      <c r="HCS469"/>
      <c r="HCT469"/>
      <c r="HCU469"/>
      <c r="HCV469"/>
      <c r="HCW469"/>
      <c r="HCX469"/>
      <c r="HCY469"/>
      <c r="HCZ469"/>
      <c r="HDA469"/>
      <c r="HDB469"/>
      <c r="HDC469"/>
      <c r="HDD469"/>
      <c r="HDE469"/>
      <c r="HDF469"/>
      <c r="HDG469"/>
      <c r="HDH469"/>
      <c r="HDI469"/>
      <c r="HDJ469"/>
      <c r="HDK469"/>
      <c r="HDL469"/>
      <c r="HDM469"/>
      <c r="HDN469"/>
      <c r="HDO469"/>
      <c r="HDP469"/>
      <c r="HDQ469"/>
      <c r="HDR469"/>
      <c r="HDS469"/>
      <c r="HDT469"/>
      <c r="HDU469"/>
      <c r="HDV469"/>
      <c r="HDW469"/>
      <c r="HDX469"/>
      <c r="HDY469"/>
      <c r="HDZ469"/>
      <c r="HEA469"/>
      <c r="HEB469"/>
      <c r="HEC469"/>
      <c r="HED469"/>
      <c r="HEE469"/>
      <c r="HEF469"/>
      <c r="HEG469"/>
      <c r="HEH469"/>
      <c r="HEI469"/>
      <c r="HEJ469"/>
      <c r="HEK469"/>
      <c r="HEL469"/>
      <c r="HEM469"/>
      <c r="HEN469"/>
      <c r="HEO469"/>
      <c r="HEP469"/>
      <c r="HEQ469"/>
      <c r="HER469"/>
      <c r="HES469"/>
      <c r="HET469"/>
      <c r="HEU469"/>
      <c r="HEV469"/>
      <c r="HEW469"/>
      <c r="HEX469"/>
      <c r="HEY469"/>
      <c r="HEZ469"/>
      <c r="HFA469"/>
      <c r="HFB469"/>
      <c r="HFC469"/>
      <c r="HFD469"/>
      <c r="HFE469"/>
      <c r="HFF469"/>
      <c r="HFG469"/>
      <c r="HFH469"/>
      <c r="HFI469"/>
      <c r="HFJ469"/>
      <c r="HFK469"/>
      <c r="HFL469"/>
      <c r="HFM469"/>
      <c r="HFN469"/>
      <c r="HFO469"/>
      <c r="HFP469"/>
      <c r="HFQ469"/>
      <c r="HFR469"/>
      <c r="HFS469"/>
      <c r="HFT469"/>
      <c r="HFU469"/>
      <c r="HFV469"/>
      <c r="HFW469"/>
      <c r="HFX469"/>
      <c r="HFY469"/>
      <c r="HFZ469"/>
      <c r="HGA469"/>
      <c r="HGB469"/>
      <c r="HGC469"/>
      <c r="HGD469"/>
      <c r="HGE469"/>
      <c r="HGF469"/>
      <c r="HGG469"/>
      <c r="HGH469"/>
      <c r="HGI469"/>
      <c r="HGJ469"/>
      <c r="HGK469"/>
      <c r="HGL469"/>
      <c r="HGM469"/>
      <c r="HGN469"/>
      <c r="HGO469"/>
      <c r="HGP469"/>
      <c r="HGQ469"/>
      <c r="HGR469"/>
      <c r="HGS469"/>
      <c r="HGT469"/>
      <c r="HGU469"/>
      <c r="HGV469"/>
      <c r="HGW469"/>
      <c r="HGX469"/>
      <c r="HGY469"/>
      <c r="HGZ469"/>
      <c r="HHA469"/>
      <c r="HHB469"/>
      <c r="HHC469"/>
      <c r="HHD469"/>
      <c r="HHE469"/>
      <c r="HHF469"/>
      <c r="HHG469"/>
      <c r="HHH469"/>
      <c r="HHI469"/>
      <c r="HHJ469"/>
      <c r="HHK469"/>
      <c r="HHL469"/>
      <c r="HHM469"/>
      <c r="HHN469"/>
      <c r="HHO469"/>
      <c r="HHP469"/>
      <c r="HHQ469"/>
      <c r="HHR469"/>
      <c r="HHS469"/>
      <c r="HHT469"/>
      <c r="HHU469"/>
      <c r="HHV469"/>
      <c r="HHW469"/>
      <c r="HHX469"/>
      <c r="HHY469"/>
      <c r="HHZ469"/>
      <c r="HIA469"/>
      <c r="HIB469"/>
      <c r="HIC469"/>
      <c r="HID469"/>
      <c r="HIE469"/>
      <c r="HIF469"/>
      <c r="HIG469"/>
      <c r="HIH469"/>
      <c r="HII469"/>
      <c r="HIJ469"/>
      <c r="HIK469"/>
      <c r="HIL469"/>
      <c r="HIM469"/>
      <c r="HIN469"/>
      <c r="HIO469"/>
      <c r="HIP469"/>
      <c r="HIQ469"/>
      <c r="HIR469"/>
      <c r="HIS469"/>
      <c r="HIT469"/>
      <c r="HIU469"/>
      <c r="HIV469"/>
      <c r="HIW469"/>
      <c r="HIX469"/>
      <c r="HIY469"/>
      <c r="HIZ469"/>
      <c r="HJA469"/>
      <c r="HJB469"/>
      <c r="HJC469"/>
      <c r="HJD469"/>
      <c r="HJE469"/>
      <c r="HJF469"/>
      <c r="HJG469"/>
      <c r="HJH469"/>
      <c r="HJI469"/>
      <c r="HJJ469"/>
      <c r="HJK469"/>
      <c r="HJL469"/>
      <c r="HJM469"/>
      <c r="HJN469"/>
      <c r="HJO469"/>
      <c r="HJP469"/>
      <c r="HJQ469"/>
      <c r="HJR469"/>
      <c r="HJS469"/>
      <c r="HJT469"/>
      <c r="HJU469"/>
      <c r="HJV469"/>
      <c r="HJW469"/>
      <c r="HJX469"/>
      <c r="HJY469"/>
      <c r="HJZ469"/>
      <c r="HKA469"/>
      <c r="HKB469"/>
      <c r="HKC469"/>
      <c r="HKD469"/>
      <c r="HKE469"/>
      <c r="HKF469"/>
      <c r="HKG469"/>
      <c r="HKH469"/>
      <c r="HKI469"/>
      <c r="HKJ469"/>
      <c r="HKK469"/>
      <c r="HKL469"/>
      <c r="HKM469"/>
      <c r="HKN469"/>
      <c r="HKO469"/>
      <c r="HKP469"/>
      <c r="HKQ469"/>
      <c r="HKR469"/>
      <c r="HKS469"/>
      <c r="HKT469"/>
      <c r="HKU469"/>
      <c r="HKV469"/>
      <c r="HKW469"/>
      <c r="HKX469"/>
      <c r="HKY469"/>
      <c r="HKZ469"/>
      <c r="HLA469"/>
      <c r="HLB469"/>
      <c r="HLC469"/>
      <c r="HLD469"/>
      <c r="HLE469"/>
      <c r="HLF469"/>
      <c r="HLG469"/>
      <c r="HLH469"/>
      <c r="HLI469"/>
      <c r="HLJ469"/>
      <c r="HLK469"/>
      <c r="HLL469"/>
      <c r="HLM469"/>
      <c r="HLN469"/>
      <c r="HLO469"/>
      <c r="HLP469"/>
      <c r="HLQ469"/>
      <c r="HLR469"/>
      <c r="HLS469"/>
      <c r="HLT469"/>
      <c r="HLU469"/>
      <c r="HLV469"/>
      <c r="HLW469"/>
      <c r="HLX469"/>
      <c r="HLY469"/>
      <c r="HLZ469"/>
      <c r="HMA469"/>
      <c r="HMB469"/>
      <c r="HMC469"/>
      <c r="HMD469"/>
      <c r="HME469"/>
      <c r="HMF469"/>
      <c r="HMG469"/>
      <c r="HMH469"/>
      <c r="HMI469"/>
      <c r="HMJ469"/>
      <c r="HMK469"/>
      <c r="HML469"/>
      <c r="HMM469"/>
      <c r="HMN469"/>
      <c r="HMO469"/>
      <c r="HMP469"/>
      <c r="HMQ469"/>
      <c r="HMR469"/>
      <c r="HMS469"/>
      <c r="HMT469"/>
      <c r="HMU469"/>
      <c r="HMV469"/>
      <c r="HMW469"/>
      <c r="HMX469"/>
      <c r="HMY469"/>
      <c r="HMZ469"/>
      <c r="HNA469"/>
      <c r="HNB469"/>
      <c r="HNC469"/>
      <c r="HND469"/>
      <c r="HNE469"/>
      <c r="HNF469"/>
      <c r="HNG469"/>
      <c r="HNH469"/>
      <c r="HNI469"/>
      <c r="HNJ469"/>
      <c r="HNK469"/>
      <c r="HNL469"/>
      <c r="HNM469"/>
      <c r="HNN469"/>
      <c r="HNO469"/>
      <c r="HNP469"/>
      <c r="HNQ469"/>
      <c r="HNR469"/>
      <c r="HNS469"/>
      <c r="HNT469"/>
      <c r="HNU469"/>
      <c r="HNV469"/>
      <c r="HNW469"/>
      <c r="HNX469"/>
      <c r="HNY469"/>
      <c r="HNZ469"/>
      <c r="HOA469"/>
      <c r="HOB469"/>
      <c r="HOC469"/>
      <c r="HOD469"/>
      <c r="HOE469"/>
      <c r="HOF469"/>
      <c r="HOG469"/>
      <c r="HOH469"/>
      <c r="HOI469"/>
      <c r="HOJ469"/>
      <c r="HOK469"/>
      <c r="HOL469"/>
      <c r="HOM469"/>
      <c r="HON469"/>
      <c r="HOO469"/>
      <c r="HOP469"/>
      <c r="HOQ469"/>
      <c r="HOR469"/>
      <c r="HOS469"/>
      <c r="HOT469"/>
      <c r="HOU469"/>
      <c r="HOV469"/>
      <c r="HOW469"/>
      <c r="HOX469"/>
      <c r="HOY469"/>
      <c r="HOZ469"/>
      <c r="HPA469"/>
      <c r="HPB469"/>
      <c r="HPC469"/>
      <c r="HPD469"/>
      <c r="HPE469"/>
      <c r="HPF469"/>
      <c r="HPG469"/>
      <c r="HPH469"/>
      <c r="HPI469"/>
      <c r="HPJ469"/>
      <c r="HPK469"/>
      <c r="HPL469"/>
      <c r="HPM469"/>
      <c r="HPN469"/>
      <c r="HPO469"/>
      <c r="HPP469"/>
      <c r="HPQ469"/>
      <c r="HPR469"/>
      <c r="HPS469"/>
      <c r="HPT469"/>
      <c r="HPU469"/>
      <c r="HPV469"/>
      <c r="HPW469"/>
      <c r="HPX469"/>
      <c r="HPY469"/>
      <c r="HPZ469"/>
      <c r="HQA469"/>
      <c r="HQB469"/>
      <c r="HQC469"/>
      <c r="HQD469"/>
      <c r="HQE469"/>
      <c r="HQF469"/>
      <c r="HQG469"/>
      <c r="HQH469"/>
      <c r="HQI469"/>
      <c r="HQJ469"/>
      <c r="HQK469"/>
      <c r="HQL469"/>
      <c r="HQM469"/>
      <c r="HQN469"/>
      <c r="HQO469"/>
      <c r="HQP469"/>
      <c r="HQQ469"/>
      <c r="HQR469"/>
      <c r="HQS469"/>
      <c r="HQT469"/>
      <c r="HQU469"/>
      <c r="HQV469"/>
      <c r="HQW469"/>
      <c r="HQX469"/>
      <c r="HQY469"/>
      <c r="HQZ469"/>
      <c r="HRA469"/>
      <c r="HRB469"/>
      <c r="HRC469"/>
      <c r="HRD469"/>
      <c r="HRE469"/>
      <c r="HRF469"/>
      <c r="HRG469"/>
      <c r="HRH469"/>
      <c r="HRI469"/>
      <c r="HRJ469"/>
      <c r="HRK469"/>
      <c r="HRL469"/>
      <c r="HRM469"/>
      <c r="HRN469"/>
      <c r="HRO469"/>
      <c r="HRP469"/>
      <c r="HRQ469"/>
      <c r="HRR469"/>
      <c r="HRS469"/>
      <c r="HRT469"/>
      <c r="HRU469"/>
      <c r="HRV469"/>
      <c r="HRW469"/>
      <c r="HRX469"/>
      <c r="HRY469"/>
      <c r="HRZ469"/>
      <c r="HSA469"/>
      <c r="HSB469"/>
      <c r="HSC469"/>
      <c r="HSD469"/>
      <c r="HSE469"/>
      <c r="HSF469"/>
      <c r="HSG469"/>
      <c r="HSH469"/>
      <c r="HSI469"/>
      <c r="HSJ469"/>
      <c r="HSK469"/>
      <c r="HSL469"/>
      <c r="HSM469"/>
      <c r="HSN469"/>
      <c r="HSO469"/>
      <c r="HSP469"/>
      <c r="HSQ469"/>
      <c r="HSR469"/>
      <c r="HSS469"/>
      <c r="HST469"/>
      <c r="HSU469"/>
      <c r="HSV469"/>
      <c r="HSW469"/>
      <c r="HSX469"/>
      <c r="HSY469"/>
      <c r="HSZ469"/>
      <c r="HTA469"/>
      <c r="HTB469"/>
      <c r="HTC469"/>
      <c r="HTD469"/>
      <c r="HTE469"/>
      <c r="HTF469"/>
      <c r="HTG469"/>
      <c r="HTH469"/>
      <c r="HTI469"/>
      <c r="HTJ469"/>
      <c r="HTK469"/>
      <c r="HTL469"/>
      <c r="HTM469"/>
      <c r="HTN469"/>
      <c r="HTO469"/>
      <c r="HTP469"/>
      <c r="HTQ469"/>
      <c r="HTR469"/>
      <c r="HTS469"/>
      <c r="HTT469"/>
      <c r="HTU469"/>
      <c r="HTV469"/>
      <c r="HTW469"/>
      <c r="HTX469"/>
      <c r="HTY469"/>
      <c r="HTZ469"/>
      <c r="HUA469"/>
      <c r="HUB469"/>
      <c r="HUC469"/>
      <c r="HUD469"/>
      <c r="HUE469"/>
      <c r="HUF469"/>
      <c r="HUG469"/>
      <c r="HUH469"/>
      <c r="HUI469"/>
      <c r="HUJ469"/>
      <c r="HUK469"/>
      <c r="HUL469"/>
      <c r="HUM469"/>
      <c r="HUN469"/>
      <c r="HUO469"/>
      <c r="HUP469"/>
      <c r="HUQ469"/>
      <c r="HUR469"/>
      <c r="HUS469"/>
      <c r="HUT469"/>
      <c r="HUU469"/>
      <c r="HUV469"/>
      <c r="HUW469"/>
      <c r="HUX469"/>
      <c r="HUY469"/>
      <c r="HUZ469"/>
      <c r="HVA469"/>
      <c r="HVB469"/>
      <c r="HVC469"/>
      <c r="HVD469"/>
      <c r="HVE469"/>
      <c r="HVF469"/>
      <c r="HVG469"/>
      <c r="HVH469"/>
      <c r="HVI469"/>
      <c r="HVJ469"/>
      <c r="HVK469"/>
      <c r="HVL469"/>
      <c r="HVM469"/>
      <c r="HVN469"/>
      <c r="HVO469"/>
      <c r="HVP469"/>
      <c r="HVQ469"/>
      <c r="HVR469"/>
      <c r="HVS469"/>
      <c r="HVT469"/>
      <c r="HVU469"/>
      <c r="HVV469"/>
      <c r="HVW469"/>
      <c r="HVX469"/>
      <c r="HVY469"/>
      <c r="HVZ469"/>
      <c r="HWA469"/>
      <c r="HWB469"/>
      <c r="HWC469"/>
      <c r="HWD469"/>
      <c r="HWE469"/>
      <c r="HWF469"/>
      <c r="HWG469"/>
      <c r="HWH469"/>
      <c r="HWI469"/>
      <c r="HWJ469"/>
      <c r="HWK469"/>
      <c r="HWL469"/>
      <c r="HWM469"/>
      <c r="HWN469"/>
      <c r="HWO469"/>
      <c r="HWP469"/>
      <c r="HWQ469"/>
      <c r="HWR469"/>
      <c r="HWS469"/>
      <c r="HWT469"/>
      <c r="HWU469"/>
      <c r="HWV469"/>
      <c r="HWW469"/>
      <c r="HWX469"/>
      <c r="HWY469"/>
      <c r="HWZ469"/>
      <c r="HXA469"/>
      <c r="HXB469"/>
      <c r="HXC469"/>
      <c r="HXD469"/>
      <c r="HXE469"/>
      <c r="HXF469"/>
      <c r="HXG469"/>
      <c r="HXH469"/>
      <c r="HXI469"/>
      <c r="HXJ469"/>
      <c r="HXK469"/>
      <c r="HXL469"/>
      <c r="HXM469"/>
      <c r="HXN469"/>
      <c r="HXO469"/>
      <c r="HXP469"/>
      <c r="HXQ469"/>
      <c r="HXR469"/>
      <c r="HXS469"/>
      <c r="HXT469"/>
      <c r="HXU469"/>
      <c r="HXV469"/>
      <c r="HXW469"/>
      <c r="HXX469"/>
      <c r="HXY469"/>
      <c r="HXZ469"/>
      <c r="HYA469"/>
      <c r="HYB469"/>
      <c r="HYC469"/>
      <c r="HYD469"/>
      <c r="HYE469"/>
      <c r="HYF469"/>
      <c r="HYG469"/>
      <c r="HYH469"/>
      <c r="HYI469"/>
      <c r="HYJ469"/>
      <c r="HYK469"/>
      <c r="HYL469"/>
      <c r="HYM469"/>
      <c r="HYN469"/>
      <c r="HYO469"/>
      <c r="HYP469"/>
      <c r="HYQ469"/>
      <c r="HYR469"/>
      <c r="HYS469"/>
      <c r="HYT469"/>
      <c r="HYU469"/>
      <c r="HYV469"/>
      <c r="HYW469"/>
      <c r="HYX469"/>
      <c r="HYY469"/>
      <c r="HYZ469"/>
      <c r="HZA469"/>
      <c r="HZB469"/>
      <c r="HZC469"/>
      <c r="HZD469"/>
      <c r="HZE469"/>
      <c r="HZF469"/>
      <c r="HZG469"/>
      <c r="HZH469"/>
      <c r="HZI469"/>
      <c r="HZJ469"/>
      <c r="HZK469"/>
      <c r="HZL469"/>
      <c r="HZM469"/>
      <c r="HZN469"/>
      <c r="HZO469"/>
      <c r="HZP469"/>
      <c r="HZQ469"/>
      <c r="HZR469"/>
      <c r="HZS469"/>
      <c r="HZT469"/>
      <c r="HZU469"/>
      <c r="HZV469"/>
      <c r="HZW469"/>
      <c r="HZX469"/>
      <c r="HZY469"/>
      <c r="HZZ469"/>
      <c r="IAA469"/>
      <c r="IAB469"/>
      <c r="IAC469"/>
      <c r="IAD469"/>
      <c r="IAE469"/>
      <c r="IAF469"/>
      <c r="IAG469"/>
      <c r="IAH469"/>
      <c r="IAI469"/>
      <c r="IAJ469"/>
      <c r="IAK469"/>
      <c r="IAL469"/>
      <c r="IAM469"/>
      <c r="IAN469"/>
      <c r="IAO469"/>
      <c r="IAP469"/>
      <c r="IAQ469"/>
      <c r="IAR469"/>
      <c r="IAS469"/>
      <c r="IAT469"/>
      <c r="IAU469"/>
      <c r="IAV469"/>
      <c r="IAW469"/>
      <c r="IAX469"/>
      <c r="IAY469"/>
      <c r="IAZ469"/>
      <c r="IBA469"/>
      <c r="IBB469"/>
      <c r="IBC469"/>
      <c r="IBD469"/>
      <c r="IBE469"/>
      <c r="IBF469"/>
      <c r="IBG469"/>
      <c r="IBH469"/>
      <c r="IBI469"/>
      <c r="IBJ469"/>
      <c r="IBK469"/>
      <c r="IBL469"/>
      <c r="IBM469"/>
      <c r="IBN469"/>
      <c r="IBO469"/>
      <c r="IBP469"/>
      <c r="IBQ469"/>
      <c r="IBR469"/>
      <c r="IBS469"/>
      <c r="IBT469"/>
      <c r="IBU469"/>
      <c r="IBV469"/>
      <c r="IBW469"/>
      <c r="IBX469"/>
      <c r="IBY469"/>
      <c r="IBZ469"/>
      <c r="ICA469"/>
      <c r="ICB469"/>
      <c r="ICC469"/>
      <c r="ICD469"/>
      <c r="ICE469"/>
      <c r="ICF469"/>
      <c r="ICG469"/>
      <c r="ICH469"/>
      <c r="ICI469"/>
      <c r="ICJ469"/>
      <c r="ICK469"/>
      <c r="ICL469"/>
      <c r="ICM469"/>
      <c r="ICN469"/>
      <c r="ICO469"/>
      <c r="ICP469"/>
      <c r="ICQ469"/>
      <c r="ICR469"/>
      <c r="ICS469"/>
      <c r="ICT469"/>
      <c r="ICU469"/>
      <c r="ICV469"/>
      <c r="ICW469"/>
      <c r="ICX469"/>
      <c r="ICY469"/>
      <c r="ICZ469"/>
      <c r="IDA469"/>
      <c r="IDB469"/>
      <c r="IDC469"/>
      <c r="IDD469"/>
      <c r="IDE469"/>
      <c r="IDF469"/>
      <c r="IDG469"/>
      <c r="IDH469"/>
      <c r="IDI469"/>
      <c r="IDJ469"/>
      <c r="IDK469"/>
      <c r="IDL469"/>
      <c r="IDM469"/>
      <c r="IDN469"/>
      <c r="IDO469"/>
      <c r="IDP469"/>
      <c r="IDQ469"/>
      <c r="IDR469"/>
      <c r="IDS469"/>
      <c r="IDT469"/>
      <c r="IDU469"/>
      <c r="IDV469"/>
      <c r="IDW469"/>
      <c r="IDX469"/>
      <c r="IDY469"/>
      <c r="IDZ469"/>
      <c r="IEA469"/>
      <c r="IEB469"/>
      <c r="IEC469"/>
      <c r="IED469"/>
      <c r="IEE469"/>
      <c r="IEF469"/>
      <c r="IEG469"/>
      <c r="IEH469"/>
      <c r="IEI469"/>
      <c r="IEJ469"/>
      <c r="IEK469"/>
      <c r="IEL469"/>
      <c r="IEM469"/>
      <c r="IEN469"/>
      <c r="IEO469"/>
      <c r="IEP469"/>
      <c r="IEQ469"/>
      <c r="IER469"/>
      <c r="IES469"/>
      <c r="IET469"/>
      <c r="IEU469"/>
      <c r="IEV469"/>
      <c r="IEW469"/>
      <c r="IEX469"/>
      <c r="IEY469"/>
      <c r="IEZ469"/>
      <c r="IFA469"/>
      <c r="IFB469"/>
      <c r="IFC469"/>
      <c r="IFD469"/>
      <c r="IFE469"/>
      <c r="IFF469"/>
      <c r="IFG469"/>
      <c r="IFH469"/>
      <c r="IFI469"/>
      <c r="IFJ469"/>
      <c r="IFK469"/>
      <c r="IFL469"/>
      <c r="IFM469"/>
      <c r="IFN469"/>
      <c r="IFO469"/>
      <c r="IFP469"/>
      <c r="IFQ469"/>
      <c r="IFR469"/>
      <c r="IFS469"/>
      <c r="IFT469"/>
      <c r="IFU469"/>
      <c r="IFV469"/>
      <c r="IFW469"/>
      <c r="IFX469"/>
      <c r="IFY469"/>
      <c r="IFZ469"/>
      <c r="IGA469"/>
      <c r="IGB469"/>
      <c r="IGC469"/>
      <c r="IGD469"/>
      <c r="IGE469"/>
      <c r="IGF469"/>
      <c r="IGG469"/>
      <c r="IGH469"/>
      <c r="IGI469"/>
      <c r="IGJ469"/>
      <c r="IGK469"/>
      <c r="IGL469"/>
      <c r="IGM469"/>
      <c r="IGN469"/>
      <c r="IGO469"/>
      <c r="IGP469"/>
      <c r="IGQ469"/>
      <c r="IGR469"/>
      <c r="IGS469"/>
      <c r="IGT469"/>
      <c r="IGU469"/>
      <c r="IGV469"/>
      <c r="IGW469"/>
      <c r="IGX469"/>
      <c r="IGY469"/>
      <c r="IGZ469"/>
      <c r="IHA469"/>
      <c r="IHB469"/>
      <c r="IHC469"/>
      <c r="IHD469"/>
      <c r="IHE469"/>
      <c r="IHF469"/>
      <c r="IHG469"/>
      <c r="IHH469"/>
      <c r="IHI469"/>
      <c r="IHJ469"/>
      <c r="IHK469"/>
      <c r="IHL469"/>
      <c r="IHM469"/>
      <c r="IHN469"/>
      <c r="IHO469"/>
      <c r="IHP469"/>
      <c r="IHQ469"/>
      <c r="IHR469"/>
      <c r="IHS469"/>
      <c r="IHT469"/>
      <c r="IHU469"/>
      <c r="IHV469"/>
      <c r="IHW469"/>
      <c r="IHX469"/>
      <c r="IHY469"/>
      <c r="IHZ469"/>
      <c r="IIA469"/>
      <c r="IIB469"/>
      <c r="IIC469"/>
      <c r="IID469"/>
      <c r="IIE469"/>
      <c r="IIF469"/>
      <c r="IIG469"/>
      <c r="IIH469"/>
      <c r="III469"/>
      <c r="IIJ469"/>
      <c r="IIK469"/>
      <c r="IIL469"/>
      <c r="IIM469"/>
      <c r="IIN469"/>
      <c r="IIO469"/>
      <c r="IIP469"/>
      <c r="IIQ469"/>
      <c r="IIR469"/>
      <c r="IIS469"/>
      <c r="IIT469"/>
      <c r="IIU469"/>
      <c r="IIV469"/>
      <c r="IIW469"/>
      <c r="IIX469"/>
      <c r="IIY469"/>
      <c r="IIZ469"/>
      <c r="IJA469"/>
      <c r="IJB469"/>
      <c r="IJC469"/>
      <c r="IJD469"/>
      <c r="IJE469"/>
      <c r="IJF469"/>
      <c r="IJG469"/>
      <c r="IJH469"/>
      <c r="IJI469"/>
      <c r="IJJ469"/>
      <c r="IJK469"/>
      <c r="IJL469"/>
      <c r="IJM469"/>
      <c r="IJN469"/>
      <c r="IJO469"/>
      <c r="IJP469"/>
      <c r="IJQ469"/>
      <c r="IJR469"/>
      <c r="IJS469"/>
      <c r="IJT469"/>
      <c r="IJU469"/>
      <c r="IJV469"/>
      <c r="IJW469"/>
      <c r="IJX469"/>
      <c r="IJY469"/>
      <c r="IJZ469"/>
      <c r="IKA469"/>
      <c r="IKB469"/>
      <c r="IKC469"/>
      <c r="IKD469"/>
      <c r="IKE469"/>
      <c r="IKF469"/>
      <c r="IKG469"/>
      <c r="IKH469"/>
      <c r="IKI469"/>
      <c r="IKJ469"/>
      <c r="IKK469"/>
      <c r="IKL469"/>
      <c r="IKM469"/>
      <c r="IKN469"/>
      <c r="IKO469"/>
      <c r="IKP469"/>
      <c r="IKQ469"/>
      <c r="IKR469"/>
      <c r="IKS469"/>
      <c r="IKT469"/>
      <c r="IKU469"/>
      <c r="IKV469"/>
      <c r="IKW469"/>
      <c r="IKX469"/>
      <c r="IKY469"/>
      <c r="IKZ469"/>
      <c r="ILA469"/>
      <c r="ILB469"/>
      <c r="ILC469"/>
      <c r="ILD469"/>
      <c r="ILE469"/>
      <c r="ILF469"/>
      <c r="ILG469"/>
      <c r="ILH469"/>
      <c r="ILI469"/>
      <c r="ILJ469"/>
      <c r="ILK469"/>
      <c r="ILL469"/>
      <c r="ILM469"/>
      <c r="ILN469"/>
      <c r="ILO469"/>
      <c r="ILP469"/>
      <c r="ILQ469"/>
      <c r="ILR469"/>
      <c r="ILS469"/>
      <c r="ILT469"/>
      <c r="ILU469"/>
      <c r="ILV469"/>
      <c r="ILW469"/>
      <c r="ILX469"/>
      <c r="ILY469"/>
      <c r="ILZ469"/>
      <c r="IMA469"/>
      <c r="IMB469"/>
      <c r="IMC469"/>
      <c r="IMD469"/>
      <c r="IME469"/>
      <c r="IMF469"/>
      <c r="IMG469"/>
      <c r="IMH469"/>
      <c r="IMI469"/>
      <c r="IMJ469"/>
      <c r="IMK469"/>
      <c r="IML469"/>
      <c r="IMM469"/>
      <c r="IMN469"/>
      <c r="IMO469"/>
      <c r="IMP469"/>
      <c r="IMQ469"/>
      <c r="IMR469"/>
      <c r="IMS469"/>
      <c r="IMT469"/>
      <c r="IMU469"/>
      <c r="IMV469"/>
      <c r="IMW469"/>
      <c r="IMX469"/>
      <c r="IMY469"/>
      <c r="IMZ469"/>
      <c r="INA469"/>
      <c r="INB469"/>
      <c r="INC469"/>
      <c r="IND469"/>
      <c r="INE469"/>
      <c r="INF469"/>
      <c r="ING469"/>
      <c r="INH469"/>
      <c r="INI469"/>
      <c r="INJ469"/>
      <c r="INK469"/>
      <c r="INL469"/>
      <c r="INM469"/>
      <c r="INN469"/>
      <c r="INO469"/>
      <c r="INP469"/>
      <c r="INQ469"/>
      <c r="INR469"/>
      <c r="INS469"/>
      <c r="INT469"/>
      <c r="INU469"/>
      <c r="INV469"/>
      <c r="INW469"/>
      <c r="INX469"/>
      <c r="INY469"/>
      <c r="INZ469"/>
      <c r="IOA469"/>
      <c r="IOB469"/>
      <c r="IOC469"/>
      <c r="IOD469"/>
      <c r="IOE469"/>
      <c r="IOF469"/>
      <c r="IOG469"/>
      <c r="IOH469"/>
      <c r="IOI469"/>
      <c r="IOJ469"/>
      <c r="IOK469"/>
      <c r="IOL469"/>
      <c r="IOM469"/>
      <c r="ION469"/>
      <c r="IOO469"/>
      <c r="IOP469"/>
      <c r="IOQ469"/>
      <c r="IOR469"/>
      <c r="IOS469"/>
      <c r="IOT469"/>
      <c r="IOU469"/>
      <c r="IOV469"/>
      <c r="IOW469"/>
      <c r="IOX469"/>
      <c r="IOY469"/>
      <c r="IOZ469"/>
      <c r="IPA469"/>
      <c r="IPB469"/>
      <c r="IPC469"/>
      <c r="IPD469"/>
      <c r="IPE469"/>
      <c r="IPF469"/>
      <c r="IPG469"/>
      <c r="IPH469"/>
      <c r="IPI469"/>
      <c r="IPJ469"/>
      <c r="IPK469"/>
      <c r="IPL469"/>
      <c r="IPM469"/>
      <c r="IPN469"/>
      <c r="IPO469"/>
      <c r="IPP469"/>
      <c r="IPQ469"/>
      <c r="IPR469"/>
      <c r="IPS469"/>
      <c r="IPT469"/>
      <c r="IPU469"/>
      <c r="IPV469"/>
      <c r="IPW469"/>
      <c r="IPX469"/>
      <c r="IPY469"/>
      <c r="IPZ469"/>
      <c r="IQA469"/>
      <c r="IQB469"/>
      <c r="IQC469"/>
      <c r="IQD469"/>
      <c r="IQE469"/>
      <c r="IQF469"/>
      <c r="IQG469"/>
      <c r="IQH469"/>
      <c r="IQI469"/>
      <c r="IQJ469"/>
      <c r="IQK469"/>
      <c r="IQL469"/>
      <c r="IQM469"/>
      <c r="IQN469"/>
      <c r="IQO469"/>
      <c r="IQP469"/>
      <c r="IQQ469"/>
      <c r="IQR469"/>
      <c r="IQS469"/>
      <c r="IQT469"/>
      <c r="IQU469"/>
      <c r="IQV469"/>
      <c r="IQW469"/>
      <c r="IQX469"/>
      <c r="IQY469"/>
      <c r="IQZ469"/>
      <c r="IRA469"/>
      <c r="IRB469"/>
      <c r="IRC469"/>
      <c r="IRD469"/>
      <c r="IRE469"/>
      <c r="IRF469"/>
      <c r="IRG469"/>
      <c r="IRH469"/>
      <c r="IRI469"/>
      <c r="IRJ469"/>
      <c r="IRK469"/>
      <c r="IRL469"/>
      <c r="IRM469"/>
      <c r="IRN469"/>
      <c r="IRO469"/>
      <c r="IRP469"/>
      <c r="IRQ469"/>
      <c r="IRR469"/>
      <c r="IRS469"/>
      <c r="IRT469"/>
      <c r="IRU469"/>
      <c r="IRV469"/>
      <c r="IRW469"/>
      <c r="IRX469"/>
      <c r="IRY469"/>
      <c r="IRZ469"/>
      <c r="ISA469"/>
      <c r="ISB469"/>
      <c r="ISC469"/>
      <c r="ISD469"/>
      <c r="ISE469"/>
      <c r="ISF469"/>
      <c r="ISG469"/>
      <c r="ISH469"/>
      <c r="ISI469"/>
      <c r="ISJ469"/>
      <c r="ISK469"/>
      <c r="ISL469"/>
      <c r="ISM469"/>
      <c r="ISN469"/>
      <c r="ISO469"/>
      <c r="ISP469"/>
      <c r="ISQ469"/>
      <c r="ISR469"/>
      <c r="ISS469"/>
      <c r="IST469"/>
      <c r="ISU469"/>
      <c r="ISV469"/>
      <c r="ISW469"/>
      <c r="ISX469"/>
      <c r="ISY469"/>
      <c r="ISZ469"/>
      <c r="ITA469"/>
      <c r="ITB469"/>
      <c r="ITC469"/>
      <c r="ITD469"/>
      <c r="ITE469"/>
      <c r="ITF469"/>
      <c r="ITG469"/>
      <c r="ITH469"/>
      <c r="ITI469"/>
      <c r="ITJ469"/>
      <c r="ITK469"/>
      <c r="ITL469"/>
      <c r="ITM469"/>
      <c r="ITN469"/>
      <c r="ITO469"/>
      <c r="ITP469"/>
      <c r="ITQ469"/>
      <c r="ITR469"/>
      <c r="ITS469"/>
      <c r="ITT469"/>
      <c r="ITU469"/>
      <c r="ITV469"/>
      <c r="ITW469"/>
      <c r="ITX469"/>
      <c r="ITY469"/>
      <c r="ITZ469"/>
      <c r="IUA469"/>
      <c r="IUB469"/>
      <c r="IUC469"/>
      <c r="IUD469"/>
      <c r="IUE469"/>
      <c r="IUF469"/>
      <c r="IUG469"/>
      <c r="IUH469"/>
      <c r="IUI469"/>
      <c r="IUJ469"/>
      <c r="IUK469"/>
      <c r="IUL469"/>
      <c r="IUM469"/>
      <c r="IUN469"/>
      <c r="IUO469"/>
      <c r="IUP469"/>
      <c r="IUQ469"/>
      <c r="IUR469"/>
      <c r="IUS469"/>
      <c r="IUT469"/>
      <c r="IUU469"/>
      <c r="IUV469"/>
      <c r="IUW469"/>
      <c r="IUX469"/>
      <c r="IUY469"/>
      <c r="IUZ469"/>
      <c r="IVA469"/>
      <c r="IVB469"/>
      <c r="IVC469"/>
      <c r="IVD469"/>
      <c r="IVE469"/>
      <c r="IVF469"/>
      <c r="IVG469"/>
      <c r="IVH469"/>
      <c r="IVI469"/>
      <c r="IVJ469"/>
      <c r="IVK469"/>
      <c r="IVL469"/>
      <c r="IVM469"/>
      <c r="IVN469"/>
      <c r="IVO469"/>
      <c r="IVP469"/>
      <c r="IVQ469"/>
      <c r="IVR469"/>
      <c r="IVS469"/>
      <c r="IVT469"/>
      <c r="IVU469"/>
      <c r="IVV469"/>
      <c r="IVW469"/>
      <c r="IVX469"/>
      <c r="IVY469"/>
      <c r="IVZ469"/>
      <c r="IWA469"/>
      <c r="IWB469"/>
      <c r="IWC469"/>
      <c r="IWD469"/>
      <c r="IWE469"/>
      <c r="IWF469"/>
      <c r="IWG469"/>
      <c r="IWH469"/>
      <c r="IWI469"/>
      <c r="IWJ469"/>
      <c r="IWK469"/>
      <c r="IWL469"/>
      <c r="IWM469"/>
      <c r="IWN469"/>
      <c r="IWO469"/>
      <c r="IWP469"/>
      <c r="IWQ469"/>
      <c r="IWR469"/>
      <c r="IWS469"/>
      <c r="IWT469"/>
      <c r="IWU469"/>
      <c r="IWV469"/>
      <c r="IWW469"/>
      <c r="IWX469"/>
      <c r="IWY469"/>
      <c r="IWZ469"/>
      <c r="IXA469"/>
      <c r="IXB469"/>
      <c r="IXC469"/>
      <c r="IXD469"/>
      <c r="IXE469"/>
      <c r="IXF469"/>
      <c r="IXG469"/>
      <c r="IXH469"/>
      <c r="IXI469"/>
      <c r="IXJ469"/>
      <c r="IXK469"/>
      <c r="IXL469"/>
      <c r="IXM469"/>
      <c r="IXN469"/>
      <c r="IXO469"/>
      <c r="IXP469"/>
      <c r="IXQ469"/>
      <c r="IXR469"/>
      <c r="IXS469"/>
      <c r="IXT469"/>
      <c r="IXU469"/>
      <c r="IXV469"/>
      <c r="IXW469"/>
      <c r="IXX469"/>
      <c r="IXY469"/>
      <c r="IXZ469"/>
      <c r="IYA469"/>
      <c r="IYB469"/>
      <c r="IYC469"/>
      <c r="IYD469"/>
      <c r="IYE469"/>
      <c r="IYF469"/>
      <c r="IYG469"/>
      <c r="IYH469"/>
      <c r="IYI469"/>
      <c r="IYJ469"/>
      <c r="IYK469"/>
      <c r="IYL469"/>
      <c r="IYM469"/>
      <c r="IYN469"/>
      <c r="IYO469"/>
      <c r="IYP469"/>
      <c r="IYQ469"/>
      <c r="IYR469"/>
      <c r="IYS469"/>
      <c r="IYT469"/>
      <c r="IYU469"/>
      <c r="IYV469"/>
      <c r="IYW469"/>
      <c r="IYX469"/>
      <c r="IYY469"/>
      <c r="IYZ469"/>
      <c r="IZA469"/>
      <c r="IZB469"/>
      <c r="IZC469"/>
      <c r="IZD469"/>
      <c r="IZE469"/>
      <c r="IZF469"/>
      <c r="IZG469"/>
      <c r="IZH469"/>
      <c r="IZI469"/>
      <c r="IZJ469"/>
      <c r="IZK469"/>
      <c r="IZL469"/>
      <c r="IZM469"/>
      <c r="IZN469"/>
      <c r="IZO469"/>
      <c r="IZP469"/>
      <c r="IZQ469"/>
      <c r="IZR469"/>
      <c r="IZS469"/>
      <c r="IZT469"/>
      <c r="IZU469"/>
      <c r="IZV469"/>
      <c r="IZW469"/>
      <c r="IZX469"/>
      <c r="IZY469"/>
      <c r="IZZ469"/>
      <c r="JAA469"/>
      <c r="JAB469"/>
      <c r="JAC469"/>
      <c r="JAD469"/>
      <c r="JAE469"/>
      <c r="JAF469"/>
      <c r="JAG469"/>
      <c r="JAH469"/>
      <c r="JAI469"/>
      <c r="JAJ469"/>
      <c r="JAK469"/>
      <c r="JAL469"/>
      <c r="JAM469"/>
      <c r="JAN469"/>
      <c r="JAO469"/>
      <c r="JAP469"/>
      <c r="JAQ469"/>
      <c r="JAR469"/>
      <c r="JAS469"/>
      <c r="JAT469"/>
      <c r="JAU469"/>
      <c r="JAV469"/>
      <c r="JAW469"/>
      <c r="JAX469"/>
      <c r="JAY469"/>
      <c r="JAZ469"/>
      <c r="JBA469"/>
      <c r="JBB469"/>
      <c r="JBC469"/>
      <c r="JBD469"/>
      <c r="JBE469"/>
      <c r="JBF469"/>
      <c r="JBG469"/>
      <c r="JBH469"/>
      <c r="JBI469"/>
      <c r="JBJ469"/>
      <c r="JBK469"/>
      <c r="JBL469"/>
      <c r="JBM469"/>
      <c r="JBN469"/>
      <c r="JBO469"/>
      <c r="JBP469"/>
      <c r="JBQ469"/>
      <c r="JBR469"/>
      <c r="JBS469"/>
      <c r="JBT469"/>
      <c r="JBU469"/>
      <c r="JBV469"/>
      <c r="JBW469"/>
      <c r="JBX469"/>
      <c r="JBY469"/>
      <c r="JBZ469"/>
      <c r="JCA469"/>
      <c r="JCB469"/>
      <c r="JCC469"/>
      <c r="JCD469"/>
      <c r="JCE469"/>
      <c r="JCF469"/>
      <c r="JCG469"/>
      <c r="JCH469"/>
      <c r="JCI469"/>
      <c r="JCJ469"/>
      <c r="JCK469"/>
      <c r="JCL469"/>
      <c r="JCM469"/>
      <c r="JCN469"/>
      <c r="JCO469"/>
      <c r="JCP469"/>
      <c r="JCQ469"/>
      <c r="JCR469"/>
      <c r="JCS469"/>
      <c r="JCT469"/>
      <c r="JCU469"/>
      <c r="JCV469"/>
      <c r="JCW469"/>
      <c r="JCX469"/>
      <c r="JCY469"/>
      <c r="JCZ469"/>
      <c r="JDA469"/>
      <c r="JDB469"/>
      <c r="JDC469"/>
      <c r="JDD469"/>
      <c r="JDE469"/>
      <c r="JDF469"/>
      <c r="JDG469"/>
      <c r="JDH469"/>
      <c r="JDI469"/>
      <c r="JDJ469"/>
      <c r="JDK469"/>
      <c r="JDL469"/>
      <c r="JDM469"/>
      <c r="JDN469"/>
      <c r="JDO469"/>
      <c r="JDP469"/>
      <c r="JDQ469"/>
      <c r="JDR469"/>
      <c r="JDS469"/>
      <c r="JDT469"/>
      <c r="JDU469"/>
      <c r="JDV469"/>
      <c r="JDW469"/>
      <c r="JDX469"/>
      <c r="JDY469"/>
      <c r="JDZ469"/>
      <c r="JEA469"/>
      <c r="JEB469"/>
      <c r="JEC469"/>
      <c r="JED469"/>
      <c r="JEE469"/>
      <c r="JEF469"/>
      <c r="JEG469"/>
      <c r="JEH469"/>
      <c r="JEI469"/>
      <c r="JEJ469"/>
      <c r="JEK469"/>
      <c r="JEL469"/>
      <c r="JEM469"/>
      <c r="JEN469"/>
      <c r="JEO469"/>
      <c r="JEP469"/>
      <c r="JEQ469"/>
      <c r="JER469"/>
      <c r="JES469"/>
      <c r="JET469"/>
      <c r="JEU469"/>
      <c r="JEV469"/>
      <c r="JEW469"/>
      <c r="JEX469"/>
      <c r="JEY469"/>
      <c r="JEZ469"/>
      <c r="JFA469"/>
      <c r="JFB469"/>
      <c r="JFC469"/>
      <c r="JFD469"/>
      <c r="JFE469"/>
      <c r="JFF469"/>
      <c r="JFG469"/>
      <c r="JFH469"/>
      <c r="JFI469"/>
      <c r="JFJ469"/>
      <c r="JFK469"/>
      <c r="JFL469"/>
      <c r="JFM469"/>
      <c r="JFN469"/>
      <c r="JFO469"/>
      <c r="JFP469"/>
      <c r="JFQ469"/>
      <c r="JFR469"/>
      <c r="JFS469"/>
      <c r="JFT469"/>
      <c r="JFU469"/>
      <c r="JFV469"/>
      <c r="JFW469"/>
      <c r="JFX469"/>
      <c r="JFY469"/>
      <c r="JFZ469"/>
      <c r="JGA469"/>
      <c r="JGB469"/>
      <c r="JGC469"/>
      <c r="JGD469"/>
      <c r="JGE469"/>
      <c r="JGF469"/>
      <c r="JGG469"/>
      <c r="JGH469"/>
      <c r="JGI469"/>
      <c r="JGJ469"/>
      <c r="JGK469"/>
      <c r="JGL469"/>
      <c r="JGM469"/>
      <c r="JGN469"/>
      <c r="JGO469"/>
      <c r="JGP469"/>
      <c r="JGQ469"/>
      <c r="JGR469"/>
      <c r="JGS469"/>
      <c r="JGT469"/>
      <c r="JGU469"/>
      <c r="JGV469"/>
      <c r="JGW469"/>
      <c r="JGX469"/>
      <c r="JGY469"/>
      <c r="JGZ469"/>
      <c r="JHA469"/>
      <c r="JHB469"/>
      <c r="JHC469"/>
      <c r="JHD469"/>
      <c r="JHE469"/>
      <c r="JHF469"/>
      <c r="JHG469"/>
      <c r="JHH469"/>
      <c r="JHI469"/>
      <c r="JHJ469"/>
      <c r="JHK469"/>
      <c r="JHL469"/>
      <c r="JHM469"/>
      <c r="JHN469"/>
      <c r="JHO469"/>
      <c r="JHP469"/>
      <c r="JHQ469"/>
      <c r="JHR469"/>
      <c r="JHS469"/>
      <c r="JHT469"/>
      <c r="JHU469"/>
      <c r="JHV469"/>
      <c r="JHW469"/>
      <c r="JHX469"/>
      <c r="JHY469"/>
      <c r="JHZ469"/>
      <c r="JIA469"/>
      <c r="JIB469"/>
      <c r="JIC469"/>
      <c r="JID469"/>
      <c r="JIE469"/>
      <c r="JIF469"/>
      <c r="JIG469"/>
      <c r="JIH469"/>
      <c r="JII469"/>
      <c r="JIJ469"/>
      <c r="JIK469"/>
      <c r="JIL469"/>
      <c r="JIM469"/>
      <c r="JIN469"/>
      <c r="JIO469"/>
      <c r="JIP469"/>
      <c r="JIQ469"/>
      <c r="JIR469"/>
      <c r="JIS469"/>
      <c r="JIT469"/>
      <c r="JIU469"/>
      <c r="JIV469"/>
      <c r="JIW469"/>
      <c r="JIX469"/>
      <c r="JIY469"/>
      <c r="JIZ469"/>
      <c r="JJA469"/>
      <c r="JJB469"/>
      <c r="JJC469"/>
      <c r="JJD469"/>
      <c r="JJE469"/>
      <c r="JJF469"/>
      <c r="JJG469"/>
      <c r="JJH469"/>
      <c r="JJI469"/>
      <c r="JJJ469"/>
      <c r="JJK469"/>
      <c r="JJL469"/>
      <c r="JJM469"/>
      <c r="JJN469"/>
      <c r="JJO469"/>
      <c r="JJP469"/>
      <c r="JJQ469"/>
      <c r="JJR469"/>
      <c r="JJS469"/>
      <c r="JJT469"/>
      <c r="JJU469"/>
      <c r="JJV469"/>
      <c r="JJW469"/>
      <c r="JJX469"/>
      <c r="JJY469"/>
      <c r="JJZ469"/>
      <c r="JKA469"/>
      <c r="JKB469"/>
      <c r="JKC469"/>
      <c r="JKD469"/>
      <c r="JKE469"/>
      <c r="JKF469"/>
      <c r="JKG469"/>
      <c r="JKH469"/>
      <c r="JKI469"/>
      <c r="JKJ469"/>
      <c r="JKK469"/>
      <c r="JKL469"/>
      <c r="JKM469"/>
      <c r="JKN469"/>
      <c r="JKO469"/>
      <c r="JKP469"/>
      <c r="JKQ469"/>
      <c r="JKR469"/>
      <c r="JKS469"/>
      <c r="JKT469"/>
      <c r="JKU469"/>
      <c r="JKV469"/>
      <c r="JKW469"/>
      <c r="JKX469"/>
      <c r="JKY469"/>
      <c r="JKZ469"/>
      <c r="JLA469"/>
      <c r="JLB469"/>
      <c r="JLC469"/>
      <c r="JLD469"/>
      <c r="JLE469"/>
      <c r="JLF469"/>
      <c r="JLG469"/>
      <c r="JLH469"/>
      <c r="JLI469"/>
      <c r="JLJ469"/>
      <c r="JLK469"/>
      <c r="JLL469"/>
      <c r="JLM469"/>
      <c r="JLN469"/>
      <c r="JLO469"/>
      <c r="JLP469"/>
      <c r="JLQ469"/>
      <c r="JLR469"/>
      <c r="JLS469"/>
      <c r="JLT469"/>
      <c r="JLU469"/>
      <c r="JLV469"/>
      <c r="JLW469"/>
      <c r="JLX469"/>
      <c r="JLY469"/>
      <c r="JLZ469"/>
      <c r="JMA469"/>
      <c r="JMB469"/>
      <c r="JMC469"/>
      <c r="JMD469"/>
      <c r="JME469"/>
      <c r="JMF469"/>
      <c r="JMG469"/>
      <c r="JMH469"/>
      <c r="JMI469"/>
      <c r="JMJ469"/>
      <c r="JMK469"/>
      <c r="JML469"/>
      <c r="JMM469"/>
      <c r="JMN469"/>
      <c r="JMO469"/>
      <c r="JMP469"/>
      <c r="JMQ469"/>
      <c r="JMR469"/>
      <c r="JMS469"/>
      <c r="JMT469"/>
      <c r="JMU469"/>
      <c r="JMV469"/>
      <c r="JMW469"/>
      <c r="JMX469"/>
      <c r="JMY469"/>
      <c r="JMZ469"/>
      <c r="JNA469"/>
      <c r="JNB469"/>
      <c r="JNC469"/>
      <c r="JND469"/>
      <c r="JNE469"/>
      <c r="JNF469"/>
      <c r="JNG469"/>
      <c r="JNH469"/>
      <c r="JNI469"/>
      <c r="JNJ469"/>
      <c r="JNK469"/>
      <c r="JNL469"/>
      <c r="JNM469"/>
      <c r="JNN469"/>
      <c r="JNO469"/>
      <c r="JNP469"/>
      <c r="JNQ469"/>
      <c r="JNR469"/>
      <c r="JNS469"/>
      <c r="JNT469"/>
      <c r="JNU469"/>
      <c r="JNV469"/>
      <c r="JNW469"/>
      <c r="JNX469"/>
      <c r="JNY469"/>
      <c r="JNZ469"/>
      <c r="JOA469"/>
      <c r="JOB469"/>
      <c r="JOC469"/>
      <c r="JOD469"/>
      <c r="JOE469"/>
      <c r="JOF469"/>
      <c r="JOG469"/>
      <c r="JOH469"/>
      <c r="JOI469"/>
      <c r="JOJ469"/>
      <c r="JOK469"/>
      <c r="JOL469"/>
      <c r="JOM469"/>
      <c r="JON469"/>
      <c r="JOO469"/>
      <c r="JOP469"/>
      <c r="JOQ469"/>
      <c r="JOR469"/>
      <c r="JOS469"/>
      <c r="JOT469"/>
      <c r="JOU469"/>
      <c r="JOV469"/>
      <c r="JOW469"/>
      <c r="JOX469"/>
      <c r="JOY469"/>
      <c r="JOZ469"/>
      <c r="JPA469"/>
      <c r="JPB469"/>
      <c r="JPC469"/>
      <c r="JPD469"/>
      <c r="JPE469"/>
      <c r="JPF469"/>
      <c r="JPG469"/>
      <c r="JPH469"/>
      <c r="JPI469"/>
      <c r="JPJ469"/>
      <c r="JPK469"/>
      <c r="JPL469"/>
      <c r="JPM469"/>
      <c r="JPN469"/>
      <c r="JPO469"/>
      <c r="JPP469"/>
      <c r="JPQ469"/>
      <c r="JPR469"/>
      <c r="JPS469"/>
      <c r="JPT469"/>
      <c r="JPU469"/>
      <c r="JPV469"/>
      <c r="JPW469"/>
      <c r="JPX469"/>
      <c r="JPY469"/>
      <c r="JPZ469"/>
      <c r="JQA469"/>
      <c r="JQB469"/>
      <c r="JQC469"/>
      <c r="JQD469"/>
      <c r="JQE469"/>
      <c r="JQF469"/>
      <c r="JQG469"/>
      <c r="JQH469"/>
      <c r="JQI469"/>
      <c r="JQJ469"/>
      <c r="JQK469"/>
      <c r="JQL469"/>
      <c r="JQM469"/>
      <c r="JQN469"/>
      <c r="JQO469"/>
      <c r="JQP469"/>
      <c r="JQQ469"/>
      <c r="JQR469"/>
      <c r="JQS469"/>
      <c r="JQT469"/>
      <c r="JQU469"/>
      <c r="JQV469"/>
      <c r="JQW469"/>
      <c r="JQX469"/>
      <c r="JQY469"/>
      <c r="JQZ469"/>
      <c r="JRA469"/>
      <c r="JRB469"/>
      <c r="JRC469"/>
      <c r="JRD469"/>
      <c r="JRE469"/>
      <c r="JRF469"/>
      <c r="JRG469"/>
      <c r="JRH469"/>
      <c r="JRI469"/>
      <c r="JRJ469"/>
      <c r="JRK469"/>
      <c r="JRL469"/>
      <c r="JRM469"/>
      <c r="JRN469"/>
      <c r="JRO469"/>
      <c r="JRP469"/>
      <c r="JRQ469"/>
      <c r="JRR469"/>
      <c r="JRS469"/>
      <c r="JRT469"/>
      <c r="JRU469"/>
      <c r="JRV469"/>
      <c r="JRW469"/>
      <c r="JRX469"/>
      <c r="JRY469"/>
      <c r="JRZ469"/>
      <c r="JSA469"/>
      <c r="JSB469"/>
      <c r="JSC469"/>
      <c r="JSD469"/>
      <c r="JSE469"/>
      <c r="JSF469"/>
      <c r="JSG469"/>
      <c r="JSH469"/>
      <c r="JSI469"/>
      <c r="JSJ469"/>
      <c r="JSK469"/>
      <c r="JSL469"/>
      <c r="JSM469"/>
      <c r="JSN469"/>
      <c r="JSO469"/>
      <c r="JSP469"/>
      <c r="JSQ469"/>
      <c r="JSR469"/>
      <c r="JSS469"/>
      <c r="JST469"/>
      <c r="JSU469"/>
      <c r="JSV469"/>
      <c r="JSW469"/>
      <c r="JSX469"/>
      <c r="JSY469"/>
      <c r="JSZ469"/>
      <c r="JTA469"/>
      <c r="JTB469"/>
      <c r="JTC469"/>
      <c r="JTD469"/>
      <c r="JTE469"/>
      <c r="JTF469"/>
      <c r="JTG469"/>
      <c r="JTH469"/>
      <c r="JTI469"/>
      <c r="JTJ469"/>
      <c r="JTK469"/>
      <c r="JTL469"/>
      <c r="JTM469"/>
      <c r="JTN469"/>
      <c r="JTO469"/>
      <c r="JTP469"/>
      <c r="JTQ469"/>
      <c r="JTR469"/>
      <c r="JTS469"/>
      <c r="JTT469"/>
      <c r="JTU469"/>
      <c r="JTV469"/>
      <c r="JTW469"/>
      <c r="JTX469"/>
      <c r="JTY469"/>
      <c r="JTZ469"/>
      <c r="JUA469"/>
      <c r="JUB469"/>
      <c r="JUC469"/>
      <c r="JUD469"/>
      <c r="JUE469"/>
      <c r="JUF469"/>
      <c r="JUG469"/>
      <c r="JUH469"/>
      <c r="JUI469"/>
      <c r="JUJ469"/>
      <c r="JUK469"/>
      <c r="JUL469"/>
      <c r="JUM469"/>
      <c r="JUN469"/>
      <c r="JUO469"/>
      <c r="JUP469"/>
      <c r="JUQ469"/>
      <c r="JUR469"/>
      <c r="JUS469"/>
      <c r="JUT469"/>
      <c r="JUU469"/>
      <c r="JUV469"/>
      <c r="JUW469"/>
      <c r="JUX469"/>
      <c r="JUY469"/>
      <c r="JUZ469"/>
      <c r="JVA469"/>
      <c r="JVB469"/>
      <c r="JVC469"/>
      <c r="JVD469"/>
      <c r="JVE469"/>
      <c r="JVF469"/>
      <c r="JVG469"/>
      <c r="JVH469"/>
      <c r="JVI469"/>
      <c r="JVJ469"/>
      <c r="JVK469"/>
      <c r="JVL469"/>
      <c r="JVM469"/>
      <c r="JVN469"/>
      <c r="JVO469"/>
      <c r="JVP469"/>
      <c r="JVQ469"/>
      <c r="JVR469"/>
      <c r="JVS469"/>
      <c r="JVT469"/>
      <c r="JVU469"/>
      <c r="JVV469"/>
      <c r="JVW469"/>
      <c r="JVX469"/>
      <c r="JVY469"/>
      <c r="JVZ469"/>
      <c r="JWA469"/>
      <c r="JWB469"/>
      <c r="JWC469"/>
      <c r="JWD469"/>
      <c r="JWE469"/>
      <c r="JWF469"/>
      <c r="JWG469"/>
      <c r="JWH469"/>
      <c r="JWI469"/>
      <c r="JWJ469"/>
      <c r="JWK469"/>
      <c r="JWL469"/>
      <c r="JWM469"/>
      <c r="JWN469"/>
      <c r="JWO469"/>
      <c r="JWP469"/>
      <c r="JWQ469"/>
      <c r="JWR469"/>
      <c r="JWS469"/>
      <c r="JWT469"/>
      <c r="JWU469"/>
      <c r="JWV469"/>
      <c r="JWW469"/>
      <c r="JWX469"/>
      <c r="JWY469"/>
      <c r="JWZ469"/>
      <c r="JXA469"/>
      <c r="JXB469"/>
      <c r="JXC469"/>
      <c r="JXD469"/>
      <c r="JXE469"/>
      <c r="JXF469"/>
      <c r="JXG469"/>
      <c r="JXH469"/>
      <c r="JXI469"/>
      <c r="JXJ469"/>
      <c r="JXK469"/>
      <c r="JXL469"/>
      <c r="JXM469"/>
      <c r="JXN469"/>
      <c r="JXO469"/>
      <c r="JXP469"/>
      <c r="JXQ469"/>
      <c r="JXR469"/>
      <c r="JXS469"/>
      <c r="JXT469"/>
      <c r="JXU469"/>
      <c r="JXV469"/>
      <c r="JXW469"/>
      <c r="JXX469"/>
      <c r="JXY469"/>
      <c r="JXZ469"/>
      <c r="JYA469"/>
      <c r="JYB469"/>
      <c r="JYC469"/>
      <c r="JYD469"/>
      <c r="JYE469"/>
      <c r="JYF469"/>
      <c r="JYG469"/>
      <c r="JYH469"/>
      <c r="JYI469"/>
      <c r="JYJ469"/>
      <c r="JYK469"/>
      <c r="JYL469"/>
      <c r="JYM469"/>
      <c r="JYN469"/>
      <c r="JYO469"/>
      <c r="JYP469"/>
      <c r="JYQ469"/>
      <c r="JYR469"/>
      <c r="JYS469"/>
      <c r="JYT469"/>
      <c r="JYU469"/>
      <c r="JYV469"/>
      <c r="JYW469"/>
      <c r="JYX469"/>
      <c r="JYY469"/>
      <c r="JYZ469"/>
      <c r="JZA469"/>
      <c r="JZB469"/>
      <c r="JZC469"/>
      <c r="JZD469"/>
      <c r="JZE469"/>
      <c r="JZF469"/>
      <c r="JZG469"/>
      <c r="JZH469"/>
      <c r="JZI469"/>
      <c r="JZJ469"/>
      <c r="JZK469"/>
      <c r="JZL469"/>
      <c r="JZM469"/>
      <c r="JZN469"/>
      <c r="JZO469"/>
      <c r="JZP469"/>
      <c r="JZQ469"/>
      <c r="JZR469"/>
      <c r="JZS469"/>
      <c r="JZT469"/>
      <c r="JZU469"/>
      <c r="JZV469"/>
      <c r="JZW469"/>
      <c r="JZX469"/>
      <c r="JZY469"/>
      <c r="JZZ469"/>
      <c r="KAA469"/>
      <c r="KAB469"/>
      <c r="KAC469"/>
      <c r="KAD469"/>
      <c r="KAE469"/>
      <c r="KAF469"/>
      <c r="KAG469"/>
      <c r="KAH469"/>
      <c r="KAI469"/>
      <c r="KAJ469"/>
      <c r="KAK469"/>
      <c r="KAL469"/>
      <c r="KAM469"/>
      <c r="KAN469"/>
      <c r="KAO469"/>
      <c r="KAP469"/>
      <c r="KAQ469"/>
      <c r="KAR469"/>
      <c r="KAS469"/>
      <c r="KAT469"/>
      <c r="KAU469"/>
      <c r="KAV469"/>
      <c r="KAW469"/>
      <c r="KAX469"/>
      <c r="KAY469"/>
      <c r="KAZ469"/>
      <c r="KBA469"/>
      <c r="KBB469"/>
      <c r="KBC469"/>
      <c r="KBD469"/>
      <c r="KBE469"/>
      <c r="KBF469"/>
      <c r="KBG469"/>
      <c r="KBH469"/>
      <c r="KBI469"/>
      <c r="KBJ469"/>
      <c r="KBK469"/>
      <c r="KBL469"/>
      <c r="KBM469"/>
      <c r="KBN469"/>
      <c r="KBO469"/>
      <c r="KBP469"/>
      <c r="KBQ469"/>
      <c r="KBR469"/>
      <c r="KBS469"/>
      <c r="KBT469"/>
      <c r="KBU469"/>
      <c r="KBV469"/>
      <c r="KBW469"/>
      <c r="KBX469"/>
      <c r="KBY469"/>
      <c r="KBZ469"/>
      <c r="KCA469"/>
      <c r="KCB469"/>
      <c r="KCC469"/>
      <c r="KCD469"/>
      <c r="KCE469"/>
      <c r="KCF469"/>
      <c r="KCG469"/>
      <c r="KCH469"/>
      <c r="KCI469"/>
      <c r="KCJ469"/>
      <c r="KCK469"/>
      <c r="KCL469"/>
      <c r="KCM469"/>
      <c r="KCN469"/>
      <c r="KCO469"/>
      <c r="KCP469"/>
      <c r="KCQ469"/>
      <c r="KCR469"/>
      <c r="KCS469"/>
      <c r="KCT469"/>
      <c r="KCU469"/>
      <c r="KCV469"/>
      <c r="KCW469"/>
      <c r="KCX469"/>
      <c r="KCY469"/>
      <c r="KCZ469"/>
      <c r="KDA469"/>
      <c r="KDB469"/>
      <c r="KDC469"/>
      <c r="KDD469"/>
      <c r="KDE469"/>
      <c r="KDF469"/>
      <c r="KDG469"/>
      <c r="KDH469"/>
      <c r="KDI469"/>
      <c r="KDJ469"/>
      <c r="KDK469"/>
      <c r="KDL469"/>
      <c r="KDM469"/>
      <c r="KDN469"/>
      <c r="KDO469"/>
      <c r="KDP469"/>
      <c r="KDQ469"/>
      <c r="KDR469"/>
      <c r="KDS469"/>
      <c r="KDT469"/>
      <c r="KDU469"/>
      <c r="KDV469"/>
      <c r="KDW469"/>
      <c r="KDX469"/>
      <c r="KDY469"/>
      <c r="KDZ469"/>
      <c r="KEA469"/>
      <c r="KEB469"/>
      <c r="KEC469"/>
      <c r="KED469"/>
      <c r="KEE469"/>
      <c r="KEF469"/>
      <c r="KEG469"/>
      <c r="KEH469"/>
      <c r="KEI469"/>
      <c r="KEJ469"/>
      <c r="KEK469"/>
      <c r="KEL469"/>
      <c r="KEM469"/>
      <c r="KEN469"/>
      <c r="KEO469"/>
      <c r="KEP469"/>
      <c r="KEQ469"/>
      <c r="KER469"/>
      <c r="KES469"/>
      <c r="KET469"/>
      <c r="KEU469"/>
      <c r="KEV469"/>
      <c r="KEW469"/>
      <c r="KEX469"/>
      <c r="KEY469"/>
      <c r="KEZ469"/>
      <c r="KFA469"/>
      <c r="KFB469"/>
      <c r="KFC469"/>
      <c r="KFD469"/>
      <c r="KFE469"/>
      <c r="KFF469"/>
      <c r="KFG469"/>
      <c r="KFH469"/>
      <c r="KFI469"/>
      <c r="KFJ469"/>
      <c r="KFK469"/>
      <c r="KFL469"/>
      <c r="KFM469"/>
      <c r="KFN469"/>
      <c r="KFO469"/>
      <c r="KFP469"/>
      <c r="KFQ469"/>
      <c r="KFR469"/>
      <c r="KFS469"/>
      <c r="KFT469"/>
      <c r="KFU469"/>
      <c r="KFV469"/>
      <c r="KFW469"/>
      <c r="KFX469"/>
      <c r="KFY469"/>
      <c r="KFZ469"/>
      <c r="KGA469"/>
      <c r="KGB469"/>
      <c r="KGC469"/>
      <c r="KGD469"/>
      <c r="KGE469"/>
      <c r="KGF469"/>
      <c r="KGG469"/>
      <c r="KGH469"/>
      <c r="KGI469"/>
      <c r="KGJ469"/>
      <c r="KGK469"/>
      <c r="KGL469"/>
      <c r="KGM469"/>
      <c r="KGN469"/>
      <c r="KGO469"/>
      <c r="KGP469"/>
      <c r="KGQ469"/>
      <c r="KGR469"/>
      <c r="KGS469"/>
      <c r="KGT469"/>
      <c r="KGU469"/>
      <c r="KGV469"/>
      <c r="KGW469"/>
      <c r="KGX469"/>
      <c r="KGY469"/>
      <c r="KGZ469"/>
      <c r="KHA469"/>
      <c r="KHB469"/>
      <c r="KHC469"/>
      <c r="KHD469"/>
      <c r="KHE469"/>
      <c r="KHF469"/>
      <c r="KHG469"/>
      <c r="KHH469"/>
      <c r="KHI469"/>
      <c r="KHJ469"/>
      <c r="KHK469"/>
      <c r="KHL469"/>
      <c r="KHM469"/>
      <c r="KHN469"/>
      <c r="KHO469"/>
      <c r="KHP469"/>
      <c r="KHQ469"/>
      <c r="KHR469"/>
      <c r="KHS469"/>
      <c r="KHT469"/>
      <c r="KHU469"/>
      <c r="KHV469"/>
      <c r="KHW469"/>
      <c r="KHX469"/>
      <c r="KHY469"/>
      <c r="KHZ469"/>
      <c r="KIA469"/>
      <c r="KIB469"/>
      <c r="KIC469"/>
      <c r="KID469"/>
      <c r="KIE469"/>
      <c r="KIF469"/>
      <c r="KIG469"/>
      <c r="KIH469"/>
      <c r="KII469"/>
      <c r="KIJ469"/>
      <c r="KIK469"/>
      <c r="KIL469"/>
      <c r="KIM469"/>
      <c r="KIN469"/>
      <c r="KIO469"/>
      <c r="KIP469"/>
      <c r="KIQ469"/>
      <c r="KIR469"/>
      <c r="KIS469"/>
      <c r="KIT469"/>
      <c r="KIU469"/>
      <c r="KIV469"/>
      <c r="KIW469"/>
      <c r="KIX469"/>
      <c r="KIY469"/>
      <c r="KIZ469"/>
      <c r="KJA469"/>
      <c r="KJB469"/>
      <c r="KJC469"/>
      <c r="KJD469"/>
      <c r="KJE469"/>
      <c r="KJF469"/>
      <c r="KJG469"/>
      <c r="KJH469"/>
      <c r="KJI469"/>
      <c r="KJJ469"/>
      <c r="KJK469"/>
      <c r="KJL469"/>
      <c r="KJM469"/>
      <c r="KJN469"/>
      <c r="KJO469"/>
      <c r="KJP469"/>
      <c r="KJQ469"/>
      <c r="KJR469"/>
      <c r="KJS469"/>
      <c r="KJT469"/>
      <c r="KJU469"/>
      <c r="KJV469"/>
      <c r="KJW469"/>
      <c r="KJX469"/>
      <c r="KJY469"/>
      <c r="KJZ469"/>
      <c r="KKA469"/>
      <c r="KKB469"/>
      <c r="KKC469"/>
      <c r="KKD469"/>
      <c r="KKE469"/>
      <c r="KKF469"/>
      <c r="KKG469"/>
      <c r="KKH469"/>
      <c r="KKI469"/>
      <c r="KKJ469"/>
      <c r="KKK469"/>
      <c r="KKL469"/>
      <c r="KKM469"/>
      <c r="KKN469"/>
      <c r="KKO469"/>
      <c r="KKP469"/>
      <c r="KKQ469"/>
      <c r="KKR469"/>
      <c r="KKS469"/>
      <c r="KKT469"/>
      <c r="KKU469"/>
      <c r="KKV469"/>
      <c r="KKW469"/>
      <c r="KKX469"/>
      <c r="KKY469"/>
      <c r="KKZ469"/>
      <c r="KLA469"/>
      <c r="KLB469"/>
      <c r="KLC469"/>
      <c r="KLD469"/>
      <c r="KLE469"/>
      <c r="KLF469"/>
      <c r="KLG469"/>
      <c r="KLH469"/>
      <c r="KLI469"/>
      <c r="KLJ469"/>
      <c r="KLK469"/>
      <c r="KLL469"/>
      <c r="KLM469"/>
      <c r="KLN469"/>
      <c r="KLO469"/>
      <c r="KLP469"/>
      <c r="KLQ469"/>
      <c r="KLR469"/>
      <c r="KLS469"/>
      <c r="KLT469"/>
      <c r="KLU469"/>
      <c r="KLV469"/>
      <c r="KLW469"/>
      <c r="KLX469"/>
      <c r="KLY469"/>
      <c r="KLZ469"/>
      <c r="KMA469"/>
      <c r="KMB469"/>
      <c r="KMC469"/>
      <c r="KMD469"/>
      <c r="KME469"/>
      <c r="KMF469"/>
      <c r="KMG469"/>
      <c r="KMH469"/>
      <c r="KMI469"/>
      <c r="KMJ469"/>
      <c r="KMK469"/>
      <c r="KML469"/>
      <c r="KMM469"/>
      <c r="KMN469"/>
      <c r="KMO469"/>
      <c r="KMP469"/>
      <c r="KMQ469"/>
      <c r="KMR469"/>
      <c r="KMS469"/>
      <c r="KMT469"/>
      <c r="KMU469"/>
      <c r="KMV469"/>
      <c r="KMW469"/>
      <c r="KMX469"/>
      <c r="KMY469"/>
      <c r="KMZ469"/>
      <c r="KNA469"/>
      <c r="KNB469"/>
      <c r="KNC469"/>
      <c r="KND469"/>
      <c r="KNE469"/>
      <c r="KNF469"/>
      <c r="KNG469"/>
      <c r="KNH469"/>
      <c r="KNI469"/>
      <c r="KNJ469"/>
      <c r="KNK469"/>
      <c r="KNL469"/>
      <c r="KNM469"/>
      <c r="KNN469"/>
      <c r="KNO469"/>
      <c r="KNP469"/>
      <c r="KNQ469"/>
      <c r="KNR469"/>
      <c r="KNS469"/>
      <c r="KNT469"/>
      <c r="KNU469"/>
      <c r="KNV469"/>
      <c r="KNW469"/>
      <c r="KNX469"/>
      <c r="KNY469"/>
      <c r="KNZ469"/>
      <c r="KOA469"/>
      <c r="KOB469"/>
      <c r="KOC469"/>
      <c r="KOD469"/>
      <c r="KOE469"/>
      <c r="KOF469"/>
      <c r="KOG469"/>
      <c r="KOH469"/>
      <c r="KOI469"/>
      <c r="KOJ469"/>
      <c r="KOK469"/>
      <c r="KOL469"/>
      <c r="KOM469"/>
      <c r="KON469"/>
      <c r="KOO469"/>
      <c r="KOP469"/>
      <c r="KOQ469"/>
      <c r="KOR469"/>
      <c r="KOS469"/>
      <c r="KOT469"/>
      <c r="KOU469"/>
      <c r="KOV469"/>
      <c r="KOW469"/>
      <c r="KOX469"/>
      <c r="KOY469"/>
      <c r="KOZ469"/>
      <c r="KPA469"/>
      <c r="KPB469"/>
      <c r="KPC469"/>
      <c r="KPD469"/>
      <c r="KPE469"/>
      <c r="KPF469"/>
      <c r="KPG469"/>
      <c r="KPH469"/>
      <c r="KPI469"/>
      <c r="KPJ469"/>
      <c r="KPK469"/>
      <c r="KPL469"/>
      <c r="KPM469"/>
      <c r="KPN469"/>
      <c r="KPO469"/>
      <c r="KPP469"/>
      <c r="KPQ469"/>
      <c r="KPR469"/>
      <c r="KPS469"/>
      <c r="KPT469"/>
      <c r="KPU469"/>
      <c r="KPV469"/>
      <c r="KPW469"/>
      <c r="KPX469"/>
      <c r="KPY469"/>
      <c r="KPZ469"/>
      <c r="KQA469"/>
      <c r="KQB469"/>
      <c r="KQC469"/>
      <c r="KQD469"/>
      <c r="KQE469"/>
      <c r="KQF469"/>
      <c r="KQG469"/>
      <c r="KQH469"/>
      <c r="KQI469"/>
      <c r="KQJ469"/>
      <c r="KQK469"/>
      <c r="KQL469"/>
      <c r="KQM469"/>
      <c r="KQN469"/>
      <c r="KQO469"/>
      <c r="KQP469"/>
      <c r="KQQ469"/>
      <c r="KQR469"/>
      <c r="KQS469"/>
      <c r="KQT469"/>
      <c r="KQU469"/>
      <c r="KQV469"/>
      <c r="KQW469"/>
      <c r="KQX469"/>
      <c r="KQY469"/>
      <c r="KQZ469"/>
      <c r="KRA469"/>
      <c r="KRB469"/>
      <c r="KRC469"/>
      <c r="KRD469"/>
      <c r="KRE469"/>
      <c r="KRF469"/>
      <c r="KRG469"/>
      <c r="KRH469"/>
      <c r="KRI469"/>
      <c r="KRJ469"/>
      <c r="KRK469"/>
      <c r="KRL469"/>
      <c r="KRM469"/>
      <c r="KRN469"/>
      <c r="KRO469"/>
      <c r="KRP469"/>
      <c r="KRQ469"/>
      <c r="KRR469"/>
      <c r="KRS469"/>
      <c r="KRT469"/>
      <c r="KRU469"/>
      <c r="KRV469"/>
      <c r="KRW469"/>
      <c r="KRX469"/>
      <c r="KRY469"/>
      <c r="KRZ469"/>
      <c r="KSA469"/>
      <c r="KSB469"/>
      <c r="KSC469"/>
      <c r="KSD469"/>
      <c r="KSE469"/>
      <c r="KSF469"/>
      <c r="KSG469"/>
      <c r="KSH469"/>
      <c r="KSI469"/>
      <c r="KSJ469"/>
      <c r="KSK469"/>
      <c r="KSL469"/>
      <c r="KSM469"/>
      <c r="KSN469"/>
      <c r="KSO469"/>
      <c r="KSP469"/>
      <c r="KSQ469"/>
      <c r="KSR469"/>
      <c r="KSS469"/>
      <c r="KST469"/>
      <c r="KSU469"/>
      <c r="KSV469"/>
      <c r="KSW469"/>
      <c r="KSX469"/>
      <c r="KSY469"/>
      <c r="KSZ469"/>
      <c r="KTA469"/>
      <c r="KTB469"/>
      <c r="KTC469"/>
      <c r="KTD469"/>
      <c r="KTE469"/>
      <c r="KTF469"/>
      <c r="KTG469"/>
      <c r="KTH469"/>
      <c r="KTI469"/>
      <c r="KTJ469"/>
      <c r="KTK469"/>
      <c r="KTL469"/>
      <c r="KTM469"/>
      <c r="KTN469"/>
      <c r="KTO469"/>
      <c r="KTP469"/>
      <c r="KTQ469"/>
      <c r="KTR469"/>
      <c r="KTS469"/>
      <c r="KTT469"/>
      <c r="KTU469"/>
      <c r="KTV469"/>
      <c r="KTW469"/>
      <c r="KTX469"/>
      <c r="KTY469"/>
      <c r="KTZ469"/>
      <c r="KUA469"/>
      <c r="KUB469"/>
      <c r="KUC469"/>
      <c r="KUD469"/>
      <c r="KUE469"/>
      <c r="KUF469"/>
      <c r="KUG469"/>
      <c r="KUH469"/>
      <c r="KUI469"/>
      <c r="KUJ469"/>
      <c r="KUK469"/>
      <c r="KUL469"/>
      <c r="KUM469"/>
      <c r="KUN469"/>
      <c r="KUO469"/>
      <c r="KUP469"/>
      <c r="KUQ469"/>
      <c r="KUR469"/>
      <c r="KUS469"/>
      <c r="KUT469"/>
      <c r="KUU469"/>
      <c r="KUV469"/>
      <c r="KUW469"/>
      <c r="KUX469"/>
      <c r="KUY469"/>
      <c r="KUZ469"/>
      <c r="KVA469"/>
      <c r="KVB469"/>
      <c r="KVC469"/>
      <c r="KVD469"/>
      <c r="KVE469"/>
      <c r="KVF469"/>
      <c r="KVG469"/>
      <c r="KVH469"/>
      <c r="KVI469"/>
      <c r="KVJ469"/>
      <c r="KVK469"/>
      <c r="KVL469"/>
      <c r="KVM469"/>
      <c r="KVN469"/>
      <c r="KVO469"/>
      <c r="KVP469"/>
      <c r="KVQ469"/>
      <c r="KVR469"/>
      <c r="KVS469"/>
      <c r="KVT469"/>
      <c r="KVU469"/>
      <c r="KVV469"/>
      <c r="KVW469"/>
      <c r="KVX469"/>
      <c r="KVY469"/>
      <c r="KVZ469"/>
      <c r="KWA469"/>
      <c r="KWB469"/>
      <c r="KWC469"/>
      <c r="KWD469"/>
      <c r="KWE469"/>
      <c r="KWF469"/>
      <c r="KWG469"/>
      <c r="KWH469"/>
      <c r="KWI469"/>
      <c r="KWJ469"/>
      <c r="KWK469"/>
      <c r="KWL469"/>
      <c r="KWM469"/>
      <c r="KWN469"/>
      <c r="KWO469"/>
      <c r="KWP469"/>
      <c r="KWQ469"/>
      <c r="KWR469"/>
      <c r="KWS469"/>
      <c r="KWT469"/>
      <c r="KWU469"/>
      <c r="KWV469"/>
      <c r="KWW469"/>
      <c r="KWX469"/>
      <c r="KWY469"/>
      <c r="KWZ469"/>
      <c r="KXA469"/>
      <c r="KXB469"/>
      <c r="KXC469"/>
      <c r="KXD469"/>
      <c r="KXE469"/>
      <c r="KXF469"/>
      <c r="KXG469"/>
      <c r="KXH469"/>
      <c r="KXI469"/>
      <c r="KXJ469"/>
      <c r="KXK469"/>
      <c r="KXL469"/>
      <c r="KXM469"/>
      <c r="KXN469"/>
      <c r="KXO469"/>
      <c r="KXP469"/>
      <c r="KXQ469"/>
      <c r="KXR469"/>
      <c r="KXS469"/>
      <c r="KXT469"/>
      <c r="KXU469"/>
      <c r="KXV469"/>
      <c r="KXW469"/>
      <c r="KXX469"/>
      <c r="KXY469"/>
      <c r="KXZ469"/>
      <c r="KYA469"/>
      <c r="KYB469"/>
      <c r="KYC469"/>
      <c r="KYD469"/>
      <c r="KYE469"/>
      <c r="KYF469"/>
      <c r="KYG469"/>
      <c r="KYH469"/>
      <c r="KYI469"/>
      <c r="KYJ469"/>
      <c r="KYK469"/>
      <c r="KYL469"/>
      <c r="KYM469"/>
      <c r="KYN469"/>
      <c r="KYO469"/>
      <c r="KYP469"/>
      <c r="KYQ469"/>
      <c r="KYR469"/>
      <c r="KYS469"/>
      <c r="KYT469"/>
      <c r="KYU469"/>
      <c r="KYV469"/>
      <c r="KYW469"/>
      <c r="KYX469"/>
      <c r="KYY469"/>
      <c r="KYZ469"/>
      <c r="KZA469"/>
      <c r="KZB469"/>
      <c r="KZC469"/>
      <c r="KZD469"/>
      <c r="KZE469"/>
      <c r="KZF469"/>
      <c r="KZG469"/>
      <c r="KZH469"/>
      <c r="KZI469"/>
      <c r="KZJ469"/>
      <c r="KZK469"/>
      <c r="KZL469"/>
      <c r="KZM469"/>
      <c r="KZN469"/>
      <c r="KZO469"/>
      <c r="KZP469"/>
      <c r="KZQ469"/>
      <c r="KZR469"/>
      <c r="KZS469"/>
      <c r="KZT469"/>
      <c r="KZU469"/>
      <c r="KZV469"/>
      <c r="KZW469"/>
      <c r="KZX469"/>
      <c r="KZY469"/>
      <c r="KZZ469"/>
      <c r="LAA469"/>
      <c r="LAB469"/>
      <c r="LAC469"/>
      <c r="LAD469"/>
      <c r="LAE469"/>
      <c r="LAF469"/>
      <c r="LAG469"/>
      <c r="LAH469"/>
      <c r="LAI469"/>
      <c r="LAJ469"/>
      <c r="LAK469"/>
      <c r="LAL469"/>
      <c r="LAM469"/>
      <c r="LAN469"/>
      <c r="LAO469"/>
      <c r="LAP469"/>
      <c r="LAQ469"/>
      <c r="LAR469"/>
      <c r="LAS469"/>
      <c r="LAT469"/>
      <c r="LAU469"/>
      <c r="LAV469"/>
      <c r="LAW469"/>
      <c r="LAX469"/>
      <c r="LAY469"/>
      <c r="LAZ469"/>
      <c r="LBA469"/>
      <c r="LBB469"/>
      <c r="LBC469"/>
      <c r="LBD469"/>
      <c r="LBE469"/>
      <c r="LBF469"/>
      <c r="LBG469"/>
      <c r="LBH469"/>
      <c r="LBI469"/>
      <c r="LBJ469"/>
      <c r="LBK469"/>
      <c r="LBL469"/>
      <c r="LBM469"/>
      <c r="LBN469"/>
      <c r="LBO469"/>
      <c r="LBP469"/>
      <c r="LBQ469"/>
      <c r="LBR469"/>
      <c r="LBS469"/>
      <c r="LBT469"/>
      <c r="LBU469"/>
      <c r="LBV469"/>
      <c r="LBW469"/>
      <c r="LBX469"/>
      <c r="LBY469"/>
      <c r="LBZ469"/>
      <c r="LCA469"/>
      <c r="LCB469"/>
      <c r="LCC469"/>
      <c r="LCD469"/>
      <c r="LCE469"/>
      <c r="LCF469"/>
      <c r="LCG469"/>
      <c r="LCH469"/>
      <c r="LCI469"/>
      <c r="LCJ469"/>
      <c r="LCK469"/>
      <c r="LCL469"/>
      <c r="LCM469"/>
      <c r="LCN469"/>
      <c r="LCO469"/>
      <c r="LCP469"/>
      <c r="LCQ469"/>
      <c r="LCR469"/>
      <c r="LCS469"/>
      <c r="LCT469"/>
      <c r="LCU469"/>
      <c r="LCV469"/>
      <c r="LCW469"/>
      <c r="LCX469"/>
      <c r="LCY469"/>
      <c r="LCZ469"/>
      <c r="LDA469"/>
      <c r="LDB469"/>
      <c r="LDC469"/>
      <c r="LDD469"/>
      <c r="LDE469"/>
      <c r="LDF469"/>
      <c r="LDG469"/>
      <c r="LDH469"/>
      <c r="LDI469"/>
      <c r="LDJ469"/>
      <c r="LDK469"/>
      <c r="LDL469"/>
      <c r="LDM469"/>
      <c r="LDN469"/>
      <c r="LDO469"/>
      <c r="LDP469"/>
      <c r="LDQ469"/>
      <c r="LDR469"/>
      <c r="LDS469"/>
      <c r="LDT469"/>
      <c r="LDU469"/>
      <c r="LDV469"/>
      <c r="LDW469"/>
      <c r="LDX469"/>
      <c r="LDY469"/>
      <c r="LDZ469"/>
      <c r="LEA469"/>
      <c r="LEB469"/>
      <c r="LEC469"/>
      <c r="LED469"/>
      <c r="LEE469"/>
      <c r="LEF469"/>
      <c r="LEG469"/>
      <c r="LEH469"/>
      <c r="LEI469"/>
      <c r="LEJ469"/>
      <c r="LEK469"/>
      <c r="LEL469"/>
      <c r="LEM469"/>
      <c r="LEN469"/>
      <c r="LEO469"/>
      <c r="LEP469"/>
      <c r="LEQ469"/>
      <c r="LER469"/>
      <c r="LES469"/>
      <c r="LET469"/>
      <c r="LEU469"/>
      <c r="LEV469"/>
      <c r="LEW469"/>
      <c r="LEX469"/>
      <c r="LEY469"/>
      <c r="LEZ469"/>
      <c r="LFA469"/>
      <c r="LFB469"/>
      <c r="LFC469"/>
      <c r="LFD469"/>
      <c r="LFE469"/>
      <c r="LFF469"/>
      <c r="LFG469"/>
      <c r="LFH469"/>
      <c r="LFI469"/>
      <c r="LFJ469"/>
      <c r="LFK469"/>
      <c r="LFL469"/>
      <c r="LFM469"/>
      <c r="LFN469"/>
      <c r="LFO469"/>
      <c r="LFP469"/>
      <c r="LFQ469"/>
      <c r="LFR469"/>
      <c r="LFS469"/>
      <c r="LFT469"/>
      <c r="LFU469"/>
      <c r="LFV469"/>
      <c r="LFW469"/>
      <c r="LFX469"/>
      <c r="LFY469"/>
      <c r="LFZ469"/>
      <c r="LGA469"/>
      <c r="LGB469"/>
      <c r="LGC469"/>
      <c r="LGD469"/>
      <c r="LGE469"/>
      <c r="LGF469"/>
      <c r="LGG469"/>
      <c r="LGH469"/>
      <c r="LGI469"/>
      <c r="LGJ469"/>
      <c r="LGK469"/>
      <c r="LGL469"/>
      <c r="LGM469"/>
      <c r="LGN469"/>
      <c r="LGO469"/>
      <c r="LGP469"/>
      <c r="LGQ469"/>
      <c r="LGR469"/>
      <c r="LGS469"/>
      <c r="LGT469"/>
      <c r="LGU469"/>
      <c r="LGV469"/>
      <c r="LGW469"/>
      <c r="LGX469"/>
      <c r="LGY469"/>
      <c r="LGZ469"/>
      <c r="LHA469"/>
      <c r="LHB469"/>
      <c r="LHC469"/>
      <c r="LHD469"/>
      <c r="LHE469"/>
      <c r="LHF469"/>
      <c r="LHG469"/>
      <c r="LHH469"/>
      <c r="LHI469"/>
      <c r="LHJ469"/>
      <c r="LHK469"/>
      <c r="LHL469"/>
      <c r="LHM469"/>
      <c r="LHN469"/>
      <c r="LHO469"/>
      <c r="LHP469"/>
      <c r="LHQ469"/>
      <c r="LHR469"/>
      <c r="LHS469"/>
      <c r="LHT469"/>
      <c r="LHU469"/>
      <c r="LHV469"/>
      <c r="LHW469"/>
      <c r="LHX469"/>
      <c r="LHY469"/>
      <c r="LHZ469"/>
      <c r="LIA469"/>
      <c r="LIB469"/>
      <c r="LIC469"/>
      <c r="LID469"/>
      <c r="LIE469"/>
      <c r="LIF469"/>
      <c r="LIG469"/>
      <c r="LIH469"/>
      <c r="LII469"/>
      <c r="LIJ469"/>
      <c r="LIK469"/>
      <c r="LIL469"/>
      <c r="LIM469"/>
      <c r="LIN469"/>
      <c r="LIO469"/>
      <c r="LIP469"/>
      <c r="LIQ469"/>
      <c r="LIR469"/>
      <c r="LIS469"/>
      <c r="LIT469"/>
      <c r="LIU469"/>
      <c r="LIV469"/>
      <c r="LIW469"/>
      <c r="LIX469"/>
      <c r="LIY469"/>
      <c r="LIZ469"/>
      <c r="LJA469"/>
      <c r="LJB469"/>
      <c r="LJC469"/>
      <c r="LJD469"/>
      <c r="LJE469"/>
      <c r="LJF469"/>
      <c r="LJG469"/>
      <c r="LJH469"/>
      <c r="LJI469"/>
      <c r="LJJ469"/>
      <c r="LJK469"/>
      <c r="LJL469"/>
      <c r="LJM469"/>
      <c r="LJN469"/>
      <c r="LJO469"/>
      <c r="LJP469"/>
      <c r="LJQ469"/>
      <c r="LJR469"/>
      <c r="LJS469"/>
      <c r="LJT469"/>
      <c r="LJU469"/>
      <c r="LJV469"/>
      <c r="LJW469"/>
      <c r="LJX469"/>
      <c r="LJY469"/>
      <c r="LJZ469"/>
      <c r="LKA469"/>
      <c r="LKB469"/>
      <c r="LKC469"/>
      <c r="LKD469"/>
      <c r="LKE469"/>
      <c r="LKF469"/>
      <c r="LKG469"/>
      <c r="LKH469"/>
      <c r="LKI469"/>
      <c r="LKJ469"/>
      <c r="LKK469"/>
      <c r="LKL469"/>
      <c r="LKM469"/>
      <c r="LKN469"/>
      <c r="LKO469"/>
      <c r="LKP469"/>
      <c r="LKQ469"/>
      <c r="LKR469"/>
      <c r="LKS469"/>
      <c r="LKT469"/>
      <c r="LKU469"/>
      <c r="LKV469"/>
      <c r="LKW469"/>
      <c r="LKX469"/>
      <c r="LKY469"/>
      <c r="LKZ469"/>
      <c r="LLA469"/>
      <c r="LLB469"/>
      <c r="LLC469"/>
      <c r="LLD469"/>
      <c r="LLE469"/>
      <c r="LLF469"/>
      <c r="LLG469"/>
      <c r="LLH469"/>
      <c r="LLI469"/>
      <c r="LLJ469"/>
      <c r="LLK469"/>
      <c r="LLL469"/>
      <c r="LLM469"/>
      <c r="LLN469"/>
      <c r="LLO469"/>
      <c r="LLP469"/>
      <c r="LLQ469"/>
      <c r="LLR469"/>
      <c r="LLS469"/>
      <c r="LLT469"/>
      <c r="LLU469"/>
      <c r="LLV469"/>
      <c r="LLW469"/>
      <c r="LLX469"/>
      <c r="LLY469"/>
      <c r="LLZ469"/>
      <c r="LMA469"/>
      <c r="LMB469"/>
      <c r="LMC469"/>
      <c r="LMD469"/>
      <c r="LME469"/>
      <c r="LMF469"/>
      <c r="LMG469"/>
      <c r="LMH469"/>
      <c r="LMI469"/>
      <c r="LMJ469"/>
      <c r="LMK469"/>
      <c r="LML469"/>
      <c r="LMM469"/>
      <c r="LMN469"/>
      <c r="LMO469"/>
      <c r="LMP469"/>
      <c r="LMQ469"/>
      <c r="LMR469"/>
      <c r="LMS469"/>
      <c r="LMT469"/>
      <c r="LMU469"/>
      <c r="LMV469"/>
      <c r="LMW469"/>
      <c r="LMX469"/>
      <c r="LMY469"/>
      <c r="LMZ469"/>
      <c r="LNA469"/>
      <c r="LNB469"/>
      <c r="LNC469"/>
      <c r="LND469"/>
      <c r="LNE469"/>
      <c r="LNF469"/>
      <c r="LNG469"/>
      <c r="LNH469"/>
      <c r="LNI469"/>
      <c r="LNJ469"/>
      <c r="LNK469"/>
      <c r="LNL469"/>
      <c r="LNM469"/>
      <c r="LNN469"/>
      <c r="LNO469"/>
      <c r="LNP469"/>
      <c r="LNQ469"/>
      <c r="LNR469"/>
      <c r="LNS469"/>
      <c r="LNT469"/>
      <c r="LNU469"/>
      <c r="LNV469"/>
      <c r="LNW469"/>
      <c r="LNX469"/>
      <c r="LNY469"/>
      <c r="LNZ469"/>
      <c r="LOA469"/>
      <c r="LOB469"/>
      <c r="LOC469"/>
      <c r="LOD469"/>
      <c r="LOE469"/>
      <c r="LOF469"/>
      <c r="LOG469"/>
      <c r="LOH469"/>
      <c r="LOI469"/>
      <c r="LOJ469"/>
      <c r="LOK469"/>
      <c r="LOL469"/>
      <c r="LOM469"/>
      <c r="LON469"/>
      <c r="LOO469"/>
      <c r="LOP469"/>
      <c r="LOQ469"/>
      <c r="LOR469"/>
      <c r="LOS469"/>
      <c r="LOT469"/>
      <c r="LOU469"/>
      <c r="LOV469"/>
      <c r="LOW469"/>
      <c r="LOX469"/>
      <c r="LOY469"/>
      <c r="LOZ469"/>
      <c r="LPA469"/>
      <c r="LPB469"/>
      <c r="LPC469"/>
      <c r="LPD469"/>
      <c r="LPE469"/>
      <c r="LPF469"/>
      <c r="LPG469"/>
      <c r="LPH469"/>
      <c r="LPI469"/>
      <c r="LPJ469"/>
      <c r="LPK469"/>
      <c r="LPL469"/>
      <c r="LPM469"/>
      <c r="LPN469"/>
      <c r="LPO469"/>
      <c r="LPP469"/>
      <c r="LPQ469"/>
      <c r="LPR469"/>
      <c r="LPS469"/>
      <c r="LPT469"/>
      <c r="LPU469"/>
      <c r="LPV469"/>
      <c r="LPW469"/>
      <c r="LPX469"/>
      <c r="LPY469"/>
      <c r="LPZ469"/>
      <c r="LQA469"/>
      <c r="LQB469"/>
      <c r="LQC469"/>
      <c r="LQD469"/>
      <c r="LQE469"/>
      <c r="LQF469"/>
      <c r="LQG469"/>
      <c r="LQH469"/>
      <c r="LQI469"/>
      <c r="LQJ469"/>
      <c r="LQK469"/>
      <c r="LQL469"/>
      <c r="LQM469"/>
      <c r="LQN469"/>
      <c r="LQO469"/>
      <c r="LQP469"/>
      <c r="LQQ469"/>
      <c r="LQR469"/>
      <c r="LQS469"/>
      <c r="LQT469"/>
      <c r="LQU469"/>
      <c r="LQV469"/>
      <c r="LQW469"/>
      <c r="LQX469"/>
      <c r="LQY469"/>
      <c r="LQZ469"/>
      <c r="LRA469"/>
      <c r="LRB469"/>
      <c r="LRC469"/>
      <c r="LRD469"/>
      <c r="LRE469"/>
      <c r="LRF469"/>
      <c r="LRG469"/>
      <c r="LRH469"/>
      <c r="LRI469"/>
      <c r="LRJ469"/>
      <c r="LRK469"/>
      <c r="LRL469"/>
      <c r="LRM469"/>
      <c r="LRN469"/>
      <c r="LRO469"/>
      <c r="LRP469"/>
      <c r="LRQ469"/>
      <c r="LRR469"/>
      <c r="LRS469"/>
      <c r="LRT469"/>
      <c r="LRU469"/>
      <c r="LRV469"/>
      <c r="LRW469"/>
      <c r="LRX469"/>
      <c r="LRY469"/>
      <c r="LRZ469"/>
      <c r="LSA469"/>
      <c r="LSB469"/>
      <c r="LSC469"/>
      <c r="LSD469"/>
      <c r="LSE469"/>
      <c r="LSF469"/>
      <c r="LSG469"/>
      <c r="LSH469"/>
      <c r="LSI469"/>
      <c r="LSJ469"/>
      <c r="LSK469"/>
      <c r="LSL469"/>
      <c r="LSM469"/>
      <c r="LSN469"/>
      <c r="LSO469"/>
      <c r="LSP469"/>
      <c r="LSQ469"/>
      <c r="LSR469"/>
      <c r="LSS469"/>
      <c r="LST469"/>
      <c r="LSU469"/>
      <c r="LSV469"/>
      <c r="LSW469"/>
      <c r="LSX469"/>
      <c r="LSY469"/>
      <c r="LSZ469"/>
      <c r="LTA469"/>
      <c r="LTB469"/>
      <c r="LTC469"/>
      <c r="LTD469"/>
      <c r="LTE469"/>
      <c r="LTF469"/>
      <c r="LTG469"/>
      <c r="LTH469"/>
      <c r="LTI469"/>
      <c r="LTJ469"/>
      <c r="LTK469"/>
      <c r="LTL469"/>
      <c r="LTM469"/>
      <c r="LTN469"/>
      <c r="LTO469"/>
      <c r="LTP469"/>
      <c r="LTQ469"/>
      <c r="LTR469"/>
      <c r="LTS469"/>
      <c r="LTT469"/>
      <c r="LTU469"/>
      <c r="LTV469"/>
      <c r="LTW469"/>
      <c r="LTX469"/>
      <c r="LTY469"/>
      <c r="LTZ469"/>
      <c r="LUA469"/>
      <c r="LUB469"/>
      <c r="LUC469"/>
      <c r="LUD469"/>
      <c r="LUE469"/>
      <c r="LUF469"/>
      <c r="LUG469"/>
      <c r="LUH469"/>
      <c r="LUI469"/>
      <c r="LUJ469"/>
      <c r="LUK469"/>
      <c r="LUL469"/>
      <c r="LUM469"/>
      <c r="LUN469"/>
      <c r="LUO469"/>
      <c r="LUP469"/>
      <c r="LUQ469"/>
      <c r="LUR469"/>
      <c r="LUS469"/>
      <c r="LUT469"/>
      <c r="LUU469"/>
      <c r="LUV469"/>
      <c r="LUW469"/>
      <c r="LUX469"/>
      <c r="LUY469"/>
      <c r="LUZ469"/>
      <c r="LVA469"/>
      <c r="LVB469"/>
      <c r="LVC469"/>
      <c r="LVD469"/>
      <c r="LVE469"/>
      <c r="LVF469"/>
      <c r="LVG469"/>
      <c r="LVH469"/>
      <c r="LVI469"/>
      <c r="LVJ469"/>
      <c r="LVK469"/>
      <c r="LVL469"/>
      <c r="LVM469"/>
      <c r="LVN469"/>
      <c r="LVO469"/>
      <c r="LVP469"/>
      <c r="LVQ469"/>
      <c r="LVR469"/>
      <c r="LVS469"/>
      <c r="LVT469"/>
      <c r="LVU469"/>
      <c r="LVV469"/>
      <c r="LVW469"/>
      <c r="LVX469"/>
      <c r="LVY469"/>
      <c r="LVZ469"/>
      <c r="LWA469"/>
      <c r="LWB469"/>
      <c r="LWC469"/>
      <c r="LWD469"/>
      <c r="LWE469"/>
      <c r="LWF469"/>
      <c r="LWG469"/>
      <c r="LWH469"/>
      <c r="LWI469"/>
      <c r="LWJ469"/>
      <c r="LWK469"/>
      <c r="LWL469"/>
      <c r="LWM469"/>
      <c r="LWN469"/>
      <c r="LWO469"/>
      <c r="LWP469"/>
      <c r="LWQ469"/>
      <c r="LWR469"/>
      <c r="LWS469"/>
      <c r="LWT469"/>
      <c r="LWU469"/>
      <c r="LWV469"/>
      <c r="LWW469"/>
      <c r="LWX469"/>
      <c r="LWY469"/>
      <c r="LWZ469"/>
      <c r="LXA469"/>
      <c r="LXB469"/>
      <c r="LXC469"/>
      <c r="LXD469"/>
      <c r="LXE469"/>
      <c r="LXF469"/>
      <c r="LXG469"/>
      <c r="LXH469"/>
      <c r="LXI469"/>
      <c r="LXJ469"/>
      <c r="LXK469"/>
      <c r="LXL469"/>
      <c r="LXM469"/>
      <c r="LXN469"/>
      <c r="LXO469"/>
      <c r="LXP469"/>
      <c r="LXQ469"/>
      <c r="LXR469"/>
      <c r="LXS469"/>
      <c r="LXT469"/>
      <c r="LXU469"/>
      <c r="LXV469"/>
      <c r="LXW469"/>
      <c r="LXX469"/>
      <c r="LXY469"/>
      <c r="LXZ469"/>
      <c r="LYA469"/>
      <c r="LYB469"/>
      <c r="LYC469"/>
      <c r="LYD469"/>
      <c r="LYE469"/>
      <c r="LYF469"/>
      <c r="LYG469"/>
      <c r="LYH469"/>
      <c r="LYI469"/>
      <c r="LYJ469"/>
      <c r="LYK469"/>
      <c r="LYL469"/>
      <c r="LYM469"/>
      <c r="LYN469"/>
      <c r="LYO469"/>
      <c r="LYP469"/>
      <c r="LYQ469"/>
      <c r="LYR469"/>
      <c r="LYS469"/>
      <c r="LYT469"/>
      <c r="LYU469"/>
      <c r="LYV469"/>
      <c r="LYW469"/>
      <c r="LYX469"/>
      <c r="LYY469"/>
      <c r="LYZ469"/>
      <c r="LZA469"/>
      <c r="LZB469"/>
      <c r="LZC469"/>
      <c r="LZD469"/>
      <c r="LZE469"/>
      <c r="LZF469"/>
      <c r="LZG469"/>
      <c r="LZH469"/>
      <c r="LZI469"/>
      <c r="LZJ469"/>
      <c r="LZK469"/>
      <c r="LZL469"/>
      <c r="LZM469"/>
      <c r="LZN469"/>
      <c r="LZO469"/>
      <c r="LZP469"/>
      <c r="LZQ469"/>
      <c r="LZR469"/>
      <c r="LZS469"/>
      <c r="LZT469"/>
      <c r="LZU469"/>
      <c r="LZV469"/>
      <c r="LZW469"/>
      <c r="LZX469"/>
      <c r="LZY469"/>
      <c r="LZZ469"/>
      <c r="MAA469"/>
      <c r="MAB469"/>
      <c r="MAC469"/>
      <c r="MAD469"/>
      <c r="MAE469"/>
      <c r="MAF469"/>
      <c r="MAG469"/>
      <c r="MAH469"/>
      <c r="MAI469"/>
      <c r="MAJ469"/>
      <c r="MAK469"/>
      <c r="MAL469"/>
      <c r="MAM469"/>
      <c r="MAN469"/>
      <c r="MAO469"/>
      <c r="MAP469"/>
      <c r="MAQ469"/>
      <c r="MAR469"/>
      <c r="MAS469"/>
      <c r="MAT469"/>
      <c r="MAU469"/>
      <c r="MAV469"/>
      <c r="MAW469"/>
      <c r="MAX469"/>
      <c r="MAY469"/>
      <c r="MAZ469"/>
      <c r="MBA469"/>
      <c r="MBB469"/>
      <c r="MBC469"/>
      <c r="MBD469"/>
      <c r="MBE469"/>
      <c r="MBF469"/>
      <c r="MBG469"/>
      <c r="MBH469"/>
      <c r="MBI469"/>
      <c r="MBJ469"/>
      <c r="MBK469"/>
      <c r="MBL469"/>
      <c r="MBM469"/>
      <c r="MBN469"/>
      <c r="MBO469"/>
      <c r="MBP469"/>
      <c r="MBQ469"/>
      <c r="MBR469"/>
      <c r="MBS469"/>
      <c r="MBT469"/>
      <c r="MBU469"/>
      <c r="MBV469"/>
      <c r="MBW469"/>
      <c r="MBX469"/>
      <c r="MBY469"/>
      <c r="MBZ469"/>
      <c r="MCA469"/>
      <c r="MCB469"/>
      <c r="MCC469"/>
      <c r="MCD469"/>
      <c r="MCE469"/>
      <c r="MCF469"/>
      <c r="MCG469"/>
      <c r="MCH469"/>
      <c r="MCI469"/>
      <c r="MCJ469"/>
      <c r="MCK469"/>
      <c r="MCL469"/>
      <c r="MCM469"/>
      <c r="MCN469"/>
      <c r="MCO469"/>
      <c r="MCP469"/>
      <c r="MCQ469"/>
      <c r="MCR469"/>
      <c r="MCS469"/>
      <c r="MCT469"/>
      <c r="MCU469"/>
      <c r="MCV469"/>
      <c r="MCW469"/>
      <c r="MCX469"/>
      <c r="MCY469"/>
      <c r="MCZ469"/>
      <c r="MDA469"/>
      <c r="MDB469"/>
      <c r="MDC469"/>
      <c r="MDD469"/>
      <c r="MDE469"/>
      <c r="MDF469"/>
      <c r="MDG469"/>
      <c r="MDH469"/>
      <c r="MDI469"/>
      <c r="MDJ469"/>
      <c r="MDK469"/>
      <c r="MDL469"/>
      <c r="MDM469"/>
      <c r="MDN469"/>
      <c r="MDO469"/>
      <c r="MDP469"/>
      <c r="MDQ469"/>
      <c r="MDR469"/>
      <c r="MDS469"/>
      <c r="MDT469"/>
      <c r="MDU469"/>
      <c r="MDV469"/>
      <c r="MDW469"/>
      <c r="MDX469"/>
      <c r="MDY469"/>
      <c r="MDZ469"/>
      <c r="MEA469"/>
      <c r="MEB469"/>
      <c r="MEC469"/>
      <c r="MED469"/>
      <c r="MEE469"/>
      <c r="MEF469"/>
      <c r="MEG469"/>
      <c r="MEH469"/>
      <c r="MEI469"/>
      <c r="MEJ469"/>
      <c r="MEK469"/>
      <c r="MEL469"/>
      <c r="MEM469"/>
      <c r="MEN469"/>
      <c r="MEO469"/>
      <c r="MEP469"/>
      <c r="MEQ469"/>
      <c r="MER469"/>
      <c r="MES469"/>
      <c r="MET469"/>
      <c r="MEU469"/>
      <c r="MEV469"/>
      <c r="MEW469"/>
      <c r="MEX469"/>
      <c r="MEY469"/>
      <c r="MEZ469"/>
      <c r="MFA469"/>
      <c r="MFB469"/>
      <c r="MFC469"/>
      <c r="MFD469"/>
      <c r="MFE469"/>
      <c r="MFF469"/>
      <c r="MFG469"/>
      <c r="MFH469"/>
      <c r="MFI469"/>
      <c r="MFJ469"/>
      <c r="MFK469"/>
      <c r="MFL469"/>
      <c r="MFM469"/>
      <c r="MFN469"/>
      <c r="MFO469"/>
      <c r="MFP469"/>
      <c r="MFQ469"/>
      <c r="MFR469"/>
      <c r="MFS469"/>
      <c r="MFT469"/>
      <c r="MFU469"/>
      <c r="MFV469"/>
      <c r="MFW469"/>
      <c r="MFX469"/>
      <c r="MFY469"/>
      <c r="MFZ469"/>
      <c r="MGA469"/>
      <c r="MGB469"/>
      <c r="MGC469"/>
      <c r="MGD469"/>
      <c r="MGE469"/>
      <c r="MGF469"/>
      <c r="MGG469"/>
      <c r="MGH469"/>
      <c r="MGI469"/>
      <c r="MGJ469"/>
      <c r="MGK469"/>
      <c r="MGL469"/>
      <c r="MGM469"/>
      <c r="MGN469"/>
      <c r="MGO469"/>
      <c r="MGP469"/>
      <c r="MGQ469"/>
      <c r="MGR469"/>
      <c r="MGS469"/>
      <c r="MGT469"/>
      <c r="MGU469"/>
      <c r="MGV469"/>
      <c r="MGW469"/>
      <c r="MGX469"/>
      <c r="MGY469"/>
      <c r="MGZ469"/>
      <c r="MHA469"/>
      <c r="MHB469"/>
      <c r="MHC469"/>
      <c r="MHD469"/>
      <c r="MHE469"/>
      <c r="MHF469"/>
      <c r="MHG469"/>
      <c r="MHH469"/>
      <c r="MHI469"/>
      <c r="MHJ469"/>
      <c r="MHK469"/>
      <c r="MHL469"/>
      <c r="MHM469"/>
      <c r="MHN469"/>
      <c r="MHO469"/>
      <c r="MHP469"/>
      <c r="MHQ469"/>
      <c r="MHR469"/>
      <c r="MHS469"/>
      <c r="MHT469"/>
      <c r="MHU469"/>
      <c r="MHV469"/>
      <c r="MHW469"/>
      <c r="MHX469"/>
      <c r="MHY469"/>
      <c r="MHZ469"/>
      <c r="MIA469"/>
      <c r="MIB469"/>
      <c r="MIC469"/>
      <c r="MID469"/>
      <c r="MIE469"/>
      <c r="MIF469"/>
      <c r="MIG469"/>
      <c r="MIH469"/>
      <c r="MII469"/>
      <c r="MIJ469"/>
      <c r="MIK469"/>
      <c r="MIL469"/>
      <c r="MIM469"/>
      <c r="MIN469"/>
      <c r="MIO469"/>
      <c r="MIP469"/>
      <c r="MIQ469"/>
      <c r="MIR469"/>
      <c r="MIS469"/>
      <c r="MIT469"/>
      <c r="MIU469"/>
      <c r="MIV469"/>
      <c r="MIW469"/>
      <c r="MIX469"/>
      <c r="MIY469"/>
      <c r="MIZ469"/>
      <c r="MJA469"/>
      <c r="MJB469"/>
      <c r="MJC469"/>
      <c r="MJD469"/>
      <c r="MJE469"/>
      <c r="MJF469"/>
      <c r="MJG469"/>
      <c r="MJH469"/>
      <c r="MJI469"/>
      <c r="MJJ469"/>
      <c r="MJK469"/>
      <c r="MJL469"/>
      <c r="MJM469"/>
      <c r="MJN469"/>
      <c r="MJO469"/>
      <c r="MJP469"/>
      <c r="MJQ469"/>
      <c r="MJR469"/>
      <c r="MJS469"/>
      <c r="MJT469"/>
      <c r="MJU469"/>
      <c r="MJV469"/>
      <c r="MJW469"/>
      <c r="MJX469"/>
      <c r="MJY469"/>
      <c r="MJZ469"/>
      <c r="MKA469"/>
      <c r="MKB469"/>
      <c r="MKC469"/>
      <c r="MKD469"/>
      <c r="MKE469"/>
      <c r="MKF469"/>
      <c r="MKG469"/>
      <c r="MKH469"/>
      <c r="MKI469"/>
      <c r="MKJ469"/>
      <c r="MKK469"/>
      <c r="MKL469"/>
      <c r="MKM469"/>
      <c r="MKN469"/>
      <c r="MKO469"/>
      <c r="MKP469"/>
      <c r="MKQ469"/>
      <c r="MKR469"/>
      <c r="MKS469"/>
      <c r="MKT469"/>
      <c r="MKU469"/>
      <c r="MKV469"/>
      <c r="MKW469"/>
      <c r="MKX469"/>
      <c r="MKY469"/>
      <c r="MKZ469"/>
      <c r="MLA469"/>
      <c r="MLB469"/>
      <c r="MLC469"/>
      <c r="MLD469"/>
      <c r="MLE469"/>
      <c r="MLF469"/>
      <c r="MLG469"/>
      <c r="MLH469"/>
      <c r="MLI469"/>
      <c r="MLJ469"/>
      <c r="MLK469"/>
      <c r="MLL469"/>
      <c r="MLM469"/>
      <c r="MLN469"/>
      <c r="MLO469"/>
      <c r="MLP469"/>
      <c r="MLQ469"/>
      <c r="MLR469"/>
      <c r="MLS469"/>
      <c r="MLT469"/>
      <c r="MLU469"/>
      <c r="MLV469"/>
      <c r="MLW469"/>
      <c r="MLX469"/>
      <c r="MLY469"/>
      <c r="MLZ469"/>
      <c r="MMA469"/>
      <c r="MMB469"/>
      <c r="MMC469"/>
      <c r="MMD469"/>
      <c r="MME469"/>
      <c r="MMF469"/>
      <c r="MMG469"/>
      <c r="MMH469"/>
      <c r="MMI469"/>
      <c r="MMJ469"/>
      <c r="MMK469"/>
      <c r="MML469"/>
      <c r="MMM469"/>
      <c r="MMN469"/>
      <c r="MMO469"/>
      <c r="MMP469"/>
      <c r="MMQ469"/>
      <c r="MMR469"/>
      <c r="MMS469"/>
      <c r="MMT469"/>
      <c r="MMU469"/>
      <c r="MMV469"/>
      <c r="MMW469"/>
      <c r="MMX469"/>
      <c r="MMY469"/>
      <c r="MMZ469"/>
      <c r="MNA469"/>
      <c r="MNB469"/>
      <c r="MNC469"/>
      <c r="MND469"/>
      <c r="MNE469"/>
      <c r="MNF469"/>
      <c r="MNG469"/>
      <c r="MNH469"/>
      <c r="MNI469"/>
      <c r="MNJ469"/>
      <c r="MNK469"/>
      <c r="MNL469"/>
      <c r="MNM469"/>
      <c r="MNN469"/>
      <c r="MNO469"/>
      <c r="MNP469"/>
      <c r="MNQ469"/>
      <c r="MNR469"/>
      <c r="MNS469"/>
      <c r="MNT469"/>
      <c r="MNU469"/>
      <c r="MNV469"/>
      <c r="MNW469"/>
      <c r="MNX469"/>
      <c r="MNY469"/>
      <c r="MNZ469"/>
      <c r="MOA469"/>
      <c r="MOB469"/>
      <c r="MOC469"/>
      <c r="MOD469"/>
      <c r="MOE469"/>
      <c r="MOF469"/>
      <c r="MOG469"/>
      <c r="MOH469"/>
      <c r="MOI469"/>
      <c r="MOJ469"/>
      <c r="MOK469"/>
      <c r="MOL469"/>
      <c r="MOM469"/>
      <c r="MON469"/>
      <c r="MOO469"/>
      <c r="MOP469"/>
      <c r="MOQ469"/>
      <c r="MOR469"/>
      <c r="MOS469"/>
      <c r="MOT469"/>
      <c r="MOU469"/>
      <c r="MOV469"/>
      <c r="MOW469"/>
      <c r="MOX469"/>
      <c r="MOY469"/>
      <c r="MOZ469"/>
      <c r="MPA469"/>
      <c r="MPB469"/>
      <c r="MPC469"/>
      <c r="MPD469"/>
      <c r="MPE469"/>
      <c r="MPF469"/>
      <c r="MPG469"/>
      <c r="MPH469"/>
      <c r="MPI469"/>
      <c r="MPJ469"/>
      <c r="MPK469"/>
      <c r="MPL469"/>
      <c r="MPM469"/>
      <c r="MPN469"/>
      <c r="MPO469"/>
      <c r="MPP469"/>
      <c r="MPQ469"/>
      <c r="MPR469"/>
      <c r="MPS469"/>
      <c r="MPT469"/>
      <c r="MPU469"/>
      <c r="MPV469"/>
      <c r="MPW469"/>
      <c r="MPX469"/>
      <c r="MPY469"/>
      <c r="MPZ469"/>
      <c r="MQA469"/>
      <c r="MQB469"/>
      <c r="MQC469"/>
      <c r="MQD469"/>
      <c r="MQE469"/>
      <c r="MQF469"/>
      <c r="MQG469"/>
      <c r="MQH469"/>
      <c r="MQI469"/>
      <c r="MQJ469"/>
      <c r="MQK469"/>
      <c r="MQL469"/>
      <c r="MQM469"/>
      <c r="MQN469"/>
      <c r="MQO469"/>
      <c r="MQP469"/>
      <c r="MQQ469"/>
      <c r="MQR469"/>
      <c r="MQS469"/>
      <c r="MQT469"/>
      <c r="MQU469"/>
      <c r="MQV469"/>
      <c r="MQW469"/>
      <c r="MQX469"/>
      <c r="MQY469"/>
      <c r="MQZ469"/>
      <c r="MRA469"/>
      <c r="MRB469"/>
      <c r="MRC469"/>
      <c r="MRD469"/>
      <c r="MRE469"/>
      <c r="MRF469"/>
      <c r="MRG469"/>
      <c r="MRH469"/>
      <c r="MRI469"/>
      <c r="MRJ469"/>
      <c r="MRK469"/>
      <c r="MRL469"/>
      <c r="MRM469"/>
      <c r="MRN469"/>
      <c r="MRO469"/>
      <c r="MRP469"/>
      <c r="MRQ469"/>
      <c r="MRR469"/>
      <c r="MRS469"/>
      <c r="MRT469"/>
      <c r="MRU469"/>
      <c r="MRV469"/>
      <c r="MRW469"/>
      <c r="MRX469"/>
      <c r="MRY469"/>
      <c r="MRZ469"/>
      <c r="MSA469"/>
      <c r="MSB469"/>
      <c r="MSC469"/>
      <c r="MSD469"/>
      <c r="MSE469"/>
      <c r="MSF469"/>
      <c r="MSG469"/>
      <c r="MSH469"/>
      <c r="MSI469"/>
      <c r="MSJ469"/>
      <c r="MSK469"/>
      <c r="MSL469"/>
      <c r="MSM469"/>
      <c r="MSN469"/>
      <c r="MSO469"/>
      <c r="MSP469"/>
      <c r="MSQ469"/>
      <c r="MSR469"/>
      <c r="MSS469"/>
      <c r="MST469"/>
      <c r="MSU469"/>
      <c r="MSV469"/>
      <c r="MSW469"/>
      <c r="MSX469"/>
      <c r="MSY469"/>
      <c r="MSZ469"/>
      <c r="MTA469"/>
      <c r="MTB469"/>
      <c r="MTC469"/>
      <c r="MTD469"/>
      <c r="MTE469"/>
      <c r="MTF469"/>
      <c r="MTG469"/>
      <c r="MTH469"/>
      <c r="MTI469"/>
      <c r="MTJ469"/>
      <c r="MTK469"/>
      <c r="MTL469"/>
      <c r="MTM469"/>
      <c r="MTN469"/>
      <c r="MTO469"/>
      <c r="MTP469"/>
      <c r="MTQ469"/>
      <c r="MTR469"/>
      <c r="MTS469"/>
      <c r="MTT469"/>
      <c r="MTU469"/>
      <c r="MTV469"/>
      <c r="MTW469"/>
      <c r="MTX469"/>
      <c r="MTY469"/>
      <c r="MTZ469"/>
      <c r="MUA469"/>
      <c r="MUB469"/>
      <c r="MUC469"/>
      <c r="MUD469"/>
      <c r="MUE469"/>
      <c r="MUF469"/>
      <c r="MUG469"/>
      <c r="MUH469"/>
      <c r="MUI469"/>
      <c r="MUJ469"/>
      <c r="MUK469"/>
      <c r="MUL469"/>
      <c r="MUM469"/>
      <c r="MUN469"/>
      <c r="MUO469"/>
      <c r="MUP469"/>
      <c r="MUQ469"/>
      <c r="MUR469"/>
      <c r="MUS469"/>
      <c r="MUT469"/>
      <c r="MUU469"/>
      <c r="MUV469"/>
      <c r="MUW469"/>
      <c r="MUX469"/>
      <c r="MUY469"/>
      <c r="MUZ469"/>
      <c r="MVA469"/>
      <c r="MVB469"/>
      <c r="MVC469"/>
      <c r="MVD469"/>
      <c r="MVE469"/>
      <c r="MVF469"/>
      <c r="MVG469"/>
      <c r="MVH469"/>
      <c r="MVI469"/>
      <c r="MVJ469"/>
      <c r="MVK469"/>
      <c r="MVL469"/>
      <c r="MVM469"/>
      <c r="MVN469"/>
      <c r="MVO469"/>
      <c r="MVP469"/>
      <c r="MVQ469"/>
      <c r="MVR469"/>
      <c r="MVS469"/>
      <c r="MVT469"/>
      <c r="MVU469"/>
      <c r="MVV469"/>
      <c r="MVW469"/>
      <c r="MVX469"/>
      <c r="MVY469"/>
      <c r="MVZ469"/>
      <c r="MWA469"/>
      <c r="MWB469"/>
      <c r="MWC469"/>
      <c r="MWD469"/>
      <c r="MWE469"/>
      <c r="MWF469"/>
      <c r="MWG469"/>
      <c r="MWH469"/>
      <c r="MWI469"/>
      <c r="MWJ469"/>
      <c r="MWK469"/>
      <c r="MWL469"/>
      <c r="MWM469"/>
      <c r="MWN469"/>
      <c r="MWO469"/>
      <c r="MWP469"/>
      <c r="MWQ469"/>
      <c r="MWR469"/>
      <c r="MWS469"/>
      <c r="MWT469"/>
      <c r="MWU469"/>
      <c r="MWV469"/>
      <c r="MWW469"/>
      <c r="MWX469"/>
      <c r="MWY469"/>
      <c r="MWZ469"/>
      <c r="MXA469"/>
      <c r="MXB469"/>
      <c r="MXC469"/>
      <c r="MXD469"/>
      <c r="MXE469"/>
      <c r="MXF469"/>
      <c r="MXG469"/>
      <c r="MXH469"/>
      <c r="MXI469"/>
      <c r="MXJ469"/>
      <c r="MXK469"/>
      <c r="MXL469"/>
      <c r="MXM469"/>
      <c r="MXN469"/>
      <c r="MXO469"/>
      <c r="MXP469"/>
      <c r="MXQ469"/>
      <c r="MXR469"/>
      <c r="MXS469"/>
      <c r="MXT469"/>
      <c r="MXU469"/>
      <c r="MXV469"/>
      <c r="MXW469"/>
      <c r="MXX469"/>
      <c r="MXY469"/>
      <c r="MXZ469"/>
      <c r="MYA469"/>
      <c r="MYB469"/>
      <c r="MYC469"/>
      <c r="MYD469"/>
      <c r="MYE469"/>
      <c r="MYF469"/>
      <c r="MYG469"/>
      <c r="MYH469"/>
      <c r="MYI469"/>
      <c r="MYJ469"/>
      <c r="MYK469"/>
      <c r="MYL469"/>
      <c r="MYM469"/>
      <c r="MYN469"/>
      <c r="MYO469"/>
      <c r="MYP469"/>
      <c r="MYQ469"/>
      <c r="MYR469"/>
      <c r="MYS469"/>
      <c r="MYT469"/>
      <c r="MYU469"/>
      <c r="MYV469"/>
      <c r="MYW469"/>
      <c r="MYX469"/>
      <c r="MYY469"/>
      <c r="MYZ469"/>
      <c r="MZA469"/>
      <c r="MZB469"/>
      <c r="MZC469"/>
      <c r="MZD469"/>
      <c r="MZE469"/>
      <c r="MZF469"/>
      <c r="MZG469"/>
      <c r="MZH469"/>
      <c r="MZI469"/>
      <c r="MZJ469"/>
      <c r="MZK469"/>
      <c r="MZL469"/>
      <c r="MZM469"/>
      <c r="MZN469"/>
      <c r="MZO469"/>
      <c r="MZP469"/>
      <c r="MZQ469"/>
      <c r="MZR469"/>
      <c r="MZS469"/>
      <c r="MZT469"/>
      <c r="MZU469"/>
      <c r="MZV469"/>
      <c r="MZW469"/>
      <c r="MZX469"/>
      <c r="MZY469"/>
      <c r="MZZ469"/>
      <c r="NAA469"/>
      <c r="NAB469"/>
      <c r="NAC469"/>
      <c r="NAD469"/>
      <c r="NAE469"/>
      <c r="NAF469"/>
      <c r="NAG469"/>
      <c r="NAH469"/>
      <c r="NAI469"/>
      <c r="NAJ469"/>
      <c r="NAK469"/>
      <c r="NAL469"/>
      <c r="NAM469"/>
      <c r="NAN469"/>
      <c r="NAO469"/>
      <c r="NAP469"/>
      <c r="NAQ469"/>
      <c r="NAR469"/>
      <c r="NAS469"/>
      <c r="NAT469"/>
      <c r="NAU469"/>
      <c r="NAV469"/>
      <c r="NAW469"/>
      <c r="NAX469"/>
      <c r="NAY469"/>
      <c r="NAZ469"/>
      <c r="NBA469"/>
      <c r="NBB469"/>
      <c r="NBC469"/>
      <c r="NBD469"/>
      <c r="NBE469"/>
      <c r="NBF469"/>
      <c r="NBG469"/>
      <c r="NBH469"/>
      <c r="NBI469"/>
      <c r="NBJ469"/>
      <c r="NBK469"/>
      <c r="NBL469"/>
      <c r="NBM469"/>
      <c r="NBN469"/>
      <c r="NBO469"/>
      <c r="NBP469"/>
      <c r="NBQ469"/>
      <c r="NBR469"/>
      <c r="NBS469"/>
      <c r="NBT469"/>
      <c r="NBU469"/>
      <c r="NBV469"/>
      <c r="NBW469"/>
      <c r="NBX469"/>
      <c r="NBY469"/>
      <c r="NBZ469"/>
      <c r="NCA469"/>
      <c r="NCB469"/>
      <c r="NCC469"/>
      <c r="NCD469"/>
      <c r="NCE469"/>
      <c r="NCF469"/>
      <c r="NCG469"/>
      <c r="NCH469"/>
      <c r="NCI469"/>
      <c r="NCJ469"/>
      <c r="NCK469"/>
      <c r="NCL469"/>
      <c r="NCM469"/>
      <c r="NCN469"/>
      <c r="NCO469"/>
      <c r="NCP469"/>
      <c r="NCQ469"/>
      <c r="NCR469"/>
      <c r="NCS469"/>
      <c r="NCT469"/>
      <c r="NCU469"/>
      <c r="NCV469"/>
      <c r="NCW469"/>
      <c r="NCX469"/>
      <c r="NCY469"/>
      <c r="NCZ469"/>
      <c r="NDA469"/>
      <c r="NDB469"/>
      <c r="NDC469"/>
      <c r="NDD469"/>
      <c r="NDE469"/>
      <c r="NDF469"/>
      <c r="NDG469"/>
      <c r="NDH469"/>
      <c r="NDI469"/>
      <c r="NDJ469"/>
      <c r="NDK469"/>
      <c r="NDL469"/>
      <c r="NDM469"/>
      <c r="NDN469"/>
      <c r="NDO469"/>
      <c r="NDP469"/>
      <c r="NDQ469"/>
      <c r="NDR469"/>
      <c r="NDS469"/>
      <c r="NDT469"/>
      <c r="NDU469"/>
      <c r="NDV469"/>
      <c r="NDW469"/>
      <c r="NDX469"/>
      <c r="NDY469"/>
      <c r="NDZ469"/>
      <c r="NEA469"/>
      <c r="NEB469"/>
      <c r="NEC469"/>
      <c r="NED469"/>
      <c r="NEE469"/>
      <c r="NEF469"/>
      <c r="NEG469"/>
      <c r="NEH469"/>
      <c r="NEI469"/>
      <c r="NEJ469"/>
      <c r="NEK469"/>
      <c r="NEL469"/>
      <c r="NEM469"/>
      <c r="NEN469"/>
      <c r="NEO469"/>
      <c r="NEP469"/>
      <c r="NEQ469"/>
      <c r="NER469"/>
      <c r="NES469"/>
      <c r="NET469"/>
      <c r="NEU469"/>
      <c r="NEV469"/>
      <c r="NEW469"/>
      <c r="NEX469"/>
      <c r="NEY469"/>
      <c r="NEZ469"/>
      <c r="NFA469"/>
      <c r="NFB469"/>
      <c r="NFC469"/>
      <c r="NFD469"/>
      <c r="NFE469"/>
      <c r="NFF469"/>
      <c r="NFG469"/>
      <c r="NFH469"/>
      <c r="NFI469"/>
      <c r="NFJ469"/>
      <c r="NFK469"/>
      <c r="NFL469"/>
      <c r="NFM469"/>
      <c r="NFN469"/>
      <c r="NFO469"/>
      <c r="NFP469"/>
      <c r="NFQ469"/>
      <c r="NFR469"/>
      <c r="NFS469"/>
      <c r="NFT469"/>
      <c r="NFU469"/>
      <c r="NFV469"/>
      <c r="NFW469"/>
      <c r="NFX469"/>
      <c r="NFY469"/>
      <c r="NFZ469"/>
      <c r="NGA469"/>
      <c r="NGB469"/>
      <c r="NGC469"/>
      <c r="NGD469"/>
      <c r="NGE469"/>
      <c r="NGF469"/>
      <c r="NGG469"/>
      <c r="NGH469"/>
      <c r="NGI469"/>
      <c r="NGJ469"/>
      <c r="NGK469"/>
      <c r="NGL469"/>
      <c r="NGM469"/>
      <c r="NGN469"/>
      <c r="NGO469"/>
      <c r="NGP469"/>
      <c r="NGQ469"/>
      <c r="NGR469"/>
      <c r="NGS469"/>
      <c r="NGT469"/>
      <c r="NGU469"/>
      <c r="NGV469"/>
      <c r="NGW469"/>
      <c r="NGX469"/>
      <c r="NGY469"/>
      <c r="NGZ469"/>
      <c r="NHA469"/>
      <c r="NHB469"/>
      <c r="NHC469"/>
      <c r="NHD469"/>
      <c r="NHE469"/>
      <c r="NHF469"/>
      <c r="NHG469"/>
      <c r="NHH469"/>
      <c r="NHI469"/>
      <c r="NHJ469"/>
      <c r="NHK469"/>
      <c r="NHL469"/>
      <c r="NHM469"/>
      <c r="NHN469"/>
      <c r="NHO469"/>
      <c r="NHP469"/>
      <c r="NHQ469"/>
      <c r="NHR469"/>
      <c r="NHS469"/>
      <c r="NHT469"/>
      <c r="NHU469"/>
      <c r="NHV469"/>
      <c r="NHW469"/>
      <c r="NHX469"/>
      <c r="NHY469"/>
      <c r="NHZ469"/>
      <c r="NIA469"/>
      <c r="NIB469"/>
      <c r="NIC469"/>
      <c r="NID469"/>
      <c r="NIE469"/>
      <c r="NIF469"/>
      <c r="NIG469"/>
      <c r="NIH469"/>
      <c r="NII469"/>
      <c r="NIJ469"/>
      <c r="NIK469"/>
      <c r="NIL469"/>
      <c r="NIM469"/>
      <c r="NIN469"/>
      <c r="NIO469"/>
      <c r="NIP469"/>
      <c r="NIQ469"/>
      <c r="NIR469"/>
      <c r="NIS469"/>
      <c r="NIT469"/>
      <c r="NIU469"/>
      <c r="NIV469"/>
      <c r="NIW469"/>
      <c r="NIX469"/>
      <c r="NIY469"/>
      <c r="NIZ469"/>
      <c r="NJA469"/>
      <c r="NJB469"/>
      <c r="NJC469"/>
      <c r="NJD469"/>
      <c r="NJE469"/>
      <c r="NJF469"/>
      <c r="NJG469"/>
      <c r="NJH469"/>
      <c r="NJI469"/>
      <c r="NJJ469"/>
      <c r="NJK469"/>
      <c r="NJL469"/>
      <c r="NJM469"/>
      <c r="NJN469"/>
      <c r="NJO469"/>
      <c r="NJP469"/>
      <c r="NJQ469"/>
      <c r="NJR469"/>
      <c r="NJS469"/>
      <c r="NJT469"/>
      <c r="NJU469"/>
      <c r="NJV469"/>
      <c r="NJW469"/>
      <c r="NJX469"/>
      <c r="NJY469"/>
      <c r="NJZ469"/>
      <c r="NKA469"/>
      <c r="NKB469"/>
      <c r="NKC469"/>
      <c r="NKD469"/>
      <c r="NKE469"/>
      <c r="NKF469"/>
      <c r="NKG469"/>
      <c r="NKH469"/>
      <c r="NKI469"/>
      <c r="NKJ469"/>
      <c r="NKK469"/>
      <c r="NKL469"/>
      <c r="NKM469"/>
      <c r="NKN469"/>
      <c r="NKO469"/>
      <c r="NKP469"/>
      <c r="NKQ469"/>
      <c r="NKR469"/>
      <c r="NKS469"/>
      <c r="NKT469"/>
      <c r="NKU469"/>
      <c r="NKV469"/>
      <c r="NKW469"/>
      <c r="NKX469"/>
      <c r="NKY469"/>
      <c r="NKZ469"/>
      <c r="NLA469"/>
      <c r="NLB469"/>
      <c r="NLC469"/>
      <c r="NLD469"/>
      <c r="NLE469"/>
      <c r="NLF469"/>
      <c r="NLG469"/>
      <c r="NLH469"/>
      <c r="NLI469"/>
      <c r="NLJ469"/>
      <c r="NLK469"/>
      <c r="NLL469"/>
      <c r="NLM469"/>
      <c r="NLN469"/>
      <c r="NLO469"/>
      <c r="NLP469"/>
      <c r="NLQ469"/>
      <c r="NLR469"/>
      <c r="NLS469"/>
      <c r="NLT469"/>
      <c r="NLU469"/>
      <c r="NLV469"/>
      <c r="NLW469"/>
      <c r="NLX469"/>
      <c r="NLY469"/>
      <c r="NLZ469"/>
      <c r="NMA469"/>
      <c r="NMB469"/>
      <c r="NMC469"/>
      <c r="NMD469"/>
      <c r="NME469"/>
      <c r="NMF469"/>
      <c r="NMG469"/>
      <c r="NMH469"/>
      <c r="NMI469"/>
      <c r="NMJ469"/>
      <c r="NMK469"/>
      <c r="NML469"/>
      <c r="NMM469"/>
      <c r="NMN469"/>
      <c r="NMO469"/>
      <c r="NMP469"/>
      <c r="NMQ469"/>
      <c r="NMR469"/>
      <c r="NMS469"/>
      <c r="NMT469"/>
      <c r="NMU469"/>
      <c r="NMV469"/>
      <c r="NMW469"/>
      <c r="NMX469"/>
      <c r="NMY469"/>
      <c r="NMZ469"/>
      <c r="NNA469"/>
      <c r="NNB469"/>
      <c r="NNC469"/>
      <c r="NND469"/>
      <c r="NNE469"/>
      <c r="NNF469"/>
      <c r="NNG469"/>
      <c r="NNH469"/>
      <c r="NNI469"/>
      <c r="NNJ469"/>
      <c r="NNK469"/>
      <c r="NNL469"/>
      <c r="NNM469"/>
      <c r="NNN469"/>
      <c r="NNO469"/>
      <c r="NNP469"/>
      <c r="NNQ469"/>
      <c r="NNR469"/>
      <c r="NNS469"/>
      <c r="NNT469"/>
      <c r="NNU469"/>
      <c r="NNV469"/>
      <c r="NNW469"/>
      <c r="NNX469"/>
      <c r="NNY469"/>
      <c r="NNZ469"/>
      <c r="NOA469"/>
      <c r="NOB469"/>
      <c r="NOC469"/>
      <c r="NOD469"/>
      <c r="NOE469"/>
      <c r="NOF469"/>
      <c r="NOG469"/>
      <c r="NOH469"/>
      <c r="NOI469"/>
      <c r="NOJ469"/>
      <c r="NOK469"/>
      <c r="NOL469"/>
      <c r="NOM469"/>
      <c r="NON469"/>
      <c r="NOO469"/>
      <c r="NOP469"/>
      <c r="NOQ469"/>
      <c r="NOR469"/>
      <c r="NOS469"/>
      <c r="NOT469"/>
      <c r="NOU469"/>
      <c r="NOV469"/>
      <c r="NOW469"/>
      <c r="NOX469"/>
      <c r="NOY469"/>
      <c r="NOZ469"/>
      <c r="NPA469"/>
      <c r="NPB469"/>
      <c r="NPC469"/>
      <c r="NPD469"/>
      <c r="NPE469"/>
      <c r="NPF469"/>
      <c r="NPG469"/>
      <c r="NPH469"/>
      <c r="NPI469"/>
      <c r="NPJ469"/>
      <c r="NPK469"/>
      <c r="NPL469"/>
      <c r="NPM469"/>
      <c r="NPN469"/>
      <c r="NPO469"/>
      <c r="NPP469"/>
      <c r="NPQ469"/>
      <c r="NPR469"/>
      <c r="NPS469"/>
      <c r="NPT469"/>
      <c r="NPU469"/>
      <c r="NPV469"/>
      <c r="NPW469"/>
      <c r="NPX469"/>
      <c r="NPY469"/>
      <c r="NPZ469"/>
      <c r="NQA469"/>
      <c r="NQB469"/>
      <c r="NQC469"/>
      <c r="NQD469"/>
      <c r="NQE469"/>
      <c r="NQF469"/>
      <c r="NQG469"/>
      <c r="NQH469"/>
      <c r="NQI469"/>
      <c r="NQJ469"/>
      <c r="NQK469"/>
      <c r="NQL469"/>
      <c r="NQM469"/>
      <c r="NQN469"/>
      <c r="NQO469"/>
      <c r="NQP469"/>
      <c r="NQQ469"/>
      <c r="NQR469"/>
      <c r="NQS469"/>
      <c r="NQT469"/>
      <c r="NQU469"/>
      <c r="NQV469"/>
      <c r="NQW469"/>
      <c r="NQX469"/>
      <c r="NQY469"/>
      <c r="NQZ469"/>
      <c r="NRA469"/>
      <c r="NRB469"/>
      <c r="NRC469"/>
      <c r="NRD469"/>
      <c r="NRE469"/>
      <c r="NRF469"/>
      <c r="NRG469"/>
      <c r="NRH469"/>
      <c r="NRI469"/>
      <c r="NRJ469"/>
      <c r="NRK469"/>
      <c r="NRL469"/>
      <c r="NRM469"/>
      <c r="NRN469"/>
      <c r="NRO469"/>
      <c r="NRP469"/>
      <c r="NRQ469"/>
      <c r="NRR469"/>
      <c r="NRS469"/>
      <c r="NRT469"/>
      <c r="NRU469"/>
      <c r="NRV469"/>
      <c r="NRW469"/>
      <c r="NRX469"/>
      <c r="NRY469"/>
      <c r="NRZ469"/>
      <c r="NSA469"/>
      <c r="NSB469"/>
      <c r="NSC469"/>
      <c r="NSD469"/>
      <c r="NSE469"/>
      <c r="NSF469"/>
      <c r="NSG469"/>
      <c r="NSH469"/>
      <c r="NSI469"/>
      <c r="NSJ469"/>
      <c r="NSK469"/>
      <c r="NSL469"/>
      <c r="NSM469"/>
      <c r="NSN469"/>
      <c r="NSO469"/>
      <c r="NSP469"/>
      <c r="NSQ469"/>
      <c r="NSR469"/>
      <c r="NSS469"/>
      <c r="NST469"/>
      <c r="NSU469"/>
      <c r="NSV469"/>
      <c r="NSW469"/>
      <c r="NSX469"/>
      <c r="NSY469"/>
      <c r="NSZ469"/>
      <c r="NTA469"/>
      <c r="NTB469"/>
      <c r="NTC469"/>
      <c r="NTD469"/>
      <c r="NTE469"/>
      <c r="NTF469"/>
      <c r="NTG469"/>
      <c r="NTH469"/>
      <c r="NTI469"/>
      <c r="NTJ469"/>
      <c r="NTK469"/>
      <c r="NTL469"/>
      <c r="NTM469"/>
      <c r="NTN469"/>
      <c r="NTO469"/>
      <c r="NTP469"/>
      <c r="NTQ469"/>
      <c r="NTR469"/>
      <c r="NTS469"/>
      <c r="NTT469"/>
      <c r="NTU469"/>
      <c r="NTV469"/>
      <c r="NTW469"/>
      <c r="NTX469"/>
      <c r="NTY469"/>
      <c r="NTZ469"/>
      <c r="NUA469"/>
      <c r="NUB469"/>
      <c r="NUC469"/>
      <c r="NUD469"/>
      <c r="NUE469"/>
      <c r="NUF469"/>
      <c r="NUG469"/>
      <c r="NUH469"/>
      <c r="NUI469"/>
      <c r="NUJ469"/>
      <c r="NUK469"/>
      <c r="NUL469"/>
      <c r="NUM469"/>
      <c r="NUN469"/>
      <c r="NUO469"/>
      <c r="NUP469"/>
      <c r="NUQ469"/>
      <c r="NUR469"/>
      <c r="NUS469"/>
      <c r="NUT469"/>
      <c r="NUU469"/>
      <c r="NUV469"/>
      <c r="NUW469"/>
      <c r="NUX469"/>
      <c r="NUY469"/>
      <c r="NUZ469"/>
      <c r="NVA469"/>
      <c r="NVB469"/>
      <c r="NVC469"/>
      <c r="NVD469"/>
      <c r="NVE469"/>
      <c r="NVF469"/>
      <c r="NVG469"/>
      <c r="NVH469"/>
      <c r="NVI469"/>
      <c r="NVJ469"/>
      <c r="NVK469"/>
      <c r="NVL469"/>
      <c r="NVM469"/>
      <c r="NVN469"/>
      <c r="NVO469"/>
      <c r="NVP469"/>
      <c r="NVQ469"/>
      <c r="NVR469"/>
      <c r="NVS469"/>
      <c r="NVT469"/>
      <c r="NVU469"/>
      <c r="NVV469"/>
      <c r="NVW469"/>
      <c r="NVX469"/>
      <c r="NVY469"/>
      <c r="NVZ469"/>
      <c r="NWA469"/>
      <c r="NWB469"/>
      <c r="NWC469"/>
      <c r="NWD469"/>
      <c r="NWE469"/>
      <c r="NWF469"/>
      <c r="NWG469"/>
      <c r="NWH469"/>
      <c r="NWI469"/>
      <c r="NWJ469"/>
      <c r="NWK469"/>
      <c r="NWL469"/>
      <c r="NWM469"/>
      <c r="NWN469"/>
      <c r="NWO469"/>
      <c r="NWP469"/>
      <c r="NWQ469"/>
      <c r="NWR469"/>
      <c r="NWS469"/>
      <c r="NWT469"/>
      <c r="NWU469"/>
      <c r="NWV469"/>
      <c r="NWW469"/>
      <c r="NWX469"/>
      <c r="NWY469"/>
      <c r="NWZ469"/>
      <c r="NXA469"/>
      <c r="NXB469"/>
      <c r="NXC469"/>
      <c r="NXD469"/>
      <c r="NXE469"/>
      <c r="NXF469"/>
      <c r="NXG469"/>
      <c r="NXH469"/>
      <c r="NXI469"/>
      <c r="NXJ469"/>
      <c r="NXK469"/>
      <c r="NXL469"/>
      <c r="NXM469"/>
      <c r="NXN469"/>
      <c r="NXO469"/>
      <c r="NXP469"/>
      <c r="NXQ469"/>
      <c r="NXR469"/>
      <c r="NXS469"/>
      <c r="NXT469"/>
      <c r="NXU469"/>
      <c r="NXV469"/>
      <c r="NXW469"/>
      <c r="NXX469"/>
      <c r="NXY469"/>
      <c r="NXZ469"/>
      <c r="NYA469"/>
      <c r="NYB469"/>
      <c r="NYC469"/>
      <c r="NYD469"/>
      <c r="NYE469"/>
      <c r="NYF469"/>
      <c r="NYG469"/>
      <c r="NYH469"/>
      <c r="NYI469"/>
      <c r="NYJ469"/>
      <c r="NYK469"/>
      <c r="NYL469"/>
      <c r="NYM469"/>
      <c r="NYN469"/>
      <c r="NYO469"/>
      <c r="NYP469"/>
      <c r="NYQ469"/>
      <c r="NYR469"/>
      <c r="NYS469"/>
      <c r="NYT469"/>
      <c r="NYU469"/>
      <c r="NYV469"/>
      <c r="NYW469"/>
      <c r="NYX469"/>
      <c r="NYY469"/>
      <c r="NYZ469"/>
      <c r="NZA469"/>
      <c r="NZB469"/>
      <c r="NZC469"/>
      <c r="NZD469"/>
      <c r="NZE469"/>
      <c r="NZF469"/>
      <c r="NZG469"/>
      <c r="NZH469"/>
      <c r="NZI469"/>
      <c r="NZJ469"/>
      <c r="NZK469"/>
      <c r="NZL469"/>
      <c r="NZM469"/>
      <c r="NZN469"/>
      <c r="NZO469"/>
      <c r="NZP469"/>
      <c r="NZQ469"/>
      <c r="NZR469"/>
      <c r="NZS469"/>
      <c r="NZT469"/>
      <c r="NZU469"/>
      <c r="NZV469"/>
      <c r="NZW469"/>
      <c r="NZX469"/>
      <c r="NZY469"/>
      <c r="NZZ469"/>
      <c r="OAA469"/>
      <c r="OAB469"/>
      <c r="OAC469"/>
      <c r="OAD469"/>
      <c r="OAE469"/>
      <c r="OAF469"/>
      <c r="OAG469"/>
      <c r="OAH469"/>
      <c r="OAI469"/>
      <c r="OAJ469"/>
      <c r="OAK469"/>
      <c r="OAL469"/>
      <c r="OAM469"/>
      <c r="OAN469"/>
      <c r="OAO469"/>
      <c r="OAP469"/>
      <c r="OAQ469"/>
      <c r="OAR469"/>
      <c r="OAS469"/>
      <c r="OAT469"/>
      <c r="OAU469"/>
      <c r="OAV469"/>
      <c r="OAW469"/>
      <c r="OAX469"/>
      <c r="OAY469"/>
      <c r="OAZ469"/>
      <c r="OBA469"/>
      <c r="OBB469"/>
      <c r="OBC469"/>
      <c r="OBD469"/>
      <c r="OBE469"/>
      <c r="OBF469"/>
      <c r="OBG469"/>
      <c r="OBH469"/>
      <c r="OBI469"/>
      <c r="OBJ469"/>
      <c r="OBK469"/>
      <c r="OBL469"/>
      <c r="OBM469"/>
      <c r="OBN469"/>
      <c r="OBO469"/>
      <c r="OBP469"/>
      <c r="OBQ469"/>
      <c r="OBR469"/>
      <c r="OBS469"/>
      <c r="OBT469"/>
      <c r="OBU469"/>
      <c r="OBV469"/>
      <c r="OBW469"/>
      <c r="OBX469"/>
      <c r="OBY469"/>
      <c r="OBZ469"/>
      <c r="OCA469"/>
      <c r="OCB469"/>
      <c r="OCC469"/>
      <c r="OCD469"/>
      <c r="OCE469"/>
      <c r="OCF469"/>
      <c r="OCG469"/>
      <c r="OCH469"/>
      <c r="OCI469"/>
      <c r="OCJ469"/>
      <c r="OCK469"/>
      <c r="OCL469"/>
      <c r="OCM469"/>
      <c r="OCN469"/>
      <c r="OCO469"/>
      <c r="OCP469"/>
      <c r="OCQ469"/>
      <c r="OCR469"/>
      <c r="OCS469"/>
      <c r="OCT469"/>
      <c r="OCU469"/>
      <c r="OCV469"/>
      <c r="OCW469"/>
      <c r="OCX469"/>
      <c r="OCY469"/>
      <c r="OCZ469"/>
      <c r="ODA469"/>
      <c r="ODB469"/>
      <c r="ODC469"/>
      <c r="ODD469"/>
      <c r="ODE469"/>
      <c r="ODF469"/>
      <c r="ODG469"/>
      <c r="ODH469"/>
      <c r="ODI469"/>
      <c r="ODJ469"/>
      <c r="ODK469"/>
      <c r="ODL469"/>
      <c r="ODM469"/>
      <c r="ODN469"/>
      <c r="ODO469"/>
      <c r="ODP469"/>
      <c r="ODQ469"/>
      <c r="ODR469"/>
      <c r="ODS469"/>
      <c r="ODT469"/>
      <c r="ODU469"/>
      <c r="ODV469"/>
      <c r="ODW469"/>
      <c r="ODX469"/>
      <c r="ODY469"/>
      <c r="ODZ469"/>
      <c r="OEA469"/>
      <c r="OEB469"/>
      <c r="OEC469"/>
      <c r="OED469"/>
      <c r="OEE469"/>
      <c r="OEF469"/>
      <c r="OEG469"/>
      <c r="OEH469"/>
      <c r="OEI469"/>
      <c r="OEJ469"/>
      <c r="OEK469"/>
      <c r="OEL469"/>
      <c r="OEM469"/>
      <c r="OEN469"/>
      <c r="OEO469"/>
      <c r="OEP469"/>
      <c r="OEQ469"/>
      <c r="OER469"/>
      <c r="OES469"/>
      <c r="OET469"/>
      <c r="OEU469"/>
      <c r="OEV469"/>
      <c r="OEW469"/>
      <c r="OEX469"/>
      <c r="OEY469"/>
      <c r="OEZ469"/>
      <c r="OFA469"/>
      <c r="OFB469"/>
      <c r="OFC469"/>
      <c r="OFD469"/>
      <c r="OFE469"/>
      <c r="OFF469"/>
      <c r="OFG469"/>
      <c r="OFH469"/>
      <c r="OFI469"/>
      <c r="OFJ469"/>
      <c r="OFK469"/>
      <c r="OFL469"/>
      <c r="OFM469"/>
      <c r="OFN469"/>
      <c r="OFO469"/>
      <c r="OFP469"/>
      <c r="OFQ469"/>
      <c r="OFR469"/>
      <c r="OFS469"/>
      <c r="OFT469"/>
      <c r="OFU469"/>
      <c r="OFV469"/>
      <c r="OFW469"/>
      <c r="OFX469"/>
      <c r="OFY469"/>
      <c r="OFZ469"/>
      <c r="OGA469"/>
      <c r="OGB469"/>
      <c r="OGC469"/>
      <c r="OGD469"/>
      <c r="OGE469"/>
      <c r="OGF469"/>
      <c r="OGG469"/>
      <c r="OGH469"/>
      <c r="OGI469"/>
      <c r="OGJ469"/>
      <c r="OGK469"/>
      <c r="OGL469"/>
      <c r="OGM469"/>
      <c r="OGN469"/>
      <c r="OGO469"/>
      <c r="OGP469"/>
      <c r="OGQ469"/>
      <c r="OGR469"/>
      <c r="OGS469"/>
      <c r="OGT469"/>
      <c r="OGU469"/>
      <c r="OGV469"/>
      <c r="OGW469"/>
      <c r="OGX469"/>
      <c r="OGY469"/>
      <c r="OGZ469"/>
      <c r="OHA469"/>
      <c r="OHB469"/>
      <c r="OHC469"/>
      <c r="OHD469"/>
      <c r="OHE469"/>
      <c r="OHF469"/>
      <c r="OHG469"/>
      <c r="OHH469"/>
      <c r="OHI469"/>
      <c r="OHJ469"/>
      <c r="OHK469"/>
      <c r="OHL469"/>
      <c r="OHM469"/>
      <c r="OHN469"/>
      <c r="OHO469"/>
      <c r="OHP469"/>
      <c r="OHQ469"/>
      <c r="OHR469"/>
      <c r="OHS469"/>
      <c r="OHT469"/>
      <c r="OHU469"/>
      <c r="OHV469"/>
      <c r="OHW469"/>
      <c r="OHX469"/>
      <c r="OHY469"/>
      <c r="OHZ469"/>
      <c r="OIA469"/>
      <c r="OIB469"/>
      <c r="OIC469"/>
      <c r="OID469"/>
      <c r="OIE469"/>
      <c r="OIF469"/>
      <c r="OIG469"/>
      <c r="OIH469"/>
      <c r="OII469"/>
      <c r="OIJ469"/>
      <c r="OIK469"/>
      <c r="OIL469"/>
      <c r="OIM469"/>
      <c r="OIN469"/>
      <c r="OIO469"/>
      <c r="OIP469"/>
      <c r="OIQ469"/>
      <c r="OIR469"/>
      <c r="OIS469"/>
      <c r="OIT469"/>
      <c r="OIU469"/>
      <c r="OIV469"/>
      <c r="OIW469"/>
      <c r="OIX469"/>
      <c r="OIY469"/>
      <c r="OIZ469"/>
      <c r="OJA469"/>
      <c r="OJB469"/>
      <c r="OJC469"/>
      <c r="OJD469"/>
      <c r="OJE469"/>
      <c r="OJF469"/>
      <c r="OJG469"/>
      <c r="OJH469"/>
      <c r="OJI469"/>
      <c r="OJJ469"/>
      <c r="OJK469"/>
      <c r="OJL469"/>
      <c r="OJM469"/>
      <c r="OJN469"/>
      <c r="OJO469"/>
      <c r="OJP469"/>
      <c r="OJQ469"/>
      <c r="OJR469"/>
      <c r="OJS469"/>
      <c r="OJT469"/>
      <c r="OJU469"/>
      <c r="OJV469"/>
      <c r="OJW469"/>
      <c r="OJX469"/>
      <c r="OJY469"/>
      <c r="OJZ469"/>
      <c r="OKA469"/>
      <c r="OKB469"/>
      <c r="OKC469"/>
      <c r="OKD469"/>
      <c r="OKE469"/>
      <c r="OKF469"/>
      <c r="OKG469"/>
      <c r="OKH469"/>
      <c r="OKI469"/>
      <c r="OKJ469"/>
      <c r="OKK469"/>
      <c r="OKL469"/>
      <c r="OKM469"/>
      <c r="OKN469"/>
      <c r="OKO469"/>
      <c r="OKP469"/>
      <c r="OKQ469"/>
      <c r="OKR469"/>
      <c r="OKS469"/>
      <c r="OKT469"/>
      <c r="OKU469"/>
      <c r="OKV469"/>
      <c r="OKW469"/>
      <c r="OKX469"/>
      <c r="OKY469"/>
      <c r="OKZ469"/>
      <c r="OLA469"/>
      <c r="OLB469"/>
      <c r="OLC469"/>
      <c r="OLD469"/>
      <c r="OLE469"/>
      <c r="OLF469"/>
      <c r="OLG469"/>
      <c r="OLH469"/>
      <c r="OLI469"/>
      <c r="OLJ469"/>
      <c r="OLK469"/>
      <c r="OLL469"/>
      <c r="OLM469"/>
      <c r="OLN469"/>
      <c r="OLO469"/>
      <c r="OLP469"/>
      <c r="OLQ469"/>
      <c r="OLR469"/>
      <c r="OLS469"/>
      <c r="OLT469"/>
      <c r="OLU469"/>
      <c r="OLV469"/>
      <c r="OLW469"/>
      <c r="OLX469"/>
      <c r="OLY469"/>
      <c r="OLZ469"/>
      <c r="OMA469"/>
      <c r="OMB469"/>
      <c r="OMC469"/>
      <c r="OMD469"/>
      <c r="OME469"/>
      <c r="OMF469"/>
      <c r="OMG469"/>
      <c r="OMH469"/>
      <c r="OMI469"/>
      <c r="OMJ469"/>
      <c r="OMK469"/>
      <c r="OML469"/>
      <c r="OMM469"/>
      <c r="OMN469"/>
      <c r="OMO469"/>
      <c r="OMP469"/>
      <c r="OMQ469"/>
      <c r="OMR469"/>
      <c r="OMS469"/>
      <c r="OMT469"/>
      <c r="OMU469"/>
      <c r="OMV469"/>
      <c r="OMW469"/>
      <c r="OMX469"/>
      <c r="OMY469"/>
      <c r="OMZ469"/>
      <c r="ONA469"/>
      <c r="ONB469"/>
      <c r="ONC469"/>
      <c r="OND469"/>
      <c r="ONE469"/>
      <c r="ONF469"/>
      <c r="ONG469"/>
      <c r="ONH469"/>
      <c r="ONI469"/>
      <c r="ONJ469"/>
      <c r="ONK469"/>
      <c r="ONL469"/>
      <c r="ONM469"/>
      <c r="ONN469"/>
      <c r="ONO469"/>
      <c r="ONP469"/>
      <c r="ONQ469"/>
      <c r="ONR469"/>
      <c r="ONS469"/>
      <c r="ONT469"/>
      <c r="ONU469"/>
      <c r="ONV469"/>
      <c r="ONW469"/>
      <c r="ONX469"/>
      <c r="ONY469"/>
      <c r="ONZ469"/>
      <c r="OOA469"/>
      <c r="OOB469"/>
      <c r="OOC469"/>
      <c r="OOD469"/>
      <c r="OOE469"/>
      <c r="OOF469"/>
      <c r="OOG469"/>
      <c r="OOH469"/>
      <c r="OOI469"/>
      <c r="OOJ469"/>
      <c r="OOK469"/>
      <c r="OOL469"/>
      <c r="OOM469"/>
      <c r="OON469"/>
      <c r="OOO469"/>
      <c r="OOP469"/>
      <c r="OOQ469"/>
      <c r="OOR469"/>
      <c r="OOS469"/>
      <c r="OOT469"/>
      <c r="OOU469"/>
      <c r="OOV469"/>
      <c r="OOW469"/>
      <c r="OOX469"/>
      <c r="OOY469"/>
      <c r="OOZ469"/>
      <c r="OPA469"/>
      <c r="OPB469"/>
      <c r="OPC469"/>
      <c r="OPD469"/>
      <c r="OPE469"/>
      <c r="OPF469"/>
      <c r="OPG469"/>
      <c r="OPH469"/>
      <c r="OPI469"/>
      <c r="OPJ469"/>
      <c r="OPK469"/>
      <c r="OPL469"/>
      <c r="OPM469"/>
      <c r="OPN469"/>
      <c r="OPO469"/>
      <c r="OPP469"/>
      <c r="OPQ469"/>
      <c r="OPR469"/>
      <c r="OPS469"/>
      <c r="OPT469"/>
      <c r="OPU469"/>
      <c r="OPV469"/>
      <c r="OPW469"/>
      <c r="OPX469"/>
      <c r="OPY469"/>
      <c r="OPZ469"/>
      <c r="OQA469"/>
      <c r="OQB469"/>
      <c r="OQC469"/>
      <c r="OQD469"/>
      <c r="OQE469"/>
      <c r="OQF469"/>
      <c r="OQG469"/>
      <c r="OQH469"/>
      <c r="OQI469"/>
      <c r="OQJ469"/>
      <c r="OQK469"/>
      <c r="OQL469"/>
      <c r="OQM469"/>
      <c r="OQN469"/>
      <c r="OQO469"/>
      <c r="OQP469"/>
      <c r="OQQ469"/>
      <c r="OQR469"/>
      <c r="OQS469"/>
      <c r="OQT469"/>
      <c r="OQU469"/>
      <c r="OQV469"/>
      <c r="OQW469"/>
      <c r="OQX469"/>
      <c r="OQY469"/>
      <c r="OQZ469"/>
      <c r="ORA469"/>
      <c r="ORB469"/>
      <c r="ORC469"/>
      <c r="ORD469"/>
      <c r="ORE469"/>
      <c r="ORF469"/>
      <c r="ORG469"/>
      <c r="ORH469"/>
      <c r="ORI469"/>
      <c r="ORJ469"/>
      <c r="ORK469"/>
      <c r="ORL469"/>
      <c r="ORM469"/>
      <c r="ORN469"/>
      <c r="ORO469"/>
      <c r="ORP469"/>
      <c r="ORQ469"/>
      <c r="ORR469"/>
      <c r="ORS469"/>
      <c r="ORT469"/>
      <c r="ORU469"/>
      <c r="ORV469"/>
      <c r="ORW469"/>
      <c r="ORX469"/>
      <c r="ORY469"/>
      <c r="ORZ469"/>
      <c r="OSA469"/>
      <c r="OSB469"/>
      <c r="OSC469"/>
      <c r="OSD469"/>
      <c r="OSE469"/>
      <c r="OSF469"/>
      <c r="OSG469"/>
      <c r="OSH469"/>
      <c r="OSI469"/>
      <c r="OSJ469"/>
      <c r="OSK469"/>
      <c r="OSL469"/>
      <c r="OSM469"/>
      <c r="OSN469"/>
      <c r="OSO469"/>
      <c r="OSP469"/>
      <c r="OSQ469"/>
      <c r="OSR469"/>
      <c r="OSS469"/>
      <c r="OST469"/>
      <c r="OSU469"/>
      <c r="OSV469"/>
      <c r="OSW469"/>
      <c r="OSX469"/>
      <c r="OSY469"/>
      <c r="OSZ469"/>
      <c r="OTA469"/>
      <c r="OTB469"/>
      <c r="OTC469"/>
      <c r="OTD469"/>
      <c r="OTE469"/>
      <c r="OTF469"/>
      <c r="OTG469"/>
      <c r="OTH469"/>
      <c r="OTI469"/>
      <c r="OTJ469"/>
      <c r="OTK469"/>
      <c r="OTL469"/>
      <c r="OTM469"/>
      <c r="OTN469"/>
      <c r="OTO469"/>
      <c r="OTP469"/>
      <c r="OTQ469"/>
      <c r="OTR469"/>
      <c r="OTS469"/>
      <c r="OTT469"/>
      <c r="OTU469"/>
      <c r="OTV469"/>
      <c r="OTW469"/>
      <c r="OTX469"/>
      <c r="OTY469"/>
      <c r="OTZ469"/>
      <c r="OUA469"/>
      <c r="OUB469"/>
      <c r="OUC469"/>
      <c r="OUD469"/>
      <c r="OUE469"/>
      <c r="OUF469"/>
      <c r="OUG469"/>
      <c r="OUH469"/>
      <c r="OUI469"/>
      <c r="OUJ469"/>
      <c r="OUK469"/>
      <c r="OUL469"/>
      <c r="OUM469"/>
      <c r="OUN469"/>
      <c r="OUO469"/>
      <c r="OUP469"/>
      <c r="OUQ469"/>
      <c r="OUR469"/>
      <c r="OUS469"/>
      <c r="OUT469"/>
      <c r="OUU469"/>
      <c r="OUV469"/>
      <c r="OUW469"/>
      <c r="OUX469"/>
      <c r="OUY469"/>
      <c r="OUZ469"/>
      <c r="OVA469"/>
      <c r="OVB469"/>
      <c r="OVC469"/>
      <c r="OVD469"/>
      <c r="OVE469"/>
      <c r="OVF469"/>
      <c r="OVG469"/>
      <c r="OVH469"/>
      <c r="OVI469"/>
      <c r="OVJ469"/>
      <c r="OVK469"/>
      <c r="OVL469"/>
      <c r="OVM469"/>
      <c r="OVN469"/>
      <c r="OVO469"/>
      <c r="OVP469"/>
      <c r="OVQ469"/>
      <c r="OVR469"/>
      <c r="OVS469"/>
      <c r="OVT469"/>
      <c r="OVU469"/>
      <c r="OVV469"/>
      <c r="OVW469"/>
      <c r="OVX469"/>
      <c r="OVY469"/>
      <c r="OVZ469"/>
      <c r="OWA469"/>
      <c r="OWB469"/>
      <c r="OWC469"/>
      <c r="OWD469"/>
      <c r="OWE469"/>
      <c r="OWF469"/>
      <c r="OWG469"/>
      <c r="OWH469"/>
      <c r="OWI469"/>
      <c r="OWJ469"/>
      <c r="OWK469"/>
      <c r="OWL469"/>
      <c r="OWM469"/>
      <c r="OWN469"/>
      <c r="OWO469"/>
      <c r="OWP469"/>
      <c r="OWQ469"/>
      <c r="OWR469"/>
      <c r="OWS469"/>
      <c r="OWT469"/>
      <c r="OWU469"/>
      <c r="OWV469"/>
      <c r="OWW469"/>
      <c r="OWX469"/>
      <c r="OWY469"/>
      <c r="OWZ469"/>
      <c r="OXA469"/>
      <c r="OXB469"/>
      <c r="OXC469"/>
      <c r="OXD469"/>
      <c r="OXE469"/>
      <c r="OXF469"/>
      <c r="OXG469"/>
      <c r="OXH469"/>
      <c r="OXI469"/>
      <c r="OXJ469"/>
      <c r="OXK469"/>
      <c r="OXL469"/>
      <c r="OXM469"/>
      <c r="OXN469"/>
      <c r="OXO469"/>
      <c r="OXP469"/>
      <c r="OXQ469"/>
      <c r="OXR469"/>
      <c r="OXS469"/>
      <c r="OXT469"/>
      <c r="OXU469"/>
      <c r="OXV469"/>
      <c r="OXW469"/>
      <c r="OXX469"/>
      <c r="OXY469"/>
      <c r="OXZ469"/>
      <c r="OYA469"/>
      <c r="OYB469"/>
      <c r="OYC469"/>
      <c r="OYD469"/>
      <c r="OYE469"/>
      <c r="OYF469"/>
      <c r="OYG469"/>
      <c r="OYH469"/>
      <c r="OYI469"/>
      <c r="OYJ469"/>
      <c r="OYK469"/>
      <c r="OYL469"/>
      <c r="OYM469"/>
      <c r="OYN469"/>
      <c r="OYO469"/>
      <c r="OYP469"/>
      <c r="OYQ469"/>
      <c r="OYR469"/>
      <c r="OYS469"/>
      <c r="OYT469"/>
      <c r="OYU469"/>
      <c r="OYV469"/>
      <c r="OYW469"/>
      <c r="OYX469"/>
      <c r="OYY469"/>
      <c r="OYZ469"/>
      <c r="OZA469"/>
      <c r="OZB469"/>
      <c r="OZC469"/>
      <c r="OZD469"/>
      <c r="OZE469"/>
      <c r="OZF469"/>
      <c r="OZG469"/>
      <c r="OZH469"/>
      <c r="OZI469"/>
      <c r="OZJ469"/>
      <c r="OZK469"/>
      <c r="OZL469"/>
      <c r="OZM469"/>
      <c r="OZN469"/>
      <c r="OZO469"/>
      <c r="OZP469"/>
      <c r="OZQ469"/>
      <c r="OZR469"/>
      <c r="OZS469"/>
      <c r="OZT469"/>
      <c r="OZU469"/>
      <c r="OZV469"/>
      <c r="OZW469"/>
      <c r="OZX469"/>
      <c r="OZY469"/>
      <c r="OZZ469"/>
      <c r="PAA469"/>
      <c r="PAB469"/>
      <c r="PAC469"/>
      <c r="PAD469"/>
      <c r="PAE469"/>
      <c r="PAF469"/>
      <c r="PAG469"/>
      <c r="PAH469"/>
      <c r="PAI469"/>
      <c r="PAJ469"/>
      <c r="PAK469"/>
      <c r="PAL469"/>
      <c r="PAM469"/>
      <c r="PAN469"/>
      <c r="PAO469"/>
      <c r="PAP469"/>
      <c r="PAQ469"/>
      <c r="PAR469"/>
      <c r="PAS469"/>
      <c r="PAT469"/>
      <c r="PAU469"/>
      <c r="PAV469"/>
      <c r="PAW469"/>
      <c r="PAX469"/>
      <c r="PAY469"/>
      <c r="PAZ469"/>
      <c r="PBA469"/>
      <c r="PBB469"/>
      <c r="PBC469"/>
      <c r="PBD469"/>
      <c r="PBE469"/>
      <c r="PBF469"/>
      <c r="PBG469"/>
      <c r="PBH469"/>
      <c r="PBI469"/>
      <c r="PBJ469"/>
      <c r="PBK469"/>
      <c r="PBL469"/>
      <c r="PBM469"/>
      <c r="PBN469"/>
      <c r="PBO469"/>
      <c r="PBP469"/>
      <c r="PBQ469"/>
      <c r="PBR469"/>
      <c r="PBS469"/>
      <c r="PBT469"/>
      <c r="PBU469"/>
      <c r="PBV469"/>
      <c r="PBW469"/>
      <c r="PBX469"/>
      <c r="PBY469"/>
      <c r="PBZ469"/>
      <c r="PCA469"/>
      <c r="PCB469"/>
      <c r="PCC469"/>
      <c r="PCD469"/>
      <c r="PCE469"/>
      <c r="PCF469"/>
      <c r="PCG469"/>
      <c r="PCH469"/>
      <c r="PCI469"/>
      <c r="PCJ469"/>
      <c r="PCK469"/>
      <c r="PCL469"/>
      <c r="PCM469"/>
      <c r="PCN469"/>
      <c r="PCO469"/>
      <c r="PCP469"/>
      <c r="PCQ469"/>
      <c r="PCR469"/>
      <c r="PCS469"/>
      <c r="PCT469"/>
      <c r="PCU469"/>
      <c r="PCV469"/>
      <c r="PCW469"/>
      <c r="PCX469"/>
      <c r="PCY469"/>
      <c r="PCZ469"/>
      <c r="PDA469"/>
      <c r="PDB469"/>
      <c r="PDC469"/>
      <c r="PDD469"/>
      <c r="PDE469"/>
      <c r="PDF469"/>
      <c r="PDG469"/>
      <c r="PDH469"/>
      <c r="PDI469"/>
      <c r="PDJ469"/>
      <c r="PDK469"/>
      <c r="PDL469"/>
      <c r="PDM469"/>
      <c r="PDN469"/>
      <c r="PDO469"/>
      <c r="PDP469"/>
      <c r="PDQ469"/>
      <c r="PDR469"/>
      <c r="PDS469"/>
      <c r="PDT469"/>
      <c r="PDU469"/>
      <c r="PDV469"/>
      <c r="PDW469"/>
      <c r="PDX469"/>
      <c r="PDY469"/>
      <c r="PDZ469"/>
      <c r="PEA469"/>
      <c r="PEB469"/>
      <c r="PEC469"/>
      <c r="PED469"/>
      <c r="PEE469"/>
      <c r="PEF469"/>
      <c r="PEG469"/>
      <c r="PEH469"/>
      <c r="PEI469"/>
      <c r="PEJ469"/>
      <c r="PEK469"/>
      <c r="PEL469"/>
      <c r="PEM469"/>
      <c r="PEN469"/>
      <c r="PEO469"/>
      <c r="PEP469"/>
      <c r="PEQ469"/>
      <c r="PER469"/>
      <c r="PES469"/>
      <c r="PET469"/>
      <c r="PEU469"/>
      <c r="PEV469"/>
      <c r="PEW469"/>
      <c r="PEX469"/>
      <c r="PEY469"/>
      <c r="PEZ469"/>
      <c r="PFA469"/>
      <c r="PFB469"/>
      <c r="PFC469"/>
      <c r="PFD469"/>
      <c r="PFE469"/>
      <c r="PFF469"/>
      <c r="PFG469"/>
      <c r="PFH469"/>
      <c r="PFI469"/>
      <c r="PFJ469"/>
      <c r="PFK469"/>
      <c r="PFL469"/>
      <c r="PFM469"/>
      <c r="PFN469"/>
      <c r="PFO469"/>
      <c r="PFP469"/>
      <c r="PFQ469"/>
      <c r="PFR469"/>
      <c r="PFS469"/>
      <c r="PFT469"/>
      <c r="PFU469"/>
      <c r="PFV469"/>
      <c r="PFW469"/>
      <c r="PFX469"/>
      <c r="PFY469"/>
      <c r="PFZ469"/>
      <c r="PGA469"/>
      <c r="PGB469"/>
      <c r="PGC469"/>
      <c r="PGD469"/>
      <c r="PGE469"/>
      <c r="PGF469"/>
      <c r="PGG469"/>
      <c r="PGH469"/>
      <c r="PGI469"/>
      <c r="PGJ469"/>
      <c r="PGK469"/>
      <c r="PGL469"/>
      <c r="PGM469"/>
      <c r="PGN469"/>
      <c r="PGO469"/>
      <c r="PGP469"/>
      <c r="PGQ469"/>
      <c r="PGR469"/>
      <c r="PGS469"/>
      <c r="PGT469"/>
      <c r="PGU469"/>
      <c r="PGV469"/>
      <c r="PGW469"/>
      <c r="PGX469"/>
      <c r="PGY469"/>
      <c r="PGZ469"/>
      <c r="PHA469"/>
      <c r="PHB469"/>
      <c r="PHC469"/>
      <c r="PHD469"/>
      <c r="PHE469"/>
      <c r="PHF469"/>
      <c r="PHG469"/>
      <c r="PHH469"/>
      <c r="PHI469"/>
      <c r="PHJ469"/>
      <c r="PHK469"/>
      <c r="PHL469"/>
      <c r="PHM469"/>
      <c r="PHN469"/>
      <c r="PHO469"/>
      <c r="PHP469"/>
      <c r="PHQ469"/>
      <c r="PHR469"/>
      <c r="PHS469"/>
      <c r="PHT469"/>
      <c r="PHU469"/>
      <c r="PHV469"/>
      <c r="PHW469"/>
      <c r="PHX469"/>
      <c r="PHY469"/>
      <c r="PHZ469"/>
      <c r="PIA469"/>
      <c r="PIB469"/>
      <c r="PIC469"/>
      <c r="PID469"/>
      <c r="PIE469"/>
      <c r="PIF469"/>
      <c r="PIG469"/>
      <c r="PIH469"/>
      <c r="PII469"/>
      <c r="PIJ469"/>
      <c r="PIK469"/>
      <c r="PIL469"/>
      <c r="PIM469"/>
      <c r="PIN469"/>
      <c r="PIO469"/>
      <c r="PIP469"/>
      <c r="PIQ469"/>
      <c r="PIR469"/>
      <c r="PIS469"/>
      <c r="PIT469"/>
      <c r="PIU469"/>
      <c r="PIV469"/>
      <c r="PIW469"/>
      <c r="PIX469"/>
      <c r="PIY469"/>
      <c r="PIZ469"/>
      <c r="PJA469"/>
      <c r="PJB469"/>
      <c r="PJC469"/>
      <c r="PJD469"/>
      <c r="PJE469"/>
      <c r="PJF469"/>
      <c r="PJG469"/>
      <c r="PJH469"/>
      <c r="PJI469"/>
      <c r="PJJ469"/>
      <c r="PJK469"/>
      <c r="PJL469"/>
      <c r="PJM469"/>
      <c r="PJN469"/>
      <c r="PJO469"/>
      <c r="PJP469"/>
      <c r="PJQ469"/>
      <c r="PJR469"/>
      <c r="PJS469"/>
      <c r="PJT469"/>
      <c r="PJU469"/>
      <c r="PJV469"/>
      <c r="PJW469"/>
      <c r="PJX469"/>
      <c r="PJY469"/>
      <c r="PJZ469"/>
      <c r="PKA469"/>
      <c r="PKB469"/>
      <c r="PKC469"/>
      <c r="PKD469"/>
      <c r="PKE469"/>
      <c r="PKF469"/>
      <c r="PKG469"/>
      <c r="PKH469"/>
      <c r="PKI469"/>
      <c r="PKJ469"/>
      <c r="PKK469"/>
      <c r="PKL469"/>
      <c r="PKM469"/>
      <c r="PKN469"/>
      <c r="PKO469"/>
      <c r="PKP469"/>
      <c r="PKQ469"/>
      <c r="PKR469"/>
      <c r="PKS469"/>
      <c r="PKT469"/>
      <c r="PKU469"/>
      <c r="PKV469"/>
      <c r="PKW469"/>
      <c r="PKX469"/>
      <c r="PKY469"/>
      <c r="PKZ469"/>
      <c r="PLA469"/>
      <c r="PLB469"/>
      <c r="PLC469"/>
      <c r="PLD469"/>
      <c r="PLE469"/>
      <c r="PLF469"/>
      <c r="PLG469"/>
      <c r="PLH469"/>
      <c r="PLI469"/>
      <c r="PLJ469"/>
      <c r="PLK469"/>
      <c r="PLL469"/>
      <c r="PLM469"/>
      <c r="PLN469"/>
      <c r="PLO469"/>
      <c r="PLP469"/>
      <c r="PLQ469"/>
      <c r="PLR469"/>
      <c r="PLS469"/>
      <c r="PLT469"/>
      <c r="PLU469"/>
      <c r="PLV469"/>
      <c r="PLW469"/>
      <c r="PLX469"/>
      <c r="PLY469"/>
      <c r="PLZ469"/>
      <c r="PMA469"/>
      <c r="PMB469"/>
      <c r="PMC469"/>
      <c r="PMD469"/>
      <c r="PME469"/>
      <c r="PMF469"/>
      <c r="PMG469"/>
      <c r="PMH469"/>
      <c r="PMI469"/>
      <c r="PMJ469"/>
      <c r="PMK469"/>
      <c r="PML469"/>
      <c r="PMM469"/>
      <c r="PMN469"/>
      <c r="PMO469"/>
      <c r="PMP469"/>
      <c r="PMQ469"/>
      <c r="PMR469"/>
      <c r="PMS469"/>
      <c r="PMT469"/>
      <c r="PMU469"/>
      <c r="PMV469"/>
      <c r="PMW469"/>
      <c r="PMX469"/>
      <c r="PMY469"/>
      <c r="PMZ469"/>
      <c r="PNA469"/>
      <c r="PNB469"/>
      <c r="PNC469"/>
      <c r="PND469"/>
      <c r="PNE469"/>
      <c r="PNF469"/>
      <c r="PNG469"/>
      <c r="PNH469"/>
      <c r="PNI469"/>
      <c r="PNJ469"/>
      <c r="PNK469"/>
      <c r="PNL469"/>
      <c r="PNM469"/>
      <c r="PNN469"/>
      <c r="PNO469"/>
      <c r="PNP469"/>
      <c r="PNQ469"/>
      <c r="PNR469"/>
      <c r="PNS469"/>
      <c r="PNT469"/>
      <c r="PNU469"/>
      <c r="PNV469"/>
      <c r="PNW469"/>
      <c r="PNX469"/>
      <c r="PNY469"/>
      <c r="PNZ469"/>
      <c r="POA469"/>
      <c r="POB469"/>
      <c r="POC469"/>
      <c r="POD469"/>
      <c r="POE469"/>
      <c r="POF469"/>
      <c r="POG469"/>
      <c r="POH469"/>
      <c r="POI469"/>
      <c r="POJ469"/>
      <c r="POK469"/>
      <c r="POL469"/>
      <c r="POM469"/>
      <c r="PON469"/>
      <c r="POO469"/>
      <c r="POP469"/>
      <c r="POQ469"/>
      <c r="POR469"/>
      <c r="POS469"/>
      <c r="POT469"/>
      <c r="POU469"/>
      <c r="POV469"/>
      <c r="POW469"/>
      <c r="POX469"/>
      <c r="POY469"/>
      <c r="POZ469"/>
      <c r="PPA469"/>
      <c r="PPB469"/>
      <c r="PPC469"/>
      <c r="PPD469"/>
      <c r="PPE469"/>
      <c r="PPF469"/>
      <c r="PPG469"/>
      <c r="PPH469"/>
      <c r="PPI469"/>
      <c r="PPJ469"/>
      <c r="PPK469"/>
      <c r="PPL469"/>
      <c r="PPM469"/>
      <c r="PPN469"/>
      <c r="PPO469"/>
      <c r="PPP469"/>
      <c r="PPQ469"/>
      <c r="PPR469"/>
      <c r="PPS469"/>
      <c r="PPT469"/>
      <c r="PPU469"/>
      <c r="PPV469"/>
      <c r="PPW469"/>
      <c r="PPX469"/>
      <c r="PPY469"/>
      <c r="PPZ469"/>
      <c r="PQA469"/>
      <c r="PQB469"/>
      <c r="PQC469"/>
      <c r="PQD469"/>
      <c r="PQE469"/>
      <c r="PQF469"/>
      <c r="PQG469"/>
      <c r="PQH469"/>
      <c r="PQI469"/>
      <c r="PQJ469"/>
      <c r="PQK469"/>
      <c r="PQL469"/>
      <c r="PQM469"/>
      <c r="PQN469"/>
      <c r="PQO469"/>
      <c r="PQP469"/>
      <c r="PQQ469"/>
      <c r="PQR469"/>
      <c r="PQS469"/>
      <c r="PQT469"/>
      <c r="PQU469"/>
      <c r="PQV469"/>
      <c r="PQW469"/>
      <c r="PQX469"/>
      <c r="PQY469"/>
      <c r="PQZ469"/>
      <c r="PRA469"/>
      <c r="PRB469"/>
      <c r="PRC469"/>
      <c r="PRD469"/>
      <c r="PRE469"/>
      <c r="PRF469"/>
      <c r="PRG469"/>
      <c r="PRH469"/>
      <c r="PRI469"/>
      <c r="PRJ469"/>
      <c r="PRK469"/>
      <c r="PRL469"/>
      <c r="PRM469"/>
      <c r="PRN469"/>
      <c r="PRO469"/>
      <c r="PRP469"/>
      <c r="PRQ469"/>
      <c r="PRR469"/>
      <c r="PRS469"/>
      <c r="PRT469"/>
      <c r="PRU469"/>
      <c r="PRV469"/>
      <c r="PRW469"/>
      <c r="PRX469"/>
      <c r="PRY469"/>
      <c r="PRZ469"/>
      <c r="PSA469"/>
      <c r="PSB469"/>
      <c r="PSC469"/>
      <c r="PSD469"/>
      <c r="PSE469"/>
      <c r="PSF469"/>
      <c r="PSG469"/>
      <c r="PSH469"/>
      <c r="PSI469"/>
      <c r="PSJ469"/>
      <c r="PSK469"/>
      <c r="PSL469"/>
      <c r="PSM469"/>
      <c r="PSN469"/>
      <c r="PSO469"/>
      <c r="PSP469"/>
      <c r="PSQ469"/>
      <c r="PSR469"/>
      <c r="PSS469"/>
      <c r="PST469"/>
      <c r="PSU469"/>
      <c r="PSV469"/>
      <c r="PSW469"/>
      <c r="PSX469"/>
      <c r="PSY469"/>
      <c r="PSZ469"/>
      <c r="PTA469"/>
      <c r="PTB469"/>
      <c r="PTC469"/>
      <c r="PTD469"/>
      <c r="PTE469"/>
      <c r="PTF469"/>
      <c r="PTG469"/>
      <c r="PTH469"/>
      <c r="PTI469"/>
      <c r="PTJ469"/>
      <c r="PTK469"/>
      <c r="PTL469"/>
      <c r="PTM469"/>
      <c r="PTN469"/>
      <c r="PTO469"/>
      <c r="PTP469"/>
      <c r="PTQ469"/>
      <c r="PTR469"/>
      <c r="PTS469"/>
      <c r="PTT469"/>
      <c r="PTU469"/>
      <c r="PTV469"/>
      <c r="PTW469"/>
      <c r="PTX469"/>
      <c r="PTY469"/>
      <c r="PTZ469"/>
      <c r="PUA469"/>
      <c r="PUB469"/>
      <c r="PUC469"/>
      <c r="PUD469"/>
      <c r="PUE469"/>
      <c r="PUF469"/>
      <c r="PUG469"/>
      <c r="PUH469"/>
      <c r="PUI469"/>
      <c r="PUJ469"/>
      <c r="PUK469"/>
      <c r="PUL469"/>
      <c r="PUM469"/>
      <c r="PUN469"/>
      <c r="PUO469"/>
      <c r="PUP469"/>
      <c r="PUQ469"/>
      <c r="PUR469"/>
      <c r="PUS469"/>
      <c r="PUT469"/>
      <c r="PUU469"/>
      <c r="PUV469"/>
      <c r="PUW469"/>
      <c r="PUX469"/>
      <c r="PUY469"/>
      <c r="PUZ469"/>
      <c r="PVA469"/>
      <c r="PVB469"/>
      <c r="PVC469"/>
      <c r="PVD469"/>
      <c r="PVE469"/>
      <c r="PVF469"/>
      <c r="PVG469"/>
      <c r="PVH469"/>
      <c r="PVI469"/>
      <c r="PVJ469"/>
      <c r="PVK469"/>
      <c r="PVL469"/>
      <c r="PVM469"/>
      <c r="PVN469"/>
      <c r="PVO469"/>
      <c r="PVP469"/>
      <c r="PVQ469"/>
      <c r="PVR469"/>
      <c r="PVS469"/>
      <c r="PVT469"/>
      <c r="PVU469"/>
      <c r="PVV469"/>
      <c r="PVW469"/>
      <c r="PVX469"/>
      <c r="PVY469"/>
      <c r="PVZ469"/>
      <c r="PWA469"/>
      <c r="PWB469"/>
      <c r="PWC469"/>
      <c r="PWD469"/>
      <c r="PWE469"/>
      <c r="PWF469"/>
      <c r="PWG469"/>
      <c r="PWH469"/>
      <c r="PWI469"/>
      <c r="PWJ469"/>
      <c r="PWK469"/>
      <c r="PWL469"/>
      <c r="PWM469"/>
      <c r="PWN469"/>
      <c r="PWO469"/>
      <c r="PWP469"/>
      <c r="PWQ469"/>
      <c r="PWR469"/>
      <c r="PWS469"/>
      <c r="PWT469"/>
      <c r="PWU469"/>
      <c r="PWV469"/>
      <c r="PWW469"/>
      <c r="PWX469"/>
      <c r="PWY469"/>
      <c r="PWZ469"/>
      <c r="PXA469"/>
      <c r="PXB469"/>
      <c r="PXC469"/>
      <c r="PXD469"/>
      <c r="PXE469"/>
      <c r="PXF469"/>
      <c r="PXG469"/>
      <c r="PXH469"/>
      <c r="PXI469"/>
      <c r="PXJ469"/>
      <c r="PXK469"/>
      <c r="PXL469"/>
      <c r="PXM469"/>
      <c r="PXN469"/>
      <c r="PXO469"/>
      <c r="PXP469"/>
      <c r="PXQ469"/>
      <c r="PXR469"/>
      <c r="PXS469"/>
      <c r="PXT469"/>
      <c r="PXU469"/>
      <c r="PXV469"/>
      <c r="PXW469"/>
      <c r="PXX469"/>
      <c r="PXY469"/>
      <c r="PXZ469"/>
      <c r="PYA469"/>
      <c r="PYB469"/>
      <c r="PYC469"/>
      <c r="PYD469"/>
      <c r="PYE469"/>
      <c r="PYF469"/>
      <c r="PYG469"/>
      <c r="PYH469"/>
      <c r="PYI469"/>
      <c r="PYJ469"/>
      <c r="PYK469"/>
      <c r="PYL469"/>
      <c r="PYM469"/>
      <c r="PYN469"/>
      <c r="PYO469"/>
      <c r="PYP469"/>
      <c r="PYQ469"/>
      <c r="PYR469"/>
      <c r="PYS469"/>
      <c r="PYT469"/>
      <c r="PYU469"/>
      <c r="PYV469"/>
      <c r="PYW469"/>
      <c r="PYX469"/>
      <c r="PYY469"/>
      <c r="PYZ469"/>
      <c r="PZA469"/>
      <c r="PZB469"/>
      <c r="PZC469"/>
      <c r="PZD469"/>
      <c r="PZE469"/>
      <c r="PZF469"/>
      <c r="PZG469"/>
      <c r="PZH469"/>
      <c r="PZI469"/>
      <c r="PZJ469"/>
      <c r="PZK469"/>
      <c r="PZL469"/>
      <c r="PZM469"/>
      <c r="PZN469"/>
      <c r="PZO469"/>
      <c r="PZP469"/>
      <c r="PZQ469"/>
      <c r="PZR469"/>
      <c r="PZS469"/>
      <c r="PZT469"/>
      <c r="PZU469"/>
      <c r="PZV469"/>
      <c r="PZW469"/>
      <c r="PZX469"/>
      <c r="PZY469"/>
      <c r="PZZ469"/>
      <c r="QAA469"/>
      <c r="QAB469"/>
      <c r="QAC469"/>
      <c r="QAD469"/>
      <c r="QAE469"/>
      <c r="QAF469"/>
      <c r="QAG469"/>
      <c r="QAH469"/>
      <c r="QAI469"/>
      <c r="QAJ469"/>
      <c r="QAK469"/>
      <c r="QAL469"/>
      <c r="QAM469"/>
      <c r="QAN469"/>
      <c r="QAO469"/>
      <c r="QAP469"/>
      <c r="QAQ469"/>
      <c r="QAR469"/>
      <c r="QAS469"/>
      <c r="QAT469"/>
      <c r="QAU469"/>
      <c r="QAV469"/>
      <c r="QAW469"/>
      <c r="QAX469"/>
      <c r="QAY469"/>
      <c r="QAZ469"/>
      <c r="QBA469"/>
      <c r="QBB469"/>
      <c r="QBC469"/>
      <c r="QBD469"/>
      <c r="QBE469"/>
      <c r="QBF469"/>
      <c r="QBG469"/>
      <c r="QBH469"/>
      <c r="QBI469"/>
      <c r="QBJ469"/>
      <c r="QBK469"/>
      <c r="QBL469"/>
      <c r="QBM469"/>
      <c r="QBN469"/>
      <c r="QBO469"/>
      <c r="QBP469"/>
      <c r="QBQ469"/>
      <c r="QBR469"/>
      <c r="QBS469"/>
      <c r="QBT469"/>
      <c r="QBU469"/>
      <c r="QBV469"/>
      <c r="QBW469"/>
      <c r="QBX469"/>
      <c r="QBY469"/>
      <c r="QBZ469"/>
      <c r="QCA469"/>
      <c r="QCB469"/>
      <c r="QCC469"/>
      <c r="QCD469"/>
      <c r="QCE469"/>
      <c r="QCF469"/>
      <c r="QCG469"/>
      <c r="QCH469"/>
      <c r="QCI469"/>
      <c r="QCJ469"/>
      <c r="QCK469"/>
      <c r="QCL469"/>
      <c r="QCM469"/>
      <c r="QCN469"/>
      <c r="QCO469"/>
      <c r="QCP469"/>
      <c r="QCQ469"/>
      <c r="QCR469"/>
      <c r="QCS469"/>
      <c r="QCT469"/>
      <c r="QCU469"/>
      <c r="QCV469"/>
      <c r="QCW469"/>
      <c r="QCX469"/>
      <c r="QCY469"/>
      <c r="QCZ469"/>
      <c r="QDA469"/>
      <c r="QDB469"/>
      <c r="QDC469"/>
      <c r="QDD469"/>
      <c r="QDE469"/>
      <c r="QDF469"/>
      <c r="QDG469"/>
      <c r="QDH469"/>
      <c r="QDI469"/>
      <c r="QDJ469"/>
      <c r="QDK469"/>
      <c r="QDL469"/>
      <c r="QDM469"/>
      <c r="QDN469"/>
      <c r="QDO469"/>
      <c r="QDP469"/>
      <c r="QDQ469"/>
      <c r="QDR469"/>
      <c r="QDS469"/>
      <c r="QDT469"/>
      <c r="QDU469"/>
      <c r="QDV469"/>
      <c r="QDW469"/>
      <c r="QDX469"/>
      <c r="QDY469"/>
      <c r="QDZ469"/>
      <c r="QEA469"/>
      <c r="QEB469"/>
      <c r="QEC469"/>
      <c r="QED469"/>
      <c r="QEE469"/>
      <c r="QEF469"/>
      <c r="QEG469"/>
      <c r="QEH469"/>
      <c r="QEI469"/>
      <c r="QEJ469"/>
      <c r="QEK469"/>
      <c r="QEL469"/>
      <c r="QEM469"/>
      <c r="QEN469"/>
      <c r="QEO469"/>
      <c r="QEP469"/>
      <c r="QEQ469"/>
      <c r="QER469"/>
      <c r="QES469"/>
      <c r="QET469"/>
      <c r="QEU469"/>
      <c r="QEV469"/>
      <c r="QEW469"/>
      <c r="QEX469"/>
      <c r="QEY469"/>
      <c r="QEZ469"/>
      <c r="QFA469"/>
      <c r="QFB469"/>
      <c r="QFC469"/>
      <c r="QFD469"/>
      <c r="QFE469"/>
      <c r="QFF469"/>
      <c r="QFG469"/>
      <c r="QFH469"/>
      <c r="QFI469"/>
      <c r="QFJ469"/>
      <c r="QFK469"/>
      <c r="QFL469"/>
      <c r="QFM469"/>
      <c r="QFN469"/>
      <c r="QFO469"/>
      <c r="QFP469"/>
      <c r="QFQ469"/>
      <c r="QFR469"/>
      <c r="QFS469"/>
      <c r="QFT469"/>
      <c r="QFU469"/>
      <c r="QFV469"/>
      <c r="QFW469"/>
      <c r="QFX469"/>
      <c r="QFY469"/>
      <c r="QFZ469"/>
      <c r="QGA469"/>
      <c r="QGB469"/>
      <c r="QGC469"/>
      <c r="QGD469"/>
      <c r="QGE469"/>
      <c r="QGF469"/>
      <c r="QGG469"/>
      <c r="QGH469"/>
      <c r="QGI469"/>
      <c r="QGJ469"/>
      <c r="QGK469"/>
      <c r="QGL469"/>
      <c r="QGM469"/>
      <c r="QGN469"/>
      <c r="QGO469"/>
      <c r="QGP469"/>
      <c r="QGQ469"/>
      <c r="QGR469"/>
      <c r="QGS469"/>
      <c r="QGT469"/>
      <c r="QGU469"/>
      <c r="QGV469"/>
      <c r="QGW469"/>
      <c r="QGX469"/>
      <c r="QGY469"/>
      <c r="QGZ469"/>
      <c r="QHA469"/>
      <c r="QHB469"/>
      <c r="QHC469"/>
      <c r="QHD469"/>
      <c r="QHE469"/>
      <c r="QHF469"/>
      <c r="QHG469"/>
      <c r="QHH469"/>
      <c r="QHI469"/>
      <c r="QHJ469"/>
      <c r="QHK469"/>
      <c r="QHL469"/>
      <c r="QHM469"/>
      <c r="QHN469"/>
      <c r="QHO469"/>
      <c r="QHP469"/>
      <c r="QHQ469"/>
      <c r="QHR469"/>
      <c r="QHS469"/>
      <c r="QHT469"/>
      <c r="QHU469"/>
      <c r="QHV469"/>
      <c r="QHW469"/>
      <c r="QHX469"/>
      <c r="QHY469"/>
      <c r="QHZ469"/>
      <c r="QIA469"/>
      <c r="QIB469"/>
      <c r="QIC469"/>
      <c r="QID469"/>
      <c r="QIE469"/>
      <c r="QIF469"/>
      <c r="QIG469"/>
      <c r="QIH469"/>
      <c r="QII469"/>
      <c r="QIJ469"/>
      <c r="QIK469"/>
      <c r="QIL469"/>
      <c r="QIM469"/>
      <c r="QIN469"/>
      <c r="QIO469"/>
      <c r="QIP469"/>
      <c r="QIQ469"/>
      <c r="QIR469"/>
      <c r="QIS469"/>
      <c r="QIT469"/>
      <c r="QIU469"/>
      <c r="QIV469"/>
      <c r="QIW469"/>
      <c r="QIX469"/>
      <c r="QIY469"/>
      <c r="QIZ469"/>
      <c r="QJA469"/>
      <c r="QJB469"/>
      <c r="QJC469"/>
      <c r="QJD469"/>
      <c r="QJE469"/>
      <c r="QJF469"/>
      <c r="QJG469"/>
      <c r="QJH469"/>
      <c r="QJI469"/>
      <c r="QJJ469"/>
      <c r="QJK469"/>
      <c r="QJL469"/>
      <c r="QJM469"/>
      <c r="QJN469"/>
      <c r="QJO469"/>
      <c r="QJP469"/>
      <c r="QJQ469"/>
      <c r="QJR469"/>
      <c r="QJS469"/>
      <c r="QJT469"/>
      <c r="QJU469"/>
      <c r="QJV469"/>
      <c r="QJW469"/>
      <c r="QJX469"/>
      <c r="QJY469"/>
      <c r="QJZ469"/>
      <c r="QKA469"/>
      <c r="QKB469"/>
      <c r="QKC469"/>
      <c r="QKD469"/>
      <c r="QKE469"/>
      <c r="QKF469"/>
      <c r="QKG469"/>
      <c r="QKH469"/>
      <c r="QKI469"/>
      <c r="QKJ469"/>
      <c r="QKK469"/>
      <c r="QKL469"/>
      <c r="QKM469"/>
      <c r="QKN469"/>
      <c r="QKO469"/>
      <c r="QKP469"/>
      <c r="QKQ469"/>
      <c r="QKR469"/>
      <c r="QKS469"/>
      <c r="QKT469"/>
      <c r="QKU469"/>
      <c r="QKV469"/>
      <c r="QKW469"/>
      <c r="QKX469"/>
      <c r="QKY469"/>
      <c r="QKZ469"/>
      <c r="QLA469"/>
      <c r="QLB469"/>
      <c r="QLC469"/>
      <c r="QLD469"/>
      <c r="QLE469"/>
      <c r="QLF469"/>
      <c r="QLG469"/>
      <c r="QLH469"/>
      <c r="QLI469"/>
      <c r="QLJ469"/>
      <c r="QLK469"/>
      <c r="QLL469"/>
      <c r="QLM469"/>
      <c r="QLN469"/>
      <c r="QLO469"/>
      <c r="QLP469"/>
      <c r="QLQ469"/>
      <c r="QLR469"/>
      <c r="QLS469"/>
      <c r="QLT469"/>
      <c r="QLU469"/>
      <c r="QLV469"/>
      <c r="QLW469"/>
      <c r="QLX469"/>
      <c r="QLY469"/>
      <c r="QLZ469"/>
      <c r="QMA469"/>
      <c r="QMB469"/>
      <c r="QMC469"/>
      <c r="QMD469"/>
      <c r="QME469"/>
      <c r="QMF469"/>
      <c r="QMG469"/>
      <c r="QMH469"/>
      <c r="QMI469"/>
      <c r="QMJ469"/>
      <c r="QMK469"/>
      <c r="QML469"/>
      <c r="QMM469"/>
      <c r="QMN469"/>
      <c r="QMO469"/>
      <c r="QMP469"/>
      <c r="QMQ469"/>
      <c r="QMR469"/>
      <c r="QMS469"/>
      <c r="QMT469"/>
      <c r="QMU469"/>
      <c r="QMV469"/>
      <c r="QMW469"/>
      <c r="QMX469"/>
      <c r="QMY469"/>
      <c r="QMZ469"/>
      <c r="QNA469"/>
      <c r="QNB469"/>
      <c r="QNC469"/>
      <c r="QND469"/>
      <c r="QNE469"/>
      <c r="QNF469"/>
      <c r="QNG469"/>
      <c r="QNH469"/>
      <c r="QNI469"/>
      <c r="QNJ469"/>
      <c r="QNK469"/>
      <c r="QNL469"/>
      <c r="QNM469"/>
      <c r="QNN469"/>
      <c r="QNO469"/>
      <c r="QNP469"/>
      <c r="QNQ469"/>
      <c r="QNR469"/>
      <c r="QNS469"/>
      <c r="QNT469"/>
      <c r="QNU469"/>
      <c r="QNV469"/>
      <c r="QNW469"/>
      <c r="QNX469"/>
      <c r="QNY469"/>
      <c r="QNZ469"/>
      <c r="QOA469"/>
      <c r="QOB469"/>
      <c r="QOC469"/>
      <c r="QOD469"/>
      <c r="QOE469"/>
      <c r="QOF469"/>
      <c r="QOG469"/>
      <c r="QOH469"/>
      <c r="QOI469"/>
      <c r="QOJ469"/>
      <c r="QOK469"/>
      <c r="QOL469"/>
      <c r="QOM469"/>
      <c r="QON469"/>
      <c r="QOO469"/>
      <c r="QOP469"/>
      <c r="QOQ469"/>
      <c r="QOR469"/>
      <c r="QOS469"/>
      <c r="QOT469"/>
      <c r="QOU469"/>
      <c r="QOV469"/>
      <c r="QOW469"/>
      <c r="QOX469"/>
      <c r="QOY469"/>
      <c r="QOZ469"/>
      <c r="QPA469"/>
      <c r="QPB469"/>
      <c r="QPC469"/>
      <c r="QPD469"/>
      <c r="QPE469"/>
      <c r="QPF469"/>
      <c r="QPG469"/>
      <c r="QPH469"/>
      <c r="QPI469"/>
      <c r="QPJ469"/>
      <c r="QPK469"/>
      <c r="QPL469"/>
      <c r="QPM469"/>
      <c r="QPN469"/>
      <c r="QPO469"/>
      <c r="QPP469"/>
      <c r="QPQ469"/>
      <c r="QPR469"/>
      <c r="QPS469"/>
      <c r="QPT469"/>
      <c r="QPU469"/>
      <c r="QPV469"/>
      <c r="QPW469"/>
      <c r="QPX469"/>
      <c r="QPY469"/>
      <c r="QPZ469"/>
      <c r="QQA469"/>
      <c r="QQB469"/>
      <c r="QQC469"/>
      <c r="QQD469"/>
      <c r="QQE469"/>
      <c r="QQF469"/>
      <c r="QQG469"/>
      <c r="QQH469"/>
      <c r="QQI469"/>
      <c r="QQJ469"/>
      <c r="QQK469"/>
      <c r="QQL469"/>
      <c r="QQM469"/>
      <c r="QQN469"/>
      <c r="QQO469"/>
      <c r="QQP469"/>
      <c r="QQQ469"/>
      <c r="QQR469"/>
      <c r="QQS469"/>
      <c r="QQT469"/>
      <c r="QQU469"/>
      <c r="QQV469"/>
      <c r="QQW469"/>
      <c r="QQX469"/>
      <c r="QQY469"/>
      <c r="QQZ469"/>
      <c r="QRA469"/>
      <c r="QRB469"/>
      <c r="QRC469"/>
      <c r="QRD469"/>
      <c r="QRE469"/>
      <c r="QRF469"/>
      <c r="QRG469"/>
      <c r="QRH469"/>
      <c r="QRI469"/>
      <c r="QRJ469"/>
      <c r="QRK469"/>
      <c r="QRL469"/>
      <c r="QRM469"/>
      <c r="QRN469"/>
      <c r="QRO469"/>
      <c r="QRP469"/>
      <c r="QRQ469"/>
      <c r="QRR469"/>
      <c r="QRS469"/>
      <c r="QRT469"/>
      <c r="QRU469"/>
      <c r="QRV469"/>
      <c r="QRW469"/>
      <c r="QRX469"/>
      <c r="QRY469"/>
      <c r="QRZ469"/>
      <c r="QSA469"/>
      <c r="QSB469"/>
      <c r="QSC469"/>
      <c r="QSD469"/>
      <c r="QSE469"/>
      <c r="QSF469"/>
      <c r="QSG469"/>
      <c r="QSH469"/>
      <c r="QSI469"/>
      <c r="QSJ469"/>
      <c r="QSK469"/>
      <c r="QSL469"/>
      <c r="QSM469"/>
      <c r="QSN469"/>
      <c r="QSO469"/>
      <c r="QSP469"/>
      <c r="QSQ469"/>
      <c r="QSR469"/>
      <c r="QSS469"/>
      <c r="QST469"/>
      <c r="QSU469"/>
      <c r="QSV469"/>
      <c r="QSW469"/>
      <c r="QSX469"/>
      <c r="QSY469"/>
      <c r="QSZ469"/>
      <c r="QTA469"/>
      <c r="QTB469"/>
      <c r="QTC469"/>
      <c r="QTD469"/>
      <c r="QTE469"/>
      <c r="QTF469"/>
      <c r="QTG469"/>
      <c r="QTH469"/>
      <c r="QTI469"/>
      <c r="QTJ469"/>
      <c r="QTK469"/>
      <c r="QTL469"/>
      <c r="QTM469"/>
      <c r="QTN469"/>
      <c r="QTO469"/>
      <c r="QTP469"/>
      <c r="QTQ469"/>
      <c r="QTR469"/>
      <c r="QTS469"/>
      <c r="QTT469"/>
      <c r="QTU469"/>
      <c r="QTV469"/>
      <c r="QTW469"/>
      <c r="QTX469"/>
      <c r="QTY469"/>
      <c r="QTZ469"/>
      <c r="QUA469"/>
      <c r="QUB469"/>
      <c r="QUC469"/>
      <c r="QUD469"/>
      <c r="QUE469"/>
      <c r="QUF469"/>
      <c r="QUG469"/>
      <c r="QUH469"/>
      <c r="QUI469"/>
      <c r="QUJ469"/>
      <c r="QUK469"/>
      <c r="QUL469"/>
      <c r="QUM469"/>
      <c r="QUN469"/>
      <c r="QUO469"/>
      <c r="QUP469"/>
      <c r="QUQ469"/>
      <c r="QUR469"/>
      <c r="QUS469"/>
      <c r="QUT469"/>
      <c r="QUU469"/>
      <c r="QUV469"/>
      <c r="QUW469"/>
      <c r="QUX469"/>
      <c r="QUY469"/>
      <c r="QUZ469"/>
      <c r="QVA469"/>
      <c r="QVB469"/>
      <c r="QVC469"/>
      <c r="QVD469"/>
      <c r="QVE469"/>
      <c r="QVF469"/>
      <c r="QVG469"/>
      <c r="QVH469"/>
      <c r="QVI469"/>
      <c r="QVJ469"/>
      <c r="QVK469"/>
      <c r="QVL469"/>
      <c r="QVM469"/>
      <c r="QVN469"/>
      <c r="QVO469"/>
      <c r="QVP469"/>
      <c r="QVQ469"/>
      <c r="QVR469"/>
      <c r="QVS469"/>
      <c r="QVT469"/>
      <c r="QVU469"/>
      <c r="QVV469"/>
      <c r="QVW469"/>
      <c r="QVX469"/>
      <c r="QVY469"/>
      <c r="QVZ469"/>
      <c r="QWA469"/>
      <c r="QWB469"/>
      <c r="QWC469"/>
      <c r="QWD469"/>
      <c r="QWE469"/>
      <c r="QWF469"/>
      <c r="QWG469"/>
      <c r="QWH469"/>
      <c r="QWI469"/>
      <c r="QWJ469"/>
      <c r="QWK469"/>
      <c r="QWL469"/>
      <c r="QWM469"/>
      <c r="QWN469"/>
      <c r="QWO469"/>
      <c r="QWP469"/>
      <c r="QWQ469"/>
      <c r="QWR469"/>
      <c r="QWS469"/>
      <c r="QWT469"/>
      <c r="QWU469"/>
      <c r="QWV469"/>
      <c r="QWW469"/>
      <c r="QWX469"/>
      <c r="QWY469"/>
      <c r="QWZ469"/>
      <c r="QXA469"/>
      <c r="QXB469"/>
      <c r="QXC469"/>
      <c r="QXD469"/>
      <c r="QXE469"/>
      <c r="QXF469"/>
      <c r="QXG469"/>
      <c r="QXH469"/>
      <c r="QXI469"/>
      <c r="QXJ469"/>
      <c r="QXK469"/>
      <c r="QXL469"/>
      <c r="QXM469"/>
      <c r="QXN469"/>
      <c r="QXO469"/>
      <c r="QXP469"/>
      <c r="QXQ469"/>
      <c r="QXR469"/>
      <c r="QXS469"/>
      <c r="QXT469"/>
      <c r="QXU469"/>
      <c r="QXV469"/>
      <c r="QXW469"/>
      <c r="QXX469"/>
      <c r="QXY469"/>
      <c r="QXZ469"/>
      <c r="QYA469"/>
      <c r="QYB469"/>
      <c r="QYC469"/>
      <c r="QYD469"/>
      <c r="QYE469"/>
      <c r="QYF469"/>
      <c r="QYG469"/>
      <c r="QYH469"/>
      <c r="QYI469"/>
      <c r="QYJ469"/>
      <c r="QYK469"/>
      <c r="QYL469"/>
      <c r="QYM469"/>
      <c r="QYN469"/>
      <c r="QYO469"/>
      <c r="QYP469"/>
      <c r="QYQ469"/>
      <c r="QYR469"/>
      <c r="QYS469"/>
      <c r="QYT469"/>
      <c r="QYU469"/>
      <c r="QYV469"/>
      <c r="QYW469"/>
      <c r="QYX469"/>
      <c r="QYY469"/>
      <c r="QYZ469"/>
      <c r="QZA469"/>
      <c r="QZB469"/>
      <c r="QZC469"/>
      <c r="QZD469"/>
      <c r="QZE469"/>
      <c r="QZF469"/>
      <c r="QZG469"/>
      <c r="QZH469"/>
      <c r="QZI469"/>
      <c r="QZJ469"/>
      <c r="QZK469"/>
      <c r="QZL469"/>
      <c r="QZM469"/>
      <c r="QZN469"/>
      <c r="QZO469"/>
      <c r="QZP469"/>
      <c r="QZQ469"/>
      <c r="QZR469"/>
      <c r="QZS469"/>
      <c r="QZT469"/>
      <c r="QZU469"/>
      <c r="QZV469"/>
      <c r="QZW469"/>
      <c r="QZX469"/>
      <c r="QZY469"/>
      <c r="QZZ469"/>
      <c r="RAA469"/>
      <c r="RAB469"/>
      <c r="RAC469"/>
      <c r="RAD469"/>
      <c r="RAE469"/>
      <c r="RAF469"/>
      <c r="RAG469"/>
      <c r="RAH469"/>
      <c r="RAI469"/>
      <c r="RAJ469"/>
      <c r="RAK469"/>
      <c r="RAL469"/>
      <c r="RAM469"/>
      <c r="RAN469"/>
      <c r="RAO469"/>
      <c r="RAP469"/>
      <c r="RAQ469"/>
      <c r="RAR469"/>
      <c r="RAS469"/>
      <c r="RAT469"/>
      <c r="RAU469"/>
      <c r="RAV469"/>
      <c r="RAW469"/>
      <c r="RAX469"/>
      <c r="RAY469"/>
      <c r="RAZ469"/>
      <c r="RBA469"/>
      <c r="RBB469"/>
      <c r="RBC469"/>
      <c r="RBD469"/>
      <c r="RBE469"/>
      <c r="RBF469"/>
      <c r="RBG469"/>
      <c r="RBH469"/>
      <c r="RBI469"/>
      <c r="RBJ469"/>
      <c r="RBK469"/>
      <c r="RBL469"/>
      <c r="RBM469"/>
      <c r="RBN469"/>
      <c r="RBO469"/>
      <c r="RBP469"/>
      <c r="RBQ469"/>
      <c r="RBR469"/>
      <c r="RBS469"/>
      <c r="RBT469"/>
      <c r="RBU469"/>
      <c r="RBV469"/>
      <c r="RBW469"/>
      <c r="RBX469"/>
      <c r="RBY469"/>
      <c r="RBZ469"/>
      <c r="RCA469"/>
      <c r="RCB469"/>
      <c r="RCC469"/>
      <c r="RCD469"/>
      <c r="RCE469"/>
      <c r="RCF469"/>
      <c r="RCG469"/>
      <c r="RCH469"/>
      <c r="RCI469"/>
      <c r="RCJ469"/>
      <c r="RCK469"/>
      <c r="RCL469"/>
      <c r="RCM469"/>
      <c r="RCN469"/>
      <c r="RCO469"/>
      <c r="RCP469"/>
      <c r="RCQ469"/>
      <c r="RCR469"/>
      <c r="RCS469"/>
      <c r="RCT469"/>
      <c r="RCU469"/>
      <c r="RCV469"/>
      <c r="RCW469"/>
      <c r="RCX469"/>
      <c r="RCY469"/>
      <c r="RCZ469"/>
      <c r="RDA469"/>
      <c r="RDB469"/>
      <c r="RDC469"/>
      <c r="RDD469"/>
      <c r="RDE469"/>
      <c r="RDF469"/>
      <c r="RDG469"/>
      <c r="RDH469"/>
      <c r="RDI469"/>
      <c r="RDJ469"/>
      <c r="RDK469"/>
      <c r="RDL469"/>
      <c r="RDM469"/>
      <c r="RDN469"/>
      <c r="RDO469"/>
      <c r="RDP469"/>
      <c r="RDQ469"/>
      <c r="RDR469"/>
      <c r="RDS469"/>
      <c r="RDT469"/>
      <c r="RDU469"/>
      <c r="RDV469"/>
      <c r="RDW469"/>
      <c r="RDX469"/>
      <c r="RDY469"/>
      <c r="RDZ469"/>
      <c r="REA469"/>
      <c r="REB469"/>
      <c r="REC469"/>
      <c r="RED469"/>
      <c r="REE469"/>
      <c r="REF469"/>
      <c r="REG469"/>
      <c r="REH469"/>
      <c r="REI469"/>
      <c r="REJ469"/>
      <c r="REK469"/>
      <c r="REL469"/>
      <c r="REM469"/>
      <c r="REN469"/>
      <c r="REO469"/>
      <c r="REP469"/>
      <c r="REQ469"/>
      <c r="RER469"/>
      <c r="RES469"/>
      <c r="RET469"/>
      <c r="REU469"/>
      <c r="REV469"/>
      <c r="REW469"/>
      <c r="REX469"/>
      <c r="REY469"/>
      <c r="REZ469"/>
      <c r="RFA469"/>
      <c r="RFB469"/>
      <c r="RFC469"/>
      <c r="RFD469"/>
      <c r="RFE469"/>
      <c r="RFF469"/>
      <c r="RFG469"/>
      <c r="RFH469"/>
      <c r="RFI469"/>
      <c r="RFJ469"/>
      <c r="RFK469"/>
      <c r="RFL469"/>
      <c r="RFM469"/>
      <c r="RFN469"/>
      <c r="RFO469"/>
      <c r="RFP469"/>
      <c r="RFQ469"/>
      <c r="RFR469"/>
      <c r="RFS469"/>
      <c r="RFT469"/>
      <c r="RFU469"/>
      <c r="RFV469"/>
      <c r="RFW469"/>
      <c r="RFX469"/>
      <c r="RFY469"/>
      <c r="RFZ469"/>
      <c r="RGA469"/>
      <c r="RGB469"/>
      <c r="RGC469"/>
      <c r="RGD469"/>
      <c r="RGE469"/>
      <c r="RGF469"/>
      <c r="RGG469"/>
      <c r="RGH469"/>
      <c r="RGI469"/>
      <c r="RGJ469"/>
      <c r="RGK469"/>
      <c r="RGL469"/>
      <c r="RGM469"/>
      <c r="RGN469"/>
      <c r="RGO469"/>
      <c r="RGP469"/>
      <c r="RGQ469"/>
      <c r="RGR469"/>
      <c r="RGS469"/>
      <c r="RGT469"/>
      <c r="RGU469"/>
      <c r="RGV469"/>
      <c r="RGW469"/>
      <c r="RGX469"/>
      <c r="RGY469"/>
      <c r="RGZ469"/>
      <c r="RHA469"/>
      <c r="RHB469"/>
      <c r="RHC469"/>
      <c r="RHD469"/>
      <c r="RHE469"/>
      <c r="RHF469"/>
      <c r="RHG469"/>
      <c r="RHH469"/>
      <c r="RHI469"/>
      <c r="RHJ469"/>
      <c r="RHK469"/>
      <c r="RHL469"/>
      <c r="RHM469"/>
      <c r="RHN469"/>
      <c r="RHO469"/>
      <c r="RHP469"/>
      <c r="RHQ469"/>
      <c r="RHR469"/>
      <c r="RHS469"/>
      <c r="RHT469"/>
      <c r="RHU469"/>
      <c r="RHV469"/>
      <c r="RHW469"/>
      <c r="RHX469"/>
      <c r="RHY469"/>
      <c r="RHZ469"/>
      <c r="RIA469"/>
      <c r="RIB469"/>
      <c r="RIC469"/>
      <c r="RID469"/>
      <c r="RIE469"/>
      <c r="RIF469"/>
      <c r="RIG469"/>
      <c r="RIH469"/>
      <c r="RII469"/>
      <c r="RIJ469"/>
      <c r="RIK469"/>
      <c r="RIL469"/>
      <c r="RIM469"/>
      <c r="RIN469"/>
      <c r="RIO469"/>
      <c r="RIP469"/>
      <c r="RIQ469"/>
      <c r="RIR469"/>
      <c r="RIS469"/>
      <c r="RIT469"/>
      <c r="RIU469"/>
      <c r="RIV469"/>
      <c r="RIW469"/>
      <c r="RIX469"/>
      <c r="RIY469"/>
      <c r="RIZ469"/>
      <c r="RJA469"/>
      <c r="RJB469"/>
      <c r="RJC469"/>
      <c r="RJD469"/>
      <c r="RJE469"/>
      <c r="RJF469"/>
      <c r="RJG469"/>
      <c r="RJH469"/>
      <c r="RJI469"/>
      <c r="RJJ469"/>
      <c r="RJK469"/>
      <c r="RJL469"/>
      <c r="RJM469"/>
      <c r="RJN469"/>
      <c r="RJO469"/>
      <c r="RJP469"/>
      <c r="RJQ469"/>
      <c r="RJR469"/>
      <c r="RJS469"/>
      <c r="RJT469"/>
      <c r="RJU469"/>
      <c r="RJV469"/>
      <c r="RJW469"/>
      <c r="RJX469"/>
      <c r="RJY469"/>
      <c r="RJZ469"/>
      <c r="RKA469"/>
      <c r="RKB469"/>
      <c r="RKC469"/>
      <c r="RKD469"/>
      <c r="RKE469"/>
      <c r="RKF469"/>
      <c r="RKG469"/>
      <c r="RKH469"/>
      <c r="RKI469"/>
      <c r="RKJ469"/>
      <c r="RKK469"/>
      <c r="RKL469"/>
      <c r="RKM469"/>
      <c r="RKN469"/>
      <c r="RKO469"/>
      <c r="RKP469"/>
      <c r="RKQ469"/>
      <c r="RKR469"/>
      <c r="RKS469"/>
      <c r="RKT469"/>
      <c r="RKU469"/>
      <c r="RKV469"/>
      <c r="RKW469"/>
      <c r="RKX469"/>
      <c r="RKY469"/>
      <c r="RKZ469"/>
      <c r="RLA469"/>
      <c r="RLB469"/>
      <c r="RLC469"/>
      <c r="RLD469"/>
      <c r="RLE469"/>
      <c r="RLF469"/>
      <c r="RLG469"/>
      <c r="RLH469"/>
      <c r="RLI469"/>
      <c r="RLJ469"/>
      <c r="RLK469"/>
      <c r="RLL469"/>
      <c r="RLM469"/>
      <c r="RLN469"/>
      <c r="RLO469"/>
      <c r="RLP469"/>
      <c r="RLQ469"/>
      <c r="RLR469"/>
      <c r="RLS469"/>
      <c r="RLT469"/>
      <c r="RLU469"/>
      <c r="RLV469"/>
      <c r="RLW469"/>
      <c r="RLX469"/>
      <c r="RLY469"/>
      <c r="RLZ469"/>
      <c r="RMA469"/>
      <c r="RMB469"/>
      <c r="RMC469"/>
      <c r="RMD469"/>
      <c r="RME469"/>
      <c r="RMF469"/>
      <c r="RMG469"/>
      <c r="RMH469"/>
      <c r="RMI469"/>
      <c r="RMJ469"/>
      <c r="RMK469"/>
      <c r="RML469"/>
      <c r="RMM469"/>
      <c r="RMN469"/>
      <c r="RMO469"/>
      <c r="RMP469"/>
      <c r="RMQ469"/>
      <c r="RMR469"/>
      <c r="RMS469"/>
      <c r="RMT469"/>
      <c r="RMU469"/>
      <c r="RMV469"/>
      <c r="RMW469"/>
      <c r="RMX469"/>
      <c r="RMY469"/>
      <c r="RMZ469"/>
      <c r="RNA469"/>
      <c r="RNB469"/>
      <c r="RNC469"/>
      <c r="RND469"/>
      <c r="RNE469"/>
      <c r="RNF469"/>
      <c r="RNG469"/>
      <c r="RNH469"/>
      <c r="RNI469"/>
      <c r="RNJ469"/>
      <c r="RNK469"/>
      <c r="RNL469"/>
      <c r="RNM469"/>
      <c r="RNN469"/>
      <c r="RNO469"/>
      <c r="RNP469"/>
      <c r="RNQ469"/>
      <c r="RNR469"/>
      <c r="RNS469"/>
      <c r="RNT469"/>
      <c r="RNU469"/>
      <c r="RNV469"/>
      <c r="RNW469"/>
      <c r="RNX469"/>
      <c r="RNY469"/>
      <c r="RNZ469"/>
      <c r="ROA469"/>
      <c r="ROB469"/>
      <c r="ROC469"/>
      <c r="ROD469"/>
      <c r="ROE469"/>
      <c r="ROF469"/>
      <c r="ROG469"/>
      <c r="ROH469"/>
      <c r="ROI469"/>
      <c r="ROJ469"/>
      <c r="ROK469"/>
      <c r="ROL469"/>
      <c r="ROM469"/>
      <c r="RON469"/>
      <c r="ROO469"/>
      <c r="ROP469"/>
      <c r="ROQ469"/>
      <c r="ROR469"/>
      <c r="ROS469"/>
      <c r="ROT469"/>
      <c r="ROU469"/>
      <c r="ROV469"/>
      <c r="ROW469"/>
      <c r="ROX469"/>
      <c r="ROY469"/>
      <c r="ROZ469"/>
      <c r="RPA469"/>
      <c r="RPB469"/>
      <c r="RPC469"/>
      <c r="RPD469"/>
      <c r="RPE469"/>
      <c r="RPF469"/>
      <c r="RPG469"/>
      <c r="RPH469"/>
      <c r="RPI469"/>
      <c r="RPJ469"/>
      <c r="RPK469"/>
      <c r="RPL469"/>
      <c r="RPM469"/>
      <c r="RPN469"/>
      <c r="RPO469"/>
      <c r="RPP469"/>
      <c r="RPQ469"/>
      <c r="RPR469"/>
      <c r="RPS469"/>
      <c r="RPT469"/>
      <c r="RPU469"/>
      <c r="RPV469"/>
      <c r="RPW469"/>
      <c r="RPX469"/>
      <c r="RPY469"/>
      <c r="RPZ469"/>
      <c r="RQA469"/>
      <c r="RQB469"/>
      <c r="RQC469"/>
      <c r="RQD469"/>
      <c r="RQE469"/>
      <c r="RQF469"/>
      <c r="RQG469"/>
      <c r="RQH469"/>
      <c r="RQI469"/>
      <c r="RQJ469"/>
      <c r="RQK469"/>
      <c r="RQL469"/>
      <c r="RQM469"/>
      <c r="RQN469"/>
      <c r="RQO469"/>
      <c r="RQP469"/>
      <c r="RQQ469"/>
      <c r="RQR469"/>
      <c r="RQS469"/>
      <c r="RQT469"/>
      <c r="RQU469"/>
      <c r="RQV469"/>
      <c r="RQW469"/>
      <c r="RQX469"/>
      <c r="RQY469"/>
      <c r="RQZ469"/>
      <c r="RRA469"/>
      <c r="RRB469"/>
      <c r="RRC469"/>
      <c r="RRD469"/>
      <c r="RRE469"/>
      <c r="RRF469"/>
      <c r="RRG469"/>
      <c r="RRH469"/>
      <c r="RRI469"/>
      <c r="RRJ469"/>
      <c r="RRK469"/>
      <c r="RRL469"/>
      <c r="RRM469"/>
      <c r="RRN469"/>
      <c r="RRO469"/>
      <c r="RRP469"/>
      <c r="RRQ469"/>
      <c r="RRR469"/>
      <c r="RRS469"/>
      <c r="RRT469"/>
      <c r="RRU469"/>
      <c r="RRV469"/>
      <c r="RRW469"/>
      <c r="RRX469"/>
      <c r="RRY469"/>
      <c r="RRZ469"/>
      <c r="RSA469"/>
      <c r="RSB469"/>
      <c r="RSC469"/>
      <c r="RSD469"/>
      <c r="RSE469"/>
      <c r="RSF469"/>
      <c r="RSG469"/>
      <c r="RSH469"/>
      <c r="RSI469"/>
      <c r="RSJ469"/>
      <c r="RSK469"/>
      <c r="RSL469"/>
      <c r="RSM469"/>
      <c r="RSN469"/>
      <c r="RSO469"/>
      <c r="RSP469"/>
      <c r="RSQ469"/>
      <c r="RSR469"/>
      <c r="RSS469"/>
      <c r="RST469"/>
      <c r="RSU469"/>
      <c r="RSV469"/>
      <c r="RSW469"/>
      <c r="RSX469"/>
      <c r="RSY469"/>
      <c r="RSZ469"/>
      <c r="RTA469"/>
      <c r="RTB469"/>
      <c r="RTC469"/>
      <c r="RTD469"/>
      <c r="RTE469"/>
      <c r="RTF469"/>
      <c r="RTG469"/>
      <c r="RTH469"/>
      <c r="RTI469"/>
      <c r="RTJ469"/>
      <c r="RTK469"/>
      <c r="RTL469"/>
      <c r="RTM469"/>
      <c r="RTN469"/>
      <c r="RTO469"/>
      <c r="RTP469"/>
      <c r="RTQ469"/>
      <c r="RTR469"/>
      <c r="RTS469"/>
      <c r="RTT469"/>
      <c r="RTU469"/>
      <c r="RTV469"/>
      <c r="RTW469"/>
      <c r="RTX469"/>
      <c r="RTY469"/>
      <c r="RTZ469"/>
      <c r="RUA469"/>
      <c r="RUB469"/>
      <c r="RUC469"/>
      <c r="RUD469"/>
      <c r="RUE469"/>
      <c r="RUF469"/>
      <c r="RUG469"/>
      <c r="RUH469"/>
      <c r="RUI469"/>
      <c r="RUJ469"/>
      <c r="RUK469"/>
      <c r="RUL469"/>
      <c r="RUM469"/>
      <c r="RUN469"/>
      <c r="RUO469"/>
      <c r="RUP469"/>
      <c r="RUQ469"/>
      <c r="RUR469"/>
      <c r="RUS469"/>
      <c r="RUT469"/>
      <c r="RUU469"/>
      <c r="RUV469"/>
      <c r="RUW469"/>
      <c r="RUX469"/>
      <c r="RUY469"/>
      <c r="RUZ469"/>
      <c r="RVA469"/>
      <c r="RVB469"/>
      <c r="RVC469"/>
      <c r="RVD469"/>
      <c r="RVE469"/>
      <c r="RVF469"/>
      <c r="RVG469"/>
      <c r="RVH469"/>
      <c r="RVI469"/>
      <c r="RVJ469"/>
      <c r="RVK469"/>
      <c r="RVL469"/>
      <c r="RVM469"/>
      <c r="RVN469"/>
      <c r="RVO469"/>
      <c r="RVP469"/>
      <c r="RVQ469"/>
      <c r="RVR469"/>
      <c r="RVS469"/>
      <c r="RVT469"/>
      <c r="RVU469"/>
      <c r="RVV469"/>
      <c r="RVW469"/>
      <c r="RVX469"/>
      <c r="RVY469"/>
      <c r="RVZ469"/>
      <c r="RWA469"/>
      <c r="RWB469"/>
      <c r="RWC469"/>
      <c r="RWD469"/>
      <c r="RWE469"/>
      <c r="RWF469"/>
      <c r="RWG469"/>
      <c r="RWH469"/>
      <c r="RWI469"/>
      <c r="RWJ469"/>
      <c r="RWK469"/>
      <c r="RWL469"/>
      <c r="RWM469"/>
      <c r="RWN469"/>
      <c r="RWO469"/>
      <c r="RWP469"/>
      <c r="RWQ469"/>
      <c r="RWR469"/>
      <c r="RWS469"/>
      <c r="RWT469"/>
      <c r="RWU469"/>
      <c r="RWV469"/>
      <c r="RWW469"/>
      <c r="RWX469"/>
      <c r="RWY469"/>
      <c r="RWZ469"/>
      <c r="RXA469"/>
      <c r="RXB469"/>
      <c r="RXC469"/>
      <c r="RXD469"/>
      <c r="RXE469"/>
      <c r="RXF469"/>
      <c r="RXG469"/>
      <c r="RXH469"/>
      <c r="RXI469"/>
      <c r="RXJ469"/>
      <c r="RXK469"/>
      <c r="RXL469"/>
      <c r="RXM469"/>
      <c r="RXN469"/>
      <c r="RXO469"/>
      <c r="RXP469"/>
      <c r="RXQ469"/>
      <c r="RXR469"/>
      <c r="RXS469"/>
      <c r="RXT469"/>
      <c r="RXU469"/>
      <c r="RXV469"/>
      <c r="RXW469"/>
      <c r="RXX469"/>
      <c r="RXY469"/>
      <c r="RXZ469"/>
      <c r="RYA469"/>
      <c r="RYB469"/>
      <c r="RYC469"/>
      <c r="RYD469"/>
      <c r="RYE469"/>
      <c r="RYF469"/>
      <c r="RYG469"/>
      <c r="RYH469"/>
      <c r="RYI469"/>
      <c r="RYJ469"/>
      <c r="RYK469"/>
      <c r="RYL469"/>
      <c r="RYM469"/>
      <c r="RYN469"/>
      <c r="RYO469"/>
      <c r="RYP469"/>
      <c r="RYQ469"/>
      <c r="RYR469"/>
      <c r="RYS469"/>
      <c r="RYT469"/>
      <c r="RYU469"/>
      <c r="RYV469"/>
      <c r="RYW469"/>
      <c r="RYX469"/>
      <c r="RYY469"/>
      <c r="RYZ469"/>
      <c r="RZA469"/>
      <c r="RZB469"/>
      <c r="RZC469"/>
      <c r="RZD469"/>
      <c r="RZE469"/>
      <c r="RZF469"/>
      <c r="RZG469"/>
      <c r="RZH469"/>
      <c r="RZI469"/>
      <c r="RZJ469"/>
      <c r="RZK469"/>
      <c r="RZL469"/>
      <c r="RZM469"/>
      <c r="RZN469"/>
      <c r="RZO469"/>
      <c r="RZP469"/>
      <c r="RZQ469"/>
      <c r="RZR469"/>
      <c r="RZS469"/>
      <c r="RZT469"/>
      <c r="RZU469"/>
      <c r="RZV469"/>
      <c r="RZW469"/>
      <c r="RZX469"/>
      <c r="RZY469"/>
      <c r="RZZ469"/>
      <c r="SAA469"/>
      <c r="SAB469"/>
      <c r="SAC469"/>
      <c r="SAD469"/>
      <c r="SAE469"/>
      <c r="SAF469"/>
      <c r="SAG469"/>
      <c r="SAH469"/>
      <c r="SAI469"/>
      <c r="SAJ469"/>
      <c r="SAK469"/>
      <c r="SAL469"/>
      <c r="SAM469"/>
      <c r="SAN469"/>
      <c r="SAO469"/>
      <c r="SAP469"/>
      <c r="SAQ469"/>
      <c r="SAR469"/>
      <c r="SAS469"/>
      <c r="SAT469"/>
      <c r="SAU469"/>
      <c r="SAV469"/>
      <c r="SAW469"/>
      <c r="SAX469"/>
      <c r="SAY469"/>
      <c r="SAZ469"/>
      <c r="SBA469"/>
      <c r="SBB469"/>
      <c r="SBC469"/>
      <c r="SBD469"/>
      <c r="SBE469"/>
      <c r="SBF469"/>
      <c r="SBG469"/>
      <c r="SBH469"/>
      <c r="SBI469"/>
      <c r="SBJ469"/>
      <c r="SBK469"/>
      <c r="SBL469"/>
      <c r="SBM469"/>
      <c r="SBN469"/>
      <c r="SBO469"/>
      <c r="SBP469"/>
      <c r="SBQ469"/>
      <c r="SBR469"/>
      <c r="SBS469"/>
      <c r="SBT469"/>
      <c r="SBU469"/>
      <c r="SBV469"/>
      <c r="SBW469"/>
      <c r="SBX469"/>
      <c r="SBY469"/>
      <c r="SBZ469"/>
      <c r="SCA469"/>
      <c r="SCB469"/>
      <c r="SCC469"/>
      <c r="SCD469"/>
      <c r="SCE469"/>
      <c r="SCF469"/>
      <c r="SCG469"/>
      <c r="SCH469"/>
      <c r="SCI469"/>
      <c r="SCJ469"/>
      <c r="SCK469"/>
      <c r="SCL469"/>
      <c r="SCM469"/>
      <c r="SCN469"/>
      <c r="SCO469"/>
      <c r="SCP469"/>
      <c r="SCQ469"/>
      <c r="SCR469"/>
      <c r="SCS469"/>
      <c r="SCT469"/>
      <c r="SCU469"/>
      <c r="SCV469"/>
      <c r="SCW469"/>
      <c r="SCX469"/>
      <c r="SCY469"/>
      <c r="SCZ469"/>
      <c r="SDA469"/>
      <c r="SDB469"/>
      <c r="SDC469"/>
      <c r="SDD469"/>
      <c r="SDE469"/>
      <c r="SDF469"/>
      <c r="SDG469"/>
      <c r="SDH469"/>
      <c r="SDI469"/>
      <c r="SDJ469"/>
      <c r="SDK469"/>
      <c r="SDL469"/>
      <c r="SDM469"/>
      <c r="SDN469"/>
      <c r="SDO469"/>
      <c r="SDP469"/>
      <c r="SDQ469"/>
      <c r="SDR469"/>
      <c r="SDS469"/>
      <c r="SDT469"/>
      <c r="SDU469"/>
      <c r="SDV469"/>
      <c r="SDW469"/>
      <c r="SDX469"/>
      <c r="SDY469"/>
      <c r="SDZ469"/>
      <c r="SEA469"/>
      <c r="SEB469"/>
      <c r="SEC469"/>
      <c r="SED469"/>
      <c r="SEE469"/>
      <c r="SEF469"/>
      <c r="SEG469"/>
      <c r="SEH469"/>
      <c r="SEI469"/>
      <c r="SEJ469"/>
      <c r="SEK469"/>
      <c r="SEL469"/>
      <c r="SEM469"/>
      <c r="SEN469"/>
      <c r="SEO469"/>
      <c r="SEP469"/>
      <c r="SEQ469"/>
      <c r="SER469"/>
      <c r="SES469"/>
      <c r="SET469"/>
      <c r="SEU469"/>
      <c r="SEV469"/>
      <c r="SEW469"/>
      <c r="SEX469"/>
      <c r="SEY469"/>
      <c r="SEZ469"/>
      <c r="SFA469"/>
      <c r="SFB469"/>
      <c r="SFC469"/>
      <c r="SFD469"/>
      <c r="SFE469"/>
      <c r="SFF469"/>
      <c r="SFG469"/>
      <c r="SFH469"/>
      <c r="SFI469"/>
      <c r="SFJ469"/>
      <c r="SFK469"/>
      <c r="SFL469"/>
      <c r="SFM469"/>
      <c r="SFN469"/>
      <c r="SFO469"/>
      <c r="SFP469"/>
      <c r="SFQ469"/>
      <c r="SFR469"/>
      <c r="SFS469"/>
      <c r="SFT469"/>
      <c r="SFU469"/>
      <c r="SFV469"/>
      <c r="SFW469"/>
      <c r="SFX469"/>
      <c r="SFY469"/>
      <c r="SFZ469"/>
      <c r="SGA469"/>
      <c r="SGB469"/>
      <c r="SGC469"/>
      <c r="SGD469"/>
      <c r="SGE469"/>
      <c r="SGF469"/>
      <c r="SGG469"/>
      <c r="SGH469"/>
      <c r="SGI469"/>
      <c r="SGJ469"/>
      <c r="SGK469"/>
      <c r="SGL469"/>
      <c r="SGM469"/>
      <c r="SGN469"/>
      <c r="SGO469"/>
      <c r="SGP469"/>
      <c r="SGQ469"/>
      <c r="SGR469"/>
      <c r="SGS469"/>
      <c r="SGT469"/>
      <c r="SGU469"/>
      <c r="SGV469"/>
      <c r="SGW469"/>
      <c r="SGX469"/>
      <c r="SGY469"/>
      <c r="SGZ469"/>
      <c r="SHA469"/>
      <c r="SHB469"/>
      <c r="SHC469"/>
      <c r="SHD469"/>
      <c r="SHE469"/>
      <c r="SHF469"/>
      <c r="SHG469"/>
      <c r="SHH469"/>
      <c r="SHI469"/>
      <c r="SHJ469"/>
      <c r="SHK469"/>
      <c r="SHL469"/>
      <c r="SHM469"/>
      <c r="SHN469"/>
      <c r="SHO469"/>
      <c r="SHP469"/>
      <c r="SHQ469"/>
      <c r="SHR469"/>
      <c r="SHS469"/>
      <c r="SHT469"/>
      <c r="SHU469"/>
      <c r="SHV469"/>
      <c r="SHW469"/>
      <c r="SHX469"/>
      <c r="SHY469"/>
      <c r="SHZ469"/>
      <c r="SIA469"/>
      <c r="SIB469"/>
      <c r="SIC469"/>
      <c r="SID469"/>
      <c r="SIE469"/>
      <c r="SIF469"/>
      <c r="SIG469"/>
      <c r="SIH469"/>
      <c r="SII469"/>
      <c r="SIJ469"/>
      <c r="SIK469"/>
      <c r="SIL469"/>
      <c r="SIM469"/>
      <c r="SIN469"/>
      <c r="SIO469"/>
      <c r="SIP469"/>
      <c r="SIQ469"/>
      <c r="SIR469"/>
      <c r="SIS469"/>
      <c r="SIT469"/>
      <c r="SIU469"/>
      <c r="SIV469"/>
      <c r="SIW469"/>
      <c r="SIX469"/>
      <c r="SIY469"/>
      <c r="SIZ469"/>
      <c r="SJA469"/>
      <c r="SJB469"/>
      <c r="SJC469"/>
      <c r="SJD469"/>
      <c r="SJE469"/>
      <c r="SJF469"/>
      <c r="SJG469"/>
      <c r="SJH469"/>
      <c r="SJI469"/>
      <c r="SJJ469"/>
      <c r="SJK469"/>
      <c r="SJL469"/>
      <c r="SJM469"/>
      <c r="SJN469"/>
      <c r="SJO469"/>
      <c r="SJP469"/>
      <c r="SJQ469"/>
      <c r="SJR469"/>
      <c r="SJS469"/>
      <c r="SJT469"/>
      <c r="SJU469"/>
      <c r="SJV469"/>
      <c r="SJW469"/>
      <c r="SJX469"/>
      <c r="SJY469"/>
      <c r="SJZ469"/>
      <c r="SKA469"/>
      <c r="SKB469"/>
      <c r="SKC469"/>
      <c r="SKD469"/>
      <c r="SKE469"/>
      <c r="SKF469"/>
      <c r="SKG469"/>
      <c r="SKH469"/>
      <c r="SKI469"/>
      <c r="SKJ469"/>
      <c r="SKK469"/>
      <c r="SKL469"/>
      <c r="SKM469"/>
      <c r="SKN469"/>
      <c r="SKO469"/>
      <c r="SKP469"/>
      <c r="SKQ469"/>
      <c r="SKR469"/>
      <c r="SKS469"/>
      <c r="SKT469"/>
      <c r="SKU469"/>
      <c r="SKV469"/>
      <c r="SKW469"/>
      <c r="SKX469"/>
      <c r="SKY469"/>
      <c r="SKZ469"/>
      <c r="SLA469"/>
      <c r="SLB469"/>
      <c r="SLC469"/>
      <c r="SLD469"/>
      <c r="SLE469"/>
      <c r="SLF469"/>
      <c r="SLG469"/>
      <c r="SLH469"/>
      <c r="SLI469"/>
      <c r="SLJ469"/>
      <c r="SLK469"/>
      <c r="SLL469"/>
      <c r="SLM469"/>
      <c r="SLN469"/>
      <c r="SLO469"/>
      <c r="SLP469"/>
      <c r="SLQ469"/>
      <c r="SLR469"/>
      <c r="SLS469"/>
      <c r="SLT469"/>
      <c r="SLU469"/>
      <c r="SLV469"/>
      <c r="SLW469"/>
      <c r="SLX469"/>
      <c r="SLY469"/>
      <c r="SLZ469"/>
      <c r="SMA469"/>
      <c r="SMB469"/>
      <c r="SMC469"/>
      <c r="SMD469"/>
      <c r="SME469"/>
      <c r="SMF469"/>
      <c r="SMG469"/>
      <c r="SMH469"/>
      <c r="SMI469"/>
      <c r="SMJ469"/>
      <c r="SMK469"/>
      <c r="SML469"/>
      <c r="SMM469"/>
      <c r="SMN469"/>
      <c r="SMO469"/>
      <c r="SMP469"/>
      <c r="SMQ469"/>
      <c r="SMR469"/>
      <c r="SMS469"/>
      <c r="SMT469"/>
      <c r="SMU469"/>
      <c r="SMV469"/>
      <c r="SMW469"/>
      <c r="SMX469"/>
      <c r="SMY469"/>
      <c r="SMZ469"/>
      <c r="SNA469"/>
      <c r="SNB469"/>
      <c r="SNC469"/>
      <c r="SND469"/>
      <c r="SNE469"/>
      <c r="SNF469"/>
      <c r="SNG469"/>
      <c r="SNH469"/>
      <c r="SNI469"/>
      <c r="SNJ469"/>
      <c r="SNK469"/>
      <c r="SNL469"/>
      <c r="SNM469"/>
      <c r="SNN469"/>
      <c r="SNO469"/>
      <c r="SNP469"/>
      <c r="SNQ469"/>
      <c r="SNR469"/>
      <c r="SNS469"/>
      <c r="SNT469"/>
      <c r="SNU469"/>
      <c r="SNV469"/>
      <c r="SNW469"/>
      <c r="SNX469"/>
      <c r="SNY469"/>
      <c r="SNZ469"/>
      <c r="SOA469"/>
      <c r="SOB469"/>
      <c r="SOC469"/>
      <c r="SOD469"/>
      <c r="SOE469"/>
      <c r="SOF469"/>
      <c r="SOG469"/>
      <c r="SOH469"/>
      <c r="SOI469"/>
      <c r="SOJ469"/>
      <c r="SOK469"/>
      <c r="SOL469"/>
      <c r="SOM469"/>
      <c r="SON469"/>
      <c r="SOO469"/>
      <c r="SOP469"/>
      <c r="SOQ469"/>
      <c r="SOR469"/>
      <c r="SOS469"/>
      <c r="SOT469"/>
      <c r="SOU469"/>
      <c r="SOV469"/>
      <c r="SOW469"/>
      <c r="SOX469"/>
      <c r="SOY469"/>
      <c r="SOZ469"/>
      <c r="SPA469"/>
      <c r="SPB469"/>
      <c r="SPC469"/>
      <c r="SPD469"/>
      <c r="SPE469"/>
      <c r="SPF469"/>
      <c r="SPG469"/>
      <c r="SPH469"/>
      <c r="SPI469"/>
      <c r="SPJ469"/>
      <c r="SPK469"/>
      <c r="SPL469"/>
      <c r="SPM469"/>
      <c r="SPN469"/>
      <c r="SPO469"/>
      <c r="SPP469"/>
      <c r="SPQ469"/>
      <c r="SPR469"/>
      <c r="SPS469"/>
      <c r="SPT469"/>
      <c r="SPU469"/>
      <c r="SPV469"/>
      <c r="SPW469"/>
      <c r="SPX469"/>
      <c r="SPY469"/>
      <c r="SPZ469"/>
      <c r="SQA469"/>
      <c r="SQB469"/>
      <c r="SQC469"/>
      <c r="SQD469"/>
      <c r="SQE469"/>
      <c r="SQF469"/>
      <c r="SQG469"/>
      <c r="SQH469"/>
      <c r="SQI469"/>
      <c r="SQJ469"/>
      <c r="SQK469"/>
      <c r="SQL469"/>
      <c r="SQM469"/>
      <c r="SQN469"/>
      <c r="SQO469"/>
      <c r="SQP469"/>
      <c r="SQQ469"/>
      <c r="SQR469"/>
      <c r="SQS469"/>
      <c r="SQT469"/>
      <c r="SQU469"/>
      <c r="SQV469"/>
      <c r="SQW469"/>
      <c r="SQX469"/>
      <c r="SQY469"/>
      <c r="SQZ469"/>
      <c r="SRA469"/>
      <c r="SRB469"/>
      <c r="SRC469"/>
      <c r="SRD469"/>
      <c r="SRE469"/>
      <c r="SRF469"/>
      <c r="SRG469"/>
      <c r="SRH469"/>
      <c r="SRI469"/>
      <c r="SRJ469"/>
      <c r="SRK469"/>
      <c r="SRL469"/>
      <c r="SRM469"/>
      <c r="SRN469"/>
      <c r="SRO469"/>
      <c r="SRP469"/>
      <c r="SRQ469"/>
      <c r="SRR469"/>
      <c r="SRS469"/>
      <c r="SRT469"/>
      <c r="SRU469"/>
      <c r="SRV469"/>
      <c r="SRW469"/>
      <c r="SRX469"/>
      <c r="SRY469"/>
      <c r="SRZ469"/>
      <c r="SSA469"/>
      <c r="SSB469"/>
      <c r="SSC469"/>
      <c r="SSD469"/>
      <c r="SSE469"/>
      <c r="SSF469"/>
      <c r="SSG469"/>
      <c r="SSH469"/>
      <c r="SSI469"/>
      <c r="SSJ469"/>
      <c r="SSK469"/>
      <c r="SSL469"/>
      <c r="SSM469"/>
      <c r="SSN469"/>
      <c r="SSO469"/>
      <c r="SSP469"/>
      <c r="SSQ469"/>
      <c r="SSR469"/>
      <c r="SSS469"/>
      <c r="SST469"/>
      <c r="SSU469"/>
      <c r="SSV469"/>
      <c r="SSW469"/>
      <c r="SSX469"/>
      <c r="SSY469"/>
      <c r="SSZ469"/>
      <c r="STA469"/>
      <c r="STB469"/>
      <c r="STC469"/>
      <c r="STD469"/>
      <c r="STE469"/>
      <c r="STF469"/>
      <c r="STG469"/>
      <c r="STH469"/>
      <c r="STI469"/>
      <c r="STJ469"/>
      <c r="STK469"/>
      <c r="STL469"/>
      <c r="STM469"/>
      <c r="STN469"/>
      <c r="STO469"/>
      <c r="STP469"/>
      <c r="STQ469"/>
      <c r="STR469"/>
      <c r="STS469"/>
      <c r="STT469"/>
      <c r="STU469"/>
      <c r="STV469"/>
      <c r="STW469"/>
      <c r="STX469"/>
      <c r="STY469"/>
      <c r="STZ469"/>
      <c r="SUA469"/>
      <c r="SUB469"/>
      <c r="SUC469"/>
      <c r="SUD469"/>
      <c r="SUE469"/>
      <c r="SUF469"/>
      <c r="SUG469"/>
      <c r="SUH469"/>
      <c r="SUI469"/>
      <c r="SUJ469"/>
      <c r="SUK469"/>
      <c r="SUL469"/>
      <c r="SUM469"/>
      <c r="SUN469"/>
      <c r="SUO469"/>
      <c r="SUP469"/>
      <c r="SUQ469"/>
      <c r="SUR469"/>
      <c r="SUS469"/>
      <c r="SUT469"/>
      <c r="SUU469"/>
      <c r="SUV469"/>
      <c r="SUW469"/>
      <c r="SUX469"/>
      <c r="SUY469"/>
      <c r="SUZ469"/>
      <c r="SVA469"/>
      <c r="SVB469"/>
      <c r="SVC469"/>
      <c r="SVD469"/>
      <c r="SVE469"/>
      <c r="SVF469"/>
      <c r="SVG469"/>
      <c r="SVH469"/>
      <c r="SVI469"/>
      <c r="SVJ469"/>
      <c r="SVK469"/>
      <c r="SVL469"/>
      <c r="SVM469"/>
      <c r="SVN469"/>
      <c r="SVO469"/>
      <c r="SVP469"/>
      <c r="SVQ469"/>
      <c r="SVR469"/>
      <c r="SVS469"/>
      <c r="SVT469"/>
      <c r="SVU469"/>
      <c r="SVV469"/>
      <c r="SVW469"/>
      <c r="SVX469"/>
      <c r="SVY469"/>
      <c r="SVZ469"/>
      <c r="SWA469"/>
      <c r="SWB469"/>
      <c r="SWC469"/>
      <c r="SWD469"/>
      <c r="SWE469"/>
      <c r="SWF469"/>
      <c r="SWG469"/>
      <c r="SWH469"/>
      <c r="SWI469"/>
      <c r="SWJ469"/>
      <c r="SWK469"/>
      <c r="SWL469"/>
      <c r="SWM469"/>
      <c r="SWN469"/>
      <c r="SWO469"/>
      <c r="SWP469"/>
      <c r="SWQ469"/>
      <c r="SWR469"/>
      <c r="SWS469"/>
      <c r="SWT469"/>
      <c r="SWU469"/>
      <c r="SWV469"/>
      <c r="SWW469"/>
      <c r="SWX469"/>
      <c r="SWY469"/>
      <c r="SWZ469"/>
      <c r="SXA469"/>
      <c r="SXB469"/>
      <c r="SXC469"/>
      <c r="SXD469"/>
      <c r="SXE469"/>
      <c r="SXF469"/>
      <c r="SXG469"/>
      <c r="SXH469"/>
      <c r="SXI469"/>
      <c r="SXJ469"/>
      <c r="SXK469"/>
      <c r="SXL469"/>
      <c r="SXM469"/>
      <c r="SXN469"/>
      <c r="SXO469"/>
      <c r="SXP469"/>
      <c r="SXQ469"/>
      <c r="SXR469"/>
      <c r="SXS469"/>
      <c r="SXT469"/>
      <c r="SXU469"/>
      <c r="SXV469"/>
      <c r="SXW469"/>
      <c r="SXX469"/>
      <c r="SXY469"/>
      <c r="SXZ469"/>
      <c r="SYA469"/>
      <c r="SYB469"/>
      <c r="SYC469"/>
      <c r="SYD469"/>
      <c r="SYE469"/>
      <c r="SYF469"/>
      <c r="SYG469"/>
      <c r="SYH469"/>
      <c r="SYI469"/>
      <c r="SYJ469"/>
      <c r="SYK469"/>
      <c r="SYL469"/>
      <c r="SYM469"/>
      <c r="SYN469"/>
      <c r="SYO469"/>
      <c r="SYP469"/>
      <c r="SYQ469"/>
      <c r="SYR469"/>
      <c r="SYS469"/>
      <c r="SYT469"/>
      <c r="SYU469"/>
      <c r="SYV469"/>
      <c r="SYW469"/>
      <c r="SYX469"/>
      <c r="SYY469"/>
      <c r="SYZ469"/>
      <c r="SZA469"/>
      <c r="SZB469"/>
      <c r="SZC469"/>
      <c r="SZD469"/>
      <c r="SZE469"/>
      <c r="SZF469"/>
      <c r="SZG469"/>
      <c r="SZH469"/>
      <c r="SZI469"/>
      <c r="SZJ469"/>
      <c r="SZK469"/>
      <c r="SZL469"/>
      <c r="SZM469"/>
      <c r="SZN469"/>
      <c r="SZO469"/>
      <c r="SZP469"/>
      <c r="SZQ469"/>
      <c r="SZR469"/>
      <c r="SZS469"/>
      <c r="SZT469"/>
      <c r="SZU469"/>
      <c r="SZV469"/>
      <c r="SZW469"/>
      <c r="SZX469"/>
      <c r="SZY469"/>
      <c r="SZZ469"/>
      <c r="TAA469"/>
      <c r="TAB469"/>
      <c r="TAC469"/>
      <c r="TAD469"/>
      <c r="TAE469"/>
      <c r="TAF469"/>
      <c r="TAG469"/>
      <c r="TAH469"/>
      <c r="TAI469"/>
      <c r="TAJ469"/>
      <c r="TAK469"/>
      <c r="TAL469"/>
      <c r="TAM469"/>
      <c r="TAN469"/>
      <c r="TAO469"/>
      <c r="TAP469"/>
      <c r="TAQ469"/>
      <c r="TAR469"/>
      <c r="TAS469"/>
      <c r="TAT469"/>
      <c r="TAU469"/>
      <c r="TAV469"/>
      <c r="TAW469"/>
      <c r="TAX469"/>
      <c r="TAY469"/>
      <c r="TAZ469"/>
      <c r="TBA469"/>
      <c r="TBB469"/>
      <c r="TBC469"/>
      <c r="TBD469"/>
      <c r="TBE469"/>
      <c r="TBF469"/>
      <c r="TBG469"/>
      <c r="TBH469"/>
      <c r="TBI469"/>
      <c r="TBJ469"/>
      <c r="TBK469"/>
      <c r="TBL469"/>
      <c r="TBM469"/>
      <c r="TBN469"/>
      <c r="TBO469"/>
      <c r="TBP469"/>
      <c r="TBQ469"/>
      <c r="TBR469"/>
      <c r="TBS469"/>
      <c r="TBT469"/>
      <c r="TBU469"/>
      <c r="TBV469"/>
      <c r="TBW469"/>
      <c r="TBX469"/>
      <c r="TBY469"/>
      <c r="TBZ469"/>
      <c r="TCA469"/>
      <c r="TCB469"/>
      <c r="TCC469"/>
      <c r="TCD469"/>
      <c r="TCE469"/>
      <c r="TCF469"/>
      <c r="TCG469"/>
      <c r="TCH469"/>
      <c r="TCI469"/>
      <c r="TCJ469"/>
      <c r="TCK469"/>
      <c r="TCL469"/>
      <c r="TCM469"/>
      <c r="TCN469"/>
      <c r="TCO469"/>
      <c r="TCP469"/>
      <c r="TCQ469"/>
      <c r="TCR469"/>
      <c r="TCS469"/>
      <c r="TCT469"/>
      <c r="TCU469"/>
      <c r="TCV469"/>
      <c r="TCW469"/>
      <c r="TCX469"/>
      <c r="TCY469"/>
      <c r="TCZ469"/>
      <c r="TDA469"/>
      <c r="TDB469"/>
      <c r="TDC469"/>
      <c r="TDD469"/>
      <c r="TDE469"/>
      <c r="TDF469"/>
      <c r="TDG469"/>
      <c r="TDH469"/>
      <c r="TDI469"/>
      <c r="TDJ469"/>
      <c r="TDK469"/>
      <c r="TDL469"/>
      <c r="TDM469"/>
      <c r="TDN469"/>
      <c r="TDO469"/>
      <c r="TDP469"/>
      <c r="TDQ469"/>
      <c r="TDR469"/>
      <c r="TDS469"/>
      <c r="TDT469"/>
      <c r="TDU469"/>
      <c r="TDV469"/>
      <c r="TDW469"/>
      <c r="TDX469"/>
      <c r="TDY469"/>
      <c r="TDZ469"/>
      <c r="TEA469"/>
      <c r="TEB469"/>
      <c r="TEC469"/>
      <c r="TED469"/>
      <c r="TEE469"/>
      <c r="TEF469"/>
      <c r="TEG469"/>
      <c r="TEH469"/>
      <c r="TEI469"/>
      <c r="TEJ469"/>
      <c r="TEK469"/>
      <c r="TEL469"/>
      <c r="TEM469"/>
      <c r="TEN469"/>
      <c r="TEO469"/>
      <c r="TEP469"/>
      <c r="TEQ469"/>
      <c r="TER469"/>
      <c r="TES469"/>
      <c r="TET469"/>
      <c r="TEU469"/>
      <c r="TEV469"/>
      <c r="TEW469"/>
      <c r="TEX469"/>
      <c r="TEY469"/>
      <c r="TEZ469"/>
      <c r="TFA469"/>
      <c r="TFB469"/>
      <c r="TFC469"/>
      <c r="TFD469"/>
      <c r="TFE469"/>
      <c r="TFF469"/>
      <c r="TFG469"/>
      <c r="TFH469"/>
      <c r="TFI469"/>
      <c r="TFJ469"/>
      <c r="TFK469"/>
      <c r="TFL469"/>
      <c r="TFM469"/>
      <c r="TFN469"/>
      <c r="TFO469"/>
      <c r="TFP469"/>
      <c r="TFQ469"/>
      <c r="TFR469"/>
      <c r="TFS469"/>
      <c r="TFT469"/>
      <c r="TFU469"/>
      <c r="TFV469"/>
      <c r="TFW469"/>
      <c r="TFX469"/>
      <c r="TFY469"/>
      <c r="TFZ469"/>
      <c r="TGA469"/>
      <c r="TGB469"/>
      <c r="TGC469"/>
      <c r="TGD469"/>
      <c r="TGE469"/>
      <c r="TGF469"/>
      <c r="TGG469"/>
      <c r="TGH469"/>
      <c r="TGI469"/>
      <c r="TGJ469"/>
      <c r="TGK469"/>
      <c r="TGL469"/>
      <c r="TGM469"/>
      <c r="TGN469"/>
      <c r="TGO469"/>
      <c r="TGP469"/>
      <c r="TGQ469"/>
      <c r="TGR469"/>
      <c r="TGS469"/>
      <c r="TGT469"/>
      <c r="TGU469"/>
      <c r="TGV469"/>
      <c r="TGW469"/>
      <c r="TGX469"/>
      <c r="TGY469"/>
      <c r="TGZ469"/>
      <c r="THA469"/>
      <c r="THB469"/>
      <c r="THC469"/>
      <c r="THD469"/>
      <c r="THE469"/>
      <c r="THF469"/>
      <c r="THG469"/>
      <c r="THH469"/>
      <c r="THI469"/>
      <c r="THJ469"/>
      <c r="THK469"/>
      <c r="THL469"/>
      <c r="THM469"/>
      <c r="THN469"/>
      <c r="THO469"/>
      <c r="THP469"/>
      <c r="THQ469"/>
      <c r="THR469"/>
      <c r="THS469"/>
      <c r="THT469"/>
      <c r="THU469"/>
      <c r="THV469"/>
      <c r="THW469"/>
      <c r="THX469"/>
      <c r="THY469"/>
      <c r="THZ469"/>
      <c r="TIA469"/>
      <c r="TIB469"/>
      <c r="TIC469"/>
      <c r="TID469"/>
      <c r="TIE469"/>
      <c r="TIF469"/>
      <c r="TIG469"/>
      <c r="TIH469"/>
      <c r="TII469"/>
      <c r="TIJ469"/>
      <c r="TIK469"/>
      <c r="TIL469"/>
      <c r="TIM469"/>
      <c r="TIN469"/>
      <c r="TIO469"/>
      <c r="TIP469"/>
      <c r="TIQ469"/>
      <c r="TIR469"/>
      <c r="TIS469"/>
      <c r="TIT469"/>
      <c r="TIU469"/>
      <c r="TIV469"/>
      <c r="TIW469"/>
      <c r="TIX469"/>
      <c r="TIY469"/>
      <c r="TIZ469"/>
      <c r="TJA469"/>
      <c r="TJB469"/>
      <c r="TJC469"/>
      <c r="TJD469"/>
      <c r="TJE469"/>
      <c r="TJF469"/>
      <c r="TJG469"/>
      <c r="TJH469"/>
      <c r="TJI469"/>
      <c r="TJJ469"/>
      <c r="TJK469"/>
      <c r="TJL469"/>
      <c r="TJM469"/>
      <c r="TJN469"/>
      <c r="TJO469"/>
      <c r="TJP469"/>
      <c r="TJQ469"/>
      <c r="TJR469"/>
      <c r="TJS469"/>
      <c r="TJT469"/>
      <c r="TJU469"/>
      <c r="TJV469"/>
      <c r="TJW469"/>
      <c r="TJX469"/>
      <c r="TJY469"/>
      <c r="TJZ469"/>
      <c r="TKA469"/>
      <c r="TKB469"/>
      <c r="TKC469"/>
      <c r="TKD469"/>
      <c r="TKE469"/>
      <c r="TKF469"/>
      <c r="TKG469"/>
      <c r="TKH469"/>
      <c r="TKI469"/>
      <c r="TKJ469"/>
      <c r="TKK469"/>
      <c r="TKL469"/>
      <c r="TKM469"/>
      <c r="TKN469"/>
      <c r="TKO469"/>
      <c r="TKP469"/>
      <c r="TKQ469"/>
      <c r="TKR469"/>
      <c r="TKS469"/>
      <c r="TKT469"/>
      <c r="TKU469"/>
      <c r="TKV469"/>
      <c r="TKW469"/>
      <c r="TKX469"/>
      <c r="TKY469"/>
      <c r="TKZ469"/>
      <c r="TLA469"/>
      <c r="TLB469"/>
      <c r="TLC469"/>
      <c r="TLD469"/>
      <c r="TLE469"/>
      <c r="TLF469"/>
      <c r="TLG469"/>
      <c r="TLH469"/>
      <c r="TLI469"/>
      <c r="TLJ469"/>
      <c r="TLK469"/>
      <c r="TLL469"/>
      <c r="TLM469"/>
      <c r="TLN469"/>
      <c r="TLO469"/>
      <c r="TLP469"/>
      <c r="TLQ469"/>
      <c r="TLR469"/>
      <c r="TLS469"/>
      <c r="TLT469"/>
      <c r="TLU469"/>
      <c r="TLV469"/>
      <c r="TLW469"/>
      <c r="TLX469"/>
      <c r="TLY469"/>
      <c r="TLZ469"/>
      <c r="TMA469"/>
      <c r="TMB469"/>
      <c r="TMC469"/>
      <c r="TMD469"/>
      <c r="TME469"/>
      <c r="TMF469"/>
      <c r="TMG469"/>
      <c r="TMH469"/>
      <c r="TMI469"/>
      <c r="TMJ469"/>
      <c r="TMK469"/>
      <c r="TML469"/>
      <c r="TMM469"/>
      <c r="TMN469"/>
      <c r="TMO469"/>
      <c r="TMP469"/>
      <c r="TMQ469"/>
      <c r="TMR469"/>
      <c r="TMS469"/>
      <c r="TMT469"/>
      <c r="TMU469"/>
      <c r="TMV469"/>
      <c r="TMW469"/>
      <c r="TMX469"/>
      <c r="TMY469"/>
      <c r="TMZ469"/>
      <c r="TNA469"/>
      <c r="TNB469"/>
      <c r="TNC469"/>
      <c r="TND469"/>
      <c r="TNE469"/>
      <c r="TNF469"/>
      <c r="TNG469"/>
      <c r="TNH469"/>
      <c r="TNI469"/>
      <c r="TNJ469"/>
      <c r="TNK469"/>
      <c r="TNL469"/>
      <c r="TNM469"/>
      <c r="TNN469"/>
      <c r="TNO469"/>
      <c r="TNP469"/>
      <c r="TNQ469"/>
      <c r="TNR469"/>
      <c r="TNS469"/>
      <c r="TNT469"/>
      <c r="TNU469"/>
      <c r="TNV469"/>
      <c r="TNW469"/>
      <c r="TNX469"/>
      <c r="TNY469"/>
      <c r="TNZ469"/>
      <c r="TOA469"/>
      <c r="TOB469"/>
      <c r="TOC469"/>
      <c r="TOD469"/>
      <c r="TOE469"/>
      <c r="TOF469"/>
      <c r="TOG469"/>
      <c r="TOH469"/>
      <c r="TOI469"/>
      <c r="TOJ469"/>
      <c r="TOK469"/>
      <c r="TOL469"/>
      <c r="TOM469"/>
      <c r="TON469"/>
      <c r="TOO469"/>
      <c r="TOP469"/>
      <c r="TOQ469"/>
      <c r="TOR469"/>
      <c r="TOS469"/>
      <c r="TOT469"/>
      <c r="TOU469"/>
      <c r="TOV469"/>
      <c r="TOW469"/>
      <c r="TOX469"/>
      <c r="TOY469"/>
      <c r="TOZ469"/>
      <c r="TPA469"/>
      <c r="TPB469"/>
      <c r="TPC469"/>
      <c r="TPD469"/>
      <c r="TPE469"/>
      <c r="TPF469"/>
      <c r="TPG469"/>
      <c r="TPH469"/>
      <c r="TPI469"/>
      <c r="TPJ469"/>
      <c r="TPK469"/>
      <c r="TPL469"/>
      <c r="TPM469"/>
      <c r="TPN469"/>
      <c r="TPO469"/>
      <c r="TPP469"/>
      <c r="TPQ469"/>
      <c r="TPR469"/>
      <c r="TPS469"/>
      <c r="TPT469"/>
      <c r="TPU469"/>
      <c r="TPV469"/>
      <c r="TPW469"/>
      <c r="TPX469"/>
      <c r="TPY469"/>
      <c r="TPZ469"/>
      <c r="TQA469"/>
      <c r="TQB469"/>
      <c r="TQC469"/>
      <c r="TQD469"/>
      <c r="TQE469"/>
      <c r="TQF469"/>
      <c r="TQG469"/>
      <c r="TQH469"/>
      <c r="TQI469"/>
      <c r="TQJ469"/>
      <c r="TQK469"/>
      <c r="TQL469"/>
      <c r="TQM469"/>
      <c r="TQN469"/>
      <c r="TQO469"/>
      <c r="TQP469"/>
      <c r="TQQ469"/>
      <c r="TQR469"/>
      <c r="TQS469"/>
      <c r="TQT469"/>
      <c r="TQU469"/>
      <c r="TQV469"/>
      <c r="TQW469"/>
      <c r="TQX469"/>
      <c r="TQY469"/>
      <c r="TQZ469"/>
      <c r="TRA469"/>
      <c r="TRB469"/>
      <c r="TRC469"/>
      <c r="TRD469"/>
      <c r="TRE469"/>
      <c r="TRF469"/>
      <c r="TRG469"/>
      <c r="TRH469"/>
      <c r="TRI469"/>
      <c r="TRJ469"/>
      <c r="TRK469"/>
      <c r="TRL469"/>
      <c r="TRM469"/>
      <c r="TRN469"/>
      <c r="TRO469"/>
      <c r="TRP469"/>
      <c r="TRQ469"/>
      <c r="TRR469"/>
      <c r="TRS469"/>
      <c r="TRT469"/>
      <c r="TRU469"/>
      <c r="TRV469"/>
      <c r="TRW469"/>
      <c r="TRX469"/>
      <c r="TRY469"/>
      <c r="TRZ469"/>
      <c r="TSA469"/>
      <c r="TSB469"/>
      <c r="TSC469"/>
      <c r="TSD469"/>
      <c r="TSE469"/>
      <c r="TSF469"/>
      <c r="TSG469"/>
      <c r="TSH469"/>
      <c r="TSI469"/>
      <c r="TSJ469"/>
      <c r="TSK469"/>
      <c r="TSL469"/>
      <c r="TSM469"/>
      <c r="TSN469"/>
      <c r="TSO469"/>
      <c r="TSP469"/>
      <c r="TSQ469"/>
      <c r="TSR469"/>
      <c r="TSS469"/>
      <c r="TST469"/>
      <c r="TSU469"/>
      <c r="TSV469"/>
      <c r="TSW469"/>
      <c r="TSX469"/>
      <c r="TSY469"/>
      <c r="TSZ469"/>
      <c r="TTA469"/>
      <c r="TTB469"/>
      <c r="TTC469"/>
      <c r="TTD469"/>
      <c r="TTE469"/>
      <c r="TTF469"/>
      <c r="TTG469"/>
      <c r="TTH469"/>
      <c r="TTI469"/>
      <c r="TTJ469"/>
      <c r="TTK469"/>
      <c r="TTL469"/>
      <c r="TTM469"/>
      <c r="TTN469"/>
      <c r="TTO469"/>
      <c r="TTP469"/>
      <c r="TTQ469"/>
      <c r="TTR469"/>
      <c r="TTS469"/>
      <c r="TTT469"/>
      <c r="TTU469"/>
      <c r="TTV469"/>
      <c r="TTW469"/>
      <c r="TTX469"/>
      <c r="TTY469"/>
      <c r="TTZ469"/>
      <c r="TUA469"/>
      <c r="TUB469"/>
      <c r="TUC469"/>
      <c r="TUD469"/>
      <c r="TUE469"/>
      <c r="TUF469"/>
      <c r="TUG469"/>
      <c r="TUH469"/>
      <c r="TUI469"/>
      <c r="TUJ469"/>
      <c r="TUK469"/>
      <c r="TUL469"/>
      <c r="TUM469"/>
      <c r="TUN469"/>
      <c r="TUO469"/>
      <c r="TUP469"/>
      <c r="TUQ469"/>
      <c r="TUR469"/>
      <c r="TUS469"/>
      <c r="TUT469"/>
      <c r="TUU469"/>
      <c r="TUV469"/>
      <c r="TUW469"/>
      <c r="TUX469"/>
      <c r="TUY469"/>
      <c r="TUZ469"/>
      <c r="TVA469"/>
      <c r="TVB469"/>
      <c r="TVC469"/>
      <c r="TVD469"/>
      <c r="TVE469"/>
      <c r="TVF469"/>
      <c r="TVG469"/>
      <c r="TVH469"/>
      <c r="TVI469"/>
      <c r="TVJ469"/>
      <c r="TVK469"/>
      <c r="TVL469"/>
      <c r="TVM469"/>
      <c r="TVN469"/>
      <c r="TVO469"/>
      <c r="TVP469"/>
      <c r="TVQ469"/>
      <c r="TVR469"/>
      <c r="TVS469"/>
      <c r="TVT469"/>
      <c r="TVU469"/>
      <c r="TVV469"/>
      <c r="TVW469"/>
      <c r="TVX469"/>
      <c r="TVY469"/>
      <c r="TVZ469"/>
      <c r="TWA469"/>
      <c r="TWB469"/>
      <c r="TWC469"/>
      <c r="TWD469"/>
      <c r="TWE469"/>
      <c r="TWF469"/>
      <c r="TWG469"/>
      <c r="TWH469"/>
      <c r="TWI469"/>
      <c r="TWJ469"/>
      <c r="TWK469"/>
      <c r="TWL469"/>
      <c r="TWM469"/>
      <c r="TWN469"/>
      <c r="TWO469"/>
      <c r="TWP469"/>
      <c r="TWQ469"/>
      <c r="TWR469"/>
      <c r="TWS469"/>
      <c r="TWT469"/>
      <c r="TWU469"/>
      <c r="TWV469"/>
      <c r="TWW469"/>
      <c r="TWX469"/>
      <c r="TWY469"/>
      <c r="TWZ469"/>
      <c r="TXA469"/>
      <c r="TXB469"/>
      <c r="TXC469"/>
      <c r="TXD469"/>
      <c r="TXE469"/>
      <c r="TXF469"/>
      <c r="TXG469"/>
      <c r="TXH469"/>
      <c r="TXI469"/>
      <c r="TXJ469"/>
      <c r="TXK469"/>
      <c r="TXL469"/>
      <c r="TXM469"/>
      <c r="TXN469"/>
      <c r="TXO469"/>
      <c r="TXP469"/>
      <c r="TXQ469"/>
      <c r="TXR469"/>
      <c r="TXS469"/>
      <c r="TXT469"/>
      <c r="TXU469"/>
      <c r="TXV469"/>
      <c r="TXW469"/>
      <c r="TXX469"/>
      <c r="TXY469"/>
      <c r="TXZ469"/>
      <c r="TYA469"/>
      <c r="TYB469"/>
      <c r="TYC469"/>
      <c r="TYD469"/>
      <c r="TYE469"/>
      <c r="TYF469"/>
      <c r="TYG469"/>
      <c r="TYH469"/>
      <c r="TYI469"/>
      <c r="TYJ469"/>
      <c r="TYK469"/>
      <c r="TYL469"/>
      <c r="TYM469"/>
      <c r="TYN469"/>
      <c r="TYO469"/>
      <c r="TYP469"/>
      <c r="TYQ469"/>
      <c r="TYR469"/>
      <c r="TYS469"/>
      <c r="TYT469"/>
      <c r="TYU469"/>
      <c r="TYV469"/>
      <c r="TYW469"/>
      <c r="TYX469"/>
      <c r="TYY469"/>
      <c r="TYZ469"/>
      <c r="TZA469"/>
      <c r="TZB469"/>
      <c r="TZC469"/>
      <c r="TZD469"/>
      <c r="TZE469"/>
      <c r="TZF469"/>
      <c r="TZG469"/>
      <c r="TZH469"/>
      <c r="TZI469"/>
      <c r="TZJ469"/>
      <c r="TZK469"/>
      <c r="TZL469"/>
      <c r="TZM469"/>
      <c r="TZN469"/>
      <c r="TZO469"/>
      <c r="TZP469"/>
      <c r="TZQ469"/>
      <c r="TZR469"/>
      <c r="TZS469"/>
      <c r="TZT469"/>
      <c r="TZU469"/>
      <c r="TZV469"/>
      <c r="TZW469"/>
      <c r="TZX469"/>
      <c r="TZY469"/>
      <c r="TZZ469"/>
      <c r="UAA469"/>
      <c r="UAB469"/>
      <c r="UAC469"/>
      <c r="UAD469"/>
      <c r="UAE469"/>
      <c r="UAF469"/>
      <c r="UAG469"/>
      <c r="UAH469"/>
      <c r="UAI469"/>
      <c r="UAJ469"/>
      <c r="UAK469"/>
      <c r="UAL469"/>
      <c r="UAM469"/>
      <c r="UAN469"/>
      <c r="UAO469"/>
      <c r="UAP469"/>
      <c r="UAQ469"/>
      <c r="UAR469"/>
      <c r="UAS469"/>
      <c r="UAT469"/>
      <c r="UAU469"/>
      <c r="UAV469"/>
      <c r="UAW469"/>
      <c r="UAX469"/>
      <c r="UAY469"/>
      <c r="UAZ469"/>
      <c r="UBA469"/>
      <c r="UBB469"/>
      <c r="UBC469"/>
      <c r="UBD469"/>
      <c r="UBE469"/>
      <c r="UBF469"/>
      <c r="UBG469"/>
      <c r="UBH469"/>
      <c r="UBI469"/>
      <c r="UBJ469"/>
      <c r="UBK469"/>
      <c r="UBL469"/>
      <c r="UBM469"/>
      <c r="UBN469"/>
      <c r="UBO469"/>
      <c r="UBP469"/>
      <c r="UBQ469"/>
      <c r="UBR469"/>
      <c r="UBS469"/>
      <c r="UBT469"/>
      <c r="UBU469"/>
      <c r="UBV469"/>
      <c r="UBW469"/>
      <c r="UBX469"/>
      <c r="UBY469"/>
      <c r="UBZ469"/>
      <c r="UCA469"/>
      <c r="UCB469"/>
      <c r="UCC469"/>
      <c r="UCD469"/>
      <c r="UCE469"/>
      <c r="UCF469"/>
      <c r="UCG469"/>
      <c r="UCH469"/>
      <c r="UCI469"/>
      <c r="UCJ469"/>
      <c r="UCK469"/>
      <c r="UCL469"/>
      <c r="UCM469"/>
      <c r="UCN469"/>
      <c r="UCO469"/>
      <c r="UCP469"/>
      <c r="UCQ469"/>
      <c r="UCR469"/>
      <c r="UCS469"/>
      <c r="UCT469"/>
      <c r="UCU469"/>
      <c r="UCV469"/>
      <c r="UCW469"/>
      <c r="UCX469"/>
      <c r="UCY469"/>
      <c r="UCZ469"/>
      <c r="UDA469"/>
      <c r="UDB469"/>
      <c r="UDC469"/>
      <c r="UDD469"/>
      <c r="UDE469"/>
      <c r="UDF469"/>
      <c r="UDG469"/>
      <c r="UDH469"/>
      <c r="UDI469"/>
      <c r="UDJ469"/>
      <c r="UDK469"/>
      <c r="UDL469"/>
      <c r="UDM469"/>
      <c r="UDN469"/>
      <c r="UDO469"/>
      <c r="UDP469"/>
      <c r="UDQ469"/>
      <c r="UDR469"/>
      <c r="UDS469"/>
      <c r="UDT469"/>
      <c r="UDU469"/>
      <c r="UDV469"/>
      <c r="UDW469"/>
      <c r="UDX469"/>
      <c r="UDY469"/>
      <c r="UDZ469"/>
      <c r="UEA469"/>
      <c r="UEB469"/>
      <c r="UEC469"/>
      <c r="UED469"/>
      <c r="UEE469"/>
      <c r="UEF469"/>
      <c r="UEG469"/>
      <c r="UEH469"/>
      <c r="UEI469"/>
      <c r="UEJ469"/>
      <c r="UEK469"/>
      <c r="UEL469"/>
      <c r="UEM469"/>
      <c r="UEN469"/>
      <c r="UEO469"/>
      <c r="UEP469"/>
      <c r="UEQ469"/>
      <c r="UER469"/>
      <c r="UES469"/>
      <c r="UET469"/>
      <c r="UEU469"/>
      <c r="UEV469"/>
      <c r="UEW469"/>
      <c r="UEX469"/>
      <c r="UEY469"/>
      <c r="UEZ469"/>
      <c r="UFA469"/>
      <c r="UFB469"/>
      <c r="UFC469"/>
      <c r="UFD469"/>
      <c r="UFE469"/>
      <c r="UFF469"/>
      <c r="UFG469"/>
      <c r="UFH469"/>
      <c r="UFI469"/>
      <c r="UFJ469"/>
      <c r="UFK469"/>
      <c r="UFL469"/>
      <c r="UFM469"/>
      <c r="UFN469"/>
      <c r="UFO469"/>
      <c r="UFP469"/>
      <c r="UFQ469"/>
      <c r="UFR469"/>
      <c r="UFS469"/>
      <c r="UFT469"/>
      <c r="UFU469"/>
      <c r="UFV469"/>
      <c r="UFW469"/>
      <c r="UFX469"/>
      <c r="UFY469"/>
      <c r="UFZ469"/>
      <c r="UGA469"/>
      <c r="UGB469"/>
      <c r="UGC469"/>
      <c r="UGD469"/>
      <c r="UGE469"/>
      <c r="UGF469"/>
      <c r="UGG469"/>
      <c r="UGH469"/>
      <c r="UGI469"/>
      <c r="UGJ469"/>
      <c r="UGK469"/>
      <c r="UGL469"/>
      <c r="UGM469"/>
      <c r="UGN469"/>
      <c r="UGO469"/>
      <c r="UGP469"/>
      <c r="UGQ469"/>
      <c r="UGR469"/>
      <c r="UGS469"/>
      <c r="UGT469"/>
      <c r="UGU469"/>
      <c r="UGV469"/>
      <c r="UGW469"/>
      <c r="UGX469"/>
      <c r="UGY469"/>
      <c r="UGZ469"/>
      <c r="UHA469"/>
      <c r="UHB469"/>
      <c r="UHC469"/>
      <c r="UHD469"/>
      <c r="UHE469"/>
      <c r="UHF469"/>
      <c r="UHG469"/>
      <c r="UHH469"/>
      <c r="UHI469"/>
      <c r="UHJ469"/>
      <c r="UHK469"/>
      <c r="UHL469"/>
      <c r="UHM469"/>
      <c r="UHN469"/>
      <c r="UHO469"/>
      <c r="UHP469"/>
      <c r="UHQ469"/>
      <c r="UHR469"/>
      <c r="UHS469"/>
      <c r="UHT469"/>
      <c r="UHU469"/>
      <c r="UHV469"/>
      <c r="UHW469"/>
      <c r="UHX469"/>
      <c r="UHY469"/>
      <c r="UHZ469"/>
      <c r="UIA469"/>
      <c r="UIB469"/>
      <c r="UIC469"/>
      <c r="UID469"/>
      <c r="UIE469"/>
      <c r="UIF469"/>
      <c r="UIG469"/>
      <c r="UIH469"/>
      <c r="UII469"/>
      <c r="UIJ469"/>
      <c r="UIK469"/>
      <c r="UIL469"/>
      <c r="UIM469"/>
      <c r="UIN469"/>
      <c r="UIO469"/>
      <c r="UIP469"/>
      <c r="UIQ469"/>
      <c r="UIR469"/>
      <c r="UIS469"/>
      <c r="UIT469"/>
      <c r="UIU469"/>
      <c r="UIV469"/>
      <c r="UIW469"/>
      <c r="UIX469"/>
      <c r="UIY469"/>
      <c r="UIZ469"/>
      <c r="UJA469"/>
      <c r="UJB469"/>
      <c r="UJC469"/>
      <c r="UJD469"/>
      <c r="UJE469"/>
      <c r="UJF469"/>
      <c r="UJG469"/>
      <c r="UJH469"/>
      <c r="UJI469"/>
      <c r="UJJ469"/>
      <c r="UJK469"/>
      <c r="UJL469"/>
      <c r="UJM469"/>
      <c r="UJN469"/>
      <c r="UJO469"/>
      <c r="UJP469"/>
      <c r="UJQ469"/>
      <c r="UJR469"/>
      <c r="UJS469"/>
      <c r="UJT469"/>
      <c r="UJU469"/>
      <c r="UJV469"/>
      <c r="UJW469"/>
      <c r="UJX469"/>
      <c r="UJY469"/>
      <c r="UJZ469"/>
      <c r="UKA469"/>
      <c r="UKB469"/>
      <c r="UKC469"/>
      <c r="UKD469"/>
      <c r="UKE469"/>
      <c r="UKF469"/>
      <c r="UKG469"/>
      <c r="UKH469"/>
      <c r="UKI469"/>
      <c r="UKJ469"/>
      <c r="UKK469"/>
      <c r="UKL469"/>
      <c r="UKM469"/>
      <c r="UKN469"/>
      <c r="UKO469"/>
      <c r="UKP469"/>
      <c r="UKQ469"/>
      <c r="UKR469"/>
      <c r="UKS469"/>
      <c r="UKT469"/>
      <c r="UKU469"/>
      <c r="UKV469"/>
      <c r="UKW469"/>
      <c r="UKX469"/>
      <c r="UKY469"/>
      <c r="UKZ469"/>
      <c r="ULA469"/>
      <c r="ULB469"/>
      <c r="ULC469"/>
      <c r="ULD469"/>
      <c r="ULE469"/>
      <c r="ULF469"/>
      <c r="ULG469"/>
      <c r="ULH469"/>
      <c r="ULI469"/>
      <c r="ULJ469"/>
      <c r="ULK469"/>
      <c r="ULL469"/>
      <c r="ULM469"/>
      <c r="ULN469"/>
      <c r="ULO469"/>
      <c r="ULP469"/>
      <c r="ULQ469"/>
      <c r="ULR469"/>
      <c r="ULS469"/>
      <c r="ULT469"/>
      <c r="ULU469"/>
      <c r="ULV469"/>
      <c r="ULW469"/>
      <c r="ULX469"/>
      <c r="ULY469"/>
      <c r="ULZ469"/>
      <c r="UMA469"/>
      <c r="UMB469"/>
      <c r="UMC469"/>
      <c r="UMD469"/>
      <c r="UME469"/>
      <c r="UMF469"/>
      <c r="UMG469"/>
      <c r="UMH469"/>
      <c r="UMI469"/>
      <c r="UMJ469"/>
      <c r="UMK469"/>
      <c r="UML469"/>
      <c r="UMM469"/>
      <c r="UMN469"/>
      <c r="UMO469"/>
      <c r="UMP469"/>
      <c r="UMQ469"/>
      <c r="UMR469"/>
      <c r="UMS469"/>
      <c r="UMT469"/>
      <c r="UMU469"/>
      <c r="UMV469"/>
      <c r="UMW469"/>
      <c r="UMX469"/>
      <c r="UMY469"/>
      <c r="UMZ469"/>
      <c r="UNA469"/>
      <c r="UNB469"/>
      <c r="UNC469"/>
      <c r="UND469"/>
      <c r="UNE469"/>
      <c r="UNF469"/>
      <c r="UNG469"/>
      <c r="UNH469"/>
      <c r="UNI469"/>
      <c r="UNJ469"/>
      <c r="UNK469"/>
      <c r="UNL469"/>
      <c r="UNM469"/>
      <c r="UNN469"/>
      <c r="UNO469"/>
      <c r="UNP469"/>
      <c r="UNQ469"/>
      <c r="UNR469"/>
      <c r="UNS469"/>
      <c r="UNT469"/>
      <c r="UNU469"/>
      <c r="UNV469"/>
      <c r="UNW469"/>
      <c r="UNX469"/>
      <c r="UNY469"/>
      <c r="UNZ469"/>
      <c r="UOA469"/>
      <c r="UOB469"/>
      <c r="UOC469"/>
      <c r="UOD469"/>
      <c r="UOE469"/>
      <c r="UOF469"/>
      <c r="UOG469"/>
      <c r="UOH469"/>
      <c r="UOI469"/>
      <c r="UOJ469"/>
      <c r="UOK469"/>
      <c r="UOL469"/>
      <c r="UOM469"/>
      <c r="UON469"/>
      <c r="UOO469"/>
      <c r="UOP469"/>
      <c r="UOQ469"/>
      <c r="UOR469"/>
      <c r="UOS469"/>
      <c r="UOT469"/>
      <c r="UOU469"/>
      <c r="UOV469"/>
      <c r="UOW469"/>
      <c r="UOX469"/>
      <c r="UOY469"/>
      <c r="UOZ469"/>
      <c r="UPA469"/>
      <c r="UPB469"/>
      <c r="UPC469"/>
      <c r="UPD469"/>
      <c r="UPE469"/>
      <c r="UPF469"/>
      <c r="UPG469"/>
      <c r="UPH469"/>
      <c r="UPI469"/>
      <c r="UPJ469"/>
      <c r="UPK469"/>
      <c r="UPL469"/>
      <c r="UPM469"/>
      <c r="UPN469"/>
      <c r="UPO469"/>
      <c r="UPP469"/>
      <c r="UPQ469"/>
      <c r="UPR469"/>
      <c r="UPS469"/>
      <c r="UPT469"/>
      <c r="UPU469"/>
      <c r="UPV469"/>
      <c r="UPW469"/>
      <c r="UPX469"/>
      <c r="UPY469"/>
      <c r="UPZ469"/>
      <c r="UQA469"/>
      <c r="UQB469"/>
      <c r="UQC469"/>
      <c r="UQD469"/>
      <c r="UQE469"/>
      <c r="UQF469"/>
      <c r="UQG469"/>
      <c r="UQH469"/>
      <c r="UQI469"/>
      <c r="UQJ469"/>
      <c r="UQK469"/>
      <c r="UQL469"/>
      <c r="UQM469"/>
      <c r="UQN469"/>
      <c r="UQO469"/>
      <c r="UQP469"/>
      <c r="UQQ469"/>
      <c r="UQR469"/>
      <c r="UQS469"/>
      <c r="UQT469"/>
      <c r="UQU469"/>
      <c r="UQV469"/>
      <c r="UQW469"/>
      <c r="UQX469"/>
      <c r="UQY469"/>
      <c r="UQZ469"/>
      <c r="URA469"/>
      <c r="URB469"/>
      <c r="URC469"/>
      <c r="URD469"/>
      <c r="URE469"/>
      <c r="URF469"/>
      <c r="URG469"/>
      <c r="URH469"/>
      <c r="URI469"/>
      <c r="URJ469"/>
      <c r="URK469"/>
      <c r="URL469"/>
      <c r="URM469"/>
      <c r="URN469"/>
      <c r="URO469"/>
      <c r="URP469"/>
      <c r="URQ469"/>
      <c r="URR469"/>
      <c r="URS469"/>
      <c r="URT469"/>
      <c r="URU469"/>
      <c r="URV469"/>
      <c r="URW469"/>
      <c r="URX469"/>
      <c r="URY469"/>
      <c r="URZ469"/>
      <c r="USA469"/>
      <c r="USB469"/>
      <c r="USC469"/>
      <c r="USD469"/>
      <c r="USE469"/>
      <c r="USF469"/>
      <c r="USG469"/>
      <c r="USH469"/>
      <c r="USI469"/>
      <c r="USJ469"/>
      <c r="USK469"/>
      <c r="USL469"/>
      <c r="USM469"/>
      <c r="USN469"/>
      <c r="USO469"/>
      <c r="USP469"/>
      <c r="USQ469"/>
      <c r="USR469"/>
      <c r="USS469"/>
      <c r="UST469"/>
      <c r="USU469"/>
      <c r="USV469"/>
      <c r="USW469"/>
      <c r="USX469"/>
      <c r="USY469"/>
      <c r="USZ469"/>
      <c r="UTA469"/>
      <c r="UTB469"/>
      <c r="UTC469"/>
      <c r="UTD469"/>
      <c r="UTE469"/>
      <c r="UTF469"/>
      <c r="UTG469"/>
      <c r="UTH469"/>
      <c r="UTI469"/>
      <c r="UTJ469"/>
      <c r="UTK469"/>
      <c r="UTL469"/>
      <c r="UTM469"/>
      <c r="UTN469"/>
      <c r="UTO469"/>
      <c r="UTP469"/>
      <c r="UTQ469"/>
      <c r="UTR469"/>
      <c r="UTS469"/>
      <c r="UTT469"/>
      <c r="UTU469"/>
      <c r="UTV469"/>
      <c r="UTW469"/>
      <c r="UTX469"/>
      <c r="UTY469"/>
      <c r="UTZ469"/>
      <c r="UUA469"/>
      <c r="UUB469"/>
      <c r="UUC469"/>
      <c r="UUD469"/>
      <c r="UUE469"/>
      <c r="UUF469"/>
      <c r="UUG469"/>
      <c r="UUH469"/>
      <c r="UUI469"/>
      <c r="UUJ469"/>
      <c r="UUK469"/>
      <c r="UUL469"/>
      <c r="UUM469"/>
      <c r="UUN469"/>
      <c r="UUO469"/>
      <c r="UUP469"/>
      <c r="UUQ469"/>
      <c r="UUR469"/>
      <c r="UUS469"/>
      <c r="UUT469"/>
      <c r="UUU469"/>
      <c r="UUV469"/>
      <c r="UUW469"/>
      <c r="UUX469"/>
      <c r="UUY469"/>
      <c r="UUZ469"/>
      <c r="UVA469"/>
      <c r="UVB469"/>
      <c r="UVC469"/>
      <c r="UVD469"/>
      <c r="UVE469"/>
      <c r="UVF469"/>
      <c r="UVG469"/>
      <c r="UVH469"/>
      <c r="UVI469"/>
      <c r="UVJ469"/>
      <c r="UVK469"/>
      <c r="UVL469"/>
      <c r="UVM469"/>
      <c r="UVN469"/>
      <c r="UVO469"/>
      <c r="UVP469"/>
      <c r="UVQ469"/>
      <c r="UVR469"/>
      <c r="UVS469"/>
      <c r="UVT469"/>
      <c r="UVU469"/>
      <c r="UVV469"/>
      <c r="UVW469"/>
      <c r="UVX469"/>
      <c r="UVY469"/>
      <c r="UVZ469"/>
      <c r="UWA469"/>
      <c r="UWB469"/>
      <c r="UWC469"/>
      <c r="UWD469"/>
      <c r="UWE469"/>
      <c r="UWF469"/>
      <c r="UWG469"/>
      <c r="UWH469"/>
      <c r="UWI469"/>
      <c r="UWJ469"/>
      <c r="UWK469"/>
      <c r="UWL469"/>
      <c r="UWM469"/>
      <c r="UWN469"/>
      <c r="UWO469"/>
      <c r="UWP469"/>
      <c r="UWQ469"/>
      <c r="UWR469"/>
      <c r="UWS469"/>
      <c r="UWT469"/>
      <c r="UWU469"/>
      <c r="UWV469"/>
      <c r="UWW469"/>
      <c r="UWX469"/>
      <c r="UWY469"/>
      <c r="UWZ469"/>
      <c r="UXA469"/>
      <c r="UXB469"/>
      <c r="UXC469"/>
      <c r="UXD469"/>
      <c r="UXE469"/>
      <c r="UXF469"/>
      <c r="UXG469"/>
      <c r="UXH469"/>
      <c r="UXI469"/>
      <c r="UXJ469"/>
      <c r="UXK469"/>
      <c r="UXL469"/>
      <c r="UXM469"/>
      <c r="UXN469"/>
      <c r="UXO469"/>
      <c r="UXP469"/>
      <c r="UXQ469"/>
      <c r="UXR469"/>
      <c r="UXS469"/>
      <c r="UXT469"/>
      <c r="UXU469"/>
      <c r="UXV469"/>
      <c r="UXW469"/>
      <c r="UXX469"/>
      <c r="UXY469"/>
      <c r="UXZ469"/>
      <c r="UYA469"/>
      <c r="UYB469"/>
      <c r="UYC469"/>
      <c r="UYD469"/>
      <c r="UYE469"/>
      <c r="UYF469"/>
      <c r="UYG469"/>
      <c r="UYH469"/>
      <c r="UYI469"/>
      <c r="UYJ469"/>
      <c r="UYK469"/>
      <c r="UYL469"/>
      <c r="UYM469"/>
      <c r="UYN469"/>
      <c r="UYO469"/>
      <c r="UYP469"/>
      <c r="UYQ469"/>
      <c r="UYR469"/>
      <c r="UYS469"/>
      <c r="UYT469"/>
      <c r="UYU469"/>
      <c r="UYV469"/>
      <c r="UYW469"/>
      <c r="UYX469"/>
      <c r="UYY469"/>
      <c r="UYZ469"/>
      <c r="UZA469"/>
      <c r="UZB469"/>
      <c r="UZC469"/>
      <c r="UZD469"/>
      <c r="UZE469"/>
      <c r="UZF469"/>
      <c r="UZG469"/>
      <c r="UZH469"/>
      <c r="UZI469"/>
      <c r="UZJ469"/>
      <c r="UZK469"/>
      <c r="UZL469"/>
      <c r="UZM469"/>
      <c r="UZN469"/>
      <c r="UZO469"/>
      <c r="UZP469"/>
      <c r="UZQ469"/>
      <c r="UZR469"/>
      <c r="UZS469"/>
      <c r="UZT469"/>
      <c r="UZU469"/>
      <c r="UZV469"/>
      <c r="UZW469"/>
      <c r="UZX469"/>
      <c r="UZY469"/>
      <c r="UZZ469"/>
      <c r="VAA469"/>
      <c r="VAB469"/>
      <c r="VAC469"/>
      <c r="VAD469"/>
      <c r="VAE469"/>
      <c r="VAF469"/>
      <c r="VAG469"/>
      <c r="VAH469"/>
      <c r="VAI469"/>
      <c r="VAJ469"/>
      <c r="VAK469"/>
      <c r="VAL469"/>
      <c r="VAM469"/>
      <c r="VAN469"/>
      <c r="VAO469"/>
      <c r="VAP469"/>
      <c r="VAQ469"/>
      <c r="VAR469"/>
      <c r="VAS469"/>
      <c r="VAT469"/>
      <c r="VAU469"/>
      <c r="VAV469"/>
      <c r="VAW469"/>
      <c r="VAX469"/>
      <c r="VAY469"/>
      <c r="VAZ469"/>
      <c r="VBA469"/>
      <c r="VBB469"/>
      <c r="VBC469"/>
      <c r="VBD469"/>
      <c r="VBE469"/>
      <c r="VBF469"/>
      <c r="VBG469"/>
      <c r="VBH469"/>
      <c r="VBI469"/>
      <c r="VBJ469"/>
      <c r="VBK469"/>
      <c r="VBL469"/>
      <c r="VBM469"/>
      <c r="VBN469"/>
      <c r="VBO469"/>
      <c r="VBP469"/>
      <c r="VBQ469"/>
      <c r="VBR469"/>
      <c r="VBS469"/>
      <c r="VBT469"/>
      <c r="VBU469"/>
      <c r="VBV469"/>
      <c r="VBW469"/>
      <c r="VBX469"/>
      <c r="VBY469"/>
      <c r="VBZ469"/>
      <c r="VCA469"/>
      <c r="VCB469"/>
      <c r="VCC469"/>
      <c r="VCD469"/>
      <c r="VCE469"/>
      <c r="VCF469"/>
      <c r="VCG469"/>
      <c r="VCH469"/>
      <c r="VCI469"/>
      <c r="VCJ469"/>
      <c r="VCK469"/>
      <c r="VCL469"/>
      <c r="VCM469"/>
      <c r="VCN469"/>
      <c r="VCO469"/>
      <c r="VCP469"/>
      <c r="VCQ469"/>
      <c r="VCR469"/>
      <c r="VCS469"/>
      <c r="VCT469"/>
      <c r="VCU469"/>
      <c r="VCV469"/>
      <c r="VCW469"/>
      <c r="VCX469"/>
      <c r="VCY469"/>
      <c r="VCZ469"/>
      <c r="VDA469"/>
      <c r="VDB469"/>
      <c r="VDC469"/>
      <c r="VDD469"/>
      <c r="VDE469"/>
      <c r="VDF469"/>
      <c r="VDG469"/>
      <c r="VDH469"/>
      <c r="VDI469"/>
      <c r="VDJ469"/>
      <c r="VDK469"/>
      <c r="VDL469"/>
      <c r="VDM469"/>
      <c r="VDN469"/>
      <c r="VDO469"/>
      <c r="VDP469"/>
      <c r="VDQ469"/>
      <c r="VDR469"/>
      <c r="VDS469"/>
      <c r="VDT469"/>
      <c r="VDU469"/>
      <c r="VDV469"/>
      <c r="VDW469"/>
      <c r="VDX469"/>
      <c r="VDY469"/>
      <c r="VDZ469"/>
      <c r="VEA469"/>
      <c r="VEB469"/>
      <c r="VEC469"/>
      <c r="VED469"/>
      <c r="VEE469"/>
      <c r="VEF469"/>
      <c r="VEG469"/>
      <c r="VEH469"/>
      <c r="VEI469"/>
      <c r="VEJ469"/>
      <c r="VEK469"/>
      <c r="VEL469"/>
      <c r="VEM469"/>
      <c r="VEN469"/>
      <c r="VEO469"/>
      <c r="VEP469"/>
      <c r="VEQ469"/>
      <c r="VER469"/>
      <c r="VES469"/>
      <c r="VET469"/>
      <c r="VEU469"/>
      <c r="VEV469"/>
      <c r="VEW469"/>
      <c r="VEX469"/>
      <c r="VEY469"/>
      <c r="VEZ469"/>
      <c r="VFA469"/>
      <c r="VFB469"/>
      <c r="VFC469"/>
      <c r="VFD469"/>
      <c r="VFE469"/>
      <c r="VFF469"/>
      <c r="VFG469"/>
      <c r="VFH469"/>
      <c r="VFI469"/>
      <c r="VFJ469"/>
      <c r="VFK469"/>
      <c r="VFL469"/>
      <c r="VFM469"/>
      <c r="VFN469"/>
      <c r="VFO469"/>
      <c r="VFP469"/>
      <c r="VFQ469"/>
      <c r="VFR469"/>
      <c r="VFS469"/>
      <c r="VFT469"/>
      <c r="VFU469"/>
      <c r="VFV469"/>
      <c r="VFW469"/>
      <c r="VFX469"/>
      <c r="VFY469"/>
      <c r="VFZ469"/>
      <c r="VGA469"/>
      <c r="VGB469"/>
      <c r="VGC469"/>
      <c r="VGD469"/>
      <c r="VGE469"/>
      <c r="VGF469"/>
      <c r="VGG469"/>
      <c r="VGH469"/>
      <c r="VGI469"/>
      <c r="VGJ469"/>
      <c r="VGK469"/>
      <c r="VGL469"/>
      <c r="VGM469"/>
      <c r="VGN469"/>
      <c r="VGO469"/>
      <c r="VGP469"/>
      <c r="VGQ469"/>
      <c r="VGR469"/>
      <c r="VGS469"/>
      <c r="VGT469"/>
      <c r="VGU469"/>
      <c r="VGV469"/>
      <c r="VGW469"/>
      <c r="VGX469"/>
      <c r="VGY469"/>
      <c r="VGZ469"/>
      <c r="VHA469"/>
      <c r="VHB469"/>
      <c r="VHC469"/>
      <c r="VHD469"/>
      <c r="VHE469"/>
      <c r="VHF469"/>
      <c r="VHG469"/>
      <c r="VHH469"/>
      <c r="VHI469"/>
      <c r="VHJ469"/>
      <c r="VHK469"/>
      <c r="VHL469"/>
      <c r="VHM469"/>
      <c r="VHN469"/>
      <c r="VHO469"/>
      <c r="VHP469"/>
      <c r="VHQ469"/>
      <c r="VHR469"/>
      <c r="VHS469"/>
      <c r="VHT469"/>
      <c r="VHU469"/>
      <c r="VHV469"/>
      <c r="VHW469"/>
      <c r="VHX469"/>
      <c r="VHY469"/>
      <c r="VHZ469"/>
      <c r="VIA469"/>
      <c r="VIB469"/>
      <c r="VIC469"/>
      <c r="VID469"/>
      <c r="VIE469"/>
      <c r="VIF469"/>
      <c r="VIG469"/>
      <c r="VIH469"/>
      <c r="VII469"/>
      <c r="VIJ469"/>
      <c r="VIK469"/>
      <c r="VIL469"/>
      <c r="VIM469"/>
      <c r="VIN469"/>
      <c r="VIO469"/>
      <c r="VIP469"/>
      <c r="VIQ469"/>
      <c r="VIR469"/>
      <c r="VIS469"/>
      <c r="VIT469"/>
      <c r="VIU469"/>
      <c r="VIV469"/>
      <c r="VIW469"/>
      <c r="VIX469"/>
      <c r="VIY469"/>
      <c r="VIZ469"/>
      <c r="VJA469"/>
      <c r="VJB469"/>
      <c r="VJC469"/>
      <c r="VJD469"/>
      <c r="VJE469"/>
      <c r="VJF469"/>
      <c r="VJG469"/>
      <c r="VJH469"/>
      <c r="VJI469"/>
      <c r="VJJ469"/>
      <c r="VJK469"/>
      <c r="VJL469"/>
      <c r="VJM469"/>
      <c r="VJN469"/>
      <c r="VJO469"/>
      <c r="VJP469"/>
      <c r="VJQ469"/>
      <c r="VJR469"/>
      <c r="VJS469"/>
      <c r="VJT469"/>
      <c r="VJU469"/>
      <c r="VJV469"/>
      <c r="VJW469"/>
      <c r="VJX469"/>
      <c r="VJY469"/>
      <c r="VJZ469"/>
      <c r="VKA469"/>
      <c r="VKB469"/>
      <c r="VKC469"/>
      <c r="VKD469"/>
      <c r="VKE469"/>
      <c r="VKF469"/>
      <c r="VKG469"/>
      <c r="VKH469"/>
      <c r="VKI469"/>
      <c r="VKJ469"/>
      <c r="VKK469"/>
      <c r="VKL469"/>
      <c r="VKM469"/>
      <c r="VKN469"/>
      <c r="VKO469"/>
      <c r="VKP469"/>
      <c r="VKQ469"/>
      <c r="VKR469"/>
      <c r="VKS469"/>
      <c r="VKT469"/>
      <c r="VKU469"/>
      <c r="VKV469"/>
      <c r="VKW469"/>
      <c r="VKX469"/>
      <c r="VKY469"/>
      <c r="VKZ469"/>
      <c r="VLA469"/>
      <c r="VLB469"/>
      <c r="VLC469"/>
      <c r="VLD469"/>
      <c r="VLE469"/>
      <c r="VLF469"/>
      <c r="VLG469"/>
      <c r="VLH469"/>
      <c r="VLI469"/>
      <c r="VLJ469"/>
      <c r="VLK469"/>
      <c r="VLL469"/>
      <c r="VLM469"/>
      <c r="VLN469"/>
      <c r="VLO469"/>
      <c r="VLP469"/>
      <c r="VLQ469"/>
      <c r="VLR469"/>
      <c r="VLS469"/>
      <c r="VLT469"/>
      <c r="VLU469"/>
      <c r="VLV469"/>
      <c r="VLW469"/>
      <c r="VLX469"/>
      <c r="VLY469"/>
      <c r="VLZ469"/>
      <c r="VMA469"/>
      <c r="VMB469"/>
      <c r="VMC469"/>
      <c r="VMD469"/>
      <c r="VME469"/>
      <c r="VMF469"/>
      <c r="VMG469"/>
      <c r="VMH469"/>
      <c r="VMI469"/>
      <c r="VMJ469"/>
      <c r="VMK469"/>
      <c r="VML469"/>
      <c r="VMM469"/>
      <c r="VMN469"/>
      <c r="VMO469"/>
      <c r="VMP469"/>
      <c r="VMQ469"/>
      <c r="VMR469"/>
      <c r="VMS469"/>
      <c r="VMT469"/>
      <c r="VMU469"/>
      <c r="VMV469"/>
      <c r="VMW469"/>
      <c r="VMX469"/>
      <c r="VMY469"/>
      <c r="VMZ469"/>
      <c r="VNA469"/>
      <c r="VNB469"/>
      <c r="VNC469"/>
      <c r="VND469"/>
      <c r="VNE469"/>
      <c r="VNF469"/>
      <c r="VNG469"/>
      <c r="VNH469"/>
      <c r="VNI469"/>
      <c r="VNJ469"/>
      <c r="VNK469"/>
      <c r="VNL469"/>
      <c r="VNM469"/>
      <c r="VNN469"/>
      <c r="VNO469"/>
      <c r="VNP469"/>
      <c r="VNQ469"/>
      <c r="VNR469"/>
      <c r="VNS469"/>
      <c r="VNT469"/>
      <c r="VNU469"/>
      <c r="VNV469"/>
      <c r="VNW469"/>
      <c r="VNX469"/>
      <c r="VNY469"/>
      <c r="VNZ469"/>
      <c r="VOA469"/>
      <c r="VOB469"/>
      <c r="VOC469"/>
      <c r="VOD469"/>
      <c r="VOE469"/>
      <c r="VOF469"/>
      <c r="VOG469"/>
      <c r="VOH469"/>
      <c r="VOI469"/>
      <c r="VOJ469"/>
      <c r="VOK469"/>
      <c r="VOL469"/>
      <c r="VOM469"/>
      <c r="VON469"/>
      <c r="VOO469"/>
      <c r="VOP469"/>
      <c r="VOQ469"/>
      <c r="VOR469"/>
      <c r="VOS469"/>
      <c r="VOT469"/>
      <c r="VOU469"/>
      <c r="VOV469"/>
      <c r="VOW469"/>
      <c r="VOX469"/>
      <c r="VOY469"/>
      <c r="VOZ469"/>
      <c r="VPA469"/>
      <c r="VPB469"/>
      <c r="VPC469"/>
      <c r="VPD469"/>
      <c r="VPE469"/>
      <c r="VPF469"/>
      <c r="VPG469"/>
      <c r="VPH469"/>
      <c r="VPI469"/>
      <c r="VPJ469"/>
      <c r="VPK469"/>
      <c r="VPL469"/>
      <c r="VPM469"/>
      <c r="VPN469"/>
      <c r="VPO469"/>
      <c r="VPP469"/>
      <c r="VPQ469"/>
      <c r="VPR469"/>
      <c r="VPS469"/>
      <c r="VPT469"/>
      <c r="VPU469"/>
      <c r="VPV469"/>
      <c r="VPW469"/>
      <c r="VPX469"/>
      <c r="VPY469"/>
      <c r="VPZ469"/>
      <c r="VQA469"/>
      <c r="VQB469"/>
      <c r="VQC469"/>
      <c r="VQD469"/>
      <c r="VQE469"/>
      <c r="VQF469"/>
      <c r="VQG469"/>
      <c r="VQH469"/>
      <c r="VQI469"/>
      <c r="VQJ469"/>
      <c r="VQK469"/>
      <c r="VQL469"/>
      <c r="VQM469"/>
      <c r="VQN469"/>
      <c r="VQO469"/>
      <c r="VQP469"/>
      <c r="VQQ469"/>
      <c r="VQR469"/>
      <c r="VQS469"/>
      <c r="VQT469"/>
      <c r="VQU469"/>
      <c r="VQV469"/>
      <c r="VQW469"/>
      <c r="VQX469"/>
      <c r="VQY469"/>
      <c r="VQZ469"/>
      <c r="VRA469"/>
      <c r="VRB469"/>
      <c r="VRC469"/>
      <c r="VRD469"/>
      <c r="VRE469"/>
      <c r="VRF469"/>
      <c r="VRG469"/>
      <c r="VRH469"/>
      <c r="VRI469"/>
      <c r="VRJ469"/>
      <c r="VRK469"/>
      <c r="VRL469"/>
      <c r="VRM469"/>
      <c r="VRN469"/>
      <c r="VRO469"/>
      <c r="VRP469"/>
      <c r="VRQ469"/>
      <c r="VRR469"/>
      <c r="VRS469"/>
      <c r="VRT469"/>
      <c r="VRU469"/>
      <c r="VRV469"/>
      <c r="VRW469"/>
      <c r="VRX469"/>
      <c r="VRY469"/>
      <c r="VRZ469"/>
      <c r="VSA469"/>
      <c r="VSB469"/>
      <c r="VSC469"/>
      <c r="VSD469"/>
      <c r="VSE469"/>
      <c r="VSF469"/>
      <c r="VSG469"/>
      <c r="VSH469"/>
      <c r="VSI469"/>
      <c r="VSJ469"/>
      <c r="VSK469"/>
      <c r="VSL469"/>
      <c r="VSM469"/>
      <c r="VSN469"/>
      <c r="VSO469"/>
      <c r="VSP469"/>
      <c r="VSQ469"/>
      <c r="VSR469"/>
      <c r="VSS469"/>
      <c r="VST469"/>
      <c r="VSU469"/>
      <c r="VSV469"/>
      <c r="VSW469"/>
      <c r="VSX469"/>
      <c r="VSY469"/>
      <c r="VSZ469"/>
      <c r="VTA469"/>
      <c r="VTB469"/>
      <c r="VTC469"/>
      <c r="VTD469"/>
      <c r="VTE469"/>
      <c r="VTF469"/>
      <c r="VTG469"/>
      <c r="VTH469"/>
      <c r="VTI469"/>
      <c r="VTJ469"/>
      <c r="VTK469"/>
      <c r="VTL469"/>
      <c r="VTM469"/>
      <c r="VTN469"/>
      <c r="VTO469"/>
      <c r="VTP469"/>
      <c r="VTQ469"/>
      <c r="VTR469"/>
      <c r="VTS469"/>
      <c r="VTT469"/>
      <c r="VTU469"/>
      <c r="VTV469"/>
      <c r="VTW469"/>
      <c r="VTX469"/>
      <c r="VTY469"/>
      <c r="VTZ469"/>
      <c r="VUA469"/>
      <c r="VUB469"/>
      <c r="VUC469"/>
      <c r="VUD469"/>
      <c r="VUE469"/>
      <c r="VUF469"/>
      <c r="VUG469"/>
      <c r="VUH469"/>
      <c r="VUI469"/>
      <c r="VUJ469"/>
      <c r="VUK469"/>
      <c r="VUL469"/>
      <c r="VUM469"/>
      <c r="VUN469"/>
      <c r="VUO469"/>
      <c r="VUP469"/>
      <c r="VUQ469"/>
      <c r="VUR469"/>
      <c r="VUS469"/>
      <c r="VUT469"/>
      <c r="VUU469"/>
      <c r="VUV469"/>
      <c r="VUW469"/>
      <c r="VUX469"/>
      <c r="VUY469"/>
      <c r="VUZ469"/>
      <c r="VVA469"/>
      <c r="VVB469"/>
      <c r="VVC469"/>
      <c r="VVD469"/>
      <c r="VVE469"/>
      <c r="VVF469"/>
      <c r="VVG469"/>
      <c r="VVH469"/>
      <c r="VVI469"/>
      <c r="VVJ469"/>
      <c r="VVK469"/>
      <c r="VVL469"/>
      <c r="VVM469"/>
      <c r="VVN469"/>
      <c r="VVO469"/>
      <c r="VVP469"/>
      <c r="VVQ469"/>
      <c r="VVR469"/>
      <c r="VVS469"/>
      <c r="VVT469"/>
      <c r="VVU469"/>
      <c r="VVV469"/>
      <c r="VVW469"/>
      <c r="VVX469"/>
      <c r="VVY469"/>
      <c r="VVZ469"/>
      <c r="VWA469"/>
      <c r="VWB469"/>
      <c r="VWC469"/>
      <c r="VWD469"/>
      <c r="VWE469"/>
      <c r="VWF469"/>
      <c r="VWG469"/>
      <c r="VWH469"/>
      <c r="VWI469"/>
      <c r="VWJ469"/>
      <c r="VWK469"/>
      <c r="VWL469"/>
      <c r="VWM469"/>
      <c r="VWN469"/>
      <c r="VWO469"/>
      <c r="VWP469"/>
      <c r="VWQ469"/>
      <c r="VWR469"/>
      <c r="VWS469"/>
      <c r="VWT469"/>
      <c r="VWU469"/>
      <c r="VWV469"/>
      <c r="VWW469"/>
      <c r="VWX469"/>
      <c r="VWY469"/>
      <c r="VWZ469"/>
      <c r="VXA469"/>
      <c r="VXB469"/>
      <c r="VXC469"/>
      <c r="VXD469"/>
      <c r="VXE469"/>
      <c r="VXF469"/>
      <c r="VXG469"/>
      <c r="VXH469"/>
      <c r="VXI469"/>
      <c r="VXJ469"/>
      <c r="VXK469"/>
      <c r="VXL469"/>
      <c r="VXM469"/>
      <c r="VXN469"/>
      <c r="VXO469"/>
      <c r="VXP469"/>
      <c r="VXQ469"/>
      <c r="VXR469"/>
      <c r="VXS469"/>
      <c r="VXT469"/>
      <c r="VXU469"/>
      <c r="VXV469"/>
      <c r="VXW469"/>
      <c r="VXX469"/>
      <c r="VXY469"/>
      <c r="VXZ469"/>
      <c r="VYA469"/>
      <c r="VYB469"/>
      <c r="VYC469"/>
      <c r="VYD469"/>
      <c r="VYE469"/>
      <c r="VYF469"/>
      <c r="VYG469"/>
      <c r="VYH469"/>
      <c r="VYI469"/>
      <c r="VYJ469"/>
      <c r="VYK469"/>
      <c r="VYL469"/>
      <c r="VYM469"/>
      <c r="VYN469"/>
      <c r="VYO469"/>
      <c r="VYP469"/>
      <c r="VYQ469"/>
      <c r="VYR469"/>
      <c r="VYS469"/>
      <c r="VYT469"/>
      <c r="VYU469"/>
      <c r="VYV469"/>
      <c r="VYW469"/>
      <c r="VYX469"/>
      <c r="VYY469"/>
      <c r="VYZ469"/>
      <c r="VZA469"/>
      <c r="VZB469"/>
      <c r="VZC469"/>
      <c r="VZD469"/>
      <c r="VZE469"/>
      <c r="VZF469"/>
      <c r="VZG469"/>
      <c r="VZH469"/>
      <c r="VZI469"/>
      <c r="VZJ469"/>
      <c r="VZK469"/>
      <c r="VZL469"/>
      <c r="VZM469"/>
      <c r="VZN469"/>
      <c r="VZO469"/>
      <c r="VZP469"/>
      <c r="VZQ469"/>
      <c r="VZR469"/>
      <c r="VZS469"/>
      <c r="VZT469"/>
      <c r="VZU469"/>
      <c r="VZV469"/>
      <c r="VZW469"/>
      <c r="VZX469"/>
      <c r="VZY469"/>
      <c r="VZZ469"/>
      <c r="WAA469"/>
      <c r="WAB469"/>
      <c r="WAC469"/>
      <c r="WAD469"/>
      <c r="WAE469"/>
      <c r="WAF469"/>
      <c r="WAG469"/>
      <c r="WAH469"/>
      <c r="WAI469"/>
      <c r="WAJ469"/>
      <c r="WAK469"/>
      <c r="WAL469"/>
      <c r="WAM469"/>
      <c r="WAN469"/>
      <c r="WAO469"/>
      <c r="WAP469"/>
      <c r="WAQ469"/>
      <c r="WAR469"/>
      <c r="WAS469"/>
      <c r="WAT469"/>
      <c r="WAU469"/>
      <c r="WAV469"/>
      <c r="WAW469"/>
      <c r="WAX469"/>
      <c r="WAY469"/>
      <c r="WAZ469"/>
      <c r="WBA469"/>
      <c r="WBB469"/>
      <c r="WBC469"/>
      <c r="WBD469"/>
      <c r="WBE469"/>
      <c r="WBF469"/>
      <c r="WBG469"/>
      <c r="WBH469"/>
      <c r="WBI469"/>
      <c r="WBJ469"/>
      <c r="WBK469"/>
      <c r="WBL469"/>
      <c r="WBM469"/>
      <c r="WBN469"/>
      <c r="WBO469"/>
      <c r="WBP469"/>
      <c r="WBQ469"/>
      <c r="WBR469"/>
      <c r="WBS469"/>
      <c r="WBT469"/>
      <c r="WBU469"/>
      <c r="WBV469"/>
      <c r="WBW469"/>
      <c r="WBX469"/>
      <c r="WBY469"/>
      <c r="WBZ469"/>
      <c r="WCA469"/>
      <c r="WCB469"/>
      <c r="WCC469"/>
      <c r="WCD469"/>
      <c r="WCE469"/>
      <c r="WCF469"/>
      <c r="WCG469"/>
      <c r="WCH469"/>
      <c r="WCI469"/>
      <c r="WCJ469"/>
      <c r="WCK469"/>
      <c r="WCL469"/>
      <c r="WCM469"/>
      <c r="WCN469"/>
      <c r="WCO469"/>
      <c r="WCP469"/>
      <c r="WCQ469"/>
      <c r="WCR469"/>
      <c r="WCS469"/>
      <c r="WCT469"/>
      <c r="WCU469"/>
      <c r="WCV469"/>
      <c r="WCW469"/>
      <c r="WCX469"/>
      <c r="WCY469"/>
      <c r="WCZ469"/>
      <c r="WDA469"/>
      <c r="WDB469"/>
      <c r="WDC469"/>
      <c r="WDD469"/>
      <c r="WDE469"/>
      <c r="WDF469"/>
      <c r="WDG469"/>
      <c r="WDH469"/>
      <c r="WDI469"/>
      <c r="WDJ469"/>
      <c r="WDK469"/>
      <c r="WDL469"/>
      <c r="WDM469"/>
      <c r="WDN469"/>
      <c r="WDO469"/>
      <c r="WDP469"/>
      <c r="WDQ469"/>
      <c r="WDR469"/>
      <c r="WDS469"/>
      <c r="WDT469"/>
      <c r="WDU469"/>
      <c r="WDV469"/>
      <c r="WDW469"/>
      <c r="WDX469"/>
      <c r="WDY469"/>
      <c r="WDZ469"/>
      <c r="WEA469"/>
      <c r="WEB469"/>
      <c r="WEC469"/>
      <c r="WED469"/>
      <c r="WEE469"/>
      <c r="WEF469"/>
      <c r="WEG469"/>
      <c r="WEH469"/>
      <c r="WEI469"/>
      <c r="WEJ469"/>
      <c r="WEK469"/>
      <c r="WEL469"/>
      <c r="WEM469"/>
      <c r="WEN469"/>
      <c r="WEO469"/>
      <c r="WEP469"/>
      <c r="WEQ469"/>
      <c r="WER469"/>
      <c r="WES469"/>
      <c r="WET469"/>
      <c r="WEU469"/>
      <c r="WEV469"/>
      <c r="WEW469"/>
      <c r="WEX469"/>
      <c r="WEY469"/>
      <c r="WEZ469"/>
      <c r="WFA469"/>
      <c r="WFB469"/>
      <c r="WFC469"/>
      <c r="WFD469"/>
      <c r="WFE469"/>
      <c r="WFF469"/>
      <c r="WFG469"/>
      <c r="WFH469"/>
      <c r="WFI469"/>
      <c r="WFJ469"/>
      <c r="WFK469"/>
      <c r="WFL469"/>
      <c r="WFM469"/>
      <c r="WFN469"/>
      <c r="WFO469"/>
      <c r="WFP469"/>
      <c r="WFQ469"/>
      <c r="WFR469"/>
      <c r="WFS469"/>
      <c r="WFT469"/>
      <c r="WFU469"/>
      <c r="WFV469"/>
      <c r="WFW469"/>
      <c r="WFX469"/>
      <c r="WFY469"/>
      <c r="WFZ469"/>
      <c r="WGA469"/>
      <c r="WGB469"/>
      <c r="WGC469"/>
      <c r="WGD469"/>
      <c r="WGE469"/>
      <c r="WGF469"/>
      <c r="WGG469"/>
      <c r="WGH469"/>
      <c r="WGI469"/>
      <c r="WGJ469"/>
      <c r="WGK469"/>
      <c r="WGL469"/>
      <c r="WGM469"/>
      <c r="WGN469"/>
      <c r="WGO469"/>
      <c r="WGP469"/>
      <c r="WGQ469"/>
      <c r="WGR469"/>
      <c r="WGS469"/>
      <c r="WGT469"/>
      <c r="WGU469"/>
      <c r="WGV469"/>
      <c r="WGW469"/>
      <c r="WGX469"/>
      <c r="WGY469"/>
      <c r="WGZ469"/>
      <c r="WHA469"/>
      <c r="WHB469"/>
      <c r="WHC469"/>
      <c r="WHD469"/>
      <c r="WHE469"/>
      <c r="WHF469"/>
      <c r="WHG469"/>
      <c r="WHH469"/>
      <c r="WHI469"/>
      <c r="WHJ469"/>
      <c r="WHK469"/>
      <c r="WHL469"/>
      <c r="WHM469"/>
      <c r="WHN469"/>
      <c r="WHO469"/>
      <c r="WHP469"/>
      <c r="WHQ469"/>
      <c r="WHR469"/>
      <c r="WHS469"/>
      <c r="WHT469"/>
      <c r="WHU469"/>
      <c r="WHV469"/>
      <c r="WHW469"/>
      <c r="WHX469"/>
      <c r="WHY469"/>
      <c r="WHZ469"/>
      <c r="WIA469"/>
      <c r="WIB469"/>
      <c r="WIC469"/>
      <c r="WID469"/>
      <c r="WIE469"/>
      <c r="WIF469"/>
      <c r="WIG469"/>
      <c r="WIH469"/>
      <c r="WII469"/>
      <c r="WIJ469"/>
      <c r="WIK469"/>
      <c r="WIL469"/>
      <c r="WIM469"/>
      <c r="WIN469"/>
      <c r="WIO469"/>
      <c r="WIP469"/>
      <c r="WIQ469"/>
      <c r="WIR469"/>
      <c r="WIS469"/>
      <c r="WIT469"/>
      <c r="WIU469"/>
      <c r="WIV469"/>
      <c r="WIW469"/>
      <c r="WIX469"/>
      <c r="WIY469"/>
      <c r="WIZ469"/>
      <c r="WJA469"/>
      <c r="WJB469"/>
      <c r="WJC469"/>
      <c r="WJD469"/>
      <c r="WJE469"/>
      <c r="WJF469"/>
      <c r="WJG469"/>
      <c r="WJH469"/>
      <c r="WJI469"/>
      <c r="WJJ469"/>
      <c r="WJK469"/>
      <c r="WJL469"/>
      <c r="WJM469"/>
      <c r="WJN469"/>
      <c r="WJO469"/>
      <c r="WJP469"/>
      <c r="WJQ469"/>
      <c r="WJR469"/>
      <c r="WJS469"/>
      <c r="WJT469"/>
      <c r="WJU469"/>
      <c r="WJV469"/>
      <c r="WJW469"/>
      <c r="WJX469"/>
      <c r="WJY469"/>
      <c r="WJZ469"/>
      <c r="WKA469"/>
      <c r="WKB469"/>
      <c r="WKC469"/>
      <c r="WKD469"/>
      <c r="WKE469"/>
      <c r="WKF469"/>
      <c r="WKG469"/>
      <c r="WKH469"/>
      <c r="WKI469"/>
      <c r="WKJ469"/>
      <c r="WKK469"/>
      <c r="WKL469"/>
      <c r="WKM469"/>
      <c r="WKN469"/>
      <c r="WKO469"/>
      <c r="WKP469"/>
      <c r="WKQ469"/>
      <c r="WKR469"/>
      <c r="WKS469"/>
      <c r="WKT469"/>
      <c r="WKU469"/>
      <c r="WKV469"/>
      <c r="WKW469"/>
      <c r="WKX469"/>
      <c r="WKY469"/>
      <c r="WKZ469"/>
      <c r="WLA469"/>
      <c r="WLB469"/>
      <c r="WLC469"/>
      <c r="WLD469"/>
      <c r="WLE469"/>
      <c r="WLF469"/>
      <c r="WLG469"/>
      <c r="WLH469"/>
      <c r="WLI469"/>
      <c r="WLJ469"/>
      <c r="WLK469"/>
      <c r="WLL469"/>
      <c r="WLM469"/>
      <c r="WLN469"/>
      <c r="WLO469"/>
      <c r="WLP469"/>
      <c r="WLQ469"/>
      <c r="WLR469"/>
      <c r="WLS469"/>
      <c r="WLT469"/>
      <c r="WLU469"/>
      <c r="WLV469"/>
      <c r="WLW469"/>
      <c r="WLX469"/>
      <c r="WLY469"/>
      <c r="WLZ469"/>
      <c r="WMA469"/>
      <c r="WMB469"/>
      <c r="WMC469"/>
      <c r="WMD469"/>
      <c r="WME469"/>
      <c r="WMF469"/>
      <c r="WMG469"/>
      <c r="WMH469"/>
      <c r="WMI469"/>
      <c r="WMJ469"/>
      <c r="WMK469"/>
      <c r="WML469"/>
      <c r="WMM469"/>
      <c r="WMN469"/>
      <c r="WMO469"/>
      <c r="WMP469"/>
      <c r="WMQ469"/>
      <c r="WMR469"/>
      <c r="WMS469"/>
      <c r="WMT469"/>
      <c r="WMU469"/>
      <c r="WMV469"/>
      <c r="WMW469"/>
      <c r="WMX469"/>
      <c r="WMY469"/>
      <c r="WMZ469"/>
      <c r="WNA469"/>
      <c r="WNB469"/>
      <c r="WNC469"/>
      <c r="WND469"/>
      <c r="WNE469"/>
      <c r="WNF469"/>
      <c r="WNG469"/>
      <c r="WNH469"/>
      <c r="WNI469"/>
      <c r="WNJ469"/>
      <c r="WNK469"/>
      <c r="WNL469"/>
      <c r="WNM469"/>
      <c r="WNN469"/>
      <c r="WNO469"/>
      <c r="WNP469"/>
      <c r="WNQ469"/>
      <c r="WNR469"/>
      <c r="WNS469"/>
      <c r="WNT469"/>
      <c r="WNU469"/>
      <c r="WNV469"/>
      <c r="WNW469"/>
      <c r="WNX469"/>
      <c r="WNY469"/>
      <c r="WNZ469"/>
      <c r="WOA469"/>
      <c r="WOB469"/>
      <c r="WOC469"/>
      <c r="WOD469"/>
      <c r="WOE469"/>
      <c r="WOF469"/>
      <c r="WOG469"/>
      <c r="WOH469"/>
      <c r="WOI469"/>
      <c r="WOJ469"/>
      <c r="WOK469"/>
      <c r="WOL469"/>
      <c r="WOM469"/>
      <c r="WON469"/>
      <c r="WOO469"/>
      <c r="WOP469"/>
      <c r="WOQ469"/>
      <c r="WOR469"/>
      <c r="WOS469"/>
      <c r="WOT469"/>
      <c r="WOU469"/>
      <c r="WOV469"/>
      <c r="WOW469"/>
      <c r="WOX469"/>
      <c r="WOY469"/>
      <c r="WOZ469"/>
      <c r="WPA469"/>
      <c r="WPB469"/>
      <c r="WPC469"/>
      <c r="WPD469"/>
      <c r="WPE469"/>
      <c r="WPF469"/>
      <c r="WPG469"/>
      <c r="WPH469"/>
      <c r="WPI469"/>
      <c r="WPJ469"/>
      <c r="WPK469"/>
      <c r="WPL469"/>
      <c r="WPM469"/>
      <c r="WPN469"/>
      <c r="WPO469"/>
      <c r="WPP469"/>
      <c r="WPQ469"/>
      <c r="WPR469"/>
      <c r="WPS469"/>
      <c r="WPT469"/>
      <c r="WPU469"/>
      <c r="WPV469"/>
      <c r="WPW469"/>
      <c r="WPX469"/>
      <c r="WPY469"/>
      <c r="WPZ469"/>
      <c r="WQA469"/>
      <c r="WQB469"/>
      <c r="WQC469"/>
      <c r="WQD469"/>
      <c r="WQE469"/>
      <c r="WQF469"/>
      <c r="WQG469"/>
      <c r="WQH469"/>
      <c r="WQI469"/>
      <c r="WQJ469"/>
      <c r="WQK469"/>
      <c r="WQL469"/>
      <c r="WQM469"/>
      <c r="WQN469"/>
      <c r="WQO469"/>
      <c r="WQP469"/>
      <c r="WQQ469"/>
      <c r="WQR469"/>
      <c r="WQS469"/>
      <c r="WQT469"/>
      <c r="WQU469"/>
      <c r="WQV469"/>
      <c r="WQW469"/>
      <c r="WQX469"/>
      <c r="WQY469"/>
      <c r="WQZ469"/>
      <c r="WRA469"/>
      <c r="WRB469"/>
      <c r="WRC469"/>
      <c r="WRD469"/>
      <c r="WRE469"/>
      <c r="WRF469"/>
      <c r="WRG469"/>
      <c r="WRH469"/>
      <c r="WRI469"/>
      <c r="WRJ469"/>
      <c r="WRK469"/>
      <c r="WRL469"/>
      <c r="WRM469"/>
      <c r="WRN469"/>
      <c r="WRO469"/>
      <c r="WRP469"/>
      <c r="WRQ469"/>
      <c r="WRR469"/>
      <c r="WRS469"/>
      <c r="WRT469"/>
      <c r="WRU469"/>
      <c r="WRV469"/>
      <c r="WRW469"/>
      <c r="WRX469"/>
      <c r="WRY469"/>
      <c r="WRZ469"/>
      <c r="WSA469"/>
      <c r="WSB469"/>
      <c r="WSC469"/>
      <c r="WSD469"/>
      <c r="WSE469"/>
      <c r="WSF469"/>
      <c r="WSG469"/>
      <c r="WSH469"/>
      <c r="WSI469"/>
      <c r="WSJ469"/>
      <c r="WSK469"/>
      <c r="WSL469"/>
      <c r="WSM469"/>
      <c r="WSN469"/>
      <c r="WSO469"/>
      <c r="WSP469"/>
      <c r="WSQ469"/>
      <c r="WSR469"/>
      <c r="WSS469"/>
      <c r="WST469"/>
      <c r="WSU469"/>
      <c r="WSV469"/>
      <c r="WSW469"/>
      <c r="WSX469"/>
      <c r="WSY469"/>
      <c r="WSZ469"/>
      <c r="WTA469"/>
      <c r="WTB469"/>
      <c r="WTC469"/>
      <c r="WTD469"/>
      <c r="WTE469"/>
      <c r="WTF469"/>
      <c r="WTG469"/>
      <c r="WTH469"/>
      <c r="WTI469"/>
      <c r="WTJ469"/>
      <c r="WTK469"/>
      <c r="WTL469"/>
      <c r="WTM469"/>
      <c r="WTN469"/>
      <c r="WTO469"/>
      <c r="WTP469"/>
      <c r="WTQ469"/>
      <c r="WTR469"/>
      <c r="WTS469"/>
      <c r="WTT469"/>
      <c r="WTU469"/>
      <c r="WTV469"/>
      <c r="WTW469"/>
      <c r="WTX469"/>
      <c r="WTY469"/>
      <c r="WTZ469"/>
      <c r="WUA469"/>
      <c r="WUB469"/>
      <c r="WUC469"/>
      <c r="WUD469"/>
      <c r="WUE469"/>
      <c r="WUF469"/>
      <c r="WUG469"/>
      <c r="WUH469"/>
      <c r="WUI469"/>
      <c r="WUJ469"/>
      <c r="WUK469"/>
      <c r="WUL469"/>
      <c r="WUM469"/>
      <c r="WUN469"/>
      <c r="WUO469"/>
      <c r="WUP469"/>
      <c r="WUQ469"/>
      <c r="WUR469"/>
      <c r="WUS469"/>
      <c r="WUT469"/>
      <c r="WUU469"/>
      <c r="WUV469"/>
      <c r="WUW469"/>
      <c r="WUX469"/>
      <c r="WUY469"/>
      <c r="WUZ469"/>
      <c r="WVA469"/>
      <c r="WVB469"/>
      <c r="WVC469"/>
      <c r="WVD469"/>
      <c r="WVE469"/>
      <c r="WVF469"/>
      <c r="WVG469"/>
      <c r="WVH469"/>
      <c r="WVI469"/>
      <c r="WVJ469"/>
      <c r="WVK469"/>
      <c r="WVL469"/>
      <c r="WVM469"/>
      <c r="WVN469"/>
      <c r="WVO469"/>
      <c r="WVP469"/>
      <c r="WVQ469"/>
      <c r="WVR469"/>
      <c r="WVS469"/>
      <c r="WVT469"/>
      <c r="WVU469"/>
      <c r="WVV469"/>
      <c r="WVW469"/>
      <c r="WVX469"/>
      <c r="WVY469"/>
      <c r="WVZ469"/>
      <c r="WWA469"/>
      <c r="WWB469"/>
      <c r="WWC469"/>
      <c r="WWD469"/>
      <c r="WWE469"/>
      <c r="WWF469"/>
      <c r="WWG469"/>
      <c r="WWH469"/>
      <c r="WWI469"/>
      <c r="WWJ469"/>
      <c r="WWK469"/>
      <c r="WWL469"/>
      <c r="WWM469"/>
      <c r="WWN469"/>
      <c r="WWO469"/>
      <c r="WWP469"/>
      <c r="WWQ469"/>
      <c r="WWR469"/>
      <c r="WWS469"/>
      <c r="WWT469"/>
      <c r="WWU469"/>
      <c r="WWV469"/>
      <c r="WWW469"/>
      <c r="WWX469"/>
      <c r="WWY469"/>
      <c r="WWZ469"/>
      <c r="WXA469"/>
      <c r="WXB469"/>
      <c r="WXC469"/>
      <c r="WXD469"/>
      <c r="WXE469"/>
      <c r="WXF469"/>
      <c r="WXG469"/>
      <c r="WXH469"/>
      <c r="WXI469"/>
      <c r="WXJ469"/>
      <c r="WXK469"/>
      <c r="WXL469"/>
      <c r="WXM469"/>
      <c r="WXN469"/>
      <c r="WXO469"/>
      <c r="WXP469"/>
      <c r="WXQ469"/>
      <c r="WXR469"/>
      <c r="WXS469"/>
      <c r="WXT469"/>
      <c r="WXU469"/>
      <c r="WXV469"/>
      <c r="WXW469"/>
      <c r="WXX469"/>
      <c r="WXY469"/>
      <c r="WXZ469"/>
      <c r="WYA469"/>
      <c r="WYB469"/>
      <c r="WYC469"/>
      <c r="WYD469"/>
      <c r="WYE469"/>
      <c r="WYF469"/>
      <c r="WYG469"/>
      <c r="WYH469"/>
      <c r="WYI469"/>
      <c r="WYJ469"/>
      <c r="WYK469"/>
      <c r="WYL469"/>
      <c r="WYM469"/>
      <c r="WYN469"/>
      <c r="WYO469"/>
      <c r="WYP469"/>
      <c r="WYQ469"/>
      <c r="WYR469"/>
      <c r="WYS469"/>
      <c r="WYT469"/>
      <c r="WYU469"/>
      <c r="WYV469"/>
      <c r="WYW469"/>
      <c r="WYX469"/>
      <c r="WYY469"/>
      <c r="WYZ469"/>
      <c r="WZA469"/>
      <c r="WZB469"/>
      <c r="WZC469"/>
      <c r="WZD469"/>
      <c r="WZE469"/>
      <c r="WZF469"/>
      <c r="WZG469"/>
      <c r="WZH469"/>
      <c r="WZI469"/>
      <c r="WZJ469"/>
      <c r="WZK469"/>
      <c r="WZL469"/>
      <c r="WZM469"/>
      <c r="WZN469"/>
      <c r="WZO469"/>
      <c r="WZP469"/>
      <c r="WZQ469"/>
      <c r="WZR469"/>
      <c r="WZS469"/>
      <c r="WZT469"/>
      <c r="WZU469"/>
      <c r="WZV469"/>
      <c r="WZW469"/>
      <c r="WZX469"/>
      <c r="WZY469"/>
      <c r="WZZ469"/>
      <c r="XAA469"/>
      <c r="XAB469"/>
      <c r="XAC469"/>
      <c r="XAD469"/>
      <c r="XAE469"/>
      <c r="XAF469"/>
      <c r="XAG469"/>
      <c r="XAH469"/>
      <c r="XAI469"/>
      <c r="XAJ469"/>
      <c r="XAK469"/>
      <c r="XAL469"/>
      <c r="XAM469"/>
      <c r="XAN469"/>
      <c r="XAO469"/>
      <c r="XAP469"/>
      <c r="XAQ469"/>
      <c r="XAR469"/>
      <c r="XAS469"/>
      <c r="XAT469"/>
      <c r="XAU469"/>
      <c r="XAV469"/>
      <c r="XAW469"/>
      <c r="XAX469"/>
      <c r="XAY469"/>
      <c r="XAZ469"/>
      <c r="XBA469"/>
      <c r="XBB469"/>
      <c r="XBC469"/>
      <c r="XBD469"/>
      <c r="XBE469"/>
      <c r="XBF469"/>
      <c r="XBG469"/>
      <c r="XBH469"/>
      <c r="XBI469"/>
      <c r="XBJ469"/>
      <c r="XBK469"/>
      <c r="XBL469"/>
      <c r="XBM469"/>
      <c r="XBN469"/>
      <c r="XBO469"/>
      <c r="XBP469"/>
      <c r="XBQ469"/>
      <c r="XBR469"/>
      <c r="XBS469"/>
      <c r="XBT469"/>
      <c r="XBU469"/>
      <c r="XBV469"/>
      <c r="XBW469"/>
      <c r="XBX469"/>
      <c r="XBY469"/>
      <c r="XBZ469"/>
      <c r="XCA469"/>
      <c r="XCB469"/>
      <c r="XCC469"/>
      <c r="XCD469"/>
      <c r="XCE469"/>
      <c r="XCF469"/>
      <c r="XCG469"/>
      <c r="XCH469"/>
      <c r="XCI469"/>
      <c r="XCJ469"/>
      <c r="XCK469"/>
      <c r="XCL469"/>
      <c r="XCM469"/>
      <c r="XCN469"/>
      <c r="XCO469"/>
      <c r="XCP469"/>
      <c r="XCQ469"/>
      <c r="XCR469"/>
      <c r="XCS469"/>
      <c r="XCT469"/>
      <c r="XCU469"/>
      <c r="XCV469"/>
      <c r="XCW469"/>
      <c r="XCX469"/>
      <c r="XCY469"/>
      <c r="XCZ469"/>
      <c r="XDA469"/>
      <c r="XDB469"/>
      <c r="XDC469"/>
      <c r="XDD469"/>
      <c r="XDE469"/>
      <c r="XDF469"/>
      <c r="XDG469"/>
      <c r="XDH469"/>
      <c r="XDI469"/>
      <c r="XDJ469"/>
      <c r="XDK469"/>
      <c r="XDL469"/>
      <c r="XDM469"/>
      <c r="XDN469"/>
      <c r="XDO469"/>
      <c r="XDP469"/>
      <c r="XDQ469"/>
      <c r="XDR469"/>
      <c r="XDS469"/>
      <c r="XDT469"/>
      <c r="XDU469"/>
      <c r="XDV469"/>
      <c r="XDW469"/>
      <c r="XDX469"/>
      <c r="XDY469"/>
      <c r="XDZ469"/>
      <c r="XEA469"/>
      <c r="XEB469"/>
      <c r="XEC469"/>
      <c r="XED469"/>
      <c r="XEE469"/>
      <c r="XEF469"/>
      <c r="XEG469"/>
      <c r="XEH469"/>
      <c r="XEI469"/>
      <c r="XEJ469"/>
      <c r="XEK469"/>
      <c r="XEL469"/>
      <c r="XEM469"/>
      <c r="XEN469"/>
      <c r="XEO469"/>
      <c r="XEP469"/>
      <c r="XEQ469"/>
      <c r="XER469"/>
      <c r="XES469"/>
      <c r="XET469"/>
      <c r="XEU469"/>
      <c r="XEV469"/>
      <c r="XEW469"/>
      <c r="XEX469"/>
      <c r="XEY469"/>
      <c r="XEZ469"/>
      <c r="XFA469"/>
      <c r="XFB469"/>
      <c r="XFC469"/>
      <c r="XFD469"/>
    </row>
    <row r="470" spans="1:16384" ht="15" customHeight="1">
      <c r="A470" s="94" t="s">
        <v>7819</v>
      </c>
      <c r="B470" s="82" t="str">
        <f t="shared" ca="1" si="6"/>
        <v>Street Name and Number</v>
      </c>
      <c r="C470" s="82"/>
      <c r="D470" s="94" t="s">
        <v>7819</v>
      </c>
      <c r="E470" s="82"/>
      <c r="F470" s="82"/>
      <c r="G470" s="82"/>
      <c r="H470" s="82"/>
      <c r="I470" s="82"/>
      <c r="J470" s="82"/>
      <c r="K470" s="82"/>
      <c r="L470" s="82"/>
      <c r="M470" s="82"/>
      <c r="N470" s="82"/>
    </row>
    <row r="471" spans="1:16384" ht="15" customHeight="1">
      <c r="A471" s="98" t="s">
        <v>7820</v>
      </c>
      <c r="B471" s="46" t="str">
        <f t="shared" ca="1" si="6"/>
        <v>Parish</v>
      </c>
      <c r="C471" s="98"/>
      <c r="D471" s="98" t="s">
        <v>7820</v>
      </c>
      <c r="E471" s="46"/>
      <c r="F471" s="46"/>
      <c r="G471" s="46"/>
      <c r="H471" s="46"/>
      <c r="I471" s="46"/>
      <c r="J471" s="46"/>
      <c r="K471" s="46"/>
      <c r="L471" s="46"/>
      <c r="M471" s="46"/>
      <c r="N471" s="46"/>
    </row>
    <row r="472" spans="1:16384" ht="15" customHeight="1">
      <c r="A472" s="98" t="s">
        <v>7821</v>
      </c>
      <c r="B472" s="46" t="str">
        <f t="shared" ca="1" si="6"/>
        <v>Blood Group</v>
      </c>
      <c r="C472" s="98"/>
      <c r="D472" s="98" t="s">
        <v>7821</v>
      </c>
    </row>
    <row r="473" spans="1:16384" ht="15" customHeight="1">
      <c r="A473" s="98" t="s">
        <v>7822</v>
      </c>
      <c r="B473" s="46" t="str">
        <f t="shared" ca="1" si="6"/>
        <v>Shirt - Size</v>
      </c>
      <c r="C473" s="98"/>
      <c r="D473" s="98" t="s">
        <v>7822</v>
      </c>
    </row>
    <row r="474" spans="1:16384" ht="15" customHeight="1">
      <c r="A474" s="98" t="s">
        <v>7823</v>
      </c>
      <c r="B474" s="46" t="str">
        <f t="shared" ca="1" si="6"/>
        <v>Pants - Size</v>
      </c>
      <c r="C474" s="98"/>
      <c r="D474" s="98" t="s">
        <v>7823</v>
      </c>
    </row>
    <row r="475" spans="1:16384" ht="15" customHeight="1">
      <c r="A475" s="98" t="s">
        <v>7824</v>
      </c>
      <c r="B475" s="46" t="str">
        <f t="shared" ca="1" si="6"/>
        <v>Shoe - Size</v>
      </c>
      <c r="C475" s="98"/>
      <c r="D475" s="98" t="s">
        <v>7824</v>
      </c>
    </row>
    <row r="476" spans="1:16384" ht="15" customHeight="1">
      <c r="A476" s="99" t="s">
        <v>7825</v>
      </c>
      <c r="B476" s="99" t="str">
        <f t="shared" ca="1" si="6"/>
        <v>Height</v>
      </c>
      <c r="C476" s="99"/>
      <c r="D476" s="99" t="s">
        <v>7825</v>
      </c>
    </row>
    <row r="477" spans="1:16384" ht="15" customHeight="1">
      <c r="A477" s="99" t="s">
        <v>7826</v>
      </c>
      <c r="B477" s="99" t="str">
        <f t="shared" ca="1" si="6"/>
        <v>Weight Kgs.</v>
      </c>
      <c r="C477" s="99"/>
      <c r="D477" s="99" t="s">
        <v>7826</v>
      </c>
    </row>
    <row r="478" spans="1:16384" ht="15" customHeight="1">
      <c r="A478" s="99" t="s">
        <v>7827</v>
      </c>
      <c r="B478" s="99" t="str">
        <f t="shared" ca="1" si="6"/>
        <v>Left Handed</v>
      </c>
      <c r="C478" s="99"/>
      <c r="D478" s="99" t="s">
        <v>7827</v>
      </c>
    </row>
    <row r="479" spans="1:16384" ht="15" customHeight="1">
      <c r="A479" s="99" t="s">
        <v>7828</v>
      </c>
      <c r="B479" s="99" t="str">
        <f t="shared" ca="1" si="6"/>
        <v>Driver´s License (Level)</v>
      </c>
      <c r="C479" s="99"/>
      <c r="D479" s="99" t="s">
        <v>7828</v>
      </c>
    </row>
    <row r="480" spans="1:16384" ht="15" customHeight="1">
      <c r="A480" s="99" t="s">
        <v>7829</v>
      </c>
      <c r="B480" s="99" t="str">
        <f t="shared" ca="1" si="6"/>
        <v>Own Vehicle</v>
      </c>
      <c r="C480" s="99"/>
      <c r="D480" s="99" t="s">
        <v>7829</v>
      </c>
    </row>
    <row r="481" spans="1:4" ht="15" customHeight="1">
      <c r="A481" s="99" t="s">
        <v>7830</v>
      </c>
      <c r="B481" s="99" t="str">
        <f t="shared" ca="1" si="6"/>
        <v>Brand</v>
      </c>
      <c r="C481" s="99"/>
      <c r="D481" s="99" t="s">
        <v>7830</v>
      </c>
    </row>
    <row r="482" spans="1:4" ht="15" customHeight="1">
      <c r="A482" s="99" t="s">
        <v>7831</v>
      </c>
      <c r="B482" s="99" t="str">
        <f t="shared" ca="1" si="6"/>
        <v>Model</v>
      </c>
      <c r="C482" s="99"/>
      <c r="D482" s="99" t="s">
        <v>7831</v>
      </c>
    </row>
    <row r="483" spans="1:4" ht="15" customHeight="1">
      <c r="A483" s="99" t="s">
        <v>7832</v>
      </c>
      <c r="B483" s="99" t="str">
        <f t="shared" ca="1" si="6"/>
        <v>Year</v>
      </c>
      <c r="C483" s="99"/>
      <c r="D483" s="99" t="s">
        <v>7832</v>
      </c>
    </row>
    <row r="484" spans="1:4" ht="15" customHeight="1">
      <c r="A484" s="99" t="s">
        <v>7833</v>
      </c>
      <c r="B484" s="99" t="str">
        <f t="shared" ca="1" si="6"/>
        <v>Who Would Suggest You To Complete This Offer</v>
      </c>
      <c r="C484" s="99"/>
      <c r="D484" s="99" t="s">
        <v>7833</v>
      </c>
    </row>
    <row r="485" spans="1:4" ht="15" customHeight="1">
      <c r="A485" s="99" t="s">
        <v>7834</v>
      </c>
      <c r="B485" s="99" t="str">
        <f t="shared" ca="1" si="6"/>
        <v>Aspired Salary</v>
      </c>
      <c r="C485" s="99"/>
      <c r="D485" s="99" t="s">
        <v>7834</v>
      </c>
    </row>
    <row r="486" spans="1:4" ht="15" customHeight="1">
      <c r="A486" s="99" t="s">
        <v>7835</v>
      </c>
      <c r="B486" s="99" t="str">
        <f t="shared" ca="1" si="6"/>
        <v>Date Available to Start Working</v>
      </c>
      <c r="C486" s="99"/>
      <c r="D486" s="99" t="s">
        <v>7835</v>
      </c>
    </row>
    <row r="487" spans="1:4" ht="15" customHeight="1">
      <c r="A487" s="99" t="s">
        <v>7836</v>
      </c>
      <c r="B487" s="99" t="str">
        <f t="shared" ca="1" si="6"/>
        <v>Currently Working</v>
      </c>
      <c r="C487" s="99"/>
      <c r="D487" s="99" t="s">
        <v>7836</v>
      </c>
    </row>
    <row r="488" spans="1:4" ht="15" customHeight="1">
      <c r="A488" s="99" t="s">
        <v>7837</v>
      </c>
      <c r="B488" s="99" t="str">
        <f t="shared" ca="1" si="6"/>
        <v>Availability to Travel</v>
      </c>
      <c r="C488" s="99"/>
      <c r="D488" s="99" t="s">
        <v>7837</v>
      </c>
    </row>
    <row r="489" spans="1:4" ht="15" customHeight="1">
      <c r="A489" s="99" t="s">
        <v>7838</v>
      </c>
      <c r="B489" s="99" t="str">
        <f t="shared" ca="1" si="6"/>
        <v xml:space="preserve">
Cities Where You Will be Willing to Work </v>
      </c>
      <c r="C489" s="99"/>
      <c r="D489" s="99" t="s">
        <v>7838</v>
      </c>
    </row>
    <row r="490" spans="1:4" ht="15" customHeight="1">
      <c r="A490" s="99" t="s">
        <v>7839</v>
      </c>
      <c r="B490" s="99" t="str">
        <f t="shared" ca="1" si="6"/>
        <v>Read</v>
      </c>
      <c r="C490" s="99"/>
      <c r="D490" s="99" t="s">
        <v>7839</v>
      </c>
    </row>
    <row r="491" spans="1:4" ht="15" customHeight="1">
      <c r="A491" s="99" t="s">
        <v>7840</v>
      </c>
      <c r="B491" s="46" t="str">
        <f t="shared" ca="1" si="6"/>
        <v>Writes</v>
      </c>
      <c r="C491" s="99"/>
      <c r="D491" s="99" t="s">
        <v>7840</v>
      </c>
    </row>
    <row r="492" spans="1:4" ht="15" customHeight="1">
      <c r="A492" s="99" t="s">
        <v>7841</v>
      </c>
      <c r="B492" s="46" t="str">
        <f t="shared" ca="1" si="6"/>
        <v>Speaks</v>
      </c>
      <c r="C492" s="99"/>
      <c r="D492" s="99" t="s">
        <v>7841</v>
      </c>
    </row>
    <row r="493" spans="1:4" ht="15" customHeight="1">
      <c r="A493" s="99" t="s">
        <v>5032</v>
      </c>
      <c r="B493" s="46" t="str">
        <f t="shared" ca="1" si="6"/>
        <v>Start Date</v>
      </c>
      <c r="C493" s="99"/>
      <c r="D493" s="99" t="s">
        <v>5032</v>
      </c>
    </row>
    <row r="494" spans="1:4" ht="15" customHeight="1">
      <c r="A494" s="99" t="s">
        <v>5036</v>
      </c>
      <c r="B494" s="46" t="str">
        <f t="shared" ca="1" si="6"/>
        <v>End Date</v>
      </c>
      <c r="C494" s="99"/>
      <c r="D494" s="99" t="s">
        <v>5036</v>
      </c>
    </row>
    <row r="495" spans="1:4" ht="15" customHeight="1">
      <c r="A495" s="99" t="s">
        <v>7842</v>
      </c>
      <c r="B495" s="46" t="str">
        <f t="shared" ref="B495:B558" ca="1" si="7">IFERROR(IF(ISBLANK(OFFSET(B495,0,$Q$1-1)),D495,OFFSET(B495,0,$Q$1-1)),"Please select language")</f>
        <v>End Reason</v>
      </c>
      <c r="C495" s="99"/>
      <c r="D495" s="99" t="s">
        <v>7842</v>
      </c>
    </row>
    <row r="496" spans="1:4" ht="15" customHeight="1">
      <c r="A496" s="99" t="s">
        <v>7843</v>
      </c>
      <c r="B496" s="46" t="str">
        <f t="shared" ca="1" si="7"/>
        <v xml:space="preserve">First Position </v>
      </c>
      <c r="C496" s="99"/>
      <c r="D496" s="99" t="s">
        <v>7843</v>
      </c>
    </row>
    <row r="497" spans="1:4" ht="15" customHeight="1">
      <c r="A497" s="99" t="s">
        <v>7844</v>
      </c>
      <c r="B497" s="46" t="str">
        <f t="shared" ca="1" si="7"/>
        <v>Last Position</v>
      </c>
      <c r="C497" s="99"/>
      <c r="D497" s="99" t="s">
        <v>7844</v>
      </c>
    </row>
    <row r="498" spans="1:4" ht="15" customHeight="1">
      <c r="A498" s="99" t="s">
        <v>7845</v>
      </c>
      <c r="B498" s="46" t="str">
        <f t="shared" ca="1" si="7"/>
        <v>Last Wage/Salary</v>
      </c>
      <c r="C498" s="99"/>
      <c r="D498" s="99" t="s">
        <v>7845</v>
      </c>
    </row>
    <row r="499" spans="1:4" ht="15" customHeight="1">
      <c r="A499" s="99" t="s">
        <v>7846</v>
      </c>
      <c r="B499" s="46" t="str">
        <f t="shared" ca="1" si="7"/>
        <v xml:space="preserve">Place </v>
      </c>
      <c r="C499" s="99"/>
      <c r="D499" s="99" t="s">
        <v>7846</v>
      </c>
    </row>
    <row r="500" spans="1:4" ht="15" customHeight="1">
      <c r="A500" s="99" t="s">
        <v>5032</v>
      </c>
      <c r="B500" s="46" t="str">
        <f t="shared" ca="1" si="7"/>
        <v>Start Date</v>
      </c>
      <c r="C500" s="99"/>
      <c r="D500" s="99" t="s">
        <v>5032</v>
      </c>
    </row>
    <row r="501" spans="1:4" ht="15" customHeight="1">
      <c r="A501" s="99" t="s">
        <v>5036</v>
      </c>
      <c r="B501" s="46" t="str">
        <f t="shared" ca="1" si="7"/>
        <v>End Date</v>
      </c>
      <c r="C501" s="99"/>
      <c r="D501" s="99" t="s">
        <v>5036</v>
      </c>
    </row>
    <row r="502" spans="1:4" ht="15" customHeight="1">
      <c r="A502" s="99" t="s">
        <v>7847</v>
      </c>
      <c r="B502" s="46" t="str">
        <f t="shared" ca="1" si="7"/>
        <v>Duration (Hours)</v>
      </c>
      <c r="C502" s="99"/>
      <c r="D502" s="99" t="s">
        <v>7847</v>
      </c>
    </row>
    <row r="503" spans="1:4" ht="15" customHeight="1">
      <c r="A503" s="99" t="s">
        <v>7848</v>
      </c>
      <c r="B503" s="46" t="str">
        <f t="shared" ca="1" si="7"/>
        <v>Other knowledge</v>
      </c>
      <c r="C503" s="99"/>
      <c r="D503" s="99" t="s">
        <v>7848</v>
      </c>
    </row>
    <row r="504" spans="1:4" ht="15" customHeight="1">
      <c r="A504" s="99" t="s">
        <v>7849</v>
      </c>
      <c r="B504" s="46" t="str">
        <f t="shared" ca="1" si="7"/>
        <v>Time you Know</v>
      </c>
      <c r="C504" s="99"/>
      <c r="D504" s="99" t="s">
        <v>7849</v>
      </c>
    </row>
    <row r="505" spans="1:4" ht="15" customHeight="1">
      <c r="A505" s="99" t="s">
        <v>7850</v>
      </c>
      <c r="B505" s="46" t="str">
        <f t="shared" ca="1" si="7"/>
        <v>I declare that the information provided herein is true, and I authorize Cargill de Venezuela C.A, the verification thereof. On the other hand, I declare that the documentation that I have delivered or will deliver to Cargill de Venezuela C.A, on my person, is owned by the Company.</v>
      </c>
      <c r="C505" s="99"/>
      <c r="D505" s="99" t="s">
        <v>7850</v>
      </c>
    </row>
    <row r="506" spans="1:4" ht="15" customHeight="1">
      <c r="A506" s="99" t="s">
        <v>7851</v>
      </c>
      <c r="B506" s="46" t="str">
        <f t="shared" ca="1" si="7"/>
        <v>Place and Date</v>
      </c>
      <c r="C506" s="99"/>
      <c r="D506" s="99" t="s">
        <v>7851</v>
      </c>
    </row>
    <row r="507" spans="1:4" ht="15" customHeight="1">
      <c r="A507" s="99" t="s">
        <v>7852</v>
      </c>
      <c r="B507" s="46" t="str">
        <f t="shared" ca="1" si="7"/>
        <v>Employee´s Signature</v>
      </c>
      <c r="C507" s="99"/>
      <c r="D507" s="99" t="s">
        <v>7852</v>
      </c>
    </row>
    <row r="508" spans="1:4" ht="15" customHeight="1">
      <c r="A508" s="99" t="s">
        <v>7853</v>
      </c>
      <c r="B508" s="46" t="str">
        <f t="shared" ca="1" si="7"/>
        <v>Comments/Observations</v>
      </c>
      <c r="C508" s="99"/>
      <c r="D508" s="99" t="s">
        <v>7853</v>
      </c>
    </row>
    <row r="509" spans="1:4" ht="15" customHeight="1">
      <c r="A509" s="99" t="s">
        <v>7854</v>
      </c>
      <c r="B509" s="46" t="str">
        <f t="shared" ca="1" si="7"/>
        <v>Reviewed By</v>
      </c>
      <c r="C509" s="99"/>
      <c r="D509" s="99" t="s">
        <v>7854</v>
      </c>
    </row>
    <row r="510" spans="1:4" ht="15" customHeight="1">
      <c r="A510" s="99" t="s">
        <v>7855</v>
      </c>
      <c r="B510" s="46" t="str">
        <f t="shared" ca="1" si="7"/>
        <v>Recruiting Singature</v>
      </c>
      <c r="C510" s="99"/>
      <c r="D510" s="99" t="s">
        <v>7855</v>
      </c>
    </row>
    <row r="511" spans="1:4" ht="15" customHeight="1">
      <c r="A511" s="99" t="s">
        <v>5026</v>
      </c>
      <c r="B511" s="46" t="str">
        <f t="shared" ca="1" si="7"/>
        <v>Date</v>
      </c>
      <c r="C511" s="99"/>
      <c r="D511" s="99" t="s">
        <v>5026</v>
      </c>
    </row>
    <row r="512" spans="1:4" ht="15" customHeight="1">
      <c r="A512" s="99" t="s">
        <v>7856</v>
      </c>
      <c r="B512" s="46" t="str">
        <f t="shared" ca="1" si="7"/>
        <v>Personal Details</v>
      </c>
      <c r="C512" s="99"/>
      <c r="D512" s="99" t="s">
        <v>7856</v>
      </c>
    </row>
    <row r="513" spans="1:14" ht="15" customHeight="1">
      <c r="A513" s="99" t="s">
        <v>7857</v>
      </c>
      <c r="B513" s="46" t="str">
        <f t="shared" ca="1" si="7"/>
        <v>Skills</v>
      </c>
      <c r="C513" s="99"/>
      <c r="D513" s="99" t="s">
        <v>7857</v>
      </c>
    </row>
    <row r="514" spans="1:14" ht="15" customHeight="1">
      <c r="A514" s="99" t="s">
        <v>7858</v>
      </c>
      <c r="B514" s="46" t="str">
        <f t="shared" ca="1" si="7"/>
        <v>Effective date</v>
      </c>
      <c r="C514" s="99"/>
      <c r="D514" s="99" t="s">
        <v>7858</v>
      </c>
    </row>
    <row r="515" spans="1:14" ht="15" customHeight="1">
      <c r="A515" s="99" t="s">
        <v>7859</v>
      </c>
      <c r="B515" s="46" t="str">
        <f t="shared" ca="1" si="7"/>
        <v>Job records (previous employer)</v>
      </c>
      <c r="C515" s="99"/>
      <c r="D515" s="99" t="s">
        <v>7859</v>
      </c>
    </row>
    <row r="516" spans="1:14" ht="15" customHeight="1">
      <c r="A516" s="99" t="s">
        <v>7860</v>
      </c>
      <c r="B516" s="46" t="str">
        <f t="shared" ca="1" si="7"/>
        <v>Training</v>
      </c>
      <c r="C516" s="99"/>
      <c r="D516" s="99" t="s">
        <v>7860</v>
      </c>
    </row>
    <row r="517" spans="1:14" ht="15" customHeight="1">
      <c r="A517" s="99" t="s">
        <v>7861</v>
      </c>
      <c r="B517" s="46" t="str">
        <f t="shared" ca="1" si="7"/>
        <v>Miscellaneous Empployment Questions</v>
      </c>
      <c r="C517" s="99"/>
      <c r="D517" s="99" t="s">
        <v>7861</v>
      </c>
    </row>
    <row r="518" spans="1:14" ht="15" customHeight="1">
      <c r="A518" s="94" t="s">
        <v>7864</v>
      </c>
      <c r="B518" s="82" t="str">
        <f t="shared" ca="1" si="7"/>
        <v>Academic Degree</v>
      </c>
      <c r="C518" s="82"/>
      <c r="D518" s="94" t="s">
        <v>7864</v>
      </c>
      <c r="E518" s="82"/>
      <c r="F518" s="82"/>
      <c r="G518" s="82"/>
      <c r="H518" s="82"/>
      <c r="I518" s="82"/>
      <c r="J518" s="82"/>
      <c r="K518" s="82"/>
      <c r="L518" s="82"/>
      <c r="M518" s="82"/>
      <c r="N518" s="82"/>
    </row>
    <row r="519" spans="1:14" ht="15" customHeight="1">
      <c r="A519" s="82" t="s">
        <v>7865</v>
      </c>
      <c r="B519" s="82" t="str">
        <f t="shared" ca="1" si="7"/>
        <v>Alternative Occupation</v>
      </c>
      <c r="C519" s="82"/>
      <c r="D519" s="82" t="s">
        <v>7865</v>
      </c>
    </row>
    <row r="520" spans="1:14" ht="15" customHeight="1">
      <c r="A520" s="82" t="s">
        <v>7905</v>
      </c>
      <c r="B520" s="82" t="str">
        <f t="shared" ca="1" si="7"/>
        <v>Municipality/Municipio</v>
      </c>
      <c r="C520" s="82"/>
      <c r="D520" s="82" t="s">
        <v>7905</v>
      </c>
    </row>
    <row r="521" spans="1:14" ht="15" customHeight="1">
      <c r="A521" s="100" t="s">
        <v>7884</v>
      </c>
      <c r="B521" s="82" t="str">
        <f t="shared" ca="1" si="7"/>
        <v>State of Birth</v>
      </c>
      <c r="C521" s="82"/>
      <c r="D521" s="101" t="s">
        <v>7884</v>
      </c>
    </row>
    <row r="522" spans="1:14" ht="15" customHeight="1">
      <c r="A522" s="100" t="s">
        <v>7885</v>
      </c>
      <c r="B522" s="82" t="str">
        <f t="shared" ca="1" si="7"/>
        <v>CBU (Argentina)</v>
      </c>
      <c r="C522" s="82"/>
      <c r="D522" s="101" t="s">
        <v>7885</v>
      </c>
    </row>
    <row r="523" spans="1:14" ht="15" customHeight="1">
      <c r="A523" s="100" t="s">
        <v>7886</v>
      </c>
      <c r="B523" s="82" t="str">
        <f t="shared" ca="1" si="7"/>
        <v>Colony</v>
      </c>
      <c r="C523" s="82"/>
      <c r="D523" s="101" t="s">
        <v>7886</v>
      </c>
    </row>
    <row r="524" spans="1:14" ht="15" customHeight="1">
      <c r="A524" s="100" t="s">
        <v>7887</v>
      </c>
      <c r="B524" s="82" t="str">
        <f t="shared" ca="1" si="7"/>
        <v>Planned Compensation Type</v>
      </c>
      <c r="C524" s="82"/>
      <c r="D524" s="101" t="s">
        <v>7887</v>
      </c>
    </row>
    <row r="525" spans="1:14" ht="15" customHeight="1">
      <c r="A525" s="99" t="s">
        <v>7900</v>
      </c>
      <c r="B525" s="46" t="str">
        <f t="shared" ca="1" si="7"/>
        <v>Bank Control Key (Mexico)</v>
      </c>
      <c r="C525" s="99"/>
      <c r="D525" s="99" t="s">
        <v>7900</v>
      </c>
    </row>
    <row r="526" spans="1:14" ht="15" customHeight="1">
      <c r="A526" s="99" t="s">
        <v>7901</v>
      </c>
      <c r="B526" s="46" t="str">
        <f t="shared" ca="1" si="7"/>
        <v>CLABE Number (Mexico)</v>
      </c>
      <c r="C526" s="99"/>
      <c r="D526" s="99" t="s">
        <v>7901</v>
      </c>
    </row>
    <row r="527" spans="1:14" ht="15" customHeight="1">
      <c r="A527" s="99" t="s">
        <v>7914</v>
      </c>
      <c r="B527" s="46" t="str">
        <f t="shared" ca="1" si="7"/>
        <v>Bank Name</v>
      </c>
      <c r="C527" s="99"/>
      <c r="D527" s="99" t="s">
        <v>7914</v>
      </c>
    </row>
    <row r="528" spans="1:14" ht="15" customHeight="1">
      <c r="A528" s="99" t="s">
        <v>7913</v>
      </c>
      <c r="B528" s="46" t="str">
        <f t="shared" ca="1" si="7"/>
        <v>UBIGEO</v>
      </c>
      <c r="C528" s="99"/>
      <c r="D528" s="99" t="s">
        <v>7913</v>
      </c>
    </row>
    <row r="529" spans="1:4" ht="15" customHeight="1">
      <c r="A529" s="99" t="s">
        <v>7927</v>
      </c>
      <c r="B529" s="46" t="str">
        <f t="shared" ca="1" si="7"/>
        <v>Account Type (Ecuador)</v>
      </c>
      <c r="C529" s="99"/>
      <c r="D529" s="99" t="s">
        <v>7927</v>
      </c>
    </row>
    <row r="530" spans="1:4" ht="15" customHeight="1">
      <c r="A530" s="99" t="s">
        <v>7931</v>
      </c>
      <c r="B530" s="46" t="str">
        <f t="shared" ca="1" si="7"/>
        <v>Bank Name (Honduras)</v>
      </c>
      <c r="C530" s="99"/>
      <c r="D530" s="99" t="s">
        <v>7931</v>
      </c>
    </row>
    <row r="531" spans="1:4" ht="15" customHeight="1">
      <c r="A531" s="99" t="s">
        <v>7933</v>
      </c>
      <c r="B531" s="46" t="str">
        <f t="shared" ca="1" si="7"/>
        <v>Challenged</v>
      </c>
      <c r="C531" s="99"/>
      <c r="D531" s="99" t="s">
        <v>7933</v>
      </c>
    </row>
    <row r="532" spans="1:4" ht="15" customHeight="1">
      <c r="A532" s="99" t="s">
        <v>7934</v>
      </c>
      <c r="B532" s="46" t="str">
        <f t="shared" ca="1" si="7"/>
        <v>Level of Education</v>
      </c>
      <c r="C532" s="99"/>
      <c r="D532" s="99" t="s">
        <v>7934</v>
      </c>
    </row>
    <row r="533" spans="1:4" ht="15" customHeight="1">
      <c r="A533" s="99" t="s">
        <v>7943</v>
      </c>
      <c r="B533" s="46" t="str">
        <f t="shared" ca="1" si="7"/>
        <v>Zona</v>
      </c>
      <c r="D533" s="99" t="s">
        <v>7943</v>
      </c>
    </row>
    <row r="534" spans="1:4" ht="15" customHeight="1">
      <c r="A534" s="99" t="s">
        <v>7944</v>
      </c>
      <c r="B534" s="46" t="str">
        <f t="shared" ca="1" si="7"/>
        <v>Department</v>
      </c>
      <c r="D534" s="99" t="s">
        <v>7944</v>
      </c>
    </row>
    <row r="535" spans="1:4" ht="15" customHeight="1">
      <c r="A535" s="99" t="s">
        <v>7966</v>
      </c>
      <c r="B535" s="46" t="str">
        <f t="shared" ca="1" si="7"/>
        <v>Position for IGSS</v>
      </c>
      <c r="D535" s="99" t="s">
        <v>7966</v>
      </c>
    </row>
    <row r="536" spans="1:4" ht="15" customHeight="1">
      <c r="A536" s="99" t="s">
        <v>8360</v>
      </c>
      <c r="B536" s="46" t="str">
        <f t="shared" ca="1" si="7"/>
        <v>Province</v>
      </c>
      <c r="D536" s="99" t="s">
        <v>8360</v>
      </c>
    </row>
    <row r="537" spans="1:4" ht="15" customHeight="1">
      <c r="A537" s="99" t="s">
        <v>4344</v>
      </c>
      <c r="B537" s="46" t="str">
        <f t="shared" ca="1" si="7"/>
        <v>Canton</v>
      </c>
      <c r="D537" s="99" t="s">
        <v>4344</v>
      </c>
    </row>
    <row r="538" spans="1:4" ht="15" customHeight="1">
      <c r="A538" s="100" t="s">
        <v>8369</v>
      </c>
      <c r="B538" s="100" t="str">
        <f t="shared" ca="1" si="7"/>
        <v>Data for Registration</v>
      </c>
      <c r="D538" s="100" t="s">
        <v>8369</v>
      </c>
    </row>
    <row r="539" spans="1:4" ht="15" customHeight="1">
      <c r="A539" s="100" t="s">
        <v>8370</v>
      </c>
      <c r="B539" s="100" t="str">
        <f t="shared" ca="1" si="7"/>
        <v>Code</v>
      </c>
      <c r="D539" s="100" t="s">
        <v>8370</v>
      </c>
    </row>
    <row r="540" spans="1:4" ht="15" customHeight="1">
      <c r="A540" s="100" t="s">
        <v>8371</v>
      </c>
      <c r="B540" s="100" t="str">
        <f t="shared" ca="1" si="7"/>
        <v>Type of Variable Remuneration</v>
      </c>
      <c r="D540" s="100" t="s">
        <v>8371</v>
      </c>
    </row>
    <row r="541" spans="1:4" ht="15" customHeight="1">
      <c r="A541" s="100" t="s">
        <v>8372</v>
      </c>
      <c r="B541" s="100" t="str">
        <f t="shared" ca="1" si="7"/>
        <v>Observations</v>
      </c>
      <c r="D541" s="100" t="s">
        <v>8372</v>
      </c>
    </row>
    <row r="542" spans="1:4" ht="15" customHeight="1">
      <c r="A542" s="100" t="s">
        <v>8373</v>
      </c>
      <c r="B542" s="100" t="str">
        <f t="shared" ca="1" si="7"/>
        <v>Minimum Wage Range</v>
      </c>
      <c r="D542" s="100" t="s">
        <v>8373</v>
      </c>
    </row>
    <row r="543" spans="1:4" ht="15" customHeight="1">
      <c r="A543" s="100" t="s">
        <v>8374</v>
      </c>
      <c r="B543" s="100" t="str">
        <f t="shared" ca="1" si="7"/>
        <v>Medium Wage Range</v>
      </c>
      <c r="D543" s="100" t="s">
        <v>8374</v>
      </c>
    </row>
    <row r="544" spans="1:4" ht="15" customHeight="1">
      <c r="A544" s="100" t="s">
        <v>8375</v>
      </c>
      <c r="B544" s="100" t="str">
        <f t="shared" ca="1" si="7"/>
        <v>Maximum Wage Range</v>
      </c>
      <c r="D544" s="100" t="s">
        <v>8375</v>
      </c>
    </row>
    <row r="545" spans="1:4" ht="15" customHeight="1">
      <c r="A545" s="100" t="s">
        <v>8376</v>
      </c>
      <c r="B545" s="100" t="str">
        <f t="shared" ca="1" si="7"/>
        <v>Functional Leadership/ ID:</v>
      </c>
      <c r="D545" s="100" t="s">
        <v>8376</v>
      </c>
    </row>
    <row r="546" spans="1:4" ht="15" customHeight="1">
      <c r="A546" s="100" t="s">
        <v>8377</v>
      </c>
      <c r="B546" s="100" t="str">
        <f t="shared" ca="1" si="7"/>
        <v>General Information</v>
      </c>
      <c r="D546" s="100" t="s">
        <v>8377</v>
      </c>
    </row>
    <row r="547" spans="1:4" ht="15" customHeight="1">
      <c r="A547" t="s">
        <v>8378</v>
      </c>
      <c r="B547" s="100" t="str">
        <f t="shared" ca="1" si="7"/>
        <v>Admission Details</v>
      </c>
      <c r="D547" t="s">
        <v>8378</v>
      </c>
    </row>
    <row r="548" spans="1:4" ht="15" customHeight="1">
      <c r="A548" t="s">
        <v>8372</v>
      </c>
      <c r="B548" s="100" t="str">
        <f t="shared" ca="1" si="7"/>
        <v>Observations</v>
      </c>
      <c r="D548" t="s">
        <v>8372</v>
      </c>
    </row>
    <row r="549" spans="1:4" ht="15" customHeight="1">
      <c r="A549" t="s">
        <v>8379</v>
      </c>
      <c r="B549" s="100" t="str">
        <f t="shared" ca="1" si="7"/>
        <v>Legal Number</v>
      </c>
      <c r="D549" t="s">
        <v>8379</v>
      </c>
    </row>
    <row r="550" spans="1:4" ht="15" customHeight="1">
      <c r="A550" t="s">
        <v>8380</v>
      </c>
      <c r="B550" s="100" t="str">
        <f t="shared" ca="1" si="7"/>
        <v>PPR Team Code</v>
      </c>
      <c r="D550" t="s">
        <v>8380</v>
      </c>
    </row>
    <row r="551" spans="1:4" ht="15" customHeight="1">
      <c r="A551" t="s">
        <v>8381</v>
      </c>
      <c r="B551" s="100" t="str">
        <f t="shared" ca="1" si="7"/>
        <v>Type of Workmanship</v>
      </c>
      <c r="D551" t="s">
        <v>8381</v>
      </c>
    </row>
    <row r="552" spans="1:4" ht="15" customHeight="1">
      <c r="A552" t="s">
        <v>8382</v>
      </c>
      <c r="B552" s="100" t="str">
        <f t="shared" ca="1" si="7"/>
        <v>Trade Union Region Code (Base Date)</v>
      </c>
      <c r="D552" t="s">
        <v>8382</v>
      </c>
    </row>
    <row r="553" spans="1:4" ht="15" customHeight="1">
      <c r="A553" t="s">
        <v>8383</v>
      </c>
      <c r="B553" s="100" t="str">
        <f t="shared" ca="1" si="7"/>
        <v>Syndicate Category</v>
      </c>
      <c r="D553" t="s">
        <v>8383</v>
      </c>
    </row>
    <row r="554" spans="1:4" ht="15" customHeight="1">
      <c r="A554" t="s">
        <v>8384</v>
      </c>
      <c r="B554" s="100" t="str">
        <f t="shared" ca="1" si="7"/>
        <v>Syndicate prevailing:</v>
      </c>
      <c r="D554" t="s">
        <v>8384</v>
      </c>
    </row>
    <row r="555" spans="1:4" ht="15" customHeight="1">
      <c r="A555" t="s">
        <v>8386</v>
      </c>
      <c r="B555" s="100" t="str">
        <f t="shared" ca="1" si="7"/>
        <v>Make Experience Contract?</v>
      </c>
      <c r="D555" t="s">
        <v>8386</v>
      </c>
    </row>
    <row r="556" spans="1:4" ht="15" customHeight="1">
      <c r="A556" t="s">
        <v>8385</v>
      </c>
      <c r="B556" s="100" t="str">
        <f t="shared" ca="1" si="7"/>
        <v>Time code for Rhevolution</v>
      </c>
      <c r="D556" t="s">
        <v>8385</v>
      </c>
    </row>
    <row r="557" spans="1:4" ht="15" customHeight="1">
      <c r="A557" t="s">
        <v>8387</v>
      </c>
      <c r="B557" s="100" t="str">
        <f t="shared" ca="1" si="7"/>
        <v>Data for regristracion in RONDA</v>
      </c>
      <c r="D557" t="s">
        <v>8387</v>
      </c>
    </row>
    <row r="558" spans="1:4" ht="15" customHeight="1">
      <c r="A558" t="s">
        <v>8396</v>
      </c>
      <c r="B558" s="100" t="str">
        <f t="shared" ca="1" si="7"/>
        <v>Employee Registrated?</v>
      </c>
      <c r="D558" t="s">
        <v>8396</v>
      </c>
    </row>
    <row r="559" spans="1:4" ht="15" customHeight="1">
      <c r="A559" t="s">
        <v>8397</v>
      </c>
      <c r="B559" s="100" t="str">
        <f t="shared" ref="B559:B626" ca="1" si="8">IFERROR(IF(ISBLANK(OFFSET(B559,0,$Q$1-1)),D559,OFFSET(B559,0,$Q$1-1)),"Please select language")</f>
        <v>Employee to clock in/out?</v>
      </c>
      <c r="D559" t="s">
        <v>8397</v>
      </c>
    </row>
    <row r="560" spans="1:4" ht="15" customHeight="1">
      <c r="A560" t="s">
        <v>8388</v>
      </c>
      <c r="B560" s="100" t="str">
        <f t="shared" ca="1" si="8"/>
        <v xml:space="preserve">Badge No. </v>
      </c>
      <c r="D560" t="s">
        <v>8388</v>
      </c>
    </row>
    <row r="561" spans="1:4" ht="15" customHeight="1">
      <c r="A561" t="s">
        <v>8389</v>
      </c>
      <c r="B561" s="100" t="str">
        <f t="shared" ca="1" si="8"/>
        <v>Labor Union</v>
      </c>
      <c r="D561" t="s">
        <v>8389</v>
      </c>
    </row>
    <row r="562" spans="1:4" ht="15" customHeight="1">
      <c r="A562" t="s">
        <v>8390</v>
      </c>
      <c r="B562" s="100" t="str">
        <f t="shared" ca="1" si="8"/>
        <v>Type of Calculation</v>
      </c>
      <c r="D562" t="s">
        <v>8390</v>
      </c>
    </row>
    <row r="563" spans="1:4" ht="15" customHeight="1">
      <c r="A563" t="s">
        <v>8391</v>
      </c>
      <c r="B563" s="100" t="str">
        <f t="shared" ca="1" si="8"/>
        <v>Scale</v>
      </c>
      <c r="D563" t="s">
        <v>8391</v>
      </c>
    </row>
    <row r="564" spans="1:4" ht="15" customHeight="1">
      <c r="A564" t="s">
        <v>8392</v>
      </c>
      <c r="B564" s="100" t="str">
        <f t="shared" ca="1" si="8"/>
        <v>Normal Days Permission</v>
      </c>
      <c r="D564" t="s">
        <v>8392</v>
      </c>
    </row>
    <row r="565" spans="1:4" ht="15" customHeight="1">
      <c r="A565" t="s">
        <v>8393</v>
      </c>
      <c r="B565" s="100" t="str">
        <f t="shared" ca="1" si="8"/>
        <v>Saturday Permission</v>
      </c>
      <c r="D565" t="s">
        <v>8393</v>
      </c>
    </row>
    <row r="566" spans="1:4" ht="15" customHeight="1">
      <c r="A566" t="s">
        <v>8394</v>
      </c>
      <c r="B566" s="100" t="str">
        <f t="shared" ca="1" si="8"/>
        <v>Sunday Permission</v>
      </c>
      <c r="D566" t="s">
        <v>8394</v>
      </c>
    </row>
    <row r="567" spans="1:4" ht="15" customHeight="1">
      <c r="A567" t="s">
        <v>8395</v>
      </c>
      <c r="B567" s="100" t="str">
        <f t="shared" ca="1" si="8"/>
        <v>Holiday Permission</v>
      </c>
      <c r="D567" t="s">
        <v>8395</v>
      </c>
    </row>
    <row r="568" spans="1:4" ht="15" customHeight="1">
      <c r="A568" t="s">
        <v>8398</v>
      </c>
      <c r="B568" s="100" t="str">
        <f t="shared" ca="1" si="8"/>
        <v>Staff Request</v>
      </c>
      <c r="D568" t="s">
        <v>8398</v>
      </c>
    </row>
    <row r="569" spans="1:4" ht="15" customHeight="1">
      <c r="A569" s="29" t="s">
        <v>8399</v>
      </c>
      <c r="B569" s="100" t="str">
        <f t="shared" ca="1" si="8"/>
        <v>This is the document through which the selection process for a new recruitment is initiated, either by substitution or increase of the table. This form refers to I and previous bands positions.
The applicant must complete and submit the following form (one form for each open vacancy).</v>
      </c>
      <c r="D569" s="29" t="s">
        <v>8399</v>
      </c>
    </row>
    <row r="570" spans="1:4" ht="15" customHeight="1">
      <c r="A570" t="s">
        <v>8400</v>
      </c>
      <c r="B570" s="100" t="str">
        <f t="shared" ca="1" si="8"/>
        <v>Details of the person to be admitted</v>
      </c>
      <c r="D570" t="s">
        <v>8400</v>
      </c>
    </row>
    <row r="571" spans="1:4" ht="15" customHeight="1">
      <c r="A571" t="s">
        <v>8401</v>
      </c>
      <c r="B571" s="100" t="str">
        <f t="shared" ca="1" si="8"/>
        <v>Indirect / Functional Leadership</v>
      </c>
      <c r="D571" t="s">
        <v>8401</v>
      </c>
    </row>
    <row r="572" spans="1:4" ht="15" customHeight="1">
      <c r="A572" t="s">
        <v>8402</v>
      </c>
      <c r="B572" s="100" t="str">
        <f t="shared" ca="1" si="8"/>
        <v>Leadership Abroad (If it exists)</v>
      </c>
      <c r="D572" t="s">
        <v>8402</v>
      </c>
    </row>
    <row r="573" spans="1:4" ht="15" customHeight="1">
      <c r="A573" t="s">
        <v>8403</v>
      </c>
      <c r="B573" s="100" t="str">
        <f t="shared" ca="1" si="8"/>
        <v>Supervision charge? (Yes;No) (Supervision: any function you have subordinated.)</v>
      </c>
      <c r="D573" t="s">
        <v>8403</v>
      </c>
    </row>
    <row r="574" spans="1:4" ht="15" customHeight="1">
      <c r="A574" t="s">
        <v>8404</v>
      </c>
      <c r="B574" s="100" t="str">
        <f t="shared" ca="1" si="8"/>
        <v>Suggested Salary Range</v>
      </c>
      <c r="D574" t="s">
        <v>8404</v>
      </c>
    </row>
    <row r="575" spans="1:4" ht="15" customHeight="1">
      <c r="A575" t="s">
        <v>8405</v>
      </c>
      <c r="B575" s="100" t="str">
        <f t="shared" ca="1" si="8"/>
        <v>Host</v>
      </c>
      <c r="D575" t="s">
        <v>8405</v>
      </c>
    </row>
    <row r="576" spans="1:4" ht="15" customHeight="1">
      <c r="A576" t="s">
        <v>8406</v>
      </c>
      <c r="B576" s="100" t="str">
        <f t="shared" ca="1" si="8"/>
        <v>Application Data</v>
      </c>
      <c r="D576" t="s">
        <v>8406</v>
      </c>
    </row>
    <row r="577" spans="1:4" ht="15" customHeight="1">
      <c r="A577" t="s">
        <v>8407</v>
      </c>
      <c r="B577" s="100" t="str">
        <f t="shared" ca="1" si="8"/>
        <v>Environment Work Code</v>
      </c>
      <c r="D577" t="s">
        <v>8407</v>
      </c>
    </row>
    <row r="578" spans="1:4" ht="15" customHeight="1">
      <c r="A578" t="s">
        <v>8408</v>
      </c>
      <c r="B578" s="100" t="str">
        <f t="shared" ca="1" si="8"/>
        <v>Percentage of performance</v>
      </c>
      <c r="D578" t="s">
        <v>8408</v>
      </c>
    </row>
    <row r="579" spans="1:4" ht="15" customHeight="1">
      <c r="A579" t="s">
        <v>8411</v>
      </c>
      <c r="B579" s="100" t="str">
        <f t="shared" ca="1" si="8"/>
        <v>Responsible (Applicant)</v>
      </c>
      <c r="D579" t="s">
        <v>8411</v>
      </c>
    </row>
    <row r="580" spans="1:4" ht="15" customHeight="1">
      <c r="A580" t="s">
        <v>8409</v>
      </c>
      <c r="B580" s="100" t="str">
        <f t="shared" ca="1" si="8"/>
        <v>By</v>
      </c>
      <c r="D580" t="s">
        <v>8409</v>
      </c>
    </row>
    <row r="581" spans="1:4" ht="15" customHeight="1">
      <c r="A581" t="s">
        <v>8412</v>
      </c>
      <c r="B581" s="100" t="str">
        <f t="shared" ca="1" si="8"/>
        <v>Responsible (CSCRH)</v>
      </c>
      <c r="D581" t="s">
        <v>8412</v>
      </c>
    </row>
    <row r="582" spans="1:4" ht="15" customHeight="1">
      <c r="A582" t="s">
        <v>8410</v>
      </c>
      <c r="B582" s="100" t="str">
        <f t="shared" ca="1" si="8"/>
        <v>Responsible (HR of the BU)</v>
      </c>
      <c r="D582" t="s">
        <v>8410</v>
      </c>
    </row>
    <row r="583" spans="1:4" ht="15" customHeight="1">
      <c r="A583" t="s">
        <v>8413</v>
      </c>
      <c r="B583" s="100" t="str">
        <f t="shared" ca="1" si="8"/>
        <v>Condition of Admission</v>
      </c>
      <c r="D583" t="s">
        <v>8413</v>
      </c>
    </row>
    <row r="584" spans="1:4" ht="15" customHeight="1">
      <c r="A584" t="s">
        <v>8414</v>
      </c>
      <c r="B584" s="100" t="str">
        <f t="shared" ca="1" si="8"/>
        <v>Permanent (for  the replacement of: Name/ID)</v>
      </c>
      <c r="D584" t="s">
        <v>8414</v>
      </c>
    </row>
    <row r="585" spans="1:4" ht="15" customHeight="1">
      <c r="A585" t="s">
        <v>8415</v>
      </c>
      <c r="B585" s="100" t="str">
        <f t="shared" ca="1" si="8"/>
        <v>Permanent - Org Chart Promotion  (In the case of a picture increase it is necessary to be sent a copy of this request to the controller of your division)</v>
      </c>
      <c r="D585" t="s">
        <v>8415</v>
      </c>
    </row>
    <row r="586" spans="1:4" ht="15" customHeight="1">
      <c r="A586" t="s">
        <v>8416</v>
      </c>
      <c r="B586" s="100" t="str">
        <f t="shared" ca="1" si="8"/>
        <v>Controller Data</v>
      </c>
      <c r="D586" t="s">
        <v>8416</v>
      </c>
    </row>
    <row r="587" spans="1:4" ht="15" customHeight="1">
      <c r="A587" t="s">
        <v>8417</v>
      </c>
      <c r="B587" s="100" t="str">
        <f t="shared" ca="1" si="8"/>
        <v xml:space="preserve">Requirements </v>
      </c>
      <c r="D587" t="s">
        <v>8417</v>
      </c>
    </row>
    <row r="588" spans="1:4" ht="15" customHeight="1">
      <c r="A588" t="s">
        <v>8418</v>
      </c>
      <c r="B588" s="100" t="str">
        <f t="shared" ca="1" si="8"/>
        <v xml:space="preserve">Elements of Mandatory Filling </v>
      </c>
      <c r="D588" t="s">
        <v>8418</v>
      </c>
    </row>
    <row r="589" spans="1:4" ht="15" customHeight="1">
      <c r="A589" t="s">
        <v>8420</v>
      </c>
      <c r="B589" s="100" t="str">
        <f t="shared" ca="1" si="8"/>
        <v>Contract Data</v>
      </c>
      <c r="D589" t="s">
        <v>8420</v>
      </c>
    </row>
    <row r="590" spans="1:4" ht="15" customHeight="1">
      <c r="A590" t="s">
        <v>8421</v>
      </c>
      <c r="B590" s="100" t="str">
        <f t="shared" ca="1" si="8"/>
        <v>Transfer Bonus</v>
      </c>
      <c r="D590" t="s">
        <v>8421</v>
      </c>
    </row>
    <row r="591" spans="1:4" ht="15" customHeight="1">
      <c r="A591" t="s">
        <v>8422</v>
      </c>
      <c r="B591" s="100" t="str">
        <f t="shared" ca="1" si="8"/>
        <v>Contribution</v>
      </c>
      <c r="D591" t="s">
        <v>8422</v>
      </c>
    </row>
    <row r="592" spans="1:4" ht="15" customHeight="1">
      <c r="A592" t="s">
        <v>5018</v>
      </c>
      <c r="B592" s="100" t="str">
        <f t="shared" ca="1" si="8"/>
        <v>Comments</v>
      </c>
      <c r="D592" t="s">
        <v>5018</v>
      </c>
    </row>
    <row r="593" spans="1:4" ht="15" customHeight="1">
      <c r="A593" t="s">
        <v>7856</v>
      </c>
      <c r="B593" s="100" t="str">
        <f t="shared" ca="1" si="8"/>
        <v>Personal Details</v>
      </c>
      <c r="D593" t="s">
        <v>7856</v>
      </c>
    </row>
    <row r="594" spans="1:4" ht="15" customHeight="1">
      <c r="A594" t="s">
        <v>8423</v>
      </c>
      <c r="B594" s="100" t="str">
        <f t="shared" ca="1" si="8"/>
        <v>Registration in I.M.S.S</v>
      </c>
      <c r="D594" t="s">
        <v>8423</v>
      </c>
    </row>
    <row r="595" spans="1:4" ht="15" customHeight="1">
      <c r="A595" t="s">
        <v>8424</v>
      </c>
      <c r="B595" s="100" t="str">
        <f t="shared" ca="1" si="8"/>
        <v>RFC (The Federal Taxpayers Registry)</v>
      </c>
      <c r="D595" t="s">
        <v>8424</v>
      </c>
    </row>
    <row r="596" spans="1:4" ht="15" customHeight="1">
      <c r="A596" t="s">
        <v>8425</v>
      </c>
      <c r="B596" s="100" t="str">
        <f t="shared" ca="1" si="8"/>
        <v>CURP (Unique Population Registry Code)</v>
      </c>
      <c r="D596" t="s">
        <v>8425</v>
      </c>
    </row>
    <row r="597" spans="1:4" ht="15" customHeight="1">
      <c r="A597" t="s">
        <v>8426</v>
      </c>
      <c r="B597" s="100" t="str">
        <f t="shared" ca="1" si="8"/>
        <v>Marriaged Date</v>
      </c>
      <c r="D597" t="s">
        <v>8426</v>
      </c>
    </row>
    <row r="598" spans="1:4" ht="15" customHeight="1">
      <c r="A598" t="s">
        <v>8427</v>
      </c>
      <c r="B598" s="100" t="str">
        <f t="shared" ca="1" si="8"/>
        <v>Payroll Card</v>
      </c>
      <c r="D598" t="s">
        <v>8427</v>
      </c>
    </row>
    <row r="599" spans="1:4" ht="15" customHeight="1">
      <c r="A599" t="s">
        <v>8428</v>
      </c>
      <c r="B599" s="100" t="str">
        <f t="shared" ca="1" si="8"/>
        <v xml:space="preserve">Emergency Contact </v>
      </c>
      <c r="D599" t="s">
        <v>8428</v>
      </c>
    </row>
    <row r="600" spans="1:4" ht="15" customHeight="1">
      <c r="A600" t="s">
        <v>7821</v>
      </c>
      <c r="B600" s="100" t="str">
        <f t="shared" ca="1" si="8"/>
        <v>Blood Group</v>
      </c>
      <c r="D600" t="s">
        <v>7821</v>
      </c>
    </row>
    <row r="601" spans="1:4" ht="15" customHeight="1">
      <c r="A601" t="s">
        <v>8429</v>
      </c>
      <c r="B601" s="100" t="str">
        <f t="shared" ca="1" si="8"/>
        <v>Miscellanious Data</v>
      </c>
      <c r="D601" t="s">
        <v>8429</v>
      </c>
    </row>
    <row r="602" spans="1:4" ht="15" customHeight="1">
      <c r="A602" t="s">
        <v>8430</v>
      </c>
      <c r="B602" s="100" t="str">
        <f t="shared" ca="1" si="8"/>
        <v>Created by</v>
      </c>
      <c r="D602" t="s">
        <v>8430</v>
      </c>
    </row>
    <row r="603" spans="1:4" ht="15" customHeight="1">
      <c r="A603" t="s">
        <v>8431</v>
      </c>
      <c r="B603" s="100" t="str">
        <f t="shared" ca="1" si="8"/>
        <v>Validated by</v>
      </c>
      <c r="D603" t="s">
        <v>8431</v>
      </c>
    </row>
    <row r="604" spans="1:4" ht="15" customHeight="1">
      <c r="A604" t="s">
        <v>8432</v>
      </c>
      <c r="B604" s="100" t="str">
        <f t="shared" ca="1" si="8"/>
        <v>HR Director (Name and Signature)</v>
      </c>
      <c r="D604" t="s">
        <v>8432</v>
      </c>
    </row>
    <row r="605" spans="1:4" ht="15" customHeight="1">
      <c r="A605" t="s">
        <v>8434</v>
      </c>
      <c r="B605" s="100" t="str">
        <f t="shared" ca="1" si="8"/>
        <v>Application Description</v>
      </c>
      <c r="D605" t="s">
        <v>8434</v>
      </c>
    </row>
    <row r="606" spans="1:4" ht="15" customHeight="1">
      <c r="A606" t="s">
        <v>8435</v>
      </c>
      <c r="B606" s="100" t="str">
        <f t="shared" ca="1" si="8"/>
        <v>New hire/Replacement (Associate´s No. And Name to be Replaced; Replacement Reason)</v>
      </c>
      <c r="D606" t="s">
        <v>8435</v>
      </c>
    </row>
    <row r="607" spans="1:4" ht="15" customHeight="1">
      <c r="A607" t="s">
        <v>5018</v>
      </c>
      <c r="B607" s="100" t="str">
        <f t="shared" ca="1" si="8"/>
        <v>Comments</v>
      </c>
      <c r="D607" t="s">
        <v>5018</v>
      </c>
    </row>
    <row r="608" spans="1:4" ht="15" customHeight="1">
      <c r="A608" t="s">
        <v>8437</v>
      </c>
      <c r="B608" s="100" t="str">
        <f t="shared" ca="1" si="8"/>
        <v xml:space="preserve">Signatures </v>
      </c>
      <c r="D608" t="s">
        <v>8437</v>
      </c>
    </row>
    <row r="609" spans="1:4" ht="15" customHeight="1">
      <c r="A609" t="s">
        <v>8438</v>
      </c>
      <c r="B609" s="100" t="str">
        <f t="shared" ca="1" si="8"/>
        <v>Creation Date</v>
      </c>
      <c r="D609" t="s">
        <v>8438</v>
      </c>
    </row>
    <row r="610" spans="1:4" ht="15" customHeight="1">
      <c r="A610" t="s">
        <v>8439</v>
      </c>
      <c r="B610" s="100" t="str">
        <f t="shared" ca="1" si="8"/>
        <v>Date Received</v>
      </c>
      <c r="D610" t="s">
        <v>8439</v>
      </c>
    </row>
    <row r="611" spans="1:4" ht="15" customHeight="1">
      <c r="A611" t="s">
        <v>8440</v>
      </c>
      <c r="B611" s="100" t="str">
        <f t="shared" ca="1" si="8"/>
        <v>Applied Date</v>
      </c>
      <c r="D611" t="s">
        <v>8440</v>
      </c>
    </row>
    <row r="612" spans="1:4" ht="15" customHeight="1">
      <c r="A612" t="s">
        <v>8443</v>
      </c>
      <c r="B612" s="100" t="str">
        <f t="shared" ca="1" si="8"/>
        <v>Created by HR Representative</v>
      </c>
      <c r="D612" t="s">
        <v>8443</v>
      </c>
    </row>
    <row r="613" spans="1:4" ht="15" customHeight="1">
      <c r="A613" t="s">
        <v>8442</v>
      </c>
      <c r="B613" s="100" t="str">
        <f t="shared" ca="1" si="8"/>
        <v>Applied: Payroll</v>
      </c>
      <c r="D613" t="s">
        <v>8442</v>
      </c>
    </row>
    <row r="614" spans="1:4" ht="15" customHeight="1">
      <c r="A614" t="s">
        <v>8445</v>
      </c>
      <c r="B614" s="100" t="str">
        <f t="shared" ca="1" si="8"/>
        <v>Personal Details Form</v>
      </c>
      <c r="D614" t="s">
        <v>8445</v>
      </c>
    </row>
    <row r="615" spans="1:4" ht="15" customHeight="1">
      <c r="A615" t="s">
        <v>8446</v>
      </c>
      <c r="B615" s="100" t="str">
        <f t="shared" ca="1" si="8"/>
        <v>CUIL (unique code of labor identification) / N ° SOCIAL SECURITY / BOX OF INSCRIPTION OIL. (Do not stack to Peru)</v>
      </c>
      <c r="D615" t="s">
        <v>8446</v>
      </c>
    </row>
    <row r="616" spans="1:4" ht="15" customHeight="1">
      <c r="A616" t="s">
        <v>8447</v>
      </c>
      <c r="B616" s="100" t="str">
        <f t="shared" ca="1" si="8"/>
        <v>Education</v>
      </c>
      <c r="D616" t="s">
        <v>8447</v>
      </c>
    </row>
    <row r="617" spans="1:4" ht="15" customHeight="1">
      <c r="A617" t="s">
        <v>5036</v>
      </c>
      <c r="B617" s="100" t="str">
        <f t="shared" ca="1" si="8"/>
        <v>End Date</v>
      </c>
      <c r="D617" t="s">
        <v>5036</v>
      </c>
    </row>
    <row r="618" spans="1:4" ht="15" customHeight="1">
      <c r="A618" t="s">
        <v>8448</v>
      </c>
      <c r="B618" s="100" t="str">
        <f t="shared" ca="1" si="8"/>
        <v>Other Studies/Courses</v>
      </c>
      <c r="D618" t="s">
        <v>8448</v>
      </c>
    </row>
    <row r="619" spans="1:4" ht="15" customHeight="1">
      <c r="A619" t="s">
        <v>8429</v>
      </c>
      <c r="B619" s="100" t="str">
        <f t="shared" ca="1" si="8"/>
        <v>Miscellanious Data</v>
      </c>
      <c r="D619" t="s">
        <v>8429</v>
      </c>
    </row>
    <row r="620" spans="1:4" ht="15" customHeight="1">
      <c r="A620" t="s">
        <v>5025</v>
      </c>
      <c r="B620" s="100" t="str">
        <f t="shared" ca="1" si="8"/>
        <v>Signature</v>
      </c>
      <c r="D620" t="s">
        <v>5025</v>
      </c>
    </row>
    <row r="621" spans="1:4" ht="15" customHeight="1">
      <c r="A621" t="s">
        <v>8434</v>
      </c>
      <c r="B621" s="100" t="str">
        <f t="shared" ca="1" si="8"/>
        <v>Application Description</v>
      </c>
      <c r="D621" t="s">
        <v>8434</v>
      </c>
    </row>
    <row r="622" spans="1:4" ht="15" customHeight="1">
      <c r="A622" t="s">
        <v>8450</v>
      </c>
      <c r="B622" s="100" t="str">
        <f t="shared" ca="1" si="8"/>
        <v>New hire/Replacement (Employee No. And Name to be Replaced; Replacement Reason)</v>
      </c>
      <c r="D622" t="s">
        <v>8450</v>
      </c>
    </row>
    <row r="623" spans="1:4" ht="15" customHeight="1">
      <c r="A623" t="s">
        <v>8451</v>
      </c>
      <c r="B623" s="100" t="str">
        <f t="shared" ca="1" si="8"/>
        <v>Salary Increase (Current Monthly Salary;New Monthly Salary)</v>
      </c>
      <c r="D623" t="s">
        <v>8451</v>
      </c>
    </row>
    <row r="624" spans="1:4" ht="15" customHeight="1">
      <c r="A624" t="s">
        <v>8436</v>
      </c>
      <c r="B624" s="100" t="str">
        <f t="shared" ca="1" si="8"/>
        <v xml:space="preserve">Comments </v>
      </c>
      <c r="D624" t="s">
        <v>8436</v>
      </c>
    </row>
    <row r="625" spans="1:4" ht="15" customHeight="1">
      <c r="A625" t="s">
        <v>8437</v>
      </c>
      <c r="B625" s="100" t="str">
        <f t="shared" ca="1" si="8"/>
        <v xml:space="preserve">Signatures </v>
      </c>
      <c r="D625" t="s">
        <v>8437</v>
      </c>
    </row>
    <row r="626" spans="1:4" ht="15" customHeight="1">
      <c r="A626" t="s">
        <v>8438</v>
      </c>
      <c r="B626" s="100" t="str">
        <f t="shared" ca="1" si="8"/>
        <v>Creation Date</v>
      </c>
      <c r="D626" t="s">
        <v>8438</v>
      </c>
    </row>
    <row r="627" spans="1:4" ht="15" customHeight="1">
      <c r="A627" t="s">
        <v>8440</v>
      </c>
      <c r="B627" s="100" t="str">
        <f t="shared" ref="B627:B690" ca="1" si="9">IFERROR(IF(ISBLANK(OFFSET(B627,0,$Q$1-1)),D627,OFFSET(B627,0,$Q$1-1)),"Please select language")</f>
        <v>Applied Date</v>
      </c>
      <c r="D627" t="s">
        <v>8440</v>
      </c>
    </row>
    <row r="628" spans="1:4" ht="15" customHeight="1">
      <c r="A628" t="s">
        <v>8441</v>
      </c>
      <c r="B628" s="100" t="str">
        <f t="shared" ca="1" si="9"/>
        <v xml:space="preserve">Created by HR Representative </v>
      </c>
      <c r="D628" t="s">
        <v>8441</v>
      </c>
    </row>
    <row r="629" spans="1:4" ht="15" customHeight="1">
      <c r="A629" t="s">
        <v>8442</v>
      </c>
      <c r="B629" s="100" t="str">
        <f t="shared" ca="1" si="9"/>
        <v>Applied: Payroll</v>
      </c>
      <c r="D629" t="s">
        <v>8442</v>
      </c>
    </row>
    <row r="630" spans="1:4" ht="15" customHeight="1">
      <c r="A630" t="s">
        <v>8453</v>
      </c>
      <c r="B630" s="100" t="str">
        <f t="shared" ca="1" si="9"/>
        <v>Employee Data</v>
      </c>
      <c r="D630" t="s">
        <v>8453</v>
      </c>
    </row>
    <row r="631" spans="1:4" ht="15" customHeight="1">
      <c r="A631" t="s">
        <v>8454</v>
      </c>
      <c r="B631" s="100" t="str">
        <f t="shared" ca="1" si="9"/>
        <v>Place where the DPI was extended (Public document, personal and non-transferable)</v>
      </c>
      <c r="D631" t="s">
        <v>8454</v>
      </c>
    </row>
    <row r="632" spans="1:4" ht="15" customHeight="1">
      <c r="A632" t="s">
        <v>8455</v>
      </c>
      <c r="B632" s="100" t="str">
        <f t="shared" ca="1" si="9"/>
        <v>Ocupation</v>
      </c>
      <c r="D632" t="s">
        <v>8455</v>
      </c>
    </row>
    <row r="633" spans="1:4" ht="15" customHeight="1">
      <c r="A633" t="s">
        <v>8456</v>
      </c>
      <c r="B633" s="100" t="str">
        <f t="shared" ca="1" si="9"/>
        <v>Average for Third and Fourteen</v>
      </c>
      <c r="D633" t="s">
        <v>8456</v>
      </c>
    </row>
    <row r="634" spans="1:4" ht="15" customHeight="1">
      <c r="A634" t="s">
        <v>8434</v>
      </c>
      <c r="B634" s="100" t="str">
        <f t="shared" ca="1" si="9"/>
        <v>Application Description</v>
      </c>
      <c r="D634" t="s">
        <v>8434</v>
      </c>
    </row>
    <row r="635" spans="1:4" ht="15" customHeight="1">
      <c r="A635" t="s">
        <v>8450</v>
      </c>
      <c r="B635" s="100" t="str">
        <f t="shared" ca="1" si="9"/>
        <v>New hire/Replacement (Employee No. And Name to be Replaced; Replacement Reason)</v>
      </c>
      <c r="D635" t="s">
        <v>8450</v>
      </c>
    </row>
    <row r="636" spans="1:4" ht="15" customHeight="1">
      <c r="A636" t="s">
        <v>8451</v>
      </c>
      <c r="B636" s="100" t="str">
        <f t="shared" ca="1" si="9"/>
        <v>Salary Increase (Current Monthly Salary;New Monthly Salary)</v>
      </c>
      <c r="D636" t="s">
        <v>8451</v>
      </c>
    </row>
    <row r="637" spans="1:4" ht="15" customHeight="1">
      <c r="A637" t="s">
        <v>5018</v>
      </c>
      <c r="B637" s="100" t="str">
        <f t="shared" ca="1" si="9"/>
        <v>Comments</v>
      </c>
      <c r="D637" t="s">
        <v>5018</v>
      </c>
    </row>
    <row r="638" spans="1:4" ht="15" customHeight="1">
      <c r="A638" t="s">
        <v>8437</v>
      </c>
      <c r="B638" s="100" t="str">
        <f t="shared" ca="1" si="9"/>
        <v xml:space="preserve">Signatures </v>
      </c>
      <c r="D638" t="s">
        <v>8437</v>
      </c>
    </row>
    <row r="639" spans="1:4" ht="15" customHeight="1">
      <c r="A639" t="s">
        <v>8439</v>
      </c>
      <c r="B639" s="100" t="str">
        <f t="shared" ca="1" si="9"/>
        <v>Date Received</v>
      </c>
      <c r="D639" t="s">
        <v>8439</v>
      </c>
    </row>
    <row r="640" spans="1:4" ht="15" customHeight="1">
      <c r="A640" t="s">
        <v>8440</v>
      </c>
      <c r="B640" s="100" t="str">
        <f t="shared" ca="1" si="9"/>
        <v>Applied Date</v>
      </c>
      <c r="D640" t="s">
        <v>8440</v>
      </c>
    </row>
    <row r="641" spans="1:4" ht="15" customHeight="1">
      <c r="A641" t="s">
        <v>8441</v>
      </c>
      <c r="B641" s="100" t="str">
        <f t="shared" ca="1" si="9"/>
        <v xml:space="preserve">Created by HR Representative </v>
      </c>
      <c r="D641" t="s">
        <v>8441</v>
      </c>
    </row>
    <row r="642" spans="1:4" ht="15" customHeight="1">
      <c r="A642" t="s">
        <v>8442</v>
      </c>
      <c r="B642" s="100" t="str">
        <f t="shared" ca="1" si="9"/>
        <v>Applied: Payroll</v>
      </c>
      <c r="D642" t="s">
        <v>8442</v>
      </c>
    </row>
    <row r="643" spans="1:4" ht="15" customHeight="1">
      <c r="A643" t="s">
        <v>8453</v>
      </c>
      <c r="B643" s="100" t="str">
        <f t="shared" ca="1" si="9"/>
        <v>Employee Data</v>
      </c>
      <c r="D643" t="s">
        <v>8453</v>
      </c>
    </row>
    <row r="644" spans="1:4" ht="15" customHeight="1">
      <c r="A644" t="s">
        <v>8458</v>
      </c>
      <c r="B644" s="100" t="str">
        <f t="shared" ca="1" si="9"/>
        <v>Employee No.</v>
      </c>
      <c r="D644" t="s">
        <v>8458</v>
      </c>
    </row>
    <row r="645" spans="1:4" ht="15" customHeight="1">
      <c r="A645" t="s">
        <v>8434</v>
      </c>
      <c r="B645" s="100" t="str">
        <f t="shared" ca="1" si="9"/>
        <v>Application Description</v>
      </c>
      <c r="D645" t="s">
        <v>8434</v>
      </c>
    </row>
    <row r="646" spans="1:4" ht="15" customHeight="1">
      <c r="A646" t="s">
        <v>8459</v>
      </c>
      <c r="B646" s="100" t="str">
        <f t="shared" ca="1" si="9"/>
        <v>Replaces</v>
      </c>
      <c r="D646" t="s">
        <v>8459</v>
      </c>
    </row>
    <row r="647" spans="1:4" ht="15" customHeight="1">
      <c r="A647" t="s">
        <v>8460</v>
      </c>
      <c r="B647" s="100" t="str">
        <f t="shared" ca="1" si="9"/>
        <v>Reason</v>
      </c>
      <c r="D647" t="s">
        <v>8460</v>
      </c>
    </row>
    <row r="648" spans="1:4" ht="15" customHeight="1">
      <c r="A648" t="s">
        <v>8461</v>
      </c>
      <c r="B648" s="100" t="str">
        <f t="shared" ca="1" si="9"/>
        <v xml:space="preserve">Transfer </v>
      </c>
      <c r="D648" t="s">
        <v>8461</v>
      </c>
    </row>
    <row r="649" spans="1:4" ht="15" customHeight="1">
      <c r="A649" t="s">
        <v>8462</v>
      </c>
      <c r="B649" s="100" t="str">
        <f t="shared" ca="1" si="9"/>
        <v>Promotion</v>
      </c>
      <c r="D649" t="s">
        <v>8462</v>
      </c>
    </row>
    <row r="650" spans="1:4" ht="15" customHeight="1">
      <c r="A650" t="s">
        <v>271</v>
      </c>
      <c r="B650" s="100" t="str">
        <f t="shared" ca="1" si="9"/>
        <v>Other</v>
      </c>
      <c r="D650" t="s">
        <v>271</v>
      </c>
    </row>
    <row r="651" spans="1:4" ht="15" customHeight="1">
      <c r="A651" t="s">
        <v>8463</v>
      </c>
      <c r="B651" s="100" t="str">
        <f t="shared" ca="1" si="9"/>
        <v>License/Vacations</v>
      </c>
      <c r="D651" t="s">
        <v>8463</v>
      </c>
    </row>
    <row r="652" spans="1:4" ht="15" customHeight="1">
      <c r="A652" t="s">
        <v>8464</v>
      </c>
      <c r="B652" s="100" t="str">
        <f t="shared" ca="1" si="9"/>
        <v>Paid Leave</v>
      </c>
      <c r="D652" t="s">
        <v>8464</v>
      </c>
    </row>
    <row r="653" spans="1:4" ht="15" customHeight="1">
      <c r="A653" t="s">
        <v>8465</v>
      </c>
      <c r="B653" s="100" t="str">
        <f t="shared" ca="1" si="9"/>
        <v>Unpaid Leave</v>
      </c>
      <c r="D653" t="s">
        <v>8465</v>
      </c>
    </row>
    <row r="654" spans="1:4" ht="15" customHeight="1">
      <c r="A654" t="s">
        <v>8466</v>
      </c>
      <c r="B654" s="100" t="str">
        <f t="shared" ca="1" si="9"/>
        <v>Vacations (From/to; Days to enjoy)</v>
      </c>
      <c r="D654" t="s">
        <v>8466</v>
      </c>
    </row>
    <row r="655" spans="1:4" ht="15" customHeight="1">
      <c r="A655" t="s">
        <v>4616</v>
      </c>
      <c r="B655" s="100" t="str">
        <f t="shared" ca="1" si="9"/>
        <v>Others</v>
      </c>
      <c r="D655" t="s">
        <v>4616</v>
      </c>
    </row>
    <row r="656" spans="1:4" ht="15" customHeight="1">
      <c r="A656" t="s">
        <v>8467</v>
      </c>
      <c r="B656" s="100" t="str">
        <f t="shared" ca="1" si="9"/>
        <v>Trial Period Evaluation (From/to. Amount of days)</v>
      </c>
      <c r="D656" t="s">
        <v>8467</v>
      </c>
    </row>
    <row r="657" spans="1:4" ht="15" customHeight="1">
      <c r="A657" t="s">
        <v>8468</v>
      </c>
      <c r="B657" s="100" t="str">
        <f t="shared" ca="1" si="9"/>
        <v>Resignation (Previous Notification/Yes;No/Last Day worked)</v>
      </c>
      <c r="D657" t="s">
        <v>8468</v>
      </c>
    </row>
    <row r="658" spans="1:4" ht="15" customHeight="1">
      <c r="A658" t="s">
        <v>8469</v>
      </c>
      <c r="B658" s="100" t="str">
        <f t="shared" ca="1" si="9"/>
        <v>Desertion (Last Day Worked)</v>
      </c>
      <c r="D658" t="s">
        <v>8469</v>
      </c>
    </row>
    <row r="659" spans="1:4" ht="15" customHeight="1">
      <c r="A659" t="s">
        <v>8470</v>
      </c>
      <c r="B659" s="100" t="str">
        <f t="shared" ca="1" si="9"/>
        <v>Dismissal Without Cause (Start Date; Seniority)</v>
      </c>
      <c r="D659" t="s">
        <v>8470</v>
      </c>
    </row>
    <row r="660" spans="1:4" ht="15" customHeight="1">
      <c r="A660" t="s">
        <v>8471</v>
      </c>
      <c r="B660" s="100" t="str">
        <f t="shared" ca="1" si="9"/>
        <v>Dismissal With Cause  (Start Date; Seniority)</v>
      </c>
      <c r="D660" t="s">
        <v>8471</v>
      </c>
    </row>
    <row r="661" spans="1:4" ht="15" customHeight="1">
      <c r="A661" t="s">
        <v>8472</v>
      </c>
      <c r="B661" s="100" t="str">
        <f t="shared" ca="1" si="9"/>
        <v>Description</v>
      </c>
      <c r="D661" t="s">
        <v>8472</v>
      </c>
    </row>
    <row r="662" spans="1:4" ht="15" customHeight="1">
      <c r="A662" t="s">
        <v>8473</v>
      </c>
      <c r="B662" s="100" t="str">
        <f t="shared" ca="1" si="9"/>
        <v>others</v>
      </c>
      <c r="D662" t="s">
        <v>8473</v>
      </c>
    </row>
    <row r="663" spans="1:4" ht="15" customHeight="1">
      <c r="A663" t="s">
        <v>8474</v>
      </c>
      <c r="B663" s="100" t="str">
        <f t="shared" ca="1" si="9"/>
        <v>Observations/Comments</v>
      </c>
      <c r="D663" t="s">
        <v>8474</v>
      </c>
    </row>
    <row r="664" spans="1:4" ht="15" customHeight="1">
      <c r="A664" t="s">
        <v>8475</v>
      </c>
      <c r="B664" s="100" t="str">
        <f t="shared" ca="1" si="9"/>
        <v>Department requesting the processing</v>
      </c>
      <c r="D664" t="s">
        <v>8475</v>
      </c>
    </row>
    <row r="665" spans="1:4" ht="15" customHeight="1">
      <c r="A665" t="s">
        <v>8476</v>
      </c>
      <c r="B665" s="100" t="str">
        <f t="shared" ca="1" si="9"/>
        <v>Immediate chief Signature</v>
      </c>
      <c r="D665" t="s">
        <v>8476</v>
      </c>
    </row>
    <row r="666" spans="1:4" ht="15" customHeight="1">
      <c r="A666" t="s">
        <v>8477</v>
      </c>
      <c r="B666" s="100" t="str">
        <f t="shared" ca="1" si="9"/>
        <v>Department Manager Signature</v>
      </c>
      <c r="D666" t="s">
        <v>8477</v>
      </c>
    </row>
    <row r="667" spans="1:4" ht="15" customHeight="1">
      <c r="A667" t="s">
        <v>8478</v>
      </c>
      <c r="B667" s="100" t="str">
        <f t="shared" ca="1" si="9"/>
        <v xml:space="preserve">Function Manager Signature </v>
      </c>
      <c r="D667" t="s">
        <v>8478</v>
      </c>
    </row>
    <row r="668" spans="1:4" ht="15" customHeight="1">
      <c r="A668" t="s">
        <v>8479</v>
      </c>
      <c r="B668" s="100" t="str">
        <f t="shared" ca="1" si="9"/>
        <v>Employee Signature</v>
      </c>
      <c r="D668" t="s">
        <v>8479</v>
      </c>
    </row>
    <row r="669" spans="1:4" ht="15" customHeight="1">
      <c r="A669" t="s">
        <v>8480</v>
      </c>
      <c r="B669" s="100" t="str">
        <f t="shared" ca="1" si="9"/>
        <v>HR Signature</v>
      </c>
      <c r="D669" t="s">
        <v>8480</v>
      </c>
    </row>
    <row r="670" spans="1:4" ht="15" customHeight="1">
      <c r="A670" t="s">
        <v>8481</v>
      </c>
      <c r="B670" s="100" t="str">
        <f t="shared" ca="1" si="9"/>
        <v>HR Use only</v>
      </c>
      <c r="D670" t="s">
        <v>8481</v>
      </c>
    </row>
    <row r="671" spans="1:4" ht="15" customHeight="1">
      <c r="A671" t="s">
        <v>8482</v>
      </c>
      <c r="B671" s="100" t="str">
        <f t="shared" ca="1" si="9"/>
        <v xml:space="preserve">Code </v>
      </c>
      <c r="D671" t="s">
        <v>8482</v>
      </c>
    </row>
    <row r="672" spans="1:4" ht="15" customHeight="1">
      <c r="A672" t="s">
        <v>5018</v>
      </c>
      <c r="B672" s="100" t="str">
        <f t="shared" ca="1" si="9"/>
        <v>Comments</v>
      </c>
      <c r="D672" t="s">
        <v>5018</v>
      </c>
    </row>
    <row r="673" spans="1:4" ht="15" customHeight="1">
      <c r="A673" t="s">
        <v>8483</v>
      </c>
      <c r="B673" s="100" t="str">
        <f t="shared" ca="1" si="9"/>
        <v>Received Date</v>
      </c>
      <c r="D673" t="s">
        <v>8483</v>
      </c>
    </row>
    <row r="674" spans="1:4" ht="15" customHeight="1">
      <c r="A674" t="s">
        <v>8484</v>
      </c>
      <c r="B674" s="100" t="str">
        <f t="shared" ca="1" si="9"/>
        <v>Movement Type</v>
      </c>
      <c r="D674" t="s">
        <v>8484</v>
      </c>
    </row>
    <row r="675" spans="1:4" ht="15" customHeight="1">
      <c r="A675" t="s">
        <v>700</v>
      </c>
      <c r="B675" s="100" t="str">
        <f t="shared" ca="1" si="9"/>
        <v>Replacement</v>
      </c>
      <c r="D675" t="s">
        <v>700</v>
      </c>
    </row>
    <row r="676" spans="1:4" ht="15" customHeight="1">
      <c r="A676" t="s">
        <v>8485</v>
      </c>
      <c r="B676" s="100" t="str">
        <f t="shared" ca="1" si="9"/>
        <v>Outcome</v>
      </c>
      <c r="D676" t="s">
        <v>8485</v>
      </c>
    </row>
    <row r="677" spans="1:4" ht="15" customHeight="1">
      <c r="A677" t="s">
        <v>8486</v>
      </c>
      <c r="B677" s="100" t="str">
        <f t="shared" ca="1" si="9"/>
        <v>Salary changes</v>
      </c>
      <c r="D677" t="s">
        <v>8486</v>
      </c>
    </row>
    <row r="678" spans="1:4" ht="15" customHeight="1">
      <c r="A678" t="s">
        <v>8487</v>
      </c>
      <c r="B678" s="100" t="str">
        <f t="shared" ca="1" si="9"/>
        <v>Classification Change</v>
      </c>
      <c r="D678" t="s">
        <v>8487</v>
      </c>
    </row>
    <row r="679" spans="1:4" ht="15" customHeight="1">
      <c r="A679" t="s">
        <v>8488</v>
      </c>
      <c r="B679" s="100" t="str">
        <f t="shared" ca="1" si="9"/>
        <v>Effective Date</v>
      </c>
      <c r="D679" t="s">
        <v>8488</v>
      </c>
    </row>
    <row r="680" spans="1:4" ht="15" customHeight="1">
      <c r="A680" t="s">
        <v>8489</v>
      </c>
      <c r="B680" s="100" t="str">
        <f t="shared" ca="1" si="9"/>
        <v>Explanation</v>
      </c>
      <c r="D680" t="s">
        <v>8489</v>
      </c>
    </row>
    <row r="681" spans="1:4" ht="15" customHeight="1">
      <c r="A681" t="s">
        <v>8453</v>
      </c>
      <c r="B681" s="100" t="str">
        <f t="shared" ca="1" si="9"/>
        <v>Employee Data</v>
      </c>
      <c r="D681" t="s">
        <v>8453</v>
      </c>
    </row>
    <row r="682" spans="1:4" ht="15" customHeight="1">
      <c r="A682" t="s">
        <v>8458</v>
      </c>
      <c r="B682" s="100" t="str">
        <f t="shared" ca="1" si="9"/>
        <v>Employee No.</v>
      </c>
      <c r="D682" t="s">
        <v>8458</v>
      </c>
    </row>
    <row r="683" spans="1:4" ht="15" customHeight="1">
      <c r="A683" t="s">
        <v>8490</v>
      </c>
      <c r="B683" s="100" t="str">
        <f t="shared" ca="1" si="9"/>
        <v>Assigned Benefits</v>
      </c>
      <c r="D683" t="s">
        <v>8490</v>
      </c>
    </row>
    <row r="684" spans="1:4" ht="15" customHeight="1">
      <c r="A684" t="s">
        <v>8491</v>
      </c>
      <c r="B684" s="100" t="str">
        <f t="shared" ca="1" si="9"/>
        <v>Company Car</v>
      </c>
      <c r="D684" t="s">
        <v>8491</v>
      </c>
    </row>
    <row r="685" spans="1:4" ht="15" customHeight="1">
      <c r="A685" t="s">
        <v>8492</v>
      </c>
      <c r="B685" s="100" t="str">
        <f t="shared" ca="1" si="9"/>
        <v>Laptop</v>
      </c>
      <c r="D685" t="s">
        <v>8492</v>
      </c>
    </row>
    <row r="686" spans="1:4" ht="15" customHeight="1">
      <c r="A686" t="s">
        <v>8493</v>
      </c>
      <c r="B686" s="100" t="str">
        <f t="shared" ca="1" si="9"/>
        <v>Cellphone</v>
      </c>
      <c r="D686" t="s">
        <v>8493</v>
      </c>
    </row>
    <row r="687" spans="1:4" ht="15" customHeight="1">
      <c r="A687" t="s">
        <v>1946</v>
      </c>
      <c r="B687" s="100" t="str">
        <f t="shared" ca="1" si="9"/>
        <v>Apartment</v>
      </c>
      <c r="D687" t="s">
        <v>1946</v>
      </c>
    </row>
    <row r="688" spans="1:4" ht="15" customHeight="1">
      <c r="A688" t="s">
        <v>8494</v>
      </c>
      <c r="B688" s="100" t="str">
        <f t="shared" ca="1" si="9"/>
        <v>Station PQC Card</v>
      </c>
      <c r="D688" t="s">
        <v>8494</v>
      </c>
    </row>
    <row r="689" spans="1:4" ht="15" customHeight="1">
      <c r="A689" t="s">
        <v>8495</v>
      </c>
      <c r="B689" s="100" t="str">
        <f t="shared" ca="1" si="9"/>
        <v>Amex</v>
      </c>
      <c r="D689" t="s">
        <v>8495</v>
      </c>
    </row>
    <row r="690" spans="1:4" ht="15" customHeight="1">
      <c r="A690" t="s">
        <v>8496</v>
      </c>
      <c r="B690" s="100" t="str">
        <f t="shared" ca="1" si="9"/>
        <v>AT&amp;T Card</v>
      </c>
      <c r="D690" t="s">
        <v>8496</v>
      </c>
    </row>
    <row r="691" spans="1:4" ht="15" customHeight="1">
      <c r="A691" t="s">
        <v>8497</v>
      </c>
      <c r="B691" s="100" t="str">
        <f t="shared" ref="B691:B698" ca="1" si="10">IFERROR(IF(ISBLANK(OFFSET(B691,0,$Q$1-1)),D691,OFFSET(B691,0,$Q$1-1)),"Please select language")</f>
        <v>Medical Exam</v>
      </c>
      <c r="D691" t="s">
        <v>8497</v>
      </c>
    </row>
    <row r="692" spans="1:4" ht="15" customHeight="1">
      <c r="A692" t="s">
        <v>8498</v>
      </c>
      <c r="B692" s="100" t="str">
        <f t="shared" ca="1" si="10"/>
        <v>Action Privacy Club</v>
      </c>
      <c r="D692" t="s">
        <v>8498</v>
      </c>
    </row>
    <row r="693" spans="1:4" ht="15" customHeight="1">
      <c r="A693" t="s">
        <v>8499</v>
      </c>
      <c r="B693" s="46" t="str">
        <f t="shared" ca="1" si="10"/>
        <v>Preferred First Name</v>
      </c>
      <c r="D693" t="s">
        <v>8499</v>
      </c>
    </row>
    <row r="694" spans="1:4" ht="15" customHeight="1">
      <c r="A694" t="s">
        <v>8500</v>
      </c>
      <c r="B694" s="46" t="str">
        <f t="shared" ca="1" si="10"/>
        <v>Preferred Last Name</v>
      </c>
      <c r="D694" t="s">
        <v>8500</v>
      </c>
    </row>
    <row r="695" spans="1:4" ht="15" customHeight="1">
      <c r="A695" t="s">
        <v>8501</v>
      </c>
      <c r="B695" s="46" t="str">
        <f t="shared" ca="1" si="10"/>
        <v>Emergency Contact Address</v>
      </c>
      <c r="D695" t="s">
        <v>8501</v>
      </c>
    </row>
    <row r="696" spans="1:4" ht="15" customHeight="1">
      <c r="A696" t="s">
        <v>8503</v>
      </c>
      <c r="B696" s="46" t="str">
        <f t="shared" ca="1" si="10"/>
        <v>Dependent Address</v>
      </c>
      <c r="D696" t="s">
        <v>8503</v>
      </c>
    </row>
    <row r="697" spans="1:4" ht="15" customHeight="1">
      <c r="A697" s="45" t="s">
        <v>8504</v>
      </c>
      <c r="B697" s="46" t="str">
        <f t="shared" ca="1" si="10"/>
        <v>Contract Start Date (DD/MM/YYYY)</v>
      </c>
      <c r="D697" s="45" t="s">
        <v>8505</v>
      </c>
    </row>
    <row r="698" spans="1:4" ht="15" customHeight="1">
      <c r="A698" t="s">
        <v>9020</v>
      </c>
      <c r="B698" s="45" t="str">
        <f t="shared" ca="1" si="10"/>
        <v>* District</v>
      </c>
      <c r="D698" t="s">
        <v>9020</v>
      </c>
    </row>
  </sheetData>
  <sortState ref="Y2:Y33">
    <sortCondition ref="Y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PickLists!$B$3984:$B$4373</xm:f>
          </x14:formula1>
          <xm:sqref>B535:B692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5946"/>
  <sheetViews>
    <sheetView showGridLines="0" workbookViewId="0">
      <pane xSplit="1" ySplit="1" topLeftCell="H2" activePane="bottomRight" state="frozen"/>
      <selection pane="topRight" activeCell="B1" sqref="B1"/>
      <selection pane="bottomLeft" activeCell="A2" sqref="A2"/>
      <selection pane="bottomRight"/>
    </sheetView>
  </sheetViews>
  <sheetFormatPr defaultRowHeight="15"/>
  <cols>
    <col min="1" max="1" width="41.5703125" bestFit="1" customWidth="1"/>
    <col min="2" max="2" width="41.5703125" customWidth="1"/>
    <col min="3" max="3" width="42.7109375" bestFit="1" customWidth="1"/>
    <col min="4" max="4" width="18.140625" bestFit="1" customWidth="1"/>
    <col min="5" max="5" width="14.85546875" bestFit="1" customWidth="1"/>
    <col min="6" max="6" width="14.7109375" bestFit="1" customWidth="1"/>
    <col min="7" max="7" width="18.140625" bestFit="1" customWidth="1"/>
    <col min="8" max="8" width="15.42578125" bestFit="1" customWidth="1"/>
    <col min="9" max="9" width="14.5703125" bestFit="1" customWidth="1"/>
    <col min="10" max="10" width="23.85546875" bestFit="1" customWidth="1"/>
    <col min="11" max="11" width="19.28515625" bestFit="1" customWidth="1"/>
    <col min="12" max="12" width="19.42578125" bestFit="1" customWidth="1"/>
    <col min="13" max="14" width="19.7109375" bestFit="1" customWidth="1"/>
    <col min="15" max="15" width="12.28515625" bestFit="1" customWidth="1"/>
  </cols>
  <sheetData>
    <row r="1" spans="1:15" ht="30">
      <c r="A1" s="21" t="s">
        <v>1895</v>
      </c>
      <c r="B1" s="21" t="s">
        <v>821</v>
      </c>
      <c r="C1" s="21" t="s">
        <v>820</v>
      </c>
      <c r="D1" s="87" t="s">
        <v>847</v>
      </c>
      <c r="E1" s="87" t="s">
        <v>397</v>
      </c>
      <c r="F1" s="87" t="s">
        <v>848</v>
      </c>
      <c r="G1" s="87" t="s">
        <v>849</v>
      </c>
      <c r="H1" s="87" t="s">
        <v>850</v>
      </c>
      <c r="I1" s="87" t="s">
        <v>851</v>
      </c>
      <c r="J1" s="87" t="s">
        <v>852</v>
      </c>
      <c r="K1" s="87" t="s">
        <v>853</v>
      </c>
      <c r="L1" s="87" t="s">
        <v>854</v>
      </c>
      <c r="M1" s="87" t="s">
        <v>855</v>
      </c>
      <c r="N1" s="87" t="s">
        <v>856</v>
      </c>
      <c r="O1" s="87" t="s">
        <v>857</v>
      </c>
    </row>
    <row r="2" spans="1:15">
      <c r="A2" s="76" t="s">
        <v>2013</v>
      </c>
      <c r="B2" s="4" t="str">
        <f ca="1">IF(ISBLANK(OFFSET(B2,0,'Field labels'!$Q$1)),C2,OFFSET(B2,0,'Field labels'!$Q$1))</f>
        <v>Contrat de Stage</v>
      </c>
      <c r="C2" s="76" t="s">
        <v>2019</v>
      </c>
      <c r="D2" t="s">
        <v>2019</v>
      </c>
      <c r="E2" t="s">
        <v>2019</v>
      </c>
      <c r="F2" t="s">
        <v>2019</v>
      </c>
      <c r="G2" t="s">
        <v>2019</v>
      </c>
      <c r="H2" t="s">
        <v>2019</v>
      </c>
      <c r="I2" t="s">
        <v>2019</v>
      </c>
      <c r="J2" t="s">
        <v>2019</v>
      </c>
      <c r="K2" t="s">
        <v>2019</v>
      </c>
      <c r="L2" t="s">
        <v>2019</v>
      </c>
      <c r="M2" t="s">
        <v>2019</v>
      </c>
      <c r="N2" t="s">
        <v>2019</v>
      </c>
      <c r="O2" t="s">
        <v>2019</v>
      </c>
    </row>
    <row r="3" spans="1:15">
      <c r="A3" s="76" t="s">
        <v>2013</v>
      </c>
      <c r="B3" s="4" t="str">
        <f ca="1">IF(ISBLANK(OFFSET(B3,0,'Field labels'!$Q$1)),C3,OFFSET(B3,0,'Field labels'!$Q$1))</f>
        <v>CONTRAT INPAT</v>
      </c>
      <c r="C3" s="76" t="s">
        <v>2017</v>
      </c>
      <c r="D3" t="s">
        <v>2017</v>
      </c>
      <c r="E3" t="s">
        <v>2017</v>
      </c>
      <c r="F3" t="s">
        <v>2017</v>
      </c>
      <c r="G3" t="s">
        <v>2017</v>
      </c>
      <c r="H3" t="s">
        <v>2017</v>
      </c>
      <c r="I3" t="s">
        <v>2017</v>
      </c>
      <c r="J3" t="s">
        <v>2017</v>
      </c>
      <c r="K3" t="s">
        <v>2017</v>
      </c>
      <c r="L3" t="s">
        <v>2017</v>
      </c>
      <c r="M3" t="s">
        <v>2017</v>
      </c>
      <c r="N3" t="s">
        <v>2017</v>
      </c>
      <c r="O3" t="s">
        <v>2017</v>
      </c>
    </row>
    <row r="4" spans="1:15">
      <c r="A4" s="4" t="s">
        <v>2013</v>
      </c>
      <c r="B4" s="4" t="str">
        <f ca="1">IF(ISBLANK(OFFSET(B4,0,'Field labels'!$Q$1)),C4,OFFSET(B4,0,'Field labels'!$Q$1))</f>
        <v>Fixed Term Contract</v>
      </c>
      <c r="C4" s="4" t="s">
        <v>2018</v>
      </c>
      <c r="D4" t="s">
        <v>3803</v>
      </c>
      <c r="E4" t="s">
        <v>701</v>
      </c>
      <c r="F4" t="s">
        <v>3804</v>
      </c>
      <c r="G4" t="s">
        <v>3805</v>
      </c>
      <c r="H4" t="s">
        <v>3806</v>
      </c>
      <c r="I4" t="s">
        <v>3807</v>
      </c>
      <c r="J4" t="s">
        <v>3808</v>
      </c>
      <c r="K4" t="s">
        <v>3809</v>
      </c>
      <c r="L4" t="s">
        <v>3810</v>
      </c>
      <c r="M4" t="s">
        <v>3811</v>
      </c>
      <c r="N4" t="s">
        <v>3812</v>
      </c>
      <c r="O4" t="s">
        <v>3813</v>
      </c>
    </row>
    <row r="5" spans="1:15">
      <c r="A5" s="4" t="s">
        <v>2013</v>
      </c>
      <c r="B5" s="4" t="str">
        <f ca="1">IF(ISBLANK(OFFSET(B5,0,'Field labels'!$Q$1)),C5,OFFSET(B5,0,'Field labels'!$Q$1))</f>
        <v>Open-End Contract</v>
      </c>
      <c r="C5" s="4" t="s">
        <v>2016</v>
      </c>
      <c r="D5" t="s">
        <v>3814</v>
      </c>
      <c r="E5" t="s">
        <v>3815</v>
      </c>
      <c r="F5" t="s">
        <v>3816</v>
      </c>
      <c r="G5" t="s">
        <v>3817</v>
      </c>
      <c r="H5" t="s">
        <v>3818</v>
      </c>
      <c r="I5" t="s">
        <v>3819</v>
      </c>
      <c r="J5" t="s">
        <v>3820</v>
      </c>
      <c r="K5" t="s">
        <v>3821</v>
      </c>
      <c r="L5" t="s">
        <v>3822</v>
      </c>
      <c r="M5" t="s">
        <v>3823</v>
      </c>
      <c r="N5" t="s">
        <v>3825</v>
      </c>
      <c r="O5" t="s">
        <v>3824</v>
      </c>
    </row>
    <row r="6" spans="1:15">
      <c r="A6" s="76" t="s">
        <v>2014</v>
      </c>
      <c r="B6" s="4" t="str">
        <f ca="1">IF(ISBLANK(OFFSET(B6,0,'Field labels'!$Q$1)),C6,OFFSET(B6,0,'Field labels'!$Q$1))</f>
        <v>Plant</v>
      </c>
      <c r="C6" s="76" t="s">
        <v>2020</v>
      </c>
      <c r="E6" t="s">
        <v>2020</v>
      </c>
      <c r="H6" t="s">
        <v>2020</v>
      </c>
      <c r="I6" t="s">
        <v>2020</v>
      </c>
      <c r="J6" t="s">
        <v>2020</v>
      </c>
      <c r="K6" t="s">
        <v>2020</v>
      </c>
      <c r="M6" t="s">
        <v>2020</v>
      </c>
      <c r="O6" t="s">
        <v>2020</v>
      </c>
    </row>
    <row r="7" spans="1:15">
      <c r="A7" s="76" t="s">
        <v>2014</v>
      </c>
      <c r="B7" s="4" t="str">
        <f ca="1">IF(ISBLANK(OFFSET(B7,0,'Field labels'!$Q$1)),C7,OFFSET(B7,0,'Field labels'!$Q$1))</f>
        <v>Staff</v>
      </c>
      <c r="C7" s="76" t="s">
        <v>2021</v>
      </c>
      <c r="E7" t="s">
        <v>2021</v>
      </c>
      <c r="H7" t="s">
        <v>2021</v>
      </c>
      <c r="I7" t="s">
        <v>2021</v>
      </c>
      <c r="J7" t="s">
        <v>2021</v>
      </c>
      <c r="K7" t="s">
        <v>2021</v>
      </c>
      <c r="M7" t="s">
        <v>2021</v>
      </c>
      <c r="O7" t="s">
        <v>2021</v>
      </c>
    </row>
    <row r="8" spans="1:15">
      <c r="A8" s="76" t="s">
        <v>7932</v>
      </c>
      <c r="B8" s="4" t="str">
        <f ca="1">IF(ISBLANK(OFFSET(B8,0,'Field labels'!$Q$1)),C8,OFFSET(B8,0,'Field labels'!$Q$1))</f>
        <v>Fixed-Term</v>
      </c>
      <c r="C8" s="76" t="s">
        <v>7907</v>
      </c>
    </row>
    <row r="9" spans="1:15">
      <c r="A9" s="102" t="s">
        <v>7932</v>
      </c>
      <c r="B9" s="86" t="str">
        <f ca="1">IF(ISBLANK(OFFSET(B9,0,'Field labels'!$Q$1)),C9,OFFSET(B9,0,'Field labels'!$Q$1))</f>
        <v>Permanent</v>
      </c>
      <c r="C9" s="102" t="s">
        <v>432</v>
      </c>
    </row>
    <row r="10" spans="1:15">
      <c r="A10" s="76" t="s">
        <v>7932</v>
      </c>
      <c r="B10" s="4" t="str">
        <f ca="1">IF(ISBLANK(OFFSET(B10,0,'Field labels'!$Q$1)),C10,OFFSET(B10,0,'Field labels'!$Q$1))</f>
        <v>Probation Period</v>
      </c>
      <c r="C10" s="76" t="s">
        <v>7908</v>
      </c>
    </row>
    <row r="11" spans="1:15">
      <c r="A11" s="76" t="s">
        <v>7932</v>
      </c>
      <c r="B11" s="4" t="str">
        <f ca="1">IF(ISBLANK(OFFSET(B11,0,'Field labels'!$Q$1)),C11,OFFSET(B11,0,'Field labels'!$Q$1))</f>
        <v>Undefined</v>
      </c>
      <c r="C11" s="76" t="s">
        <v>7909</v>
      </c>
    </row>
    <row r="12" spans="1:15">
      <c r="A12" s="4" t="s">
        <v>5327</v>
      </c>
      <c r="B12" s="4" t="str">
        <f ca="1">IF(ISBLANK(OFFSET(B12,0,'Field labels'!$Q$1)),C12,OFFSET(B12,0,'Field labels'!$Q$1))</f>
        <v>Fixed Term Contract</v>
      </c>
      <c r="C12" s="4" t="s">
        <v>701</v>
      </c>
      <c r="D12" s="22"/>
      <c r="E12" s="22"/>
      <c r="F12" s="22"/>
      <c r="G12" s="22"/>
      <c r="H12" s="22"/>
      <c r="I12" s="22"/>
      <c r="J12" s="22"/>
      <c r="K12" s="22"/>
      <c r="L12" s="22"/>
      <c r="M12" s="22"/>
      <c r="N12" s="22"/>
      <c r="O12" s="22"/>
    </row>
    <row r="13" spans="1:15">
      <c r="A13" s="4" t="s">
        <v>5327</v>
      </c>
      <c r="B13" s="4" t="str">
        <f ca="1">IF(ISBLANK(OFFSET(B13,0,'Field labels'!$Q$1)),C13,OFFSET(B13,0,'Field labels'!$Q$1))</f>
        <v>Full Time</v>
      </c>
      <c r="C13" s="4" t="s">
        <v>5328</v>
      </c>
      <c r="D13" s="22"/>
      <c r="E13" s="22"/>
      <c r="F13" s="22"/>
      <c r="G13" s="22"/>
      <c r="H13" s="22"/>
      <c r="I13" s="22"/>
      <c r="J13" s="22"/>
      <c r="K13" s="22"/>
      <c r="L13" s="22"/>
      <c r="M13" s="22"/>
      <c r="N13" s="22"/>
      <c r="O13" s="22"/>
    </row>
    <row r="14" spans="1:15">
      <c r="A14" s="4" t="s">
        <v>5327</v>
      </c>
      <c r="B14" s="4" t="str">
        <f ca="1">IF(ISBLANK(OFFSET(B14,0,'Field labels'!$Q$1)),C14,OFFSET(B14,0,'Field labels'!$Q$1))</f>
        <v>Part Time</v>
      </c>
      <c r="C14" s="4" t="s">
        <v>5329</v>
      </c>
      <c r="D14" s="22"/>
      <c r="E14" s="22"/>
      <c r="F14" s="22"/>
      <c r="G14" s="22"/>
      <c r="H14" s="22"/>
      <c r="I14" s="22"/>
      <c r="J14" s="22"/>
      <c r="K14" s="22"/>
      <c r="L14" s="22"/>
      <c r="M14" s="22"/>
      <c r="N14" s="22"/>
      <c r="O14" s="22"/>
    </row>
    <row r="15" spans="1:15">
      <c r="A15" s="4" t="s">
        <v>5327</v>
      </c>
      <c r="B15" s="4" t="str">
        <f ca="1">IF(ISBLANK(OFFSET(B15,0,'Field labels'!$Q$1)),C15,OFFSET(B15,0,'Field labels'!$Q$1))</f>
        <v>Permanent</v>
      </c>
      <c r="C15" s="4" t="s">
        <v>432</v>
      </c>
      <c r="D15" s="22"/>
      <c r="E15" s="22"/>
      <c r="F15" s="22"/>
      <c r="G15" s="22"/>
      <c r="H15" s="22"/>
      <c r="I15" s="22"/>
      <c r="J15" s="22"/>
      <c r="K15" s="22"/>
      <c r="L15" s="22"/>
      <c r="M15" s="22"/>
      <c r="N15" s="22"/>
      <c r="O15" s="22"/>
    </row>
    <row r="16" spans="1:15">
      <c r="A16" s="4" t="s">
        <v>5327</v>
      </c>
      <c r="B16" s="4" t="str">
        <f ca="1">IF(ISBLANK(OFFSET(B16,0,'Field labels'!$Q$1)),C16,OFFSET(B16,0,'Field labels'!$Q$1))</f>
        <v>Probation</v>
      </c>
      <c r="C16" s="4" t="s">
        <v>699</v>
      </c>
      <c r="D16" s="22"/>
      <c r="E16" s="22"/>
      <c r="F16" s="22"/>
      <c r="G16" s="22"/>
      <c r="H16" s="22"/>
      <c r="I16" s="22"/>
      <c r="J16" s="22"/>
      <c r="K16" s="22"/>
      <c r="L16" s="22"/>
      <c r="M16" s="22"/>
      <c r="N16" s="22"/>
      <c r="O16" s="22"/>
    </row>
    <row r="17" spans="1:15">
      <c r="A17" s="4" t="s">
        <v>5327</v>
      </c>
      <c r="B17" s="4" t="str">
        <f ca="1">IF(ISBLANK(OFFSET(B17,0,'Field labels'!$Q$1)),C17,OFFSET(B17,0,'Field labels'!$Q$1))</f>
        <v>Replacement</v>
      </c>
      <c r="C17" s="4" t="s">
        <v>700</v>
      </c>
      <c r="D17" s="22"/>
      <c r="E17" s="22"/>
      <c r="F17" s="22"/>
      <c r="G17" s="22"/>
      <c r="H17" s="22"/>
      <c r="I17" s="22"/>
      <c r="J17" s="22"/>
      <c r="K17" s="22"/>
      <c r="L17" s="22"/>
      <c r="M17" s="22"/>
      <c r="N17" s="22"/>
      <c r="O17" s="22"/>
    </row>
    <row r="18" spans="1:15">
      <c r="A18" s="4" t="s">
        <v>5327</v>
      </c>
      <c r="B18" s="4" t="str">
        <f ca="1">IF(ISBLANK(OFFSET(B18,0,'Field labels'!$Q$1)),C18,OFFSET(B18,0,'Field labels'!$Q$1))</f>
        <v>Temporary</v>
      </c>
      <c r="C18" s="4" t="s">
        <v>692</v>
      </c>
      <c r="D18" s="22"/>
      <c r="E18" s="22"/>
      <c r="F18" s="22"/>
      <c r="G18" s="22"/>
      <c r="H18" s="22"/>
      <c r="I18" s="22"/>
      <c r="J18" s="22"/>
      <c r="K18" s="22"/>
      <c r="L18" s="22"/>
      <c r="M18" s="22"/>
      <c r="N18" s="22"/>
      <c r="O18" s="22"/>
    </row>
    <row r="19" spans="1:15">
      <c r="A19" s="76" t="s">
        <v>2682</v>
      </c>
      <c r="B19" s="4" t="str">
        <f ca="1">IF(ISBLANK(OFFSET(B19,0,'Field labels'!$Q$1)),C19,OFFSET(B19,0,'Field labels'!$Q$1))</f>
        <v>CCNL Alimentare</v>
      </c>
      <c r="C19" s="76" t="s">
        <v>2683</v>
      </c>
      <c r="D19" t="s">
        <v>2683</v>
      </c>
      <c r="E19" t="s">
        <v>2683</v>
      </c>
      <c r="F19" t="s">
        <v>2683</v>
      </c>
      <c r="G19" t="s">
        <v>2683</v>
      </c>
      <c r="H19" t="s">
        <v>2683</v>
      </c>
      <c r="I19" t="s">
        <v>2683</v>
      </c>
      <c r="J19" t="s">
        <v>2683</v>
      </c>
      <c r="K19" t="s">
        <v>2683</v>
      </c>
      <c r="L19" t="s">
        <v>2683</v>
      </c>
      <c r="M19" t="s">
        <v>2683</v>
      </c>
      <c r="N19" t="s">
        <v>2683</v>
      </c>
      <c r="O19" t="s">
        <v>2683</v>
      </c>
    </row>
    <row r="20" spans="1:15">
      <c r="A20" s="76" t="s">
        <v>2682</v>
      </c>
      <c r="B20" s="4" t="str">
        <f ca="1">IF(ISBLANK(OFFSET(B20,0,'Field labels'!$Q$1)),C20,OFFSET(B20,0,'Field labels'!$Q$1))</f>
        <v>CCNL Chimico</v>
      </c>
      <c r="C20" s="76" t="s">
        <v>2684</v>
      </c>
      <c r="D20" t="s">
        <v>2684</v>
      </c>
      <c r="E20" t="s">
        <v>2684</v>
      </c>
      <c r="F20" t="s">
        <v>2684</v>
      </c>
      <c r="G20" t="s">
        <v>2684</v>
      </c>
      <c r="H20" t="s">
        <v>2684</v>
      </c>
      <c r="I20" t="s">
        <v>2684</v>
      </c>
      <c r="J20" t="s">
        <v>2684</v>
      </c>
      <c r="K20" t="s">
        <v>2684</v>
      </c>
      <c r="L20" t="s">
        <v>2684</v>
      </c>
      <c r="M20" t="s">
        <v>2684</v>
      </c>
      <c r="N20" t="s">
        <v>2684</v>
      </c>
      <c r="O20" t="s">
        <v>2684</v>
      </c>
    </row>
    <row r="21" spans="1:15">
      <c r="A21" s="76" t="s">
        <v>2682</v>
      </c>
      <c r="B21" s="4" t="str">
        <f ca="1">IF(ISBLANK(OFFSET(B21,0,'Field labels'!$Q$1)),C21,OFFSET(B21,0,'Field labels'!$Q$1))</f>
        <v>CCNL Commercio</v>
      </c>
      <c r="C21" s="76" t="s">
        <v>2685</v>
      </c>
      <c r="D21" t="s">
        <v>2685</v>
      </c>
      <c r="E21" t="s">
        <v>2685</v>
      </c>
      <c r="F21" t="s">
        <v>2685</v>
      </c>
      <c r="G21" t="s">
        <v>2685</v>
      </c>
      <c r="H21" t="s">
        <v>2685</v>
      </c>
      <c r="I21" t="s">
        <v>2685</v>
      </c>
      <c r="J21" t="s">
        <v>2685</v>
      </c>
      <c r="K21" t="s">
        <v>2685</v>
      </c>
      <c r="L21" t="s">
        <v>2685</v>
      </c>
      <c r="M21" t="s">
        <v>2685</v>
      </c>
      <c r="N21" t="s">
        <v>2685</v>
      </c>
      <c r="O21" t="s">
        <v>2685</v>
      </c>
    </row>
    <row r="22" spans="1:15">
      <c r="A22" s="76" t="s">
        <v>2682</v>
      </c>
      <c r="B22" s="4" t="str">
        <f ca="1">IF(ISBLANK(OFFSET(B22,0,'Field labels'!$Q$1)),C22,OFFSET(B22,0,'Field labels'!$Q$1))</f>
        <v>CCNL Dir. Comm.</v>
      </c>
      <c r="C22" s="76" t="s">
        <v>2686</v>
      </c>
      <c r="D22" t="s">
        <v>2686</v>
      </c>
      <c r="E22" t="s">
        <v>2686</v>
      </c>
      <c r="F22" t="s">
        <v>2686</v>
      </c>
      <c r="G22" t="s">
        <v>2686</v>
      </c>
      <c r="H22" t="s">
        <v>2686</v>
      </c>
      <c r="I22" t="s">
        <v>2686</v>
      </c>
      <c r="J22" t="s">
        <v>2686</v>
      </c>
      <c r="K22" t="s">
        <v>2686</v>
      </c>
      <c r="L22" t="s">
        <v>2686</v>
      </c>
      <c r="M22" t="s">
        <v>2686</v>
      </c>
      <c r="N22" t="s">
        <v>2686</v>
      </c>
      <c r="O22" t="s">
        <v>2686</v>
      </c>
    </row>
    <row r="23" spans="1:15">
      <c r="A23" s="76" t="s">
        <v>2682</v>
      </c>
      <c r="B23" s="4" t="str">
        <f ca="1">IF(ISBLANK(OFFSET(B23,0,'Field labels'!$Q$1)),C23,OFFSET(B23,0,'Field labels'!$Q$1))</f>
        <v>CCNL Dir. Ind.</v>
      </c>
      <c r="C23" s="76" t="s">
        <v>2687</v>
      </c>
      <c r="D23" t="s">
        <v>2687</v>
      </c>
      <c r="E23" t="s">
        <v>2687</v>
      </c>
      <c r="F23" t="s">
        <v>2687</v>
      </c>
      <c r="G23" t="s">
        <v>2687</v>
      </c>
      <c r="H23" t="s">
        <v>2687</v>
      </c>
      <c r="I23" t="s">
        <v>2687</v>
      </c>
      <c r="J23" t="s">
        <v>2687</v>
      </c>
      <c r="K23" t="s">
        <v>2687</v>
      </c>
      <c r="L23" t="s">
        <v>2687</v>
      </c>
      <c r="M23" t="s">
        <v>2687</v>
      </c>
      <c r="N23" t="s">
        <v>2687</v>
      </c>
      <c r="O23" t="s">
        <v>2687</v>
      </c>
    </row>
    <row r="24" spans="1:15">
      <c r="A24" s="76" t="s">
        <v>2682</v>
      </c>
      <c r="B24" s="4" t="str">
        <f ca="1">IF(ISBLANK(OFFSET(B24,0,'Field labels'!$Q$1)),C24,OFFSET(B24,0,'Field labels'!$Q$1))</f>
        <v>CCNL Elettrico</v>
      </c>
      <c r="C24" s="76" t="s">
        <v>2688</v>
      </c>
      <c r="D24" t="s">
        <v>2688</v>
      </c>
      <c r="E24" t="s">
        <v>2688</v>
      </c>
      <c r="F24" t="s">
        <v>2688</v>
      </c>
      <c r="G24" t="s">
        <v>2688</v>
      </c>
      <c r="H24" t="s">
        <v>2688</v>
      </c>
      <c r="I24" t="s">
        <v>2688</v>
      </c>
      <c r="J24" t="s">
        <v>2688</v>
      </c>
      <c r="K24" t="s">
        <v>2688</v>
      </c>
      <c r="L24" t="s">
        <v>2688</v>
      </c>
      <c r="M24" t="s">
        <v>2688</v>
      </c>
      <c r="N24" t="s">
        <v>2688</v>
      </c>
      <c r="O24" t="s">
        <v>2688</v>
      </c>
    </row>
    <row r="25" spans="1:15">
      <c r="A25" s="76" t="s">
        <v>2682</v>
      </c>
      <c r="B25" s="4" t="str">
        <f ca="1">IF(ISBLANK(OFFSET(B25,0,'Field labels'!$Q$1)),C25,OFFSET(B25,0,'Field labels'!$Q$1))</f>
        <v>Cocopro/Stagist</v>
      </c>
      <c r="C25" s="76" t="s">
        <v>2689</v>
      </c>
      <c r="D25" t="s">
        <v>2689</v>
      </c>
      <c r="E25" t="s">
        <v>2689</v>
      </c>
      <c r="F25" t="s">
        <v>2689</v>
      </c>
      <c r="G25" t="s">
        <v>2689</v>
      </c>
      <c r="H25" t="s">
        <v>2689</v>
      </c>
      <c r="I25" t="s">
        <v>2689</v>
      </c>
      <c r="J25" t="s">
        <v>2689</v>
      </c>
      <c r="K25" t="s">
        <v>2689</v>
      </c>
      <c r="L25" t="s">
        <v>2689</v>
      </c>
      <c r="M25" t="s">
        <v>2689</v>
      </c>
      <c r="N25" t="s">
        <v>2689</v>
      </c>
      <c r="O25" t="s">
        <v>2689</v>
      </c>
    </row>
    <row r="26" spans="1:15">
      <c r="A26" s="76" t="s">
        <v>7906</v>
      </c>
      <c r="B26" s="4" t="str">
        <f ca="1">IF(ISBLANK(OFFSET(B26,0,'Field labels'!$Q$1)),C26,OFFSET(B26,0,'Field labels'!$Q$1))</f>
        <v>Fixed-Term</v>
      </c>
      <c r="C26" s="76" t="s">
        <v>7907</v>
      </c>
    </row>
    <row r="27" spans="1:15">
      <c r="A27" s="76" t="s">
        <v>7906</v>
      </c>
      <c r="B27" s="4" t="str">
        <f ca="1">IF(ISBLANK(OFFSET(B27,0,'Field labels'!$Q$1)),C27,OFFSET(B27,0,'Field labels'!$Q$1))</f>
        <v>Permanent</v>
      </c>
      <c r="C27" s="76" t="s">
        <v>432</v>
      </c>
    </row>
    <row r="28" spans="1:15">
      <c r="A28" s="76" t="s">
        <v>7906</v>
      </c>
      <c r="B28" s="4" t="str">
        <f ca="1">IF(ISBLANK(OFFSET(B28,0,'Field labels'!$Q$1)),C28,OFFSET(B28,0,'Field labels'!$Q$1))</f>
        <v>Probation Period</v>
      </c>
      <c r="C28" s="76" t="s">
        <v>7908</v>
      </c>
    </row>
    <row r="29" spans="1:15">
      <c r="A29" s="76" t="s">
        <v>7906</v>
      </c>
      <c r="B29" s="4" t="str">
        <f ca="1">IF(ISBLANK(OFFSET(B29,0,'Field labels'!$Q$1)),C29,OFFSET(B29,0,'Field labels'!$Q$1))</f>
        <v>Undefined</v>
      </c>
      <c r="C29" s="76" t="s">
        <v>7909</v>
      </c>
    </row>
    <row r="30" spans="1:15">
      <c r="A30" s="76" t="s">
        <v>2749</v>
      </c>
      <c r="B30" s="4" t="str">
        <f ca="1">IF(ISBLANK(OFFSET(B30,0,'Field labels'!$Q$1)),C30,OFFSET(B30,0,'Field labels'!$Q$1))</f>
        <v>COGS (FABRIC)</v>
      </c>
      <c r="C30" s="76" t="s">
        <v>2750</v>
      </c>
      <c r="D30" t="s">
        <v>2750</v>
      </c>
      <c r="E30" t="s">
        <v>2750</v>
      </c>
      <c r="F30" t="s">
        <v>2750</v>
      </c>
      <c r="G30" t="s">
        <v>2750</v>
      </c>
      <c r="H30" t="s">
        <v>2750</v>
      </c>
      <c r="I30" t="s">
        <v>2750</v>
      </c>
      <c r="J30" t="s">
        <v>2750</v>
      </c>
      <c r="K30" t="s">
        <v>2750</v>
      </c>
      <c r="M30" t="s">
        <v>2750</v>
      </c>
      <c r="N30" t="s">
        <v>2750</v>
      </c>
      <c r="O30" t="s">
        <v>2750</v>
      </c>
    </row>
    <row r="31" spans="1:15">
      <c r="A31" s="76" t="s">
        <v>2749</v>
      </c>
      <c r="B31" s="4" t="str">
        <f ca="1">IF(ISBLANK(OFFSET(B31,0,'Field labels'!$Q$1)),C31,OFFSET(B31,0,'Field labels'!$Q$1))</f>
        <v>SG&amp;A  (OVERH)</v>
      </c>
      <c r="C31" s="76" t="s">
        <v>2751</v>
      </c>
      <c r="D31" t="s">
        <v>2751</v>
      </c>
      <c r="E31" t="s">
        <v>2751</v>
      </c>
      <c r="F31" t="s">
        <v>2751</v>
      </c>
      <c r="G31" t="s">
        <v>2751</v>
      </c>
      <c r="H31" t="s">
        <v>2751</v>
      </c>
      <c r="I31" t="s">
        <v>2751</v>
      </c>
      <c r="J31" t="s">
        <v>2751</v>
      </c>
      <c r="K31" t="s">
        <v>2751</v>
      </c>
      <c r="M31" t="s">
        <v>2751</v>
      </c>
      <c r="N31" t="s">
        <v>2751</v>
      </c>
      <c r="O31" t="s">
        <v>2751</v>
      </c>
    </row>
    <row r="32" spans="1:15">
      <c r="A32" s="4" t="s">
        <v>2015</v>
      </c>
      <c r="B32" s="4" t="str">
        <f ca="1">IF(ISBLANK(OFFSET(B32,0,'Field labels'!$Q$1)),C32,OFFSET(B32,0,'Field labels'!$Q$1))</f>
        <v>Fixed Term Contract</v>
      </c>
      <c r="C32" s="4" t="s">
        <v>701</v>
      </c>
      <c r="D32" t="s">
        <v>3803</v>
      </c>
      <c r="E32" t="s">
        <v>701</v>
      </c>
      <c r="F32" t="s">
        <v>3804</v>
      </c>
      <c r="G32" t="s">
        <v>3805</v>
      </c>
      <c r="H32" t="s">
        <v>3806</v>
      </c>
      <c r="I32" t="s">
        <v>3807</v>
      </c>
      <c r="J32" t="s">
        <v>3808</v>
      </c>
      <c r="K32" t="s">
        <v>3809</v>
      </c>
      <c r="L32" t="s">
        <v>3810</v>
      </c>
      <c r="M32" t="s">
        <v>3811</v>
      </c>
      <c r="N32" t="s">
        <v>3826</v>
      </c>
      <c r="O32" t="s">
        <v>3813</v>
      </c>
    </row>
    <row r="33" spans="1:15">
      <c r="A33" s="4" t="s">
        <v>2015</v>
      </c>
      <c r="B33" s="4" t="str">
        <f ca="1">IF(ISBLANK(OFFSET(B33,0,'Field labels'!$Q$1)),C33,OFFSET(B33,0,'Field labels'!$Q$1))</f>
        <v>Permanent Contract</v>
      </c>
      <c r="C33" s="4" t="s">
        <v>2752</v>
      </c>
      <c r="D33" t="s">
        <v>3838</v>
      </c>
      <c r="E33" t="s">
        <v>2752</v>
      </c>
      <c r="F33" t="s">
        <v>3839</v>
      </c>
      <c r="G33" t="s">
        <v>3817</v>
      </c>
      <c r="H33" t="s">
        <v>3840</v>
      </c>
      <c r="I33" t="s">
        <v>3841</v>
      </c>
      <c r="J33" t="s">
        <v>3842</v>
      </c>
      <c r="K33" t="s">
        <v>3843</v>
      </c>
      <c r="L33" t="s">
        <v>3844</v>
      </c>
      <c r="M33" t="s">
        <v>3845</v>
      </c>
      <c r="N33" t="s">
        <v>3846</v>
      </c>
      <c r="O33" t="s">
        <v>3847</v>
      </c>
    </row>
    <row r="34" spans="1:15">
      <c r="A34" s="4" t="s">
        <v>2015</v>
      </c>
      <c r="B34" s="4" t="str">
        <f ca="1">IF(ISBLANK(OFFSET(B34,0,'Field labels'!$Q$1)),C34,OFFSET(B34,0,'Field labels'!$Q$1))</f>
        <v>Probation</v>
      </c>
      <c r="C34" s="4" t="s">
        <v>699</v>
      </c>
      <c r="D34" t="s">
        <v>3827</v>
      </c>
      <c r="E34" t="s">
        <v>699</v>
      </c>
      <c r="F34" t="s">
        <v>3828</v>
      </c>
      <c r="G34" t="s">
        <v>3829</v>
      </c>
      <c r="H34" t="s">
        <v>3830</v>
      </c>
      <c r="I34" t="s">
        <v>3831</v>
      </c>
      <c r="J34" t="s">
        <v>3832</v>
      </c>
      <c r="K34" t="s">
        <v>3833</v>
      </c>
      <c r="L34" t="s">
        <v>3834</v>
      </c>
      <c r="M34" t="s">
        <v>3835</v>
      </c>
      <c r="N34" t="s">
        <v>3836</v>
      </c>
      <c r="O34" t="s">
        <v>3837</v>
      </c>
    </row>
    <row r="35" spans="1:15">
      <c r="A35" s="76" t="s">
        <v>2015</v>
      </c>
      <c r="B35" s="4" t="str">
        <f ca="1">IF(ISBLANK(OFFSET(B35,0,'Field labels'!$Q$1)),C35,OFFSET(B35,0,'Field labels'!$Q$1))</f>
        <v>Replacement</v>
      </c>
      <c r="C35" s="76" t="s">
        <v>700</v>
      </c>
      <c r="E35" t="s">
        <v>700</v>
      </c>
      <c r="F35" t="s">
        <v>4614</v>
      </c>
      <c r="K35" t="s">
        <v>4613</v>
      </c>
    </row>
    <row r="36" spans="1:15">
      <c r="A36" s="4" t="s">
        <v>7965</v>
      </c>
      <c r="B36" s="4" t="str">
        <f ca="1">IF(ISBLANK(OFFSET(B36,0,'Field labels'!$Q$1)),C36,OFFSET(B36,0,'Field labels'!$Q$1))</f>
        <v>Alta Verapáz</v>
      </c>
      <c r="C36" s="4" t="s">
        <v>7945</v>
      </c>
    </row>
    <row r="37" spans="1:15">
      <c r="A37" s="4" t="s">
        <v>7965</v>
      </c>
      <c r="B37" s="4" t="str">
        <f ca="1">IF(ISBLANK(OFFSET(B37,0,'Field labels'!$Q$1)),C37,OFFSET(B37,0,'Field labels'!$Q$1))</f>
        <v>Baja Verapáz</v>
      </c>
      <c r="C37" s="4" t="s">
        <v>7946</v>
      </c>
    </row>
    <row r="38" spans="1:15">
      <c r="A38" s="4" t="s">
        <v>7965</v>
      </c>
      <c r="B38" s="4" t="str">
        <f ca="1">IF(ISBLANK(OFFSET(B38,0,'Field labels'!$Q$1)),C38,OFFSET(B38,0,'Field labels'!$Q$1))</f>
        <v>Chimaltenango</v>
      </c>
      <c r="C38" s="4" t="s">
        <v>7947</v>
      </c>
    </row>
    <row r="39" spans="1:15">
      <c r="A39" s="4" t="s">
        <v>7965</v>
      </c>
      <c r="B39" s="4" t="str">
        <f ca="1">IF(ISBLANK(OFFSET(B39,0,'Field labels'!$Q$1)),C39,OFFSET(B39,0,'Field labels'!$Q$1))</f>
        <v>Chiquimula</v>
      </c>
      <c r="C39" s="4" t="s">
        <v>7948</v>
      </c>
    </row>
    <row r="40" spans="1:15">
      <c r="A40" s="4" t="s">
        <v>7965</v>
      </c>
      <c r="B40" s="4" t="str">
        <f ca="1">IF(ISBLANK(OFFSET(B40,0,'Field labels'!$Q$1)),C40,OFFSET(B40,0,'Field labels'!$Q$1))</f>
        <v>El Progreso</v>
      </c>
      <c r="C40" s="4" t="s">
        <v>7949</v>
      </c>
    </row>
    <row r="41" spans="1:15">
      <c r="A41" s="4" t="s">
        <v>7965</v>
      </c>
      <c r="B41" s="4" t="str">
        <f ca="1">IF(ISBLANK(OFFSET(B41,0,'Field labels'!$Q$1)),C41,OFFSET(B41,0,'Field labels'!$Q$1))</f>
        <v>Escuintla</v>
      </c>
      <c r="C41" s="4" t="s">
        <v>7950</v>
      </c>
    </row>
    <row r="42" spans="1:15">
      <c r="A42" s="4" t="s">
        <v>7965</v>
      </c>
      <c r="B42" s="4" t="str">
        <f ca="1">IF(ISBLANK(OFFSET(B42,0,'Field labels'!$Q$1)),C42,OFFSET(B42,0,'Field labels'!$Q$1))</f>
        <v>Guatemala</v>
      </c>
      <c r="C42" s="4" t="s">
        <v>78</v>
      </c>
    </row>
    <row r="43" spans="1:15">
      <c r="A43" s="4" t="s">
        <v>7965</v>
      </c>
      <c r="B43" s="4" t="str">
        <f ca="1">IF(ISBLANK(OFFSET(B43,0,'Field labels'!$Q$1)),C43,OFFSET(B43,0,'Field labels'!$Q$1))</f>
        <v>Huehuetenango</v>
      </c>
      <c r="C43" s="4" t="s">
        <v>7951</v>
      </c>
    </row>
    <row r="44" spans="1:15">
      <c r="A44" s="4" t="s">
        <v>7965</v>
      </c>
      <c r="B44" s="4" t="str">
        <f ca="1">IF(ISBLANK(OFFSET(B44,0,'Field labels'!$Q$1)),C44,OFFSET(B44,0,'Field labels'!$Q$1))</f>
        <v>Izabal</v>
      </c>
      <c r="C44" s="4" t="s">
        <v>7952</v>
      </c>
    </row>
    <row r="45" spans="1:15">
      <c r="A45" s="4" t="s">
        <v>7965</v>
      </c>
      <c r="B45" s="4" t="str">
        <f ca="1">IF(ISBLANK(OFFSET(B45,0,'Field labels'!$Q$1)),C45,OFFSET(B45,0,'Field labels'!$Q$1))</f>
        <v>Jutiapa</v>
      </c>
      <c r="C45" s="4" t="s">
        <v>7953</v>
      </c>
    </row>
    <row r="46" spans="1:15">
      <c r="A46" s="4" t="s">
        <v>7965</v>
      </c>
      <c r="B46" s="4" t="str">
        <f ca="1">IF(ISBLANK(OFFSET(B46,0,'Field labels'!$Q$1)),C46,OFFSET(B46,0,'Field labels'!$Q$1))</f>
        <v>Petén</v>
      </c>
      <c r="C46" s="4" t="s">
        <v>7954</v>
      </c>
    </row>
    <row r="47" spans="1:15">
      <c r="A47" s="4" t="s">
        <v>7965</v>
      </c>
      <c r="B47" s="4" t="str">
        <f ca="1">IF(ISBLANK(OFFSET(B47,0,'Field labels'!$Q$1)),C47,OFFSET(B47,0,'Field labels'!$Q$1))</f>
        <v>Quezaltenango</v>
      </c>
      <c r="C47" s="4" t="s">
        <v>7955</v>
      </c>
    </row>
    <row r="48" spans="1:15">
      <c r="A48" s="4" t="s">
        <v>7965</v>
      </c>
      <c r="B48" s="4" t="str">
        <f ca="1">IF(ISBLANK(OFFSET(B48,0,'Field labels'!$Q$1)),C48,OFFSET(B48,0,'Field labels'!$Q$1))</f>
        <v>Quiché</v>
      </c>
      <c r="C48" s="4" t="s">
        <v>7956</v>
      </c>
    </row>
    <row r="49" spans="1:3">
      <c r="A49" s="4" t="s">
        <v>7965</v>
      </c>
      <c r="B49" s="4" t="str">
        <f ca="1">IF(ISBLANK(OFFSET(B49,0,'Field labels'!$Q$1)),C49,OFFSET(B49,0,'Field labels'!$Q$1))</f>
        <v>Retalhuleu</v>
      </c>
      <c r="C49" s="4" t="s">
        <v>7957</v>
      </c>
    </row>
    <row r="50" spans="1:3">
      <c r="A50" s="4" t="s">
        <v>7965</v>
      </c>
      <c r="B50" s="4" t="str">
        <f ca="1">IF(ISBLANK(OFFSET(B50,0,'Field labels'!$Q$1)),C50,OFFSET(B50,0,'Field labels'!$Q$1))</f>
        <v>Sacatepéquez</v>
      </c>
      <c r="C50" s="4" t="s">
        <v>7958</v>
      </c>
    </row>
    <row r="51" spans="1:3">
      <c r="A51" s="4" t="s">
        <v>7965</v>
      </c>
      <c r="B51" s="4" t="str">
        <f ca="1">IF(ISBLANK(OFFSET(B51,0,'Field labels'!$Q$1)),C51,OFFSET(B51,0,'Field labels'!$Q$1))</f>
        <v>San Marcos</v>
      </c>
      <c r="C51" s="4" t="s">
        <v>7959</v>
      </c>
    </row>
    <row r="52" spans="1:3">
      <c r="A52" s="4" t="s">
        <v>7965</v>
      </c>
      <c r="B52" s="4" t="str">
        <f ca="1">IF(ISBLANK(OFFSET(B52,0,'Field labels'!$Q$1)),C52,OFFSET(B52,0,'Field labels'!$Q$1))</f>
        <v>Santa Rosa</v>
      </c>
      <c r="C52" s="4" t="s">
        <v>7960</v>
      </c>
    </row>
    <row r="53" spans="1:3">
      <c r="A53" s="4" t="s">
        <v>7965</v>
      </c>
      <c r="B53" s="4" t="str">
        <f ca="1">IF(ISBLANK(OFFSET(B53,0,'Field labels'!$Q$1)),C53,OFFSET(B53,0,'Field labels'!$Q$1))</f>
        <v>Sololá</v>
      </c>
      <c r="C53" s="4" t="s">
        <v>7961</v>
      </c>
    </row>
    <row r="54" spans="1:3">
      <c r="A54" s="4" t="s">
        <v>7965</v>
      </c>
      <c r="B54" s="4" t="str">
        <f ca="1">IF(ISBLANK(OFFSET(B54,0,'Field labels'!$Q$1)),C54,OFFSET(B54,0,'Field labels'!$Q$1))</f>
        <v>Suchitepéquez</v>
      </c>
      <c r="C54" s="4" t="s">
        <v>7962</v>
      </c>
    </row>
    <row r="55" spans="1:3">
      <c r="A55" s="4" t="s">
        <v>7965</v>
      </c>
      <c r="B55" s="4" t="str">
        <f ca="1">IF(ISBLANK(OFFSET(B55,0,'Field labels'!$Q$1)),C55,OFFSET(B55,0,'Field labels'!$Q$1))</f>
        <v>Totonicapán</v>
      </c>
      <c r="C55" s="4" t="s">
        <v>7963</v>
      </c>
    </row>
    <row r="56" spans="1:3">
      <c r="A56" s="4" t="s">
        <v>7965</v>
      </c>
      <c r="B56" s="4" t="str">
        <f ca="1">IF(ISBLANK(OFFSET(B56,0,'Field labels'!$Q$1)),C56,OFFSET(B56,0,'Field labels'!$Q$1))</f>
        <v>Zacapa</v>
      </c>
      <c r="C56" s="4" t="s">
        <v>7964</v>
      </c>
    </row>
    <row r="57" spans="1:3">
      <c r="A57" s="76" t="s">
        <v>7935</v>
      </c>
      <c r="B57" s="4" t="str">
        <f ca="1">IF(ISBLANK(OFFSET(B57,0,'Field labels'!$Q$1)),C57,OFFSET(B57,0,'Field labels'!$Q$1))</f>
        <v>Posgrado  Completado</v>
      </c>
      <c r="C57" s="4" t="s">
        <v>7942</v>
      </c>
    </row>
    <row r="58" spans="1:3">
      <c r="A58" s="76" t="s">
        <v>7935</v>
      </c>
      <c r="B58" s="4" t="str">
        <f ca="1">IF(ISBLANK(OFFSET(B58,0,'Field labels'!$Q$1)),C58,OFFSET(B58,0,'Field labels'!$Q$1))</f>
        <v>Primaria Completada</v>
      </c>
      <c r="C58" s="4" t="s">
        <v>7936</v>
      </c>
    </row>
    <row r="59" spans="1:3">
      <c r="A59" s="76" t="s">
        <v>7935</v>
      </c>
      <c r="B59" s="4" t="str">
        <f ca="1">IF(ISBLANK(OFFSET(B59,0,'Field labels'!$Q$1)),C59,OFFSET(B59,0,'Field labels'!$Q$1))</f>
        <v>Primaria Incompleta</v>
      </c>
      <c r="C59" s="4" t="s">
        <v>7937</v>
      </c>
    </row>
    <row r="60" spans="1:3">
      <c r="A60" s="76" t="s">
        <v>7935</v>
      </c>
      <c r="B60" s="4" t="str">
        <f ca="1">IF(ISBLANK(OFFSET(B60,0,'Field labels'!$Q$1)),C60,OFFSET(B60,0,'Field labels'!$Q$1))</f>
        <v>Secundaria Completada</v>
      </c>
      <c r="C60" s="4" t="s">
        <v>7938</v>
      </c>
    </row>
    <row r="61" spans="1:3">
      <c r="A61" s="76" t="s">
        <v>7935</v>
      </c>
      <c r="B61" s="4" t="str">
        <f ca="1">IF(ISBLANK(OFFSET(B61,0,'Field labels'!$Q$1)),C61,OFFSET(B61,0,'Field labels'!$Q$1))</f>
        <v>Secundaria Incompleta</v>
      </c>
      <c r="C61" s="4" t="s">
        <v>7939</v>
      </c>
    </row>
    <row r="62" spans="1:3">
      <c r="A62" s="76" t="s">
        <v>7935</v>
      </c>
      <c r="B62" s="4" t="str">
        <f ca="1">IF(ISBLANK(OFFSET(B62,0,'Field labels'!$Q$1)),C62,OFFSET(B62,0,'Field labels'!$Q$1))</f>
        <v>Universidad Completada</v>
      </c>
      <c r="C62" s="4" t="s">
        <v>7940</v>
      </c>
    </row>
    <row r="63" spans="1:3">
      <c r="A63" s="76" t="s">
        <v>7935</v>
      </c>
      <c r="B63" s="4" t="str">
        <f ca="1">IF(ISBLANK(OFFSET(B63,0,'Field labels'!$Q$1)),C63,OFFSET(B63,0,'Field labels'!$Q$1))</f>
        <v>Universidad Incompleta</v>
      </c>
      <c r="C63" s="4" t="s">
        <v>7941</v>
      </c>
    </row>
    <row r="64" spans="1:3">
      <c r="A64" s="4" t="s">
        <v>8368</v>
      </c>
      <c r="B64" s="4" t="str">
        <f ca="1">IF(ISBLANK(OFFSET(B64,0,'Field labels'!$Q$1)),C64,OFFSET(B64,0,'Field labels'!$Q$1))</f>
        <v>Alajuela</v>
      </c>
      <c r="C64" s="4" t="s">
        <v>8361</v>
      </c>
    </row>
    <row r="65" spans="1:15">
      <c r="A65" s="4" t="s">
        <v>8368</v>
      </c>
      <c r="B65" s="4" t="str">
        <f ca="1">IF(ISBLANK(OFFSET(B65,0,'Field labels'!$Q$1)),C65,OFFSET(B65,0,'Field labels'!$Q$1))</f>
        <v>Cartago</v>
      </c>
      <c r="C65" s="4" t="s">
        <v>8362</v>
      </c>
    </row>
    <row r="66" spans="1:15">
      <c r="A66" s="4" t="s">
        <v>8368</v>
      </c>
      <c r="B66" s="4" t="str">
        <f ca="1">IF(ISBLANK(OFFSET(B66,0,'Field labels'!$Q$1)),C66,OFFSET(B66,0,'Field labels'!$Q$1))</f>
        <v>Guanacaste</v>
      </c>
      <c r="C66" s="4" t="s">
        <v>8363</v>
      </c>
    </row>
    <row r="67" spans="1:15">
      <c r="A67" s="4" t="s">
        <v>8368</v>
      </c>
      <c r="B67" s="4" t="str">
        <f ca="1">IF(ISBLANK(OFFSET(B67,0,'Field labels'!$Q$1)),C67,OFFSET(B67,0,'Field labels'!$Q$1))</f>
        <v>Heredia</v>
      </c>
      <c r="C67" s="4" t="s">
        <v>8364</v>
      </c>
    </row>
    <row r="68" spans="1:15">
      <c r="A68" s="4" t="s">
        <v>8368</v>
      </c>
      <c r="B68" s="4" t="str">
        <f ca="1">IF(ISBLANK(OFFSET(B68,0,'Field labels'!$Q$1)),C68,OFFSET(B68,0,'Field labels'!$Q$1))</f>
        <v>Limón</v>
      </c>
      <c r="C68" s="4" t="s">
        <v>8365</v>
      </c>
    </row>
    <row r="69" spans="1:15">
      <c r="A69" s="4" t="s">
        <v>8368</v>
      </c>
      <c r="B69" s="4" t="str">
        <f ca="1">IF(ISBLANK(OFFSET(B69,0,'Field labels'!$Q$1)),C69,OFFSET(B69,0,'Field labels'!$Q$1))</f>
        <v>Puntarenas</v>
      </c>
      <c r="C69" s="4" t="s">
        <v>8366</v>
      </c>
    </row>
    <row r="70" spans="1:15">
      <c r="A70" s="4" t="s">
        <v>8368</v>
      </c>
      <c r="B70" s="4" t="str">
        <f ca="1">IF(ISBLANK(OFFSET(B70,0,'Field labels'!$Q$1)),C70,OFFSET(B70,0,'Field labels'!$Q$1))</f>
        <v>San José</v>
      </c>
      <c r="C70" s="4" t="s">
        <v>8367</v>
      </c>
    </row>
    <row r="71" spans="1:15">
      <c r="A71" s="4" t="s">
        <v>302</v>
      </c>
      <c r="B71" s="4" t="str">
        <f ca="1">IF(ISBLANK(OFFSET(B71,0,'Field labels'!$Q$1)),C71,OFFSET(B71,0,'Field labels'!$Q$1))</f>
        <v>Adopted child</v>
      </c>
      <c r="C71" s="4" t="s">
        <v>3732</v>
      </c>
      <c r="E71" t="s">
        <v>3732</v>
      </c>
      <c r="K71" t="s">
        <v>3733</v>
      </c>
    </row>
    <row r="72" spans="1:15">
      <c r="A72" s="4" t="s">
        <v>302</v>
      </c>
      <c r="B72" s="4" t="str">
        <f ca="1">IF(ISBLANK(OFFSET(B72,0,'Field labels'!$Q$1)),C72,OFFSET(B72,0,'Field labels'!$Q$1))</f>
        <v>Brother</v>
      </c>
      <c r="C72" s="4" t="s">
        <v>683</v>
      </c>
      <c r="D72" t="s">
        <v>1768</v>
      </c>
      <c r="E72" t="s">
        <v>683</v>
      </c>
      <c r="F72" t="s">
        <v>3734</v>
      </c>
      <c r="G72" t="s">
        <v>1769</v>
      </c>
      <c r="H72" t="s">
        <v>1770</v>
      </c>
      <c r="I72" t="s">
        <v>1771</v>
      </c>
      <c r="J72" t="s">
        <v>3848</v>
      </c>
      <c r="K72" t="s">
        <v>3735</v>
      </c>
      <c r="L72" t="s">
        <v>1709</v>
      </c>
      <c r="M72" t="s">
        <v>3849</v>
      </c>
      <c r="N72" t="s">
        <v>3736</v>
      </c>
      <c r="O72" t="s">
        <v>1772</v>
      </c>
    </row>
    <row r="73" spans="1:15">
      <c r="A73" s="4" t="s">
        <v>302</v>
      </c>
      <c r="B73" s="4" t="str">
        <f ca="1">IF(ISBLANK(OFFSET(B73,0,'Field labels'!$Q$1)),C73,OFFSET(B73,0,'Field labels'!$Q$1))</f>
        <v>Child</v>
      </c>
      <c r="C73" s="4" t="s">
        <v>666</v>
      </c>
      <c r="D73" t="s">
        <v>1688</v>
      </c>
      <c r="E73" t="s">
        <v>666</v>
      </c>
      <c r="F73" t="s">
        <v>1689</v>
      </c>
      <c r="G73" t="s">
        <v>1688</v>
      </c>
      <c r="H73" t="s">
        <v>1690</v>
      </c>
      <c r="I73" t="s">
        <v>1691</v>
      </c>
      <c r="J73" t="s">
        <v>3856</v>
      </c>
      <c r="K73" t="s">
        <v>1692</v>
      </c>
      <c r="L73" t="s">
        <v>1693</v>
      </c>
      <c r="M73" t="s">
        <v>3857</v>
      </c>
      <c r="N73" t="s">
        <v>898</v>
      </c>
      <c r="O73" t="s">
        <v>1694</v>
      </c>
    </row>
    <row r="74" spans="1:15">
      <c r="A74" s="4" t="s">
        <v>302</v>
      </c>
      <c r="B74" s="4" t="str">
        <f ca="1">IF(ISBLANK(OFFSET(B74,0,'Field labels'!$Q$1)),C74,OFFSET(B74,0,'Field labels'!$Q$1))</f>
        <v>Child of Domestic Partner</v>
      </c>
      <c r="C74" s="4" t="s">
        <v>675</v>
      </c>
      <c r="D74" t="s">
        <v>1713</v>
      </c>
      <c r="E74" t="s">
        <v>675</v>
      </c>
      <c r="F74" t="s">
        <v>3858</v>
      </c>
      <c r="G74" t="s">
        <v>3859</v>
      </c>
      <c r="H74" t="s">
        <v>1714</v>
      </c>
      <c r="I74" t="s">
        <v>1715</v>
      </c>
      <c r="J74" t="s">
        <v>3860</v>
      </c>
      <c r="K74" t="s">
        <v>3737</v>
      </c>
      <c r="L74" t="s">
        <v>1716</v>
      </c>
      <c r="M74" t="s">
        <v>3861</v>
      </c>
      <c r="N74" t="s">
        <v>1717</v>
      </c>
      <c r="O74" t="s">
        <v>1718</v>
      </c>
    </row>
    <row r="75" spans="1:15">
      <c r="A75" s="4" t="s">
        <v>302</v>
      </c>
      <c r="B75" s="4" t="str">
        <f ca="1">IF(ISBLANK(OFFSET(B75,0,'Field labels'!$Q$1)),C75,OFFSET(B75,0,'Field labels'!$Q$1))</f>
        <v>Divorced Spouse</v>
      </c>
      <c r="C75" s="4" t="s">
        <v>677</v>
      </c>
      <c r="D75" t="s">
        <v>1725</v>
      </c>
      <c r="E75" t="s">
        <v>677</v>
      </c>
      <c r="F75" t="s">
        <v>3738</v>
      </c>
      <c r="G75" t="s">
        <v>1726</v>
      </c>
      <c r="H75" t="s">
        <v>1727</v>
      </c>
      <c r="I75" t="s">
        <v>1728</v>
      </c>
      <c r="J75" t="s">
        <v>3854</v>
      </c>
      <c r="K75" t="s">
        <v>1729</v>
      </c>
      <c r="L75" t="s">
        <v>1730</v>
      </c>
      <c r="M75" t="s">
        <v>3855</v>
      </c>
      <c r="N75" t="s">
        <v>1731</v>
      </c>
      <c r="O75" t="s">
        <v>1732</v>
      </c>
    </row>
    <row r="76" spans="1:15">
      <c r="A76" s="4" t="s">
        <v>302</v>
      </c>
      <c r="B76" s="4" t="str">
        <f ca="1">IF(ISBLANK(OFFSET(B76,0,'Field labels'!$Q$1)),C76,OFFSET(B76,0,'Field labels'!$Q$1))</f>
        <v>Domestic Partner</v>
      </c>
      <c r="C76" s="4" t="s">
        <v>678</v>
      </c>
      <c r="D76" t="s">
        <v>1733</v>
      </c>
      <c r="E76" t="s">
        <v>678</v>
      </c>
      <c r="F76" t="s">
        <v>3739</v>
      </c>
      <c r="G76" t="s">
        <v>1734</v>
      </c>
      <c r="H76" t="s">
        <v>1735</v>
      </c>
      <c r="I76" t="s">
        <v>1736</v>
      </c>
      <c r="J76" t="s">
        <v>3862</v>
      </c>
      <c r="K76" t="s">
        <v>3740</v>
      </c>
      <c r="L76" t="s">
        <v>1737</v>
      </c>
      <c r="M76" t="s">
        <v>3863</v>
      </c>
      <c r="N76" t="s">
        <v>1738</v>
      </c>
      <c r="O76" t="s">
        <v>1739</v>
      </c>
    </row>
    <row r="77" spans="1:15">
      <c r="A77" s="4" t="s">
        <v>302</v>
      </c>
      <c r="B77" s="4" t="str">
        <f ca="1">IF(ISBLANK(OFFSET(B77,0,'Field labels'!$Q$1)),C77,OFFSET(B77,0,'Field labels'!$Q$1))</f>
        <v>Father</v>
      </c>
      <c r="C77" s="4" t="s">
        <v>679</v>
      </c>
      <c r="D77" t="s">
        <v>1740</v>
      </c>
      <c r="E77" t="s">
        <v>679</v>
      </c>
      <c r="F77" t="s">
        <v>1741</v>
      </c>
      <c r="G77" t="s">
        <v>1742</v>
      </c>
      <c r="H77" t="s">
        <v>1743</v>
      </c>
      <c r="I77" t="s">
        <v>901</v>
      </c>
      <c r="J77" t="s">
        <v>3870</v>
      </c>
      <c r="K77" t="s">
        <v>1744</v>
      </c>
      <c r="L77" t="s">
        <v>1745</v>
      </c>
      <c r="M77" t="s">
        <v>3871</v>
      </c>
      <c r="N77" t="s">
        <v>901</v>
      </c>
      <c r="O77" t="s">
        <v>1746</v>
      </c>
    </row>
    <row r="78" spans="1:15">
      <c r="A78" s="4" t="s">
        <v>302</v>
      </c>
      <c r="B78" s="4" t="str">
        <f ca="1">IF(ISBLANK(OFFSET(B78,0,'Field labels'!$Q$1)),C78,OFFSET(B78,0,'Field labels'!$Q$1))</f>
        <v>Father-in-law</v>
      </c>
      <c r="C78" s="4" t="s">
        <v>3741</v>
      </c>
      <c r="E78" t="s">
        <v>3741</v>
      </c>
      <c r="K78" t="s">
        <v>3742</v>
      </c>
    </row>
    <row r="79" spans="1:15">
      <c r="A79" s="4" t="s">
        <v>302</v>
      </c>
      <c r="B79" s="4" t="str">
        <f ca="1">IF(ISBLANK(OFFSET(B79,0,'Field labels'!$Q$1)),C79,OFFSET(B79,0,'Field labels'!$Q$1))</f>
        <v>Grandfather</v>
      </c>
      <c r="C79" s="4" t="s">
        <v>3743</v>
      </c>
      <c r="E79" t="s">
        <v>3743</v>
      </c>
      <c r="K79" t="s">
        <v>3744</v>
      </c>
    </row>
    <row r="80" spans="1:15">
      <c r="A80" s="4" t="s">
        <v>302</v>
      </c>
      <c r="B80" s="4" t="str">
        <f ca="1">IF(ISBLANK(OFFSET(B80,0,'Field labels'!$Q$1)),C80,OFFSET(B80,0,'Field labels'!$Q$1))</f>
        <v>Grandmother</v>
      </c>
      <c r="C80" s="4" t="s">
        <v>3745</v>
      </c>
      <c r="E80" t="s">
        <v>3745</v>
      </c>
      <c r="K80" t="s">
        <v>3746</v>
      </c>
    </row>
    <row r="81" spans="1:15">
      <c r="A81" s="4" t="s">
        <v>302</v>
      </c>
      <c r="B81" s="4" t="str">
        <f ca="1">IF(ISBLANK(OFFSET(B81,0,'Field labels'!$Q$1)),C81,OFFSET(B81,0,'Field labels'!$Q$1))</f>
        <v>Mother</v>
      </c>
      <c r="C81" s="4" t="s">
        <v>681</v>
      </c>
      <c r="D81" t="s">
        <v>1753</v>
      </c>
      <c r="E81" t="s">
        <v>681</v>
      </c>
      <c r="F81" t="s">
        <v>1754</v>
      </c>
      <c r="G81" t="s">
        <v>1755</v>
      </c>
      <c r="H81" t="s">
        <v>1756</v>
      </c>
      <c r="I81" t="s">
        <v>1757</v>
      </c>
      <c r="J81" t="s">
        <v>3864</v>
      </c>
      <c r="K81" t="s">
        <v>1758</v>
      </c>
      <c r="L81" t="s">
        <v>1759</v>
      </c>
      <c r="M81" t="s">
        <v>3865</v>
      </c>
      <c r="N81" t="s">
        <v>1757</v>
      </c>
      <c r="O81" t="s">
        <v>1760</v>
      </c>
    </row>
    <row r="82" spans="1:15">
      <c r="A82" s="4" t="s">
        <v>302</v>
      </c>
      <c r="B82" s="4" t="str">
        <f ca="1">IF(ISBLANK(OFFSET(B82,0,'Field labels'!$Q$1)),C82,OFFSET(B82,0,'Field labels'!$Q$1))</f>
        <v>Mother-in-law</v>
      </c>
      <c r="C82" s="4" t="s">
        <v>3747</v>
      </c>
      <c r="E82" t="s">
        <v>3747</v>
      </c>
      <c r="K82" t="s">
        <v>3748</v>
      </c>
    </row>
    <row r="83" spans="1:15">
      <c r="A83" s="4" t="s">
        <v>302</v>
      </c>
      <c r="B83" s="4" t="str">
        <f ca="1">IF(ISBLANK(OFFSET(B83,0,'Field labels'!$Q$1)),C83,OFFSET(B83,0,'Field labels'!$Q$1))</f>
        <v>Other Family members</v>
      </c>
      <c r="C83" s="4" t="s">
        <v>3749</v>
      </c>
      <c r="E83" t="s">
        <v>3749</v>
      </c>
      <c r="K83" t="s">
        <v>3750</v>
      </c>
    </row>
    <row r="84" spans="1:15">
      <c r="A84" s="4" t="s">
        <v>302</v>
      </c>
      <c r="B84" s="4" t="str">
        <f ca="1">IF(ISBLANK(OFFSET(B84,0,'Field labels'!$Q$1)),C84,OFFSET(B84,0,'Field labels'!$Q$1))</f>
        <v>Registered Partner</v>
      </c>
      <c r="C84" s="4" t="s">
        <v>680</v>
      </c>
      <c r="D84" t="s">
        <v>1747</v>
      </c>
      <c r="E84" t="s">
        <v>680</v>
      </c>
      <c r="F84" t="s">
        <v>3751</v>
      </c>
      <c r="G84" t="s">
        <v>3752</v>
      </c>
      <c r="H84" t="s">
        <v>1748</v>
      </c>
      <c r="I84" t="s">
        <v>1749</v>
      </c>
      <c r="J84" t="s">
        <v>3852</v>
      </c>
      <c r="K84" t="s">
        <v>3753</v>
      </c>
      <c r="L84" t="s">
        <v>1750</v>
      </c>
      <c r="M84" t="s">
        <v>3853</v>
      </c>
      <c r="N84" t="s">
        <v>1751</v>
      </c>
      <c r="O84" t="s">
        <v>1752</v>
      </c>
    </row>
    <row r="85" spans="1:15">
      <c r="A85" s="4" t="s">
        <v>302</v>
      </c>
      <c r="B85" s="4" t="str">
        <f ca="1">IF(ISBLANK(OFFSET(B85,0,'Field labels'!$Q$1)),C85,OFFSET(B85,0,'Field labels'!$Q$1))</f>
        <v>Related Persons</v>
      </c>
      <c r="C85" s="4" t="s">
        <v>682</v>
      </c>
      <c r="D85" t="s">
        <v>1761</v>
      </c>
      <c r="E85" t="s">
        <v>682</v>
      </c>
      <c r="F85" t="s">
        <v>3754</v>
      </c>
      <c r="G85" t="s">
        <v>1762</v>
      </c>
      <c r="H85" t="s">
        <v>1763</v>
      </c>
      <c r="I85" t="s">
        <v>1764</v>
      </c>
      <c r="J85" t="s">
        <v>3872</v>
      </c>
      <c r="K85" t="s">
        <v>3755</v>
      </c>
      <c r="L85" t="s">
        <v>1765</v>
      </c>
      <c r="M85" t="s">
        <v>3873</v>
      </c>
      <c r="N85" t="s">
        <v>1766</v>
      </c>
      <c r="O85" t="s">
        <v>1767</v>
      </c>
    </row>
    <row r="86" spans="1:15">
      <c r="A86" s="4" t="s">
        <v>302</v>
      </c>
      <c r="B86" s="4" t="str">
        <f ca="1">IF(ISBLANK(OFFSET(B86,0,'Field labels'!$Q$1)),C86,OFFSET(B86,0,'Field labels'!$Q$1))</f>
        <v>Sister</v>
      </c>
      <c r="C86" s="4" t="s">
        <v>684</v>
      </c>
      <c r="D86" t="s">
        <v>1773</v>
      </c>
      <c r="E86" t="s">
        <v>684</v>
      </c>
      <c r="F86" t="s">
        <v>3756</v>
      </c>
      <c r="G86" t="s">
        <v>1774</v>
      </c>
      <c r="H86" t="s">
        <v>1775</v>
      </c>
      <c r="I86" t="s">
        <v>1776</v>
      </c>
      <c r="J86" t="s">
        <v>3866</v>
      </c>
      <c r="K86" t="s">
        <v>3757</v>
      </c>
      <c r="L86" t="s">
        <v>1777</v>
      </c>
      <c r="M86" t="s">
        <v>3867</v>
      </c>
      <c r="N86" t="s">
        <v>3758</v>
      </c>
      <c r="O86" t="s">
        <v>1778</v>
      </c>
    </row>
    <row r="87" spans="1:15">
      <c r="A87" s="4" t="s">
        <v>302</v>
      </c>
      <c r="B87" s="4" t="str">
        <f ca="1">IF(ISBLANK(OFFSET(B87,0,'Field labels'!$Q$1)),C87,OFFSET(B87,0,'Field labels'!$Q$1))</f>
        <v>Spouse</v>
      </c>
      <c r="C87" s="4" t="s">
        <v>665</v>
      </c>
      <c r="D87" t="s">
        <v>1679</v>
      </c>
      <c r="E87" t="s">
        <v>665</v>
      </c>
      <c r="F87" t="s">
        <v>1680</v>
      </c>
      <c r="G87" t="s">
        <v>1681</v>
      </c>
      <c r="H87" t="s">
        <v>1682</v>
      </c>
      <c r="I87" t="s">
        <v>1683</v>
      </c>
      <c r="J87" t="s">
        <v>3850</v>
      </c>
      <c r="K87" t="s">
        <v>1684</v>
      </c>
      <c r="L87" t="s">
        <v>1685</v>
      </c>
      <c r="M87" t="s">
        <v>3851</v>
      </c>
      <c r="N87" t="s">
        <v>1686</v>
      </c>
      <c r="O87" t="s">
        <v>1687</v>
      </c>
    </row>
    <row r="88" spans="1:15">
      <c r="A88" s="4" t="s">
        <v>302</v>
      </c>
      <c r="B88" s="4" t="str">
        <f ca="1">IF(ISBLANK(OFFSET(B88,0,'Field labels'!$Q$1)),C88,OFFSET(B88,0,'Field labels'!$Q$1))</f>
        <v>Stepchild</v>
      </c>
      <c r="C88" s="4" t="s">
        <v>676</v>
      </c>
      <c r="D88" t="s">
        <v>1719</v>
      </c>
      <c r="E88" t="s">
        <v>676</v>
      </c>
      <c r="F88" t="s">
        <v>3759</v>
      </c>
      <c r="G88" t="s">
        <v>1719</v>
      </c>
      <c r="H88" t="s">
        <v>1720</v>
      </c>
      <c r="I88" t="s">
        <v>1721</v>
      </c>
      <c r="J88" t="s">
        <v>3868</v>
      </c>
      <c r="K88" t="s">
        <v>1722</v>
      </c>
      <c r="L88" t="s">
        <v>1723</v>
      </c>
      <c r="M88" t="s">
        <v>3869</v>
      </c>
      <c r="N88" t="s">
        <v>3760</v>
      </c>
      <c r="O88" t="s">
        <v>1724</v>
      </c>
    </row>
    <row r="89" spans="1:15">
      <c r="A89" s="4" t="s">
        <v>325</v>
      </c>
      <c r="B89" s="4" t="str">
        <f ca="1">IF(ISBLANK(OFFSET(B89,0,'Field labels'!$Q$1)),C89,OFFSET(B89,0,'Field labels'!$Q$1))</f>
        <v>No</v>
      </c>
      <c r="C89" s="4" t="s">
        <v>670</v>
      </c>
      <c r="D89" t="s">
        <v>3078</v>
      </c>
      <c r="E89" t="s">
        <v>670</v>
      </c>
      <c r="F89" t="s">
        <v>3080</v>
      </c>
      <c r="G89" t="s">
        <v>3081</v>
      </c>
      <c r="H89" t="s">
        <v>1825</v>
      </c>
      <c r="I89" t="s">
        <v>670</v>
      </c>
      <c r="J89" t="s">
        <v>3085</v>
      </c>
      <c r="K89" t="s">
        <v>1712</v>
      </c>
      <c r="L89" t="s">
        <v>3087</v>
      </c>
      <c r="M89" t="s">
        <v>3088</v>
      </c>
      <c r="N89" t="s">
        <v>670</v>
      </c>
      <c r="O89" t="s">
        <v>3092</v>
      </c>
    </row>
    <row r="90" spans="1:15">
      <c r="A90" s="4" t="s">
        <v>325</v>
      </c>
      <c r="B90" s="4" t="str">
        <f ca="1">IF(ISBLANK(OFFSET(B90,0,'Field labels'!$Q$1)),C90,OFFSET(B90,0,'Field labels'!$Q$1))</f>
        <v>Yes</v>
      </c>
      <c r="C90" s="4" t="s">
        <v>669</v>
      </c>
      <c r="D90" t="s">
        <v>3077</v>
      </c>
      <c r="E90" t="s">
        <v>669</v>
      </c>
      <c r="F90" t="s">
        <v>3079</v>
      </c>
      <c r="G90" t="s">
        <v>3077</v>
      </c>
      <c r="H90" t="s">
        <v>3082</v>
      </c>
      <c r="I90" t="s">
        <v>3083</v>
      </c>
      <c r="J90" t="s">
        <v>3077</v>
      </c>
      <c r="K90" t="s">
        <v>3084</v>
      </c>
      <c r="L90" t="s">
        <v>3086</v>
      </c>
      <c r="M90" t="s">
        <v>3089</v>
      </c>
      <c r="N90" t="s">
        <v>3090</v>
      </c>
      <c r="O90" t="s">
        <v>3091</v>
      </c>
    </row>
    <row r="91" spans="1:15">
      <c r="A91" s="4" t="s">
        <v>301</v>
      </c>
      <c r="B91" s="4" t="str">
        <f ca="1">IF(ISBLANK(OFFSET(B91,0,'Field labels'!$Q$1)),C91,OFFSET(B91,0,'Field labels'!$Q$1))</f>
        <v>Child</v>
      </c>
      <c r="C91" s="4" t="s">
        <v>666</v>
      </c>
      <c r="D91" t="s">
        <v>1688</v>
      </c>
      <c r="E91" t="s">
        <v>666</v>
      </c>
      <c r="F91" t="s">
        <v>1689</v>
      </c>
      <c r="G91" t="s">
        <v>1688</v>
      </c>
      <c r="H91" t="s">
        <v>1690</v>
      </c>
      <c r="I91" t="s">
        <v>1691</v>
      </c>
      <c r="J91" t="s">
        <v>3856</v>
      </c>
      <c r="K91" t="s">
        <v>1692</v>
      </c>
      <c r="L91" t="s">
        <v>1693</v>
      </c>
      <c r="M91" t="s">
        <v>3857</v>
      </c>
      <c r="N91" t="s">
        <v>898</v>
      </c>
      <c r="O91" t="s">
        <v>1694</v>
      </c>
    </row>
    <row r="92" spans="1:15">
      <c r="A92" s="4" t="s">
        <v>301</v>
      </c>
      <c r="B92" s="4" t="str">
        <f ca="1">IF(ISBLANK(OFFSET(B92,0,'Field labels'!$Q$1)),C92,OFFSET(B92,0,'Field labels'!$Q$1))</f>
        <v>Other</v>
      </c>
      <c r="C92" s="4" t="s">
        <v>271</v>
      </c>
      <c r="D92" t="s">
        <v>3878</v>
      </c>
      <c r="E92" t="s">
        <v>271</v>
      </c>
      <c r="F92" t="s">
        <v>3879</v>
      </c>
      <c r="G92" t="s">
        <v>3880</v>
      </c>
      <c r="H92" t="s">
        <v>3881</v>
      </c>
      <c r="I92" t="s">
        <v>3882</v>
      </c>
      <c r="J92" t="s">
        <v>3883</v>
      </c>
      <c r="K92" t="s">
        <v>271</v>
      </c>
      <c r="L92" t="s">
        <v>3884</v>
      </c>
      <c r="M92" t="s">
        <v>3885</v>
      </c>
      <c r="N92" t="s">
        <v>271</v>
      </c>
      <c r="O92" t="s">
        <v>3886</v>
      </c>
    </row>
    <row r="93" spans="1:15">
      <c r="A93" s="4" t="s">
        <v>301</v>
      </c>
      <c r="B93" s="4" t="str">
        <f ca="1">IF(ISBLANK(OFFSET(B93,0,'Field labels'!$Q$1)),C93,OFFSET(B93,0,'Field labels'!$Q$1))</f>
        <v>Parent</v>
      </c>
      <c r="C93" s="4" t="s">
        <v>667</v>
      </c>
      <c r="D93" t="s">
        <v>1695</v>
      </c>
      <c r="E93" t="s">
        <v>667</v>
      </c>
      <c r="F93" t="s">
        <v>667</v>
      </c>
      <c r="G93" t="s">
        <v>1696</v>
      </c>
      <c r="H93" t="s">
        <v>1697</v>
      </c>
      <c r="I93" t="s">
        <v>1698</v>
      </c>
      <c r="J93" t="s">
        <v>3874</v>
      </c>
      <c r="K93" t="s">
        <v>1699</v>
      </c>
      <c r="L93" t="s">
        <v>1700</v>
      </c>
      <c r="M93" t="s">
        <v>3875</v>
      </c>
      <c r="N93" t="s">
        <v>1701</v>
      </c>
      <c r="O93" t="s">
        <v>1702</v>
      </c>
    </row>
    <row r="94" spans="1:15">
      <c r="A94" s="4" t="s">
        <v>301</v>
      </c>
      <c r="B94" s="4" t="str">
        <f ca="1">IF(ISBLANK(OFFSET(B94,0,'Field labels'!$Q$1)),C94,OFFSET(B94,0,'Field labels'!$Q$1))</f>
        <v>Sibling</v>
      </c>
      <c r="C94" s="4" t="s">
        <v>668</v>
      </c>
      <c r="D94" t="s">
        <v>1703</v>
      </c>
      <c r="E94" t="s">
        <v>668</v>
      </c>
      <c r="F94" t="s">
        <v>1704</v>
      </c>
      <c r="G94" t="s">
        <v>1705</v>
      </c>
      <c r="H94" t="s">
        <v>1706</v>
      </c>
      <c r="I94" t="s">
        <v>1707</v>
      </c>
      <c r="J94" t="s">
        <v>3876</v>
      </c>
      <c r="K94" t="s">
        <v>1708</v>
      </c>
      <c r="L94" t="s">
        <v>1709</v>
      </c>
      <c r="M94" t="s">
        <v>3877</v>
      </c>
      <c r="N94" t="s">
        <v>1710</v>
      </c>
      <c r="O94" t="s">
        <v>1711</v>
      </c>
    </row>
    <row r="95" spans="1:15">
      <c r="A95" s="4" t="s">
        <v>301</v>
      </c>
      <c r="B95" s="4" t="str">
        <f ca="1">IF(ISBLANK(OFFSET(B95,0,'Field labels'!$Q$1)),C95,OFFSET(B95,0,'Field labels'!$Q$1))</f>
        <v>Spouse</v>
      </c>
      <c r="C95" s="4" t="s">
        <v>665</v>
      </c>
      <c r="D95" t="s">
        <v>1679</v>
      </c>
      <c r="E95" t="s">
        <v>665</v>
      </c>
      <c r="F95" t="s">
        <v>1680</v>
      </c>
      <c r="G95" t="s">
        <v>1681</v>
      </c>
      <c r="H95" t="s">
        <v>1682</v>
      </c>
      <c r="I95" t="s">
        <v>1683</v>
      </c>
      <c r="J95" t="s">
        <v>3850</v>
      </c>
      <c r="K95" t="s">
        <v>1684</v>
      </c>
      <c r="L95" t="s">
        <v>1685</v>
      </c>
      <c r="M95" t="s">
        <v>3863</v>
      </c>
      <c r="N95" t="s">
        <v>1686</v>
      </c>
      <c r="O95" t="s">
        <v>1687</v>
      </c>
    </row>
    <row r="96" spans="1:15">
      <c r="A96" s="4" t="s">
        <v>1973</v>
      </c>
      <c r="B96" s="4" t="str">
        <f ca="1">IF(ISBLANK(OFFSET(B96,0,'Field labels'!$Q$1)),C96,OFFSET(B96,0,'Field labels'!$Q$1))</f>
        <v>Blue Collars no ADV</v>
      </c>
      <c r="C96" s="4" t="s">
        <v>1980</v>
      </c>
    </row>
    <row r="97" spans="1:3">
      <c r="A97" s="4" t="s">
        <v>1973</v>
      </c>
      <c r="B97" s="4" t="str">
        <f ca="1">IF(ISBLANK(OFFSET(B97,0,'Field labels'!$Q$1)),C97,OFFSET(B97,0,'Field labels'!$Q$1))</f>
        <v>Blue Collars weekend</v>
      </c>
      <c r="C97" s="4" t="s">
        <v>1981</v>
      </c>
    </row>
    <row r="98" spans="1:3">
      <c r="A98" s="4" t="s">
        <v>1973</v>
      </c>
      <c r="B98" s="4" t="str">
        <f ca="1">IF(ISBLANK(OFFSET(B98,0,'Field labels'!$Q$1)),C98,OFFSET(B98,0,'Field labels'!$Q$1))</f>
        <v>Blue Collars with ADV</v>
      </c>
      <c r="C98" s="4" t="s">
        <v>1982</v>
      </c>
    </row>
    <row r="99" spans="1:3">
      <c r="A99" s="4" t="s">
        <v>1973</v>
      </c>
      <c r="B99" s="4" t="str">
        <f ca="1">IF(ISBLANK(OFFSET(B99,0,'Field labels'!$Q$1)),C99,OFFSET(B99,0,'Field labels'!$Q$1))</f>
        <v>Commuters in</v>
      </c>
      <c r="C99" s="4" t="s">
        <v>1983</v>
      </c>
    </row>
    <row r="100" spans="1:3">
      <c r="A100" s="4" t="s">
        <v>1973</v>
      </c>
      <c r="B100" s="4" t="str">
        <f ca="1">IF(ISBLANK(OFFSET(B100,0,'Field labels'!$Q$1)),C100,OFFSET(B100,0,'Field labels'!$Q$1))</f>
        <v>Commuters out</v>
      </c>
      <c r="C100" s="4" t="s">
        <v>1984</v>
      </c>
    </row>
    <row r="101" spans="1:3">
      <c r="A101" s="4" t="s">
        <v>1973</v>
      </c>
      <c r="B101" s="4" t="str">
        <f ca="1">IF(ISBLANK(OFFSET(B101,0,'Field labels'!$Q$1)),C101,OFFSET(B101,0,'Field labels'!$Q$1))</f>
        <v>Expats out DOSZ</v>
      </c>
      <c r="C101" s="4" t="s">
        <v>1985</v>
      </c>
    </row>
    <row r="102" spans="1:3">
      <c r="A102" s="4" t="s">
        <v>1973</v>
      </c>
      <c r="B102" s="4" t="str">
        <f ca="1">IF(ISBLANK(OFFSET(B102,0,'Field labels'!$Q$1)),C102,OFFSET(B102,0,'Field labels'!$Q$1))</f>
        <v>Expats out SI</v>
      </c>
      <c r="C102" s="4" t="s">
        <v>1986</v>
      </c>
    </row>
    <row r="103" spans="1:3">
      <c r="A103" s="4" t="s">
        <v>1973</v>
      </c>
      <c r="B103" s="4" t="str">
        <f ca="1">IF(ISBLANK(OFFSET(B103,0,'Field labels'!$Q$1)),C103,OFFSET(B103,0,'Field labels'!$Q$1))</f>
        <v>Inpats no SI</v>
      </c>
      <c r="C103" s="4" t="s">
        <v>1987</v>
      </c>
    </row>
    <row r="104" spans="1:3">
      <c r="A104" s="4" t="s">
        <v>1973</v>
      </c>
      <c r="B104" s="4" t="str">
        <f ca="1">IF(ISBLANK(OFFSET(B104,0,'Field labels'!$Q$1)),C104,OFFSET(B104,0,'Field labels'!$Q$1))</f>
        <v>Inpats SI</v>
      </c>
      <c r="C104" s="4" t="s">
        <v>1988</v>
      </c>
    </row>
    <row r="105" spans="1:3">
      <c r="A105" s="4" t="s">
        <v>1973</v>
      </c>
      <c r="B105" s="4" t="str">
        <f ca="1">IF(ISBLANK(OFFSET(B105,0,'Field labels'!$Q$1)),C105,OFFSET(B105,0,'Field labels'!$Q$1))</f>
        <v>Local +</v>
      </c>
      <c r="C105" s="4" t="s">
        <v>3328</v>
      </c>
    </row>
    <row r="106" spans="1:3">
      <c r="A106" s="4" t="s">
        <v>1973</v>
      </c>
      <c r="B106" s="4" t="str">
        <f ca="1">IF(ISBLANK(OFFSET(B106,0,'Field labels'!$Q$1)),C106,OFFSET(B106,0,'Field labels'!$Q$1))</f>
        <v>Short term assignment</v>
      </c>
      <c r="C106" s="4" t="s">
        <v>1989</v>
      </c>
    </row>
    <row r="107" spans="1:3">
      <c r="A107" s="4" t="s">
        <v>1973</v>
      </c>
      <c r="B107" s="4" t="str">
        <f ca="1">IF(ISBLANK(OFFSET(B107,0,'Field labels'!$Q$1)),C107,OFFSET(B107,0,'Field labels'!$Q$1))</f>
        <v>Survivors</v>
      </c>
      <c r="C107" s="4" t="s">
        <v>1990</v>
      </c>
    </row>
    <row r="108" spans="1:3">
      <c r="A108" s="4" t="s">
        <v>1973</v>
      </c>
      <c r="B108" s="4" t="str">
        <f ca="1">IF(ISBLANK(OFFSET(B108,0,'Field labels'!$Q$1)),C108,OFFSET(B108,0,'Field labels'!$Q$1))</f>
        <v>White Collars 40h/week</v>
      </c>
      <c r="C108" s="4" t="s">
        <v>1991</v>
      </c>
    </row>
    <row r="109" spans="1:3">
      <c r="A109" s="4" t="s">
        <v>1973</v>
      </c>
      <c r="B109" s="4" t="str">
        <f ca="1">IF(ISBLANK(OFFSET(B109,0,'Field labels'!$Q$1)),C109,OFFSET(B109,0,'Field labels'!$Q$1))</f>
        <v>White Collars no ADV</v>
      </c>
      <c r="C109" s="4" t="s">
        <v>1992</v>
      </c>
    </row>
    <row r="110" spans="1:3">
      <c r="A110" s="4" t="s">
        <v>1973</v>
      </c>
      <c r="B110" s="4" t="str">
        <f ca="1">IF(ISBLANK(OFFSET(B110,0,'Field labels'!$Q$1)),C110,OFFSET(B110,0,'Field labels'!$Q$1))</f>
        <v>White Collars weekend</v>
      </c>
      <c r="C110" s="4" t="s">
        <v>1993</v>
      </c>
    </row>
    <row r="111" spans="1:3">
      <c r="A111" s="4" t="s">
        <v>1973</v>
      </c>
      <c r="B111" s="4" t="str">
        <f ca="1">IF(ISBLANK(OFFSET(B111,0,'Field labels'!$Q$1)),C111,OFFSET(B111,0,'Field labels'!$Q$1))</f>
        <v>White Collars with ADV</v>
      </c>
      <c r="C111" s="4" t="s">
        <v>1994</v>
      </c>
    </row>
    <row r="112" spans="1:3">
      <c r="A112" s="4" t="s">
        <v>1974</v>
      </c>
      <c r="B112" s="4" t="str">
        <f ca="1">IF(ISBLANK(OFFSET(B112,0,'Field labels'!$Q$1)),C112,OFFSET(B112,0,'Field labels'!$Q$1))</f>
        <v>Apprentice</v>
      </c>
      <c r="C112" s="4" t="s">
        <v>690</v>
      </c>
    </row>
    <row r="113" spans="1:3">
      <c r="A113" s="4" t="s">
        <v>1974</v>
      </c>
      <c r="B113" s="4" t="str">
        <f ca="1">IF(ISBLANK(OFFSET(B113,0,'Field labels'!$Q$1)),C113,OFFSET(B113,0,'Field labels'!$Q$1))</f>
        <v>Commissions</v>
      </c>
      <c r="C113" s="4" t="s">
        <v>1995</v>
      </c>
    </row>
    <row r="114" spans="1:3">
      <c r="A114" s="4" t="s">
        <v>1974</v>
      </c>
      <c r="B114" s="4" t="str">
        <f ca="1">IF(ISBLANK(OFFSET(B114,0,'Field labels'!$Q$1)),C114,OFFSET(B114,0,'Field labels'!$Q$1))</f>
        <v>Monthly paid employee</v>
      </c>
      <c r="C114" s="4" t="s">
        <v>1996</v>
      </c>
    </row>
    <row r="115" spans="1:3">
      <c r="A115" s="4" t="s">
        <v>1974</v>
      </c>
      <c r="B115" s="4" t="str">
        <f ca="1">IF(ISBLANK(OFFSET(B115,0,'Field labels'!$Q$1)),C115,OFFSET(B115,0,'Field labels'!$Q$1))</f>
        <v>Workers hourly rate</v>
      </c>
      <c r="C115" s="4" t="s">
        <v>1997</v>
      </c>
    </row>
    <row r="116" spans="1:3">
      <c r="A116" s="4" t="s">
        <v>1975</v>
      </c>
      <c r="B116" s="4" t="str">
        <f ca="1">IF(ISBLANK(OFFSET(B116,0,'Field labels'!$Q$1)),C116,OFFSET(B116,0,'Field labels'!$Q$1))</f>
        <v>Expatriates</v>
      </c>
      <c r="C116" s="4" t="s">
        <v>1998</v>
      </c>
    </row>
    <row r="117" spans="1:3">
      <c r="A117" s="4" t="s">
        <v>1975</v>
      </c>
      <c r="B117" s="4" t="str">
        <f ca="1">IF(ISBLANK(OFFSET(B117,0,'Field labels'!$Q$1)),C117,OFFSET(B117,0,'Field labels'!$Q$1))</f>
        <v>Inpatriates</v>
      </c>
      <c r="C117" s="4" t="s">
        <v>1999</v>
      </c>
    </row>
    <row r="118" spans="1:3">
      <c r="A118" s="4" t="s">
        <v>1975</v>
      </c>
      <c r="B118" s="4" t="str">
        <f ca="1">IF(ISBLANK(OFFSET(B118,0,'Field labels'!$Q$1)),C118,OFFSET(B118,0,'Field labels'!$Q$1))</f>
        <v>Monthly</v>
      </c>
      <c r="C118" s="4" t="s">
        <v>2000</v>
      </c>
    </row>
    <row r="119" spans="1:3">
      <c r="A119" s="4" t="s">
        <v>1975</v>
      </c>
      <c r="B119" s="4" t="str">
        <f ca="1">IF(ISBLANK(OFFSET(B119,0,'Field labels'!$Q$1)),C119,OFFSET(B119,0,'Field labels'!$Q$1))</f>
        <v>Norte w/o ExtraPym</v>
      </c>
      <c r="C119" s="4" t="s">
        <v>2001</v>
      </c>
    </row>
    <row r="120" spans="1:3">
      <c r="A120" s="4" t="s">
        <v>1975</v>
      </c>
      <c r="B120" s="4" t="str">
        <f ca="1">IF(ISBLANK(OFFSET(B120,0,'Field labels'!$Q$1)),C120,OFFSET(B120,0,'Field labels'!$Q$1))</f>
        <v>Trainees</v>
      </c>
      <c r="C120" s="4" t="s">
        <v>2002</v>
      </c>
    </row>
    <row r="121" spans="1:3">
      <c r="A121" s="4" t="s">
        <v>1975</v>
      </c>
      <c r="B121" s="4" t="str">
        <f ca="1">IF(ISBLANK(OFFSET(B121,0,'Field labels'!$Q$1)),C121,OFFSET(B121,0,'Field labels'!$Q$1))</f>
        <v>Weekly</v>
      </c>
      <c r="C121" s="4" t="s">
        <v>2003</v>
      </c>
    </row>
    <row r="122" spans="1:3">
      <c r="A122" s="4" t="s">
        <v>1976</v>
      </c>
      <c r="B122" s="4" t="str">
        <f ca="1">IF(ISBLANK(OFFSET(B122,0,'Field labels'!$Q$1)),C122,OFFSET(B122,0,'Field labels'!$Q$1))</f>
        <v>Agent de maîtrise</v>
      </c>
      <c r="C122" s="4" t="s">
        <v>2736</v>
      </c>
    </row>
    <row r="123" spans="1:3">
      <c r="A123" s="4" t="s">
        <v>1976</v>
      </c>
      <c r="B123" s="4" t="str">
        <f ca="1">IF(ISBLANK(OFFSET(B123,0,'Field labels'!$Q$1)),C123,OFFSET(B123,0,'Field labels'!$Q$1))</f>
        <v>Agent maîtrise A4bis</v>
      </c>
      <c r="C123" s="4" t="s">
        <v>2737</v>
      </c>
    </row>
    <row r="124" spans="1:3">
      <c r="A124" s="4" t="s">
        <v>1976</v>
      </c>
      <c r="B124" s="4" t="str">
        <f ca="1">IF(ISBLANK(OFFSET(B124,0,'Field labels'!$Q$1)),C124,OFFSET(B124,0,'Field labels'!$Q$1))</f>
        <v>Agent maîtrise Art36</v>
      </c>
      <c r="C124" s="4" t="s">
        <v>2738</v>
      </c>
    </row>
    <row r="125" spans="1:3">
      <c r="A125" s="4" t="s">
        <v>1976</v>
      </c>
      <c r="B125" s="4" t="str">
        <f ca="1">IF(ISBLANK(OFFSET(B125,0,'Field labels'!$Q$1)),C125,OFFSET(B125,0,'Field labels'!$Q$1))</f>
        <v>Assimilé cadre</v>
      </c>
      <c r="C125" s="4" t="s">
        <v>2739</v>
      </c>
    </row>
    <row r="126" spans="1:3">
      <c r="A126" s="4" t="s">
        <v>1976</v>
      </c>
      <c r="B126" s="4" t="str">
        <f ca="1">IF(ISBLANK(OFFSET(B126,0,'Field labels'!$Q$1)),C126,OFFSET(B126,0,'Field labels'!$Q$1))</f>
        <v>Cadre</v>
      </c>
      <c r="C126" s="4" t="s">
        <v>2740</v>
      </c>
    </row>
    <row r="127" spans="1:3">
      <c r="A127" s="4" t="s">
        <v>1976</v>
      </c>
      <c r="B127" s="4" t="str">
        <f ca="1">IF(ISBLANK(OFFSET(B127,0,'Field labels'!$Q$1)),C127,OFFSET(B127,0,'Field labels'!$Q$1))</f>
        <v>Cadre dirigeant</v>
      </c>
      <c r="C127" s="4" t="s">
        <v>2741</v>
      </c>
    </row>
    <row r="128" spans="1:3">
      <c r="A128" s="4" t="s">
        <v>1976</v>
      </c>
      <c r="B128" s="4" t="str">
        <f ca="1">IF(ISBLANK(OFFSET(B128,0,'Field labels'!$Q$1)),C128,OFFSET(B128,0,'Field labels'!$Q$1))</f>
        <v>Employé</v>
      </c>
      <c r="C128" s="4" t="s">
        <v>2742</v>
      </c>
    </row>
    <row r="129" spans="1:3">
      <c r="A129" s="4" t="s">
        <v>1976</v>
      </c>
      <c r="B129" s="4" t="str">
        <f ca="1">IF(ISBLANK(OFFSET(B129,0,'Field labels'!$Q$1)),C129,OFFSET(B129,0,'Field labels'!$Q$1))</f>
        <v>Ouvrier</v>
      </c>
      <c r="C129" s="4" t="s">
        <v>2743</v>
      </c>
    </row>
    <row r="130" spans="1:3">
      <c r="A130" s="4" t="s">
        <v>1976</v>
      </c>
      <c r="B130" s="4" t="str">
        <f ca="1">IF(ISBLANK(OFFSET(B130,0,'Field labels'!$Q$1)),C130,OFFSET(B130,0,'Field labels'!$Q$1))</f>
        <v>Ouvrier/Chauffeur</v>
      </c>
      <c r="C130" s="4" t="s">
        <v>2744</v>
      </c>
    </row>
    <row r="131" spans="1:3">
      <c r="A131" s="4" t="s">
        <v>1976</v>
      </c>
      <c r="B131" s="4" t="str">
        <f ca="1">IF(ISBLANK(OFFSET(B131,0,'Field labels'!$Q$1)),C131,OFFSET(B131,0,'Field labels'!$Q$1))</f>
        <v>Stag. Conventionné</v>
      </c>
      <c r="C131" s="4" t="s">
        <v>2745</v>
      </c>
    </row>
    <row r="132" spans="1:3">
      <c r="A132" s="4" t="s">
        <v>1976</v>
      </c>
      <c r="B132" s="4" t="str">
        <f ca="1">IF(ISBLANK(OFFSET(B132,0,'Field labels'!$Q$1)),C132,OFFSET(B132,0,'Field labels'!$Q$1))</f>
        <v>Technicien Art36</v>
      </c>
      <c r="C132" s="4" t="s">
        <v>2746</v>
      </c>
    </row>
    <row r="133" spans="1:3">
      <c r="A133" s="4" t="s">
        <v>1976</v>
      </c>
      <c r="B133" s="4" t="str">
        <f ca="1">IF(ISBLANK(OFFSET(B133,0,'Field labels'!$Q$1)),C133,OFFSET(B133,0,'Field labels'!$Q$1))</f>
        <v>Technicien Art4bis</v>
      </c>
      <c r="C133" s="4" t="s">
        <v>2747</v>
      </c>
    </row>
    <row r="134" spans="1:3">
      <c r="A134" s="4" t="s">
        <v>1976</v>
      </c>
      <c r="B134" s="4" t="str">
        <f ca="1">IF(ISBLANK(OFFSET(B134,0,'Field labels'!$Q$1)),C134,OFFSET(B134,0,'Field labels'!$Q$1))</f>
        <v>VRP exclusifs</v>
      </c>
      <c r="C134" s="4" t="s">
        <v>2748</v>
      </c>
    </row>
    <row r="135" spans="1:3">
      <c r="A135" s="4" t="s">
        <v>1977</v>
      </c>
      <c r="B135" s="4" t="str">
        <f ca="1">IF(ISBLANK(OFFSET(B135,0,'Field labels'!$Q$1)),C135,OFFSET(B135,0,'Field labels'!$Q$1))</f>
        <v>Blue Collar Monthly</v>
      </c>
      <c r="C135" s="4" t="s">
        <v>2004</v>
      </c>
    </row>
    <row r="136" spans="1:3">
      <c r="A136" s="4" t="s">
        <v>1977</v>
      </c>
      <c r="B136" s="4" t="str">
        <f ca="1">IF(ISBLANK(OFFSET(B136,0,'Field labels'!$Q$1)),C136,OFFSET(B136,0,'Field labels'!$Q$1))</f>
        <v>Blue Collar Monthly Seas</v>
      </c>
      <c r="C136" s="4" t="s">
        <v>2005</v>
      </c>
    </row>
    <row r="137" spans="1:3">
      <c r="A137" s="4" t="s">
        <v>1977</v>
      </c>
      <c r="B137" s="4" t="str">
        <f ca="1">IF(ISBLANK(OFFSET(B137,0,'Field labels'!$Q$1)),C137,OFFSET(B137,0,'Field labels'!$Q$1))</f>
        <v>Expat</v>
      </c>
      <c r="C137" s="4" t="s">
        <v>2006</v>
      </c>
    </row>
    <row r="138" spans="1:3">
      <c r="A138" s="4" t="s">
        <v>1977</v>
      </c>
      <c r="B138" s="4" t="str">
        <f ca="1">IF(ISBLANK(OFFSET(B138,0,'Field labels'!$Q$1)),C138,OFFSET(B138,0,'Field labels'!$Q$1))</f>
        <v>Trainee</v>
      </c>
      <c r="C138" s="4" t="s">
        <v>694</v>
      </c>
    </row>
    <row r="139" spans="1:3">
      <c r="A139" s="4" t="s">
        <v>1977</v>
      </c>
      <c r="B139" s="4" t="str">
        <f ca="1">IF(ISBLANK(OFFSET(B139,0,'Field labels'!$Q$1)),C139,OFFSET(B139,0,'Field labels'!$Q$1))</f>
        <v>White Collar Monthly</v>
      </c>
      <c r="C139" s="4" t="s">
        <v>2007</v>
      </c>
    </row>
    <row r="140" spans="1:3">
      <c r="A140" s="4" t="s">
        <v>5121</v>
      </c>
      <c r="B140" s="4" t="str">
        <f ca="1">IF(ISBLANK(OFFSET(B140,0,'Field labels'!$Q$1)),C140,OFFSET(B140,0,'Field labels'!$Q$1))</f>
        <v xml:space="preserve">Salary FT Overtime </v>
      </c>
      <c r="C140" s="84" t="s">
        <v>5117</v>
      </c>
    </row>
    <row r="141" spans="1:3">
      <c r="A141" s="4" t="s">
        <v>5121</v>
      </c>
      <c r="B141" s="4" t="str">
        <f ca="1">IF(ISBLANK(OFFSET(B141,0,'Field labels'!$Q$1)),C141,OFFSET(B141,0,'Field labels'!$Q$1))</f>
        <v xml:space="preserve">Salary Full Time </v>
      </c>
      <c r="C141" s="84" t="s">
        <v>5118</v>
      </c>
    </row>
    <row r="142" spans="1:3">
      <c r="A142" s="4" t="s">
        <v>1978</v>
      </c>
      <c r="B142" s="4" t="str">
        <f ca="1">IF(ISBLANK(OFFSET(B142,0,'Field labels'!$Q$1)),C142,OFFSET(B142,0,'Field labels'!$Q$1))</f>
        <v>Blue Collar</v>
      </c>
      <c r="C142" s="4" t="s">
        <v>2008</v>
      </c>
    </row>
    <row r="143" spans="1:3">
      <c r="A143" s="4" t="s">
        <v>1978</v>
      </c>
      <c r="B143" s="4" t="str">
        <f ca="1">IF(ISBLANK(OFFSET(B143,0,'Field labels'!$Q$1)),C143,OFFSET(B143,0,'Field labels'!$Q$1))</f>
        <v>Executive</v>
      </c>
      <c r="C143" s="4" t="s">
        <v>2009</v>
      </c>
    </row>
    <row r="144" spans="1:3">
      <c r="A144" s="4" t="s">
        <v>1978</v>
      </c>
      <c r="B144" s="4" t="str">
        <f ca="1">IF(ISBLANK(OFFSET(B144,0,'Field labels'!$Q$1)),C144,OFFSET(B144,0,'Field labels'!$Q$1))</f>
        <v>Manager</v>
      </c>
      <c r="C144" s="4" t="s">
        <v>836</v>
      </c>
    </row>
    <row r="145" spans="1:3">
      <c r="A145" s="4" t="s">
        <v>1978</v>
      </c>
      <c r="B145" s="4" t="str">
        <f ca="1">IF(ISBLANK(OFFSET(B145,0,'Field labels'!$Q$1)),C145,OFFSET(B145,0,'Field labels'!$Q$1))</f>
        <v>White Collar</v>
      </c>
      <c r="C145" s="4" t="s">
        <v>2010</v>
      </c>
    </row>
    <row r="146" spans="1:3">
      <c r="A146" s="4" t="s">
        <v>7736</v>
      </c>
      <c r="B146" s="4" t="s">
        <v>7629</v>
      </c>
      <c r="C146" s="84" t="s">
        <v>7629</v>
      </c>
    </row>
    <row r="147" spans="1:3">
      <c r="A147" s="4" t="s">
        <v>5113</v>
      </c>
      <c r="B147" s="4" t="str">
        <f ca="1">IF(ISBLANK(OFFSET(B147,0,'Field labels'!$Q$1)),C147,OFFSET(B147,0,'Field labels'!$Q$1))</f>
        <v>Daily Rate</v>
      </c>
      <c r="C147" s="4" t="s">
        <v>4990</v>
      </c>
    </row>
    <row r="148" spans="1:3">
      <c r="A148" s="22" t="s">
        <v>5113</v>
      </c>
      <c r="B148" s="22" t="str">
        <f ca="1">IF(ISBLANK(OFFSET(B148,0,'Field labels'!$Q$1)),C148,OFFSET(B148,0,'Field labels'!$Q$1))</f>
        <v>No Overtime</v>
      </c>
      <c r="C148" s="22" t="s">
        <v>5114</v>
      </c>
    </row>
    <row r="149" spans="1:3">
      <c r="A149" s="22" t="s">
        <v>5113</v>
      </c>
      <c r="B149" s="22" t="str">
        <f ca="1">IF(ISBLANK(OFFSET(B149,0,'Field labels'!$Q$1)),C149,OFFSET(B149,0,'Field labels'!$Q$1))</f>
        <v>Overtime</v>
      </c>
      <c r="C149" s="22" t="s">
        <v>5115</v>
      </c>
    </row>
    <row r="150" spans="1:3">
      <c r="A150" s="22" t="s">
        <v>5116</v>
      </c>
      <c r="B150" s="22" t="str">
        <f ca="1">IF(ISBLANK(OFFSET(B150,0,'Field labels'!$Q$1)),C150,OFFSET(B150,0,'Field labels'!$Q$1))</f>
        <v xml:space="preserve">Salary FT Overtime </v>
      </c>
      <c r="C150" s="104" t="s">
        <v>5117</v>
      </c>
    </row>
    <row r="151" spans="1:3">
      <c r="A151" s="22" t="s">
        <v>5116</v>
      </c>
      <c r="B151" s="22" t="str">
        <f ca="1">IF(ISBLANK(OFFSET(B151,0,'Field labels'!$Q$1)),C151,OFFSET(B151,0,'Field labels'!$Q$1))</f>
        <v xml:space="preserve">Salary Full Time </v>
      </c>
      <c r="C151" s="104" t="s">
        <v>5118</v>
      </c>
    </row>
    <row r="152" spans="1:3">
      <c r="A152" s="22" t="s">
        <v>5116</v>
      </c>
      <c r="B152" s="22" t="str">
        <f ca="1">IF(ISBLANK(OFFSET(B152,0,'Field labels'!$Q$1)),C152,OFFSET(B152,0,'Field labels'!$Q$1))</f>
        <v xml:space="preserve">Salary Part Time </v>
      </c>
      <c r="C152" s="104" t="s">
        <v>5119</v>
      </c>
    </row>
    <row r="153" spans="1:3">
      <c r="A153" s="22" t="s">
        <v>5116</v>
      </c>
      <c r="B153" s="22" t="str">
        <f ca="1">IF(ISBLANK(OFFSET(B153,0,'Field labels'!$Q$1)),C153,OFFSET(B153,0,'Field labels'!$Q$1))</f>
        <v xml:space="preserve">Salary PT Overtime </v>
      </c>
      <c r="C153" s="104" t="s">
        <v>5120</v>
      </c>
    </row>
    <row r="154" spans="1:3">
      <c r="A154" s="22" t="s">
        <v>1979</v>
      </c>
      <c r="B154" s="22" t="str">
        <f ca="1">IF(ISBLANK(OFFSET(B154,0,'Field labels'!$Q$1)),C154,OFFSET(B154,0,'Field labels'!$Q$1))</f>
        <v>Blue Collar</v>
      </c>
      <c r="C154" s="22" t="s">
        <v>2008</v>
      </c>
    </row>
    <row r="155" spans="1:3">
      <c r="A155" s="22" t="s">
        <v>1979</v>
      </c>
      <c r="B155" s="22" t="str">
        <f ca="1">IF(ISBLANK(OFFSET(B155,0,'Field labels'!$Q$1)),C155,OFFSET(B155,0,'Field labels'!$Q$1))</f>
        <v>Blue Collar Production</v>
      </c>
      <c r="C155" s="22" t="s">
        <v>2011</v>
      </c>
    </row>
    <row r="156" spans="1:3">
      <c r="A156" s="22" t="s">
        <v>1979</v>
      </c>
      <c r="B156" s="22" t="str">
        <f ca="1">IF(ISBLANK(OFFSET(B156,0,'Field labels'!$Q$1)),C156,OFFSET(B156,0,'Field labels'!$Q$1))</f>
        <v>White Collar</v>
      </c>
      <c r="C156" s="22" t="s">
        <v>2010</v>
      </c>
    </row>
    <row r="157" spans="1:3">
      <c r="A157" s="22" t="s">
        <v>7598</v>
      </c>
      <c r="B157" s="22" t="str">
        <f ca="1">IF(ISBLANK(OFFSET(B157,0,'Field labels'!$Q$1)),C157,OFFSET(B157,0,'Field labels'!$Q$1))</f>
        <v>Salary Full Time</v>
      </c>
      <c r="C157" s="104" t="s">
        <v>7599</v>
      </c>
    </row>
    <row r="158" spans="1:3">
      <c r="A158" s="22" t="s">
        <v>7598</v>
      </c>
      <c r="B158" s="22" t="str">
        <f ca="1">IF(ISBLANK(OFFSET(B158,0,'Field labels'!$Q$1)),C158,OFFSET(B158,0,'Field labels'!$Q$1))</f>
        <v>Salary Part Time</v>
      </c>
      <c r="C158" s="104" t="s">
        <v>7600</v>
      </c>
    </row>
    <row r="159" spans="1:3">
      <c r="A159" s="22" t="s">
        <v>4991</v>
      </c>
      <c r="B159" s="22" t="str">
        <f ca="1">IF(ISBLANK(OFFSET(B159,0,'Field labels'!$Q$1)),C159,OFFSET(B159,0,'Field labels'!$Q$1))</f>
        <v>Daily Rate</v>
      </c>
      <c r="C159" s="22" t="s">
        <v>4990</v>
      </c>
    </row>
    <row r="160" spans="1:3">
      <c r="A160" s="22" t="s">
        <v>4991</v>
      </c>
      <c r="B160" s="22" t="str">
        <f ca="1">IF(ISBLANK(OFFSET(B160,0,'Field labels'!$Q$1)),C160,OFFSET(B160,0,'Field labels'!$Q$1))</f>
        <v>Full Time- No Overtime</v>
      </c>
      <c r="C160" s="22" t="s">
        <v>4992</v>
      </c>
    </row>
    <row r="161" spans="1:3">
      <c r="A161" s="22" t="s">
        <v>4991</v>
      </c>
      <c r="B161" s="22" t="str">
        <f ca="1">IF(ISBLANK(OFFSET(B161,0,'Field labels'!$Q$1)),C161,OFFSET(B161,0,'Field labels'!$Q$1))</f>
        <v>Full time- Overtime</v>
      </c>
      <c r="C161" s="22" t="s">
        <v>4993</v>
      </c>
    </row>
    <row r="162" spans="1:3">
      <c r="A162" s="22" t="s">
        <v>4991</v>
      </c>
      <c r="B162" s="22" t="str">
        <f ca="1">IF(ISBLANK(OFFSET(B162,0,'Field labels'!$Q$1)),C162,OFFSET(B162,0,'Field labels'!$Q$1))</f>
        <v>Part Time- No Overtime</v>
      </c>
      <c r="C162" s="22" t="s">
        <v>4994</v>
      </c>
    </row>
    <row r="163" spans="1:3">
      <c r="A163" s="22" t="s">
        <v>4991</v>
      </c>
      <c r="B163" s="22" t="str">
        <f ca="1">IF(ISBLANK(OFFSET(B163,0,'Field labels'!$Q$1)),C163,OFFSET(B163,0,'Field labels'!$Q$1))</f>
        <v>Part Time- Overtime</v>
      </c>
      <c r="C163" s="22" t="s">
        <v>4995</v>
      </c>
    </row>
    <row r="164" spans="1:3">
      <c r="A164" s="22" t="s">
        <v>7628</v>
      </c>
      <c r="B164" s="22" t="s">
        <v>7629</v>
      </c>
      <c r="C164" s="104" t="s">
        <v>7629</v>
      </c>
    </row>
    <row r="165" spans="1:3">
      <c r="A165" s="22" t="s">
        <v>5123</v>
      </c>
      <c r="B165" s="22" t="str">
        <f ca="1">IF(ISBLANK(OFFSET(B165,0,'Field labels'!$Q$1)),C165,OFFSET(B165,0,'Field labels'!$Q$1))</f>
        <v>Salaried</v>
      </c>
      <c r="C165" s="104" t="s">
        <v>5122</v>
      </c>
    </row>
    <row r="166" spans="1:3">
      <c r="A166" s="103" t="s">
        <v>7691</v>
      </c>
      <c r="B166" s="22" t="str">
        <f ca="1">IF(ISBLANK(OFFSET(B166,0,'Field labels'!$Q$1)),C166,OFFSET(B166,0,'Field labels'!$Q$1))</f>
        <v>Achang</v>
      </c>
      <c r="C166" s="103" t="s">
        <v>7638</v>
      </c>
    </row>
    <row r="167" spans="1:3">
      <c r="A167" s="103" t="s">
        <v>7691</v>
      </c>
      <c r="B167" s="22" t="str">
        <f ca="1">IF(ISBLANK(OFFSET(B167,0,'Field labels'!$Q$1)),C167,OFFSET(B167,0,'Field labels'!$Q$1))</f>
        <v>Bai</v>
      </c>
      <c r="C167" s="103" t="s">
        <v>7639</v>
      </c>
    </row>
    <row r="168" spans="1:3">
      <c r="A168" s="103" t="s">
        <v>7691</v>
      </c>
      <c r="B168" s="22" t="str">
        <f ca="1">IF(ISBLANK(OFFSET(B168,0,'Field labels'!$Q$1)),C168,OFFSET(B168,0,'Field labels'!$Q$1))</f>
        <v>Blang</v>
      </c>
      <c r="C168" s="103" t="s">
        <v>7640</v>
      </c>
    </row>
    <row r="169" spans="1:3">
      <c r="A169" s="103" t="s">
        <v>7691</v>
      </c>
      <c r="B169" s="22" t="str">
        <f ca="1">IF(ISBLANK(OFFSET(B169,0,'Field labels'!$Q$1)),C169,OFFSET(B169,0,'Field labels'!$Q$1))</f>
        <v>Bonan</v>
      </c>
      <c r="C169" s="103" t="s">
        <v>7641</v>
      </c>
    </row>
    <row r="170" spans="1:3">
      <c r="A170" s="103" t="s">
        <v>7691</v>
      </c>
      <c r="B170" s="22" t="str">
        <f ca="1">IF(ISBLANK(OFFSET(B170,0,'Field labels'!$Q$1)),C170,OFFSET(B170,0,'Field labels'!$Q$1))</f>
        <v>Buyei</v>
      </c>
      <c r="C170" s="103" t="s">
        <v>7642</v>
      </c>
    </row>
    <row r="171" spans="1:3">
      <c r="A171" s="103" t="s">
        <v>7691</v>
      </c>
      <c r="B171" s="22" t="str">
        <f ca="1">IF(ISBLANK(OFFSET(B171,0,'Field labels'!$Q$1)),C171,OFFSET(B171,0,'Field labels'!$Q$1))</f>
        <v>Dai</v>
      </c>
      <c r="C171" s="103" t="s">
        <v>7643</v>
      </c>
    </row>
    <row r="172" spans="1:3">
      <c r="A172" s="103" t="s">
        <v>7691</v>
      </c>
      <c r="B172" s="22" t="str">
        <f ca="1">IF(ISBLANK(OFFSET(B172,0,'Field labels'!$Q$1)),C172,OFFSET(B172,0,'Field labels'!$Q$1))</f>
        <v>Daur</v>
      </c>
      <c r="C172" s="103" t="s">
        <v>7644</v>
      </c>
    </row>
    <row r="173" spans="1:3">
      <c r="A173" s="103" t="s">
        <v>7691</v>
      </c>
      <c r="B173" s="22" t="str">
        <f ca="1">IF(ISBLANK(OFFSET(B173,0,'Field labels'!$Q$1)),C173,OFFSET(B173,0,'Field labels'!$Q$1))</f>
        <v>De'ang</v>
      </c>
      <c r="C173" s="103" t="s">
        <v>7645</v>
      </c>
    </row>
    <row r="174" spans="1:3">
      <c r="A174" s="103" t="s">
        <v>7691</v>
      </c>
      <c r="B174" s="22" t="str">
        <f ca="1">IF(ISBLANK(OFFSET(B174,0,'Field labels'!$Q$1)),C174,OFFSET(B174,0,'Field labels'!$Q$1))</f>
        <v>Derung</v>
      </c>
      <c r="C174" s="103" t="s">
        <v>7646</v>
      </c>
    </row>
    <row r="175" spans="1:3">
      <c r="A175" s="103" t="s">
        <v>7691</v>
      </c>
      <c r="B175" s="22" t="str">
        <f ca="1">IF(ISBLANK(OFFSET(B175,0,'Field labels'!$Q$1)),C175,OFFSET(B175,0,'Field labels'!$Q$1))</f>
        <v>Dong</v>
      </c>
      <c r="C175" s="103" t="s">
        <v>7647</v>
      </c>
    </row>
    <row r="176" spans="1:3">
      <c r="A176" s="103" t="s">
        <v>7691</v>
      </c>
      <c r="B176" s="22" t="str">
        <f ca="1">IF(ISBLANK(OFFSET(B176,0,'Field labels'!$Q$1)),C176,OFFSET(B176,0,'Field labels'!$Q$1))</f>
        <v>Dongxiang</v>
      </c>
      <c r="C176" s="103" t="s">
        <v>7648</v>
      </c>
    </row>
    <row r="177" spans="1:3">
      <c r="A177" s="103" t="s">
        <v>7691</v>
      </c>
      <c r="B177" s="22" t="str">
        <f ca="1">IF(ISBLANK(OFFSET(B177,0,'Field labels'!$Q$1)),C177,OFFSET(B177,0,'Field labels'!$Q$1))</f>
        <v>Ewenki</v>
      </c>
      <c r="C177" s="103" t="s">
        <v>7649</v>
      </c>
    </row>
    <row r="178" spans="1:3">
      <c r="A178" s="103" t="s">
        <v>7691</v>
      </c>
      <c r="B178" s="22" t="str">
        <f ca="1">IF(ISBLANK(OFFSET(B178,0,'Field labels'!$Q$1)),C178,OFFSET(B178,0,'Field labels'!$Q$1))</f>
        <v>Gaoshan</v>
      </c>
      <c r="C178" s="103" t="s">
        <v>7650</v>
      </c>
    </row>
    <row r="179" spans="1:3">
      <c r="A179" s="103" t="s">
        <v>7691</v>
      </c>
      <c r="B179" s="22" t="str">
        <f ca="1">IF(ISBLANK(OFFSET(B179,0,'Field labels'!$Q$1)),C179,OFFSET(B179,0,'Field labels'!$Q$1))</f>
        <v>Gelao</v>
      </c>
      <c r="C179" s="103" t="s">
        <v>7651</v>
      </c>
    </row>
    <row r="180" spans="1:3">
      <c r="A180" s="103" t="s">
        <v>7691</v>
      </c>
      <c r="B180" s="22" t="str">
        <f ca="1">IF(ISBLANK(OFFSET(B180,0,'Field labels'!$Q$1)),C180,OFFSET(B180,0,'Field labels'!$Q$1))</f>
        <v>Gin</v>
      </c>
      <c r="C180" s="103" t="s">
        <v>7652</v>
      </c>
    </row>
    <row r="181" spans="1:3">
      <c r="A181" s="103" t="s">
        <v>7691</v>
      </c>
      <c r="B181" s="22" t="str">
        <f ca="1">IF(ISBLANK(OFFSET(B181,0,'Field labels'!$Q$1)),C181,OFFSET(B181,0,'Field labels'!$Q$1))</f>
        <v>Han</v>
      </c>
      <c r="C181" s="103" t="s">
        <v>7653</v>
      </c>
    </row>
    <row r="182" spans="1:3">
      <c r="A182" s="103" t="s">
        <v>7691</v>
      </c>
      <c r="B182" s="22" t="str">
        <f ca="1">IF(ISBLANK(OFFSET(B182,0,'Field labels'!$Q$1)),C182,OFFSET(B182,0,'Field labels'!$Q$1))</f>
        <v>Hani</v>
      </c>
      <c r="C182" s="103" t="s">
        <v>7654</v>
      </c>
    </row>
    <row r="183" spans="1:3">
      <c r="A183" s="66" t="s">
        <v>7691</v>
      </c>
      <c r="B183" t="str">
        <f ca="1">IF(ISBLANK(OFFSET(B183,0,'Field labels'!$Q$1)),C183,OFFSET(B183,0,'Field labels'!$Q$1))</f>
        <v>Hezhen</v>
      </c>
      <c r="C183" s="66" t="s">
        <v>7655</v>
      </c>
    </row>
    <row r="184" spans="1:3">
      <c r="A184" s="66" t="s">
        <v>7691</v>
      </c>
      <c r="B184" t="str">
        <f ca="1">IF(ISBLANK(OFFSET(B184,0,'Field labels'!$Q$1)),C184,OFFSET(B184,0,'Field labels'!$Q$1))</f>
        <v>Hui</v>
      </c>
      <c r="C184" s="66" t="s">
        <v>7656</v>
      </c>
    </row>
    <row r="185" spans="1:3">
      <c r="A185" s="66" t="s">
        <v>7691</v>
      </c>
      <c r="B185" t="str">
        <f ca="1">IF(ISBLANK(OFFSET(B185,0,'Field labels'!$Q$1)),C185,OFFSET(B185,0,'Field labels'!$Q$1))</f>
        <v>Jingpo</v>
      </c>
      <c r="C185" s="66" t="s">
        <v>7657</v>
      </c>
    </row>
    <row r="186" spans="1:3">
      <c r="A186" s="66" t="s">
        <v>7691</v>
      </c>
      <c r="B186" t="str">
        <f ca="1">IF(ISBLANK(OFFSET(B186,0,'Field labels'!$Q$1)),C186,OFFSET(B186,0,'Field labels'!$Q$1))</f>
        <v>Jino</v>
      </c>
      <c r="C186" s="66" t="s">
        <v>7658</v>
      </c>
    </row>
    <row r="187" spans="1:3">
      <c r="A187" s="66" t="s">
        <v>7691</v>
      </c>
      <c r="B187" t="str">
        <f ca="1">IF(ISBLANK(OFFSET(B187,0,'Field labels'!$Q$1)),C187,OFFSET(B187,0,'Field labels'!$Q$1))</f>
        <v>Kazakh</v>
      </c>
      <c r="C187" s="66" t="s">
        <v>7659</v>
      </c>
    </row>
    <row r="188" spans="1:3">
      <c r="A188" s="66" t="s">
        <v>7691</v>
      </c>
      <c r="B188" t="str">
        <f ca="1">IF(ISBLANK(OFFSET(B188,0,'Field labels'!$Q$1)),C188,OFFSET(B188,0,'Field labels'!$Q$1))</f>
        <v>Korean</v>
      </c>
      <c r="C188" s="66" t="s">
        <v>406</v>
      </c>
    </row>
    <row r="189" spans="1:3">
      <c r="A189" s="66" t="s">
        <v>7691</v>
      </c>
      <c r="B189" t="str">
        <f ca="1">IF(ISBLANK(OFFSET(B189,0,'Field labels'!$Q$1)),C189,OFFSET(B189,0,'Field labels'!$Q$1))</f>
        <v>Kyrgyz</v>
      </c>
      <c r="C189" s="66" t="s">
        <v>7660</v>
      </c>
    </row>
    <row r="190" spans="1:3">
      <c r="A190" s="66" t="s">
        <v>7691</v>
      </c>
      <c r="B190" t="str">
        <f ca="1">IF(ISBLANK(OFFSET(B190,0,'Field labels'!$Q$1)),C190,OFFSET(B190,0,'Field labels'!$Q$1))</f>
        <v>Lahu</v>
      </c>
      <c r="C190" s="66" t="s">
        <v>7661</v>
      </c>
    </row>
    <row r="191" spans="1:3">
      <c r="A191" s="66" t="s">
        <v>7691</v>
      </c>
      <c r="B191" t="str">
        <f ca="1">IF(ISBLANK(OFFSET(B191,0,'Field labels'!$Q$1)),C191,OFFSET(B191,0,'Field labels'!$Q$1))</f>
        <v>Lhoba</v>
      </c>
      <c r="C191" s="66" t="s">
        <v>7662</v>
      </c>
    </row>
    <row r="192" spans="1:3">
      <c r="A192" s="66" t="s">
        <v>7691</v>
      </c>
      <c r="B192" t="str">
        <f ca="1">IF(ISBLANK(OFFSET(B192,0,'Field labels'!$Q$1)),C192,OFFSET(B192,0,'Field labels'!$Q$1))</f>
        <v>Li</v>
      </c>
      <c r="C192" s="66" t="s">
        <v>7663</v>
      </c>
    </row>
    <row r="193" spans="1:3">
      <c r="A193" s="66" t="s">
        <v>7691</v>
      </c>
      <c r="B193" t="str">
        <f ca="1">IF(ISBLANK(OFFSET(B193,0,'Field labels'!$Q$1)),C193,OFFSET(B193,0,'Field labels'!$Q$1))</f>
        <v>Lisu</v>
      </c>
      <c r="C193" s="66" t="s">
        <v>7664</v>
      </c>
    </row>
    <row r="194" spans="1:3">
      <c r="A194" s="66" t="s">
        <v>7691</v>
      </c>
      <c r="B194" t="str">
        <f ca="1">IF(ISBLANK(OFFSET(B194,0,'Field labels'!$Q$1)),C194,OFFSET(B194,0,'Field labels'!$Q$1))</f>
        <v>Manchu</v>
      </c>
      <c r="C194" s="66" t="s">
        <v>7665</v>
      </c>
    </row>
    <row r="195" spans="1:3">
      <c r="A195" s="66" t="s">
        <v>7691</v>
      </c>
      <c r="B195" t="str">
        <f ca="1">IF(ISBLANK(OFFSET(B195,0,'Field labels'!$Q$1)),C195,OFFSET(B195,0,'Field labels'!$Q$1))</f>
        <v>Maonan</v>
      </c>
      <c r="C195" s="66" t="s">
        <v>7666</v>
      </c>
    </row>
    <row r="196" spans="1:3">
      <c r="A196" s="66" t="s">
        <v>7691</v>
      </c>
      <c r="B196" t="str">
        <f ca="1">IF(ISBLANK(OFFSET(B196,0,'Field labels'!$Q$1)),C196,OFFSET(B196,0,'Field labels'!$Q$1))</f>
        <v>Miao</v>
      </c>
      <c r="C196" s="66" t="s">
        <v>7667</v>
      </c>
    </row>
    <row r="197" spans="1:3">
      <c r="A197" s="66" t="s">
        <v>7691</v>
      </c>
      <c r="B197" t="str">
        <f ca="1">IF(ISBLANK(OFFSET(B197,0,'Field labels'!$Q$1)),C197,OFFSET(B197,0,'Field labels'!$Q$1))</f>
        <v>Monba</v>
      </c>
      <c r="C197" s="66" t="s">
        <v>7668</v>
      </c>
    </row>
    <row r="198" spans="1:3">
      <c r="A198" s="66" t="s">
        <v>7691</v>
      </c>
      <c r="B198" t="str">
        <f ca="1">IF(ISBLANK(OFFSET(B198,0,'Field labels'!$Q$1)),C198,OFFSET(B198,0,'Field labels'!$Q$1))</f>
        <v>Mongol</v>
      </c>
      <c r="C198" s="66" t="s">
        <v>7669</v>
      </c>
    </row>
    <row r="199" spans="1:3">
      <c r="A199" s="66" t="s">
        <v>7691</v>
      </c>
      <c r="B199" t="str">
        <f ca="1">IF(ISBLANK(OFFSET(B199,0,'Field labels'!$Q$1)),C199,OFFSET(B199,0,'Field labels'!$Q$1))</f>
        <v>Mulao</v>
      </c>
      <c r="C199" s="66" t="s">
        <v>7670</v>
      </c>
    </row>
    <row r="200" spans="1:3">
      <c r="A200" s="66" t="s">
        <v>7691</v>
      </c>
      <c r="B200" t="str">
        <f ca="1">IF(ISBLANK(OFFSET(B200,0,'Field labels'!$Q$1)),C200,OFFSET(B200,0,'Field labels'!$Q$1))</f>
        <v>Nakhi</v>
      </c>
      <c r="C200" s="66" t="s">
        <v>7671</v>
      </c>
    </row>
    <row r="201" spans="1:3">
      <c r="A201" s="66" t="s">
        <v>7691</v>
      </c>
      <c r="B201" t="str">
        <f ca="1">IF(ISBLANK(OFFSET(B201,0,'Field labels'!$Q$1)),C201,OFFSET(B201,0,'Field labels'!$Q$1))</f>
        <v>Nu</v>
      </c>
      <c r="C201" s="66" t="s">
        <v>3088</v>
      </c>
    </row>
    <row r="202" spans="1:3">
      <c r="A202" s="66" t="s">
        <v>7691</v>
      </c>
      <c r="B202" t="str">
        <f ca="1">IF(ISBLANK(OFFSET(B202,0,'Field labels'!$Q$1)),C202,OFFSET(B202,0,'Field labels'!$Q$1))</f>
        <v>Oroqen</v>
      </c>
      <c r="C202" s="66" t="s">
        <v>7672</v>
      </c>
    </row>
    <row r="203" spans="1:3">
      <c r="A203" s="66" t="s">
        <v>7691</v>
      </c>
      <c r="B203" t="str">
        <f ca="1">IF(ISBLANK(OFFSET(B203,0,'Field labels'!$Q$1)),C203,OFFSET(B203,0,'Field labels'!$Q$1))</f>
        <v>Pumi</v>
      </c>
      <c r="C203" s="66" t="s">
        <v>7673</v>
      </c>
    </row>
    <row r="204" spans="1:3">
      <c r="A204" s="66" t="s">
        <v>7691</v>
      </c>
      <c r="B204" t="str">
        <f ca="1">IF(ISBLANK(OFFSET(B204,0,'Field labels'!$Q$1)),C204,OFFSET(B204,0,'Field labels'!$Q$1))</f>
        <v>Qiang</v>
      </c>
      <c r="C204" s="66" t="s">
        <v>7674</v>
      </c>
    </row>
    <row r="205" spans="1:3">
      <c r="A205" s="66" t="s">
        <v>7691</v>
      </c>
      <c r="B205" t="str">
        <f ca="1">IF(ISBLANK(OFFSET(B205,0,'Field labels'!$Q$1)),C205,OFFSET(B205,0,'Field labels'!$Q$1))</f>
        <v>Russian</v>
      </c>
      <c r="C205" s="66" t="s">
        <v>416</v>
      </c>
    </row>
    <row r="206" spans="1:3">
      <c r="A206" s="66" t="s">
        <v>7691</v>
      </c>
      <c r="B206" t="str">
        <f ca="1">IF(ISBLANK(OFFSET(B206,0,'Field labels'!$Q$1)),C206,OFFSET(B206,0,'Field labels'!$Q$1))</f>
        <v>Salar</v>
      </c>
      <c r="C206" s="66" t="s">
        <v>7675</v>
      </c>
    </row>
    <row r="207" spans="1:3">
      <c r="A207" s="66" t="s">
        <v>7691</v>
      </c>
      <c r="B207" t="str">
        <f ca="1">IF(ISBLANK(OFFSET(B207,0,'Field labels'!$Q$1)),C207,OFFSET(B207,0,'Field labels'!$Q$1))</f>
        <v>She</v>
      </c>
      <c r="C207" s="66" t="s">
        <v>7676</v>
      </c>
    </row>
    <row r="208" spans="1:3">
      <c r="A208" s="66" t="s">
        <v>7691</v>
      </c>
      <c r="B208" t="str">
        <f ca="1">IF(ISBLANK(OFFSET(B208,0,'Field labels'!$Q$1)),C208,OFFSET(B208,0,'Field labels'!$Q$1))</f>
        <v>Sui</v>
      </c>
      <c r="C208" s="66" t="s">
        <v>7677</v>
      </c>
    </row>
    <row r="209" spans="1:3">
      <c r="A209" s="66" t="s">
        <v>7691</v>
      </c>
      <c r="B209" t="str">
        <f ca="1">IF(ISBLANK(OFFSET(B209,0,'Field labels'!$Q$1)),C209,OFFSET(B209,0,'Field labels'!$Q$1))</f>
        <v>Tajik</v>
      </c>
      <c r="C209" s="66" t="s">
        <v>7678</v>
      </c>
    </row>
    <row r="210" spans="1:3">
      <c r="A210" s="66" t="s">
        <v>7691</v>
      </c>
      <c r="B210" t="str">
        <f ca="1">IF(ISBLANK(OFFSET(B210,0,'Field labels'!$Q$1)),C210,OFFSET(B210,0,'Field labels'!$Q$1))</f>
        <v>Tatar</v>
      </c>
      <c r="C210" s="66" t="s">
        <v>7679</v>
      </c>
    </row>
    <row r="211" spans="1:3">
      <c r="A211" s="66" t="s">
        <v>7691</v>
      </c>
      <c r="B211" t="str">
        <f ca="1">IF(ISBLANK(OFFSET(B211,0,'Field labels'!$Q$1)),C211,OFFSET(B211,0,'Field labels'!$Q$1))</f>
        <v>Tibetian</v>
      </c>
      <c r="C211" s="66" t="s">
        <v>7680</v>
      </c>
    </row>
    <row r="212" spans="1:3">
      <c r="A212" s="66" t="s">
        <v>7691</v>
      </c>
      <c r="B212" t="str">
        <f ca="1">IF(ISBLANK(OFFSET(B212,0,'Field labels'!$Q$1)),C212,OFFSET(B212,0,'Field labels'!$Q$1))</f>
        <v>Tu</v>
      </c>
      <c r="C212" s="66" t="s">
        <v>7681</v>
      </c>
    </row>
    <row r="213" spans="1:3">
      <c r="A213" s="66" t="s">
        <v>7691</v>
      </c>
      <c r="B213" t="str">
        <f ca="1">IF(ISBLANK(OFFSET(B213,0,'Field labels'!$Q$1)),C213,OFFSET(B213,0,'Field labels'!$Q$1))</f>
        <v>Tujia</v>
      </c>
      <c r="C213" s="66" t="s">
        <v>7682</v>
      </c>
    </row>
    <row r="214" spans="1:3">
      <c r="A214" s="66" t="s">
        <v>7691</v>
      </c>
      <c r="B214" t="str">
        <f ca="1">IF(ISBLANK(OFFSET(B214,0,'Field labels'!$Q$1)),C214,OFFSET(B214,0,'Field labels'!$Q$1))</f>
        <v>Undistinguished</v>
      </c>
      <c r="C214" s="66" t="s">
        <v>7683</v>
      </c>
    </row>
    <row r="215" spans="1:3">
      <c r="A215" s="66" t="s">
        <v>7691</v>
      </c>
      <c r="B215" t="str">
        <f ca="1">IF(ISBLANK(OFFSET(B215,0,'Field labels'!$Q$1)),C215,OFFSET(B215,0,'Field labels'!$Q$1))</f>
        <v>Uyghur</v>
      </c>
      <c r="C215" s="66" t="s">
        <v>7684</v>
      </c>
    </row>
    <row r="216" spans="1:3">
      <c r="A216" s="66" t="s">
        <v>7691</v>
      </c>
      <c r="B216" t="str">
        <f ca="1">IF(ISBLANK(OFFSET(B216,0,'Field labels'!$Q$1)),C216,OFFSET(B216,0,'Field labels'!$Q$1))</f>
        <v>Uzbek</v>
      </c>
      <c r="C216" s="66" t="s">
        <v>265</v>
      </c>
    </row>
    <row r="217" spans="1:3">
      <c r="A217" s="66" t="s">
        <v>7691</v>
      </c>
      <c r="B217" t="str">
        <f ca="1">IF(ISBLANK(OFFSET(B217,0,'Field labels'!$Q$1)),C217,OFFSET(B217,0,'Field labels'!$Q$1))</f>
        <v>Va</v>
      </c>
      <c r="C217" s="66" t="s">
        <v>7685</v>
      </c>
    </row>
    <row r="218" spans="1:3">
      <c r="A218" s="66" t="s">
        <v>7691</v>
      </c>
      <c r="B218" t="str">
        <f ca="1">IF(ISBLANK(OFFSET(B218,0,'Field labels'!$Q$1)),C218,OFFSET(B218,0,'Field labels'!$Q$1))</f>
        <v>Xibe</v>
      </c>
      <c r="C218" s="66" t="s">
        <v>7686</v>
      </c>
    </row>
    <row r="219" spans="1:3">
      <c r="A219" s="66" t="s">
        <v>7691</v>
      </c>
      <c r="B219" t="str">
        <f ca="1">IF(ISBLANK(OFFSET(B219,0,'Field labels'!$Q$1)),C219,OFFSET(B219,0,'Field labels'!$Q$1))</f>
        <v>Yao</v>
      </c>
      <c r="C219" s="66" t="s">
        <v>7687</v>
      </c>
    </row>
    <row r="220" spans="1:3">
      <c r="A220" s="66" t="s">
        <v>7691</v>
      </c>
      <c r="B220" t="str">
        <f ca="1">IF(ISBLANK(OFFSET(B220,0,'Field labels'!$Q$1)),C220,OFFSET(B220,0,'Field labels'!$Q$1))</f>
        <v>Yi</v>
      </c>
      <c r="C220" s="66" t="s">
        <v>7688</v>
      </c>
    </row>
    <row r="221" spans="1:3">
      <c r="A221" s="66" t="s">
        <v>7691</v>
      </c>
      <c r="B221" t="str">
        <f ca="1">IF(ISBLANK(OFFSET(B221,0,'Field labels'!$Q$1)),C221,OFFSET(B221,0,'Field labels'!$Q$1))</f>
        <v>Yugur</v>
      </c>
      <c r="C221" s="66" t="s">
        <v>7689</v>
      </c>
    </row>
    <row r="222" spans="1:3">
      <c r="A222" s="66" t="s">
        <v>7691</v>
      </c>
      <c r="B222" t="str">
        <f ca="1">IF(ISBLANK(OFFSET(B222,0,'Field labels'!$Q$1)),C222,OFFSET(B222,0,'Field labels'!$Q$1))</f>
        <v>Zhuang</v>
      </c>
      <c r="C222" s="66" t="s">
        <v>7690</v>
      </c>
    </row>
    <row r="223" spans="1:3">
      <c r="A223" s="22" t="s">
        <v>715</v>
      </c>
      <c r="B223" s="22" t="str">
        <f ca="1">IF(ISBLANK(OFFSET(B223,0,'Field labels'!$Q$1)),C223,OFFSET(B223,0,'Field labels'!$Q$1))</f>
        <v>Advisor (8)</v>
      </c>
      <c r="C223" s="22" t="s">
        <v>723</v>
      </c>
    </row>
    <row r="224" spans="1:3">
      <c r="A224" s="22" t="s">
        <v>715</v>
      </c>
      <c r="B224" s="22" t="str">
        <f ca="1">IF(ISBLANK(OFFSET(B224,0,'Field labels'!$Q$1)),C224,OFFSET(B224,0,'Field labels'!$Q$1))</f>
        <v>Associate Professional (13)</v>
      </c>
      <c r="C224" s="22" t="s">
        <v>728</v>
      </c>
    </row>
    <row r="225" spans="1:3">
      <c r="A225" s="22" t="s">
        <v>715</v>
      </c>
      <c r="B225" s="22" t="str">
        <f ca="1">IF(ISBLANK(OFFSET(B225,0,'Field labels'!$Q$1)),C225,OFFSET(B225,0,'Field labels'!$Q$1))</f>
        <v>Associate Support Staff (16)</v>
      </c>
      <c r="C225" s="22" t="s">
        <v>731</v>
      </c>
    </row>
    <row r="226" spans="1:3">
      <c r="A226" s="22" t="s">
        <v>715</v>
      </c>
      <c r="B226" s="22" t="str">
        <f ca="1">IF(ISBLANK(OFFSET(B226,0,'Field labels'!$Q$1)),C226,OFFSET(B226,0,'Field labels'!$Q$1))</f>
        <v>Executive (1)</v>
      </c>
      <c r="C226" s="22" t="s">
        <v>716</v>
      </c>
    </row>
    <row r="227" spans="1:3">
      <c r="A227" s="22" t="s">
        <v>715</v>
      </c>
      <c r="B227" s="22" t="str">
        <f ca="1">IF(ISBLANK(OFFSET(B227,0,'Field labels'!$Q$1)),C227,OFFSET(B227,0,'Field labels'!$Q$1))</f>
        <v>Group (2)</v>
      </c>
      <c r="C227" s="22" t="s">
        <v>717</v>
      </c>
    </row>
    <row r="228" spans="1:3">
      <c r="A228" s="22" t="s">
        <v>715</v>
      </c>
      <c r="B228" s="22" t="str">
        <f ca="1">IF(ISBLANK(OFFSET(B228,0,'Field labels'!$Q$1)),C228,OFFSET(B228,0,'Field labels'!$Q$1))</f>
        <v>Manager I (7)</v>
      </c>
      <c r="C228" s="22" t="s">
        <v>722</v>
      </c>
    </row>
    <row r="229" spans="1:3">
      <c r="A229" s="22" t="s">
        <v>715</v>
      </c>
      <c r="B229" s="22" t="str">
        <f ca="1">IF(ISBLANK(OFFSET(B229,0,'Field labels'!$Q$1)),C229,OFFSET(B229,0,'Field labels'!$Q$1))</f>
        <v>Manager II (5)</v>
      </c>
      <c r="C229" s="22" t="s">
        <v>720</v>
      </c>
    </row>
    <row r="230" spans="1:3">
      <c r="A230" s="22" t="s">
        <v>715</v>
      </c>
      <c r="B230" s="22" t="str">
        <f ca="1">IF(ISBLANK(OFFSET(B230,0,'Field labels'!$Q$1)),C230,OFFSET(B230,0,'Field labels'!$Q$1))</f>
        <v>Professional (12)</v>
      </c>
      <c r="C230" s="22" t="s">
        <v>727</v>
      </c>
    </row>
    <row r="231" spans="1:3">
      <c r="A231" s="22" t="s">
        <v>715</v>
      </c>
      <c r="B231" s="22" t="str">
        <f ca="1">IF(ISBLANK(OFFSET(B231,0,'Field labels'!$Q$1)),C231,OFFSET(B231,0,'Field labels'!$Q$1))</f>
        <v>Senior Advisor (6)</v>
      </c>
      <c r="C231" s="22" t="s">
        <v>721</v>
      </c>
    </row>
    <row r="232" spans="1:3">
      <c r="A232" s="22" t="s">
        <v>715</v>
      </c>
      <c r="B232" s="22" t="str">
        <f ca="1">IF(ISBLANK(OFFSET(B232,0,'Field labels'!$Q$1)),C232,OFFSET(B232,0,'Field labels'!$Q$1))</f>
        <v>Senior Manager I (4)</v>
      </c>
      <c r="C232" s="22" t="s">
        <v>719</v>
      </c>
    </row>
    <row r="233" spans="1:3">
      <c r="A233" s="22" t="s">
        <v>715</v>
      </c>
      <c r="B233" s="22" t="str">
        <f ca="1">IF(ISBLANK(OFFSET(B233,0,'Field labels'!$Q$1)),C233,OFFSET(B233,0,'Field labels'!$Q$1))</f>
        <v>Senior Manager II (3)</v>
      </c>
      <c r="C233" s="22" t="s">
        <v>718</v>
      </c>
    </row>
    <row r="234" spans="1:3">
      <c r="A234" s="22" t="s">
        <v>715</v>
      </c>
      <c r="B234" s="22" t="str">
        <f ca="1">IF(ISBLANK(OFFSET(B234,0,'Field labels'!$Q$1)),C234,OFFSET(B234,0,'Field labels'!$Q$1))</f>
        <v>Senior Professional (10)</v>
      </c>
      <c r="C234" s="22" t="s">
        <v>725</v>
      </c>
    </row>
    <row r="235" spans="1:3">
      <c r="A235" s="22" t="s">
        <v>715</v>
      </c>
      <c r="B235" s="22" t="str">
        <f ca="1">IF(ISBLANK(OFFSET(B235,0,'Field labels'!$Q$1)),C235,OFFSET(B235,0,'Field labels'!$Q$1))</f>
        <v>Senior Support Staff (14)</v>
      </c>
      <c r="C235" s="22" t="s">
        <v>729</v>
      </c>
    </row>
    <row r="236" spans="1:3">
      <c r="A236" s="22" t="s">
        <v>715</v>
      </c>
      <c r="B236" s="22" t="str">
        <f ca="1">IF(ISBLANK(OFFSET(B236,0,'Field labels'!$Q$1)),C236,OFFSET(B236,0,'Field labels'!$Q$1))</f>
        <v>Supervisor I (11)</v>
      </c>
      <c r="C236" s="22" t="s">
        <v>726</v>
      </c>
    </row>
    <row r="237" spans="1:3">
      <c r="A237" s="22" t="s">
        <v>715</v>
      </c>
      <c r="B237" s="22" t="str">
        <f ca="1">IF(ISBLANK(OFFSET(B237,0,'Field labels'!$Q$1)),C237,OFFSET(B237,0,'Field labels'!$Q$1))</f>
        <v>Supervisor II (9)</v>
      </c>
      <c r="C237" s="22" t="s">
        <v>724</v>
      </c>
    </row>
    <row r="238" spans="1:3">
      <c r="A238" s="22" t="s">
        <v>715</v>
      </c>
      <c r="B238" s="22" t="str">
        <f ca="1">IF(ISBLANK(OFFSET(B238,0,'Field labels'!$Q$1)),C238,OFFSET(B238,0,'Field labels'!$Q$1))</f>
        <v>Support Staff (15)</v>
      </c>
      <c r="C238" s="22" t="s">
        <v>730</v>
      </c>
    </row>
    <row r="239" spans="1:3">
      <c r="A239" s="22" t="s">
        <v>715</v>
      </c>
      <c r="B239" s="22" t="str">
        <f ca="1">IF(ISBLANK(OFFSET(B239,0,'Field labels'!$Q$1)),C239,OFFSET(B239,0,'Field labels'!$Q$1))</f>
        <v>Unbanded (17)</v>
      </c>
      <c r="C239" s="22" t="s">
        <v>732</v>
      </c>
    </row>
    <row r="240" spans="1:3">
      <c r="A240" s="66" t="s">
        <v>733</v>
      </c>
      <c r="B240" t="str">
        <f ca="1">IF(ISBLANK(OFFSET(B240,0,'Field labels'!$Q$1)),C240,OFFSET(B240,0,'Field labels'!$Q$1))</f>
        <v>Alvean Sugar JV</v>
      </c>
      <c r="C240" t="s">
        <v>7560</v>
      </c>
    </row>
    <row r="241" spans="1:3">
      <c r="A241" s="66" t="s">
        <v>733</v>
      </c>
      <c r="B241" t="str">
        <f ca="1">IF(ISBLANK(OFFSET(B241,0,'Field labels'!$Q$1)),C241,OFFSET(B241,0,'Field labels'!$Q$1))</f>
        <v>Animal Protein China</v>
      </c>
      <c r="C241" t="s">
        <v>7561</v>
      </c>
    </row>
    <row r="242" spans="1:3">
      <c r="A242" s="66" t="s">
        <v>733</v>
      </c>
      <c r="B242" t="str">
        <f ca="1">IF(ISBLANK(OFFSET(B242,0,'Field labels'!$Q$1)),C242,OFFSET(B242,0,'Field labels'!$Q$1))</f>
        <v>Aqua Nutrition</v>
      </c>
      <c r="C242" t="s">
        <v>2690</v>
      </c>
    </row>
    <row r="243" spans="1:3">
      <c r="A243" s="66" t="s">
        <v>733</v>
      </c>
      <c r="B243" t="str">
        <f ca="1">IF(ISBLANK(OFFSET(B243,0,'Field labels'!$Q$1)),C243,OFFSET(B243,0,'Field labels'!$Q$1))</f>
        <v>Beef</v>
      </c>
      <c r="C243" t="s">
        <v>2691</v>
      </c>
    </row>
    <row r="244" spans="1:3">
      <c r="A244" s="66" t="s">
        <v>733</v>
      </c>
      <c r="B244" t="str">
        <f ca="1">IF(ISBLANK(OFFSET(B244,0,'Field labels'!$Q$1)),C244,OFFSET(B244,0,'Field labels'!$Q$1))</f>
        <v>BGR_Bus/Fn</v>
      </c>
      <c r="C244" t="s">
        <v>7562</v>
      </c>
    </row>
    <row r="245" spans="1:3">
      <c r="A245" s="66" t="s">
        <v>733</v>
      </c>
      <c r="B245" t="str">
        <f ca="1">IF(ISBLANK(OFFSET(B245,0,'Field labels'!$Q$1)),C245,OFFSET(B245,0,'Field labels'!$Q$1))</f>
        <v>Black River Asset Management</v>
      </c>
      <c r="C245" t="s">
        <v>734</v>
      </c>
    </row>
    <row r="246" spans="1:3">
      <c r="A246" s="66" t="s">
        <v>733</v>
      </c>
      <c r="B246" t="str">
        <f ca="1">IF(ISBLANK(OFFSET(B246,0,'Field labels'!$Q$1)),C246,OFFSET(B246,0,'Field labels'!$Q$1))</f>
        <v>Business Operations &amp; Supply Chain</v>
      </c>
      <c r="C246" t="s">
        <v>2692</v>
      </c>
    </row>
    <row r="247" spans="1:3">
      <c r="A247" s="66" t="s">
        <v>733</v>
      </c>
      <c r="B247" t="str">
        <f ca="1">IF(ISBLANK(OFFSET(B247,0,'Field labels'!$Q$1)),C247,OFFSET(B247,0,'Field labels'!$Q$1))</f>
        <v>CAN Shared Resources</v>
      </c>
      <c r="C247" t="s">
        <v>815</v>
      </c>
    </row>
    <row r="248" spans="1:3">
      <c r="A248" s="66" t="s">
        <v>733</v>
      </c>
      <c r="B248" t="str">
        <f ca="1">IF(ISBLANK(OFFSET(B248,0,'Field labels'!$Q$1)),C248,OFFSET(B248,0,'Field labels'!$Q$1))</f>
        <v>Cargill Business Services</v>
      </c>
      <c r="C248" t="s">
        <v>735</v>
      </c>
    </row>
    <row r="249" spans="1:3">
      <c r="A249" s="66" t="s">
        <v>733</v>
      </c>
      <c r="B249" t="str">
        <f ca="1">IF(ISBLANK(OFFSET(B249,0,'Field labels'!$Q$1)),C249,OFFSET(B249,0,'Field labels'!$Q$1))</f>
        <v>Cargill Protein Latin America</v>
      </c>
      <c r="C249" t="s">
        <v>7563</v>
      </c>
    </row>
    <row r="250" spans="1:3">
      <c r="A250" s="66" t="s">
        <v>733</v>
      </c>
      <c r="B250" t="str">
        <f ca="1">IF(ISBLANK(OFFSET(B250,0,'Field labels'!$Q$1)),C250,OFFSET(B250,0,'Field labels'!$Q$1))</f>
        <v>CASC APAC BOSC</v>
      </c>
      <c r="C250" t="s">
        <v>7564</v>
      </c>
    </row>
    <row r="251" spans="1:3">
      <c r="A251" s="66" t="s">
        <v>733</v>
      </c>
      <c r="B251" t="str">
        <f ca="1">IF(ISBLANK(OFFSET(B251,0,'Field labels'!$Q$1)),C251,OFFSET(B251,0,'Field labels'!$Q$1))</f>
        <v>CASC APAC Finance</v>
      </c>
      <c r="C251" t="s">
        <v>7565</v>
      </c>
    </row>
    <row r="252" spans="1:3">
      <c r="A252" s="66" t="s">
        <v>733</v>
      </c>
      <c r="B252" t="str">
        <f ca="1">IF(ISBLANK(OFFSET(B252,0,'Field labels'!$Q$1)),C252,OFFSET(B252,0,'Field labels'!$Q$1))</f>
        <v>CASC APAC HR</v>
      </c>
      <c r="C252" t="s">
        <v>7566</v>
      </c>
    </row>
    <row r="253" spans="1:3">
      <c r="A253" s="66" t="s">
        <v>733</v>
      </c>
      <c r="B253" t="str">
        <f ca="1">IF(ISBLANK(OFFSET(B253,0,'Field labels'!$Q$1)),C253,OFFSET(B253,0,'Field labels'!$Q$1))</f>
        <v>CASC APAC Regional Resources</v>
      </c>
      <c r="C253" t="s">
        <v>2693</v>
      </c>
    </row>
    <row r="254" spans="1:3">
      <c r="A254" s="66" t="s">
        <v>733</v>
      </c>
      <c r="B254" t="str">
        <f ca="1">IF(ISBLANK(OFFSET(B254,0,'Field labels'!$Q$1)),C254,OFFSET(B254,0,'Field labels'!$Q$1))</f>
        <v>CASC Australia</v>
      </c>
      <c r="C254" t="s">
        <v>7567</v>
      </c>
    </row>
    <row r="255" spans="1:3">
      <c r="A255" s="66" t="s">
        <v>733</v>
      </c>
      <c r="B255" t="str">
        <f ca="1">IF(ISBLANK(OFFSET(B255,0,'Field labels'!$Q$1)),C255,OFFSET(B255,0,'Field labels'!$Q$1))</f>
        <v>CASC EMEA BOSC</v>
      </c>
      <c r="C255" t="s">
        <v>781</v>
      </c>
    </row>
    <row r="256" spans="1:3">
      <c r="A256" s="66" t="s">
        <v>733</v>
      </c>
      <c r="B256" t="str">
        <f ca="1">IF(ISBLANK(OFFSET(B256,0,'Field labels'!$Q$1)),C256,OFFSET(B256,0,'Field labels'!$Q$1))</f>
        <v>CASC EMEA Grain</v>
      </c>
      <c r="C256" t="s">
        <v>816</v>
      </c>
    </row>
    <row r="257" spans="1:3">
      <c r="A257" s="66" t="s">
        <v>733</v>
      </c>
      <c r="B257" t="str">
        <f ca="1">IF(ISBLANK(OFFSET(B257,0,'Field labels'!$Q$1)),C257,OFFSET(B257,0,'Field labels'!$Q$1))</f>
        <v>CASC EMEA Oilseeds</v>
      </c>
      <c r="C257" t="s">
        <v>817</v>
      </c>
    </row>
    <row r="258" spans="1:3">
      <c r="A258" s="66" t="s">
        <v>733</v>
      </c>
      <c r="B258" t="str">
        <f ca="1">IF(ISBLANK(OFFSET(B258,0,'Field labels'!$Q$1)),C258,OFFSET(B258,0,'Field labels'!$Q$1))</f>
        <v>CASC EMEA Shared Resources</v>
      </c>
      <c r="C258" t="s">
        <v>782</v>
      </c>
    </row>
    <row r="259" spans="1:3">
      <c r="A259" s="66" t="s">
        <v>733</v>
      </c>
      <c r="B259" t="str">
        <f ca="1">IF(ISBLANK(OFFSET(B259,0,'Field labels'!$Q$1)),C259,OFFSET(B259,0,'Field labels'!$Q$1))</f>
        <v>CASC Global Shared Resources</v>
      </c>
      <c r="C259" t="s">
        <v>7568</v>
      </c>
    </row>
    <row r="260" spans="1:3">
      <c r="A260" s="66" t="s">
        <v>733</v>
      </c>
      <c r="B260" t="str">
        <f ca="1">IF(ISBLANK(OFFSET(B260,0,'Field labels'!$Q$1)),C260,OFFSET(B260,0,'Field labels'!$Q$1))</f>
        <v>CASC NA BOSC</v>
      </c>
      <c r="C260" t="s">
        <v>2694</v>
      </c>
    </row>
    <row r="261" spans="1:3">
      <c r="A261" s="66" t="s">
        <v>733</v>
      </c>
      <c r="B261" t="str">
        <f ca="1">IF(ISBLANK(OFFSET(B261,0,'Field labels'!$Q$1)),C261,OFFSET(B261,0,'Field labels'!$Q$1))</f>
        <v>CASC NA Crop Inputs</v>
      </c>
      <c r="C261" t="s">
        <v>2695</v>
      </c>
    </row>
    <row r="262" spans="1:3">
      <c r="A262" s="66" t="s">
        <v>733</v>
      </c>
      <c r="B262" t="str">
        <f ca="1">IF(ISBLANK(OFFSET(B262,0,'Field labels'!$Q$1)),C262,OFFSET(B262,0,'Field labels'!$Q$1))</f>
        <v>CASC NA Customer Solutions</v>
      </c>
      <c r="C262" t="s">
        <v>2696</v>
      </c>
    </row>
    <row r="263" spans="1:3">
      <c r="A263" s="66" t="s">
        <v>733</v>
      </c>
      <c r="B263" t="str">
        <f ca="1">IF(ISBLANK(OFFSET(B263,0,'Field labels'!$Q$1)),C263,OFFSET(B263,0,'Field labels'!$Q$1))</f>
        <v>CASC NA Grain</v>
      </c>
      <c r="C263" t="s">
        <v>2697</v>
      </c>
    </row>
    <row r="264" spans="1:3">
      <c r="A264" s="66" t="s">
        <v>733</v>
      </c>
      <c r="B264" t="str">
        <f ca="1">IF(ISBLANK(OFFSET(B264,0,'Field labels'!$Q$1)),C264,OFFSET(B264,0,'Field labels'!$Q$1))</f>
        <v>CASC NA Oilseeds</v>
      </c>
      <c r="C264" t="s">
        <v>2698</v>
      </c>
    </row>
    <row r="265" spans="1:3">
      <c r="A265" s="66" t="s">
        <v>733</v>
      </c>
      <c r="B265" t="str">
        <f ca="1">IF(ISBLANK(OFFSET(B265,0,'Field labels'!$Q$1)),C265,OFFSET(B265,0,'Field labels'!$Q$1))</f>
        <v>CASC NA Shared Resources</v>
      </c>
      <c r="C265" t="s">
        <v>2699</v>
      </c>
    </row>
    <row r="266" spans="1:3">
      <c r="A266" s="66" t="s">
        <v>733</v>
      </c>
      <c r="B266" t="str">
        <f ca="1">IF(ISBLANK(OFFSET(B266,0,'Field labels'!$Q$1)),C266,OFFSET(B266,0,'Field labels'!$Q$1))</f>
        <v>CASC North Asia</v>
      </c>
      <c r="C266" t="s">
        <v>7569</v>
      </c>
    </row>
    <row r="267" spans="1:3">
      <c r="A267" s="66" t="s">
        <v>733</v>
      </c>
      <c r="B267" t="str">
        <f ca="1">IF(ISBLANK(OFFSET(B267,0,'Field labels'!$Q$1)),C267,OFFSET(B267,0,'Field labels'!$Q$1))</f>
        <v>CASC SA Americas Marketing Group</v>
      </c>
      <c r="C267" t="s">
        <v>2700</v>
      </c>
    </row>
    <row r="268" spans="1:3">
      <c r="A268" s="66" t="s">
        <v>733</v>
      </c>
      <c r="B268" t="str">
        <f ca="1">IF(ISBLANK(OFFSET(B268,0,'Field labels'!$Q$1)),C268,OFFSET(B268,0,'Field labels'!$Q$1))</f>
        <v>CASC SA BOSC</v>
      </c>
      <c r="C268" t="s">
        <v>7570</v>
      </c>
    </row>
    <row r="269" spans="1:3">
      <c r="A269" s="66" t="s">
        <v>733</v>
      </c>
      <c r="B269" t="str">
        <f ca="1">IF(ISBLANK(OFFSET(B269,0,'Field labels'!$Q$1)),C269,OFFSET(B269,0,'Field labels'!$Q$1))</f>
        <v>CASC SA Commercial Op</v>
      </c>
      <c r="C269" t="s">
        <v>7571</v>
      </c>
    </row>
    <row r="270" spans="1:3">
      <c r="A270" s="66" t="s">
        <v>733</v>
      </c>
      <c r="B270" t="str">
        <f ca="1">IF(ISBLANK(OFFSET(B270,0,'Field labels'!$Q$1)),C270,OFFSET(B270,0,'Field labels'!$Q$1))</f>
        <v>CASC SA Crush Softseeds &amp; DomMkt</v>
      </c>
      <c r="C270" t="s">
        <v>7572</v>
      </c>
    </row>
    <row r="271" spans="1:3">
      <c r="A271" s="66" t="s">
        <v>733</v>
      </c>
      <c r="B271" t="str">
        <f ca="1">IF(ISBLANK(OFFSET(B271,0,'Field labels'!$Q$1)),C271,OFFSET(B271,0,'Field labels'!$Q$1))</f>
        <v>CASC SA Grains &amp; Soybean Exports</v>
      </c>
      <c r="C271" t="s">
        <v>7573</v>
      </c>
    </row>
    <row r="272" spans="1:3">
      <c r="A272" s="66" t="s">
        <v>733</v>
      </c>
      <c r="B272" t="str">
        <f ca="1">IF(ISBLANK(OFFSET(B272,0,'Field labels'!$Q$1)),C272,OFFSET(B272,0,'Field labels'!$Q$1))</f>
        <v>CASC SA Shared Resources</v>
      </c>
      <c r="C272" t="s">
        <v>7574</v>
      </c>
    </row>
    <row r="273" spans="1:3">
      <c r="A273" s="66" t="s">
        <v>733</v>
      </c>
      <c r="B273" t="str">
        <f ca="1">IF(ISBLANK(OFFSET(B273,0,'Field labels'!$Q$1)),C273,OFFSET(B273,0,'Field labels'!$Q$1))</f>
        <v>CASC South Asia</v>
      </c>
      <c r="C273" t="s">
        <v>2701</v>
      </c>
    </row>
    <row r="274" spans="1:3">
      <c r="A274" s="66" t="s">
        <v>733</v>
      </c>
      <c r="B274" t="str">
        <f ca="1">IF(ISBLANK(OFFSET(B274,0,'Field labels'!$Q$1)),C274,OFFSET(B274,0,'Field labels'!$Q$1))</f>
        <v>CMS Shared Resources</v>
      </c>
      <c r="C274" t="s">
        <v>7575</v>
      </c>
    </row>
    <row r="275" spans="1:3">
      <c r="A275" s="66" t="s">
        <v>733</v>
      </c>
      <c r="B275" t="str">
        <f ca="1">IF(ISBLANK(OFFSET(B275,0,'Field labels'!$Q$1)),C275,OFFSET(B275,0,'Field labels'!$Q$1))</f>
        <v>Cocoa &amp; Chocolate Asia Pacific</v>
      </c>
      <c r="C275" t="s">
        <v>7576</v>
      </c>
    </row>
    <row r="276" spans="1:3">
      <c r="A276" s="66" t="s">
        <v>733</v>
      </c>
      <c r="B276" t="str">
        <f ca="1">IF(ISBLANK(OFFSET(B276,0,'Field labels'!$Q$1)),C276,OFFSET(B276,0,'Field labels'!$Q$1))</f>
        <v>Cocoa &amp; Chocolate Brazil</v>
      </c>
      <c r="C276" t="s">
        <v>7577</v>
      </c>
    </row>
    <row r="277" spans="1:3">
      <c r="A277" s="66" t="s">
        <v>733</v>
      </c>
      <c r="B277" t="str">
        <f ca="1">IF(ISBLANK(OFFSET(B277,0,'Field labels'!$Q$1)),C277,OFFSET(B277,0,'Field labels'!$Q$1))</f>
        <v>Cocoa &amp; Chocolate Europe</v>
      </c>
      <c r="C277" t="s">
        <v>809</v>
      </c>
    </row>
    <row r="278" spans="1:3">
      <c r="A278" s="66" t="s">
        <v>733</v>
      </c>
      <c r="B278" t="str">
        <f ca="1">IF(ISBLANK(OFFSET(B278,0,'Field labels'!$Q$1)),C278,OFFSET(B278,0,'Field labels'!$Q$1))</f>
        <v>Cocoa &amp; Chocolate NA</v>
      </c>
      <c r="C278" t="s">
        <v>2702</v>
      </c>
    </row>
    <row r="279" spans="1:3">
      <c r="A279" s="66" t="s">
        <v>733</v>
      </c>
      <c r="B279" t="str">
        <f ca="1">IF(ISBLANK(OFFSET(B279,0,'Field labels'!$Q$1)),C279,OFFSET(B279,0,'Field labels'!$Q$1))</f>
        <v>Corporate - Other</v>
      </c>
      <c r="C279" t="s">
        <v>2703</v>
      </c>
    </row>
    <row r="280" spans="1:3">
      <c r="A280" s="66" t="s">
        <v>733</v>
      </c>
      <c r="B280" t="str">
        <f ca="1">IF(ISBLANK(OFFSET(B280,0,'Field labels'!$Q$1)),C280,OFFSET(B280,0,'Field labels'!$Q$1))</f>
        <v>Corporate Affairs</v>
      </c>
      <c r="C280" t="s">
        <v>736</v>
      </c>
    </row>
    <row r="281" spans="1:3">
      <c r="A281" s="66" t="s">
        <v>733</v>
      </c>
      <c r="B281" t="str">
        <f ca="1">IF(ISBLANK(OFFSET(B281,0,'Field labels'!$Q$1)),C281,OFFSET(B281,0,'Field labels'!$Q$1))</f>
        <v>Corporate Strategy &amp; Development</v>
      </c>
      <c r="C281" t="s">
        <v>2704</v>
      </c>
    </row>
    <row r="282" spans="1:3">
      <c r="A282" s="66" t="s">
        <v>733</v>
      </c>
      <c r="B282" t="str">
        <f ca="1">IF(ISBLANK(OFFSET(B282,0,'Field labels'!$Q$1)),C282,OFFSET(B282,0,'Field labels'!$Q$1))</f>
        <v>Cotton</v>
      </c>
      <c r="C282" t="s">
        <v>737</v>
      </c>
    </row>
    <row r="283" spans="1:3">
      <c r="A283" s="66" t="s">
        <v>733</v>
      </c>
      <c r="B283" t="str">
        <f ca="1">IF(ISBLANK(OFFSET(B283,0,'Field labels'!$Q$1)),C283,OFFSET(B283,0,'Field labels'!$Q$1))</f>
        <v>CSST Shared Resources</v>
      </c>
      <c r="C283" t="s">
        <v>2705</v>
      </c>
    </row>
    <row r="284" spans="1:3">
      <c r="A284" s="66" t="s">
        <v>733</v>
      </c>
      <c r="B284" t="str">
        <f ca="1">IF(ISBLANK(OFFSET(B284,0,'Field labels'!$Q$1)),C284,OFFSET(B284,0,'Field labels'!$Q$1))</f>
        <v>Deicing Technology</v>
      </c>
      <c r="C284" t="s">
        <v>2706</v>
      </c>
    </row>
    <row r="285" spans="1:3">
      <c r="A285" s="66" t="s">
        <v>733</v>
      </c>
      <c r="B285" t="str">
        <f ca="1">IF(ISBLANK(OFFSET(B285,0,'Field labels'!$Q$1)),C285,OFFSET(B285,0,'Field labels'!$Q$1))</f>
        <v>Feed &amp; Nutrition</v>
      </c>
      <c r="C285" t="s">
        <v>739</v>
      </c>
    </row>
    <row r="286" spans="1:3">
      <c r="A286" s="66" t="s">
        <v>733</v>
      </c>
      <c r="B286" t="str">
        <f ca="1">IF(ISBLANK(OFFSET(B286,0,'Field labels'!$Q$1)),C286,OFFSET(B286,0,'Field labels'!$Q$1))</f>
        <v>FIBI Shared Resources</v>
      </c>
      <c r="C286" t="s">
        <v>740</v>
      </c>
    </row>
    <row r="287" spans="1:3">
      <c r="A287" s="66" t="s">
        <v>733</v>
      </c>
      <c r="B287" t="str">
        <f ca="1">IF(ISBLANK(OFFSET(B287,0,'Field labels'!$Q$1)),C287,OFFSET(B287,0,'Field labels'!$Q$1))</f>
        <v>Finance</v>
      </c>
      <c r="C287" t="s">
        <v>741</v>
      </c>
    </row>
    <row r="288" spans="1:3">
      <c r="A288" s="66" t="s">
        <v>733</v>
      </c>
      <c r="B288" t="str">
        <f ca="1">IF(ISBLANK(OFFSET(B288,0,'Field labels'!$Q$1)),C288,OFFSET(B288,0,'Field labels'!$Q$1))</f>
        <v>Food Distribution</v>
      </c>
      <c r="C288" t="s">
        <v>2707</v>
      </c>
    </row>
    <row r="289" spans="1:3">
      <c r="A289" s="66" t="s">
        <v>733</v>
      </c>
      <c r="B289" t="str">
        <f ca="1">IF(ISBLANK(OFFSET(B289,0,'Field labels'!$Q$1)),C289,OFFSET(B289,0,'Field labels'!$Q$1))</f>
        <v>Foods Argentina</v>
      </c>
      <c r="C289" t="s">
        <v>3893</v>
      </c>
    </row>
    <row r="290" spans="1:3">
      <c r="A290" s="66" t="s">
        <v>733</v>
      </c>
      <c r="B290" t="str">
        <f ca="1">IF(ISBLANK(OFFSET(B290,0,'Field labels'!$Q$1)),C290,OFFSET(B290,0,'Field labels'!$Q$1))</f>
        <v>Foods METNA</v>
      </c>
      <c r="C290" t="s">
        <v>2708</v>
      </c>
    </row>
    <row r="291" spans="1:3">
      <c r="A291" s="66" t="s">
        <v>733</v>
      </c>
      <c r="B291" t="str">
        <f ca="1">IF(ISBLANK(OFFSET(B291,0,'Field labels'!$Q$1)),C291,OFFSET(B291,0,'Field labels'!$Q$1))</f>
        <v>GEOS Australia</v>
      </c>
      <c r="C291" t="s">
        <v>7578</v>
      </c>
    </row>
    <row r="292" spans="1:3">
      <c r="A292" s="66" t="s">
        <v>733</v>
      </c>
      <c r="B292" t="str">
        <f ca="1">IF(ISBLANK(OFFSET(B292,0,'Field labels'!$Q$1)),C292,OFFSET(B292,0,'Field labels'!$Q$1))</f>
        <v>GEOS China</v>
      </c>
      <c r="C292" t="s">
        <v>7579</v>
      </c>
    </row>
    <row r="293" spans="1:3">
      <c r="A293" s="66" t="s">
        <v>733</v>
      </c>
      <c r="B293" t="str">
        <f ca="1">IF(ISBLANK(OFFSET(B293,0,'Field labels'!$Q$1)),C293,OFFSET(B293,0,'Field labels'!$Q$1))</f>
        <v>GEOS Europe</v>
      </c>
      <c r="C293" t="s">
        <v>810</v>
      </c>
    </row>
    <row r="294" spans="1:3">
      <c r="A294" s="66" t="s">
        <v>733</v>
      </c>
      <c r="B294" t="str">
        <f ca="1">IF(ISBLANK(OFFSET(B294,0,'Field labels'!$Q$1)),C294,OFFSET(B294,0,'Field labels'!$Q$1))</f>
        <v>GEOS India</v>
      </c>
      <c r="C294" t="s">
        <v>7580</v>
      </c>
    </row>
    <row r="295" spans="1:3">
      <c r="A295" s="66" t="s">
        <v>733</v>
      </c>
      <c r="B295" t="str">
        <f ca="1">IF(ISBLANK(OFFSET(B295,0,'Field labels'!$Q$1)),C295,OFFSET(B295,0,'Field labels'!$Q$1))</f>
        <v>GEOS Indonesia</v>
      </c>
      <c r="C295" t="s">
        <v>7581</v>
      </c>
    </row>
    <row r="296" spans="1:3">
      <c r="A296" s="66" t="s">
        <v>733</v>
      </c>
      <c r="B296" t="str">
        <f ca="1">IF(ISBLANK(OFFSET(B296,0,'Field labels'!$Q$1)),C296,OFFSET(B296,0,'Field labels'!$Q$1))</f>
        <v>GEOS Malaysia</v>
      </c>
      <c r="C296" t="s">
        <v>7582</v>
      </c>
    </row>
    <row r="297" spans="1:3">
      <c r="A297" s="66" t="s">
        <v>733</v>
      </c>
      <c r="B297" t="str">
        <f ca="1">IF(ISBLANK(OFFSET(B297,0,'Field labels'!$Q$1)),C297,OFFSET(B297,0,'Field labels'!$Q$1))</f>
        <v>GEOS Mexico</v>
      </c>
      <c r="C297" t="s">
        <v>7583</v>
      </c>
    </row>
    <row r="298" spans="1:3">
      <c r="A298" s="66" t="s">
        <v>733</v>
      </c>
      <c r="B298" t="str">
        <f ca="1">IF(ISBLANK(OFFSET(B298,0,'Field labels'!$Q$1)),C298,OFFSET(B298,0,'Field labels'!$Q$1))</f>
        <v>GEOS North America</v>
      </c>
      <c r="C298" t="s">
        <v>2709</v>
      </c>
    </row>
    <row r="299" spans="1:3">
      <c r="A299" s="66" t="s">
        <v>733</v>
      </c>
      <c r="B299" t="str">
        <f ca="1">IF(ISBLANK(OFFSET(B299,0,'Field labels'!$Q$1)),C299,OFFSET(B299,0,'Field labels'!$Q$1))</f>
        <v>GEOS Shared Resources</v>
      </c>
      <c r="C299" t="s">
        <v>2710</v>
      </c>
    </row>
    <row r="300" spans="1:3">
      <c r="A300" s="66" t="s">
        <v>733</v>
      </c>
      <c r="B300" t="str">
        <f ca="1">IF(ISBLANK(OFFSET(B300,0,'Field labels'!$Q$1)),C300,OFFSET(B300,0,'Field labels'!$Q$1))</f>
        <v>GEOS South America</v>
      </c>
      <c r="C300" t="s">
        <v>7584</v>
      </c>
    </row>
    <row r="301" spans="1:3">
      <c r="A301" s="66" t="s">
        <v>733</v>
      </c>
      <c r="B301" t="str">
        <f ca="1">IF(ISBLANK(OFFSET(B301,0,'Field labels'!$Q$1)),C301,OFFSET(B301,0,'Field labels'!$Q$1))</f>
        <v>GEOS Specialties</v>
      </c>
      <c r="C301" t="s">
        <v>2711</v>
      </c>
    </row>
    <row r="302" spans="1:3">
      <c r="A302" s="66" t="s">
        <v>733</v>
      </c>
      <c r="B302" t="str">
        <f ca="1">IF(ISBLANK(OFFSET(B302,0,'Field labels'!$Q$1)),C302,OFFSET(B302,0,'Field labels'!$Q$1))</f>
        <v>GEOS Venezuela</v>
      </c>
      <c r="C302" t="s">
        <v>2712</v>
      </c>
    </row>
    <row r="303" spans="1:3">
      <c r="A303" s="66" t="s">
        <v>733</v>
      </c>
      <c r="B303" t="str">
        <f ca="1">IF(ISBLANK(OFFSET(B303,0,'Field labels'!$Q$1)),C303,OFFSET(B303,0,'Field labels'!$Q$1))</f>
        <v>Global Information Technology</v>
      </c>
      <c r="C303" t="s">
        <v>742</v>
      </c>
    </row>
    <row r="304" spans="1:3">
      <c r="A304" s="66" t="s">
        <v>733</v>
      </c>
      <c r="B304" t="str">
        <f ca="1">IF(ISBLANK(OFFSET(B304,0,'Field labels'!$Q$1)),C304,OFFSET(B304,0,'Field labels'!$Q$1))</f>
        <v>Human Resources</v>
      </c>
      <c r="C304" t="s">
        <v>743</v>
      </c>
    </row>
    <row r="305" spans="1:3">
      <c r="A305" s="66" t="s">
        <v>733</v>
      </c>
      <c r="B305" t="str">
        <f ca="1">IF(ISBLANK(OFFSET(B305,0,'Field labels'!$Q$1)),C305,OFFSET(B305,0,'Field labels'!$Q$1))</f>
        <v>Industrial Specialties</v>
      </c>
      <c r="C305" t="s">
        <v>2713</v>
      </c>
    </row>
    <row r="306" spans="1:3">
      <c r="A306" s="66" t="s">
        <v>733</v>
      </c>
      <c r="B306" t="str">
        <f ca="1">IF(ISBLANK(OFFSET(B306,0,'Field labels'!$Q$1)),C306,OFFSET(B306,0,'Field labels'!$Q$1))</f>
        <v>Juice North America</v>
      </c>
      <c r="C306" t="s">
        <v>2714</v>
      </c>
    </row>
    <row r="307" spans="1:3">
      <c r="A307" s="66" t="s">
        <v>733</v>
      </c>
      <c r="B307" t="str">
        <f ca="1">IF(ISBLANK(OFFSET(B307,0,'Field labels'!$Q$1)),C307,OFFSET(B307,0,'Field labels'!$Q$1))</f>
        <v>Kitchen Solutions</v>
      </c>
      <c r="C307" t="s">
        <v>2715</v>
      </c>
    </row>
    <row r="308" spans="1:3">
      <c r="A308" s="66" t="s">
        <v>733</v>
      </c>
      <c r="B308" t="str">
        <f ca="1">IF(ISBLANK(OFFSET(B308,0,'Field labels'!$Q$1)),C308,OFFSET(B308,0,'Field labels'!$Q$1))</f>
        <v>Land Management</v>
      </c>
      <c r="C308" t="s">
        <v>2716</v>
      </c>
    </row>
    <row r="309" spans="1:3">
      <c r="A309" s="66" t="s">
        <v>733</v>
      </c>
      <c r="B309" t="str">
        <f ca="1">IF(ISBLANK(OFFSET(B309,0,'Field labels'!$Q$1)),C309,OFFSET(B309,0,'Field labels'!$Q$1))</f>
        <v>Law</v>
      </c>
      <c r="C309" t="s">
        <v>744</v>
      </c>
    </row>
    <row r="310" spans="1:3">
      <c r="A310" s="66" t="s">
        <v>733</v>
      </c>
      <c r="B310" t="str">
        <f ca="1">IF(ISBLANK(OFFSET(B310,0,'Field labels'!$Q$1)),C310,OFFSET(B310,0,'Field labels'!$Q$1))</f>
        <v>Malt</v>
      </c>
      <c r="C310" t="s">
        <v>811</v>
      </c>
    </row>
    <row r="311" spans="1:3">
      <c r="A311" s="66" t="s">
        <v>733</v>
      </c>
      <c r="B311" t="str">
        <f ca="1">IF(ISBLANK(OFFSET(B311,0,'Field labels'!$Q$1)),C311,OFFSET(B311,0,'Field labels'!$Q$1))</f>
        <v>Meats Europe</v>
      </c>
      <c r="C311" t="s">
        <v>2717</v>
      </c>
    </row>
    <row r="312" spans="1:3">
      <c r="A312" s="66" t="s">
        <v>733</v>
      </c>
      <c r="B312" t="str">
        <f ca="1">IF(ISBLANK(OFFSET(B312,0,'Field labels'!$Q$1)),C312,OFFSET(B312,0,'Field labels'!$Q$1))</f>
        <v>Metals</v>
      </c>
      <c r="C312" t="s">
        <v>745</v>
      </c>
    </row>
    <row r="313" spans="1:3">
      <c r="A313" s="66" t="s">
        <v>733</v>
      </c>
      <c r="B313" t="str">
        <f ca="1">IF(ISBLANK(OFFSET(B313,0,'Field labels'!$Q$1)),C313,OFFSET(B313,0,'Field labels'!$Q$1))</f>
        <v>North America Power &amp; Gas</v>
      </c>
      <c r="C313" t="s">
        <v>2718</v>
      </c>
    </row>
    <row r="314" spans="1:3">
      <c r="A314" s="66" t="s">
        <v>733</v>
      </c>
      <c r="B314" t="str">
        <f ca="1">IF(ISBLANK(OFFSET(B314,0,'Field labels'!$Q$1)),C314,OFFSET(B314,0,'Field labels'!$Q$1))</f>
        <v>Ocean Transportation</v>
      </c>
      <c r="C314" t="s">
        <v>746</v>
      </c>
    </row>
    <row r="315" spans="1:3">
      <c r="A315" s="66" t="s">
        <v>733</v>
      </c>
      <c r="B315" t="str">
        <f ca="1">IF(ISBLANK(OFFSET(B315,0,'Field labels'!$Q$1)),C315,OFFSET(B315,0,'Field labels'!$Q$1))</f>
        <v>Petroleum &amp; Chemicals</v>
      </c>
      <c r="C315" t="s">
        <v>2719</v>
      </c>
    </row>
    <row r="316" spans="1:3">
      <c r="A316" s="66" t="s">
        <v>733</v>
      </c>
      <c r="B316" t="str">
        <f ca="1">IF(ISBLANK(OFFSET(B316,0,'Field labels'!$Q$1)),C316,OFFSET(B316,0,'Field labels'!$Q$1))</f>
        <v>Premix &amp; Nutrition</v>
      </c>
      <c r="C316" t="s">
        <v>747</v>
      </c>
    </row>
    <row r="317" spans="1:3">
      <c r="A317" s="66" t="s">
        <v>733</v>
      </c>
      <c r="B317" t="str">
        <f ca="1">IF(ISBLANK(OFFSET(B317,0,'Field labels'!$Q$1)),C317,OFFSET(B317,0,'Field labels'!$Q$1))</f>
        <v>Protein &amp; Salt Shared Resources</v>
      </c>
      <c r="C317" t="s">
        <v>2720</v>
      </c>
    </row>
    <row r="318" spans="1:3">
      <c r="A318" s="66" t="s">
        <v>733</v>
      </c>
      <c r="B318" t="str">
        <f ca="1">IF(ISBLANK(OFFSET(B318,0,'Field labels'!$Q$1)),C318,OFFSET(B318,0,'Field labels'!$Q$1))</f>
        <v>Protein Southeast Asia</v>
      </c>
      <c r="C318" t="s">
        <v>7585</v>
      </c>
    </row>
    <row r="319" spans="1:3">
      <c r="A319" s="66" t="s">
        <v>733</v>
      </c>
      <c r="B319" t="str">
        <f ca="1">IF(ISBLANK(OFFSET(B319,0,'Field labels'!$Q$1)),C319,OFFSET(B319,0,'Field labels'!$Q$1))</f>
        <v>Risk Management</v>
      </c>
      <c r="C319" t="s">
        <v>748</v>
      </c>
    </row>
    <row r="320" spans="1:3">
      <c r="A320" s="66" t="s">
        <v>733</v>
      </c>
      <c r="B320" t="str">
        <f ca="1">IF(ISBLANK(OFFSET(B320,0,'Field labels'!$Q$1)),C320,OFFSET(B320,0,'Field labels'!$Q$1))</f>
        <v>Risk Management Group</v>
      </c>
      <c r="C320" t="s">
        <v>7586</v>
      </c>
    </row>
    <row r="321" spans="1:3">
      <c r="A321" s="66" t="s">
        <v>733</v>
      </c>
      <c r="B321" t="str">
        <f ca="1">IF(ISBLANK(OFFSET(B321,0,'Field labels'!$Q$1)),C321,OFFSET(B321,0,'Field labels'!$Q$1))</f>
        <v>Salt</v>
      </c>
      <c r="C321" t="s">
        <v>2721</v>
      </c>
    </row>
    <row r="322" spans="1:3">
      <c r="A322" s="66" t="s">
        <v>733</v>
      </c>
      <c r="B322" t="str">
        <f ca="1">IF(ISBLANK(OFFSET(B322,0,'Field labels'!$Q$1)),C322,OFFSET(B322,0,'Field labels'!$Q$1))</f>
        <v>Starches &amp; Sweeteners China</v>
      </c>
      <c r="C322" t="s">
        <v>2722</v>
      </c>
    </row>
    <row r="323" spans="1:3">
      <c r="A323" s="66" t="s">
        <v>733</v>
      </c>
      <c r="B323" t="str">
        <f ca="1">IF(ISBLANK(OFFSET(B323,0,'Field labels'!$Q$1)),C323,OFFSET(B323,0,'Field labels'!$Q$1))</f>
        <v>Starches &amp; Sweeteners Europe</v>
      </c>
      <c r="C323" t="s">
        <v>749</v>
      </c>
    </row>
    <row r="324" spans="1:3">
      <c r="A324" s="66" t="s">
        <v>733</v>
      </c>
      <c r="B324" t="str">
        <f ca="1">IF(ISBLANK(OFFSET(B324,0,'Field labels'!$Q$1)),C324,OFFSET(B324,0,'Field labels'!$Q$1))</f>
        <v>Starches &amp; Sweeteners IDN</v>
      </c>
      <c r="C324" t="s">
        <v>7587</v>
      </c>
    </row>
    <row r="325" spans="1:3">
      <c r="A325" s="66" t="s">
        <v>733</v>
      </c>
      <c r="B325" t="str">
        <f ca="1">IF(ISBLANK(OFFSET(B325,0,'Field labels'!$Q$1)),C325,OFFSET(B325,0,'Field labels'!$Q$1))</f>
        <v>Starches &amp; Sweeteners India</v>
      </c>
      <c r="C325" t="s">
        <v>7588</v>
      </c>
    </row>
    <row r="326" spans="1:3">
      <c r="A326" s="66" t="s">
        <v>733</v>
      </c>
      <c r="B326" t="str">
        <f ca="1">IF(ISBLANK(OFFSET(B326,0,'Field labels'!$Q$1)),C326,OFFSET(B326,0,'Field labels'!$Q$1))</f>
        <v>Starches &amp; Sweeteners LA</v>
      </c>
      <c r="C326" t="s">
        <v>7589</v>
      </c>
    </row>
    <row r="327" spans="1:3">
      <c r="A327" s="66" t="s">
        <v>733</v>
      </c>
      <c r="B327" t="str">
        <f ca="1">IF(ISBLANK(OFFSET(B327,0,'Field labels'!$Q$1)),C327,OFFSET(B327,0,'Field labels'!$Q$1))</f>
        <v>Starches &amp; Sweeteners NA</v>
      </c>
      <c r="C327" t="s">
        <v>814</v>
      </c>
    </row>
    <row r="328" spans="1:3">
      <c r="A328" s="66" t="s">
        <v>733</v>
      </c>
      <c r="B328" t="str">
        <f ca="1">IF(ISBLANK(OFFSET(B328,0,'Field labels'!$Q$1)),C328,OFFSET(B328,0,'Field labels'!$Q$1))</f>
        <v>Sugar &amp; Ethanol</v>
      </c>
      <c r="C328" t="s">
        <v>7590</v>
      </c>
    </row>
    <row r="329" spans="1:3">
      <c r="A329" s="66" t="s">
        <v>733</v>
      </c>
      <c r="B329" t="str">
        <f ca="1">IF(ISBLANK(OFFSET(B329,0,'Field labels'!$Q$1)),C329,OFFSET(B329,0,'Field labels'!$Q$1))</f>
        <v>Temco</v>
      </c>
      <c r="C329" t="s">
        <v>2723</v>
      </c>
    </row>
    <row r="330" spans="1:3">
      <c r="A330" s="66" t="s">
        <v>733</v>
      </c>
      <c r="B330" t="str">
        <f ca="1">IF(ISBLANK(OFFSET(B330,0,'Field labels'!$Q$1)),C330,OFFSET(B330,0,'Field labels'!$Q$1))</f>
        <v>Texturizing Solutions</v>
      </c>
      <c r="C330" t="s">
        <v>750</v>
      </c>
    </row>
    <row r="331" spans="1:3">
      <c r="A331" s="66" t="s">
        <v>733</v>
      </c>
      <c r="B331" t="str">
        <f ca="1">IF(ISBLANK(OFFSET(B331,0,'Field labels'!$Q$1)),C331,OFFSET(B331,0,'Field labels'!$Q$1))</f>
        <v>Texturizing Solutions APAC</v>
      </c>
      <c r="C331" t="s">
        <v>7591</v>
      </c>
    </row>
    <row r="332" spans="1:3">
      <c r="A332" s="66" t="s">
        <v>733</v>
      </c>
      <c r="B332" t="str">
        <f ca="1">IF(ISBLANK(OFFSET(B332,0,'Field labels'!$Q$1)),C332,OFFSET(B332,0,'Field labels'!$Q$1))</f>
        <v>THA_Bus/Fn</v>
      </c>
      <c r="C332" t="s">
        <v>7592</v>
      </c>
    </row>
    <row r="333" spans="1:3">
      <c r="A333" s="66" t="s">
        <v>733</v>
      </c>
      <c r="B333" t="str">
        <f ca="1">IF(ISBLANK(OFFSET(B333,0,'Field labels'!$Q$1)),C333,OFFSET(B333,0,'Field labels'!$Q$1))</f>
        <v>Toshoku</v>
      </c>
      <c r="C333" t="s">
        <v>751</v>
      </c>
    </row>
    <row r="334" spans="1:3">
      <c r="A334" s="66" t="s">
        <v>733</v>
      </c>
      <c r="B334" t="str">
        <f ca="1">IF(ISBLANK(OFFSET(B334,0,'Field labels'!$Q$1)),C334,OFFSET(B334,0,'Field labels'!$Q$1))</f>
        <v>Trade &amp; Structured Finance</v>
      </c>
      <c r="C334" t="s">
        <v>752</v>
      </c>
    </row>
    <row r="335" spans="1:3">
      <c r="A335" s="66" t="s">
        <v>733</v>
      </c>
      <c r="B335" t="str">
        <f ca="1">IF(ISBLANK(OFFSET(B335,0,'Field labels'!$Q$1)),C335,OFFSET(B335,0,'Field labels'!$Q$1))</f>
        <v>Trade &amp; Structured Finance</v>
      </c>
      <c r="C335" t="s">
        <v>752</v>
      </c>
    </row>
    <row r="336" spans="1:3">
      <c r="A336" s="66" t="s">
        <v>733</v>
      </c>
      <c r="B336" t="str">
        <f ca="1">IF(ISBLANK(OFFSET(B336,0,'Field labels'!$Q$1)),C336,OFFSET(B336,0,'Field labels'!$Q$1))</f>
        <v>Tropical Oils</v>
      </c>
      <c r="C336" t="s">
        <v>7593</v>
      </c>
    </row>
    <row r="337" spans="1:3">
      <c r="A337" s="66" t="s">
        <v>733</v>
      </c>
      <c r="B337" t="str">
        <f ca="1">IF(ISBLANK(OFFSET(B337,0,'Field labels'!$Q$1)),C337,OFFSET(B337,0,'Field labels'!$Q$1))</f>
        <v>Turkey &amp; Cooked Meats</v>
      </c>
      <c r="C337" t="s">
        <v>2724</v>
      </c>
    </row>
    <row r="338" spans="1:3">
      <c r="A338" s="66" t="s">
        <v>733</v>
      </c>
      <c r="B338" t="str">
        <f ca="1">IF(ISBLANK(OFFSET(B338,0,'Field labels'!$Q$1)),C338,OFFSET(B338,0,'Field labels'!$Q$1))</f>
        <v>Value Added Meats-Foodservice</v>
      </c>
      <c r="C338" t="s">
        <v>2725</v>
      </c>
    </row>
    <row r="339" spans="1:3">
      <c r="A339" s="66" t="s">
        <v>733</v>
      </c>
      <c r="B339" t="str">
        <f ca="1">IF(ISBLANK(OFFSET(B339,0,'Field labels'!$Q$1)),C339,OFFSET(B339,0,'Field labels'!$Q$1))</f>
        <v>World Trading</v>
      </c>
      <c r="C339" t="s">
        <v>753</v>
      </c>
    </row>
    <row r="340" spans="1:3">
      <c r="A340" s="66" t="s">
        <v>754</v>
      </c>
      <c r="B340" t="str">
        <f ca="1">IF(ISBLANK(OFFSET(B340,0,'Field labels'!$Q$1)),C340,OFFSET(B340,0,'Field labels'!$Q$1))</f>
        <v>Administradora de Servicios Cargill, S. de R.L. de C.V.</v>
      </c>
      <c r="C340" t="s">
        <v>4695</v>
      </c>
    </row>
    <row r="341" spans="1:3">
      <c r="A341" s="66" t="s">
        <v>754</v>
      </c>
      <c r="B341" t="str">
        <f ca="1">IF(ISBLANK(OFFSET(B341,0,'Field labels'!$Q$1)),C341,OFFSET(B341,0,'Field labels'!$Q$1))</f>
        <v>Agribrands Purina (Langfang) Feed Co., Ltd.</v>
      </c>
      <c r="C341" t="s">
        <v>4696</v>
      </c>
    </row>
    <row r="342" spans="1:3">
      <c r="A342" s="66" t="s">
        <v>754</v>
      </c>
      <c r="B342" t="str">
        <f ca="1">IF(ISBLANK(OFFSET(B342,0,'Field labels'!$Q$1)),C342,OFFSET(B342,0,'Field labels'!$Q$1))</f>
        <v>Agribrands Purina (Yantai) Feedmill Co., Ltd.</v>
      </c>
      <c r="C342" t="s">
        <v>4697</v>
      </c>
    </row>
    <row r="343" spans="1:3">
      <c r="A343" s="66" t="s">
        <v>754</v>
      </c>
      <c r="B343" t="str">
        <f ca="1">IF(ISBLANK(OFFSET(B343,0,'Field labels'!$Q$1)),C343,OFFSET(B343,0,'Field labels'!$Q$1))</f>
        <v>Agribrands Purina de Guatemala, S.A.</v>
      </c>
      <c r="C343" t="s">
        <v>4698</v>
      </c>
    </row>
    <row r="344" spans="1:3">
      <c r="A344" s="66" t="s">
        <v>754</v>
      </c>
      <c r="B344" t="str">
        <f ca="1">IF(ISBLANK(OFFSET(B344,0,'Field labels'!$Q$1)),C344,OFFSET(B344,0,'Field labels'!$Q$1))</f>
        <v>Agribrands Purina Peru S.A.</v>
      </c>
      <c r="C344" t="s">
        <v>4699</v>
      </c>
    </row>
    <row r="345" spans="1:3">
      <c r="A345" s="66" t="s">
        <v>754</v>
      </c>
      <c r="B345" t="str">
        <f ca="1">IF(ISBLANK(OFFSET(B345,0,'Field labels'!$Q$1)),C345,OFFSET(B345,0,'Field labels'!$Q$1))</f>
        <v>Agribrands Purina Venezuela S.R.L.</v>
      </c>
      <c r="C345" t="s">
        <v>4700</v>
      </c>
    </row>
    <row r="346" spans="1:3">
      <c r="A346" s="66" t="s">
        <v>754</v>
      </c>
      <c r="B346" t="str">
        <f ca="1">IF(ISBLANK(OFFSET(B346,0,'Field labels'!$Q$1)),C346,OFFSET(B346,0,'Field labels'!$Q$1))</f>
        <v>Agribrands Servicios S. de R.L. de C.V.</v>
      </c>
      <c r="C346" t="s">
        <v>4701</v>
      </c>
    </row>
    <row r="347" spans="1:3">
      <c r="A347" s="66" t="s">
        <v>754</v>
      </c>
      <c r="B347" t="str">
        <f ca="1">IF(ISBLANK(OFFSET(B347,0,'Field labels'!$Q$1)),C347,OFFSET(B347,0,'Field labels'!$Q$1))</f>
        <v>Alimentos Concentrados Nacionales Exportaciones, S. de R.L. de C.V.</v>
      </c>
      <c r="C347" t="s">
        <v>4702</v>
      </c>
    </row>
    <row r="348" spans="1:3">
      <c r="A348" s="66" t="s">
        <v>754</v>
      </c>
      <c r="B348" t="str">
        <f ca="1">IF(ISBLANK(OFFSET(B348,0,'Field labels'!$Q$1)),C348,OFFSET(B348,0,'Field labels'!$Q$1))</f>
        <v>AquaCargill Del Ecuador Cia. Ltda</v>
      </c>
      <c r="C348" t="s">
        <v>4703</v>
      </c>
    </row>
    <row r="349" spans="1:3">
      <c r="A349" s="66" t="s">
        <v>754</v>
      </c>
      <c r="B349" t="str">
        <f ca="1">IF(ISBLANK(OFFSET(B349,0,'Field labels'!$Q$1)),C349,OFFSET(B349,0,'Field labels'!$Q$1))</f>
        <v>AWB India Private Limited</v>
      </c>
      <c r="C349" t="s">
        <v>4704</v>
      </c>
    </row>
    <row r="350" spans="1:3">
      <c r="A350" s="66" t="s">
        <v>754</v>
      </c>
      <c r="B350" t="str">
        <f ca="1">IF(ISBLANK(OFFSET(B350,0,'Field labels'!$Q$1)),C350,OFFSET(B350,0,'Field labels'!$Q$1))</f>
        <v>Banco Cargill S.A.</v>
      </c>
      <c r="C350" t="s">
        <v>4705</v>
      </c>
    </row>
    <row r="351" spans="1:3">
      <c r="A351" s="66" t="s">
        <v>754</v>
      </c>
      <c r="B351" t="str">
        <f ca="1">IF(ISBLANK(OFFSET(B351,0,'Field labels'!$Q$1)),C351,OFFSET(B351,0,'Field labels'!$Q$1))</f>
        <v>Brazil_Test_Legal_Entity</v>
      </c>
      <c r="C351" t="s">
        <v>4706</v>
      </c>
    </row>
    <row r="352" spans="1:3">
      <c r="A352" s="66" t="s">
        <v>754</v>
      </c>
      <c r="B352" t="str">
        <f ca="1">IF(ISBLANK(OFFSET(B352,0,'Field labels'!$Q$1)),C352,OFFSET(B352,0,'Field labels'!$Q$1))</f>
        <v>Carda Port (Nantong) Ltd.</v>
      </c>
      <c r="C352" t="s">
        <v>4707</v>
      </c>
    </row>
    <row r="353" spans="1:3">
      <c r="A353" s="66" t="s">
        <v>754</v>
      </c>
      <c r="B353" t="str">
        <f ca="1">IF(ISBLANK(OFFSET(B353,0,'Field labels'!$Q$1)),C353,OFFSET(B353,0,'Field labels'!$Q$1))</f>
        <v>Cargill ( Dongguan) Feed Protein Technology Co., Ltd.</v>
      </c>
      <c r="C353" t="s">
        <v>4708</v>
      </c>
    </row>
    <row r="354" spans="1:3">
      <c r="A354" s="66" t="s">
        <v>754</v>
      </c>
      <c r="B354" t="str">
        <f ca="1">IF(ISBLANK(OFFSET(B354,0,'Field labels'!$Q$1)),C354,OFFSET(B354,0,'Field labels'!$Q$1))</f>
        <v>Cargill (Malaysia) Sdn. Bhd.</v>
      </c>
      <c r="C354" t="s">
        <v>4709</v>
      </c>
    </row>
    <row r="355" spans="1:3">
      <c r="A355" s="66" t="s">
        <v>754</v>
      </c>
      <c r="B355" t="str">
        <f ca="1">IF(ISBLANK(OFFSET(B355,0,'Field labels'!$Q$1)),C355,OFFSET(B355,0,'Field labels'!$Q$1))</f>
        <v>Cargill Agri Purina, Inc.</v>
      </c>
      <c r="C355" t="s">
        <v>4710</v>
      </c>
    </row>
    <row r="356" spans="1:3">
      <c r="A356" s="66" t="s">
        <v>754</v>
      </c>
      <c r="B356" t="str">
        <f ca="1">IF(ISBLANK(OFFSET(B356,0,'Field labels'!$Q$1)),C356,OFFSET(B356,0,'Field labels'!$Q$1))</f>
        <v>Cargill Agricola S.A.</v>
      </c>
      <c r="C356" t="s">
        <v>4711</v>
      </c>
    </row>
    <row r="357" spans="1:3">
      <c r="A357" s="66" t="s">
        <v>754</v>
      </c>
      <c r="B357" t="str">
        <f ca="1">IF(ISBLANK(OFFSET(B357,0,'Field labels'!$Q$1)),C357,OFFSET(B357,0,'Field labels'!$Q$1))</f>
        <v>Cargill Alimentos Ltda.</v>
      </c>
      <c r="C357" t="s">
        <v>4712</v>
      </c>
    </row>
    <row r="358" spans="1:3">
      <c r="A358" s="66" t="s">
        <v>754</v>
      </c>
      <c r="B358" t="str">
        <f ca="1">IF(ISBLANK(OFFSET(B358,0,'Field labels'!$Q$1)),C358,OFFSET(B358,0,'Field labels'!$Q$1))</f>
        <v>Cargill Americas Peru, S.R.L.</v>
      </c>
      <c r="C358" t="s">
        <v>4713</v>
      </c>
    </row>
    <row r="359" spans="1:3">
      <c r="A359" s="66" t="s">
        <v>754</v>
      </c>
      <c r="B359" t="str">
        <f ca="1">IF(ISBLANK(OFFSET(B359,0,'Field labels'!$Q$1)),C359,OFFSET(B359,0,'Field labels'!$Q$1))</f>
        <v>Cargill Animal Nutrition (Changsha) Co., Ltd.</v>
      </c>
      <c r="C359" t="s">
        <v>4714</v>
      </c>
    </row>
    <row r="360" spans="1:3">
      <c r="A360" s="66" t="s">
        <v>754</v>
      </c>
      <c r="B360" t="str">
        <f ca="1">IF(ISBLANK(OFFSET(B360,0,'Field labels'!$Q$1)),C360,OFFSET(B360,0,'Field labels'!$Q$1))</f>
        <v>Cargill Animal Nutrition (Chengdu) Co., Ltd.</v>
      </c>
      <c r="C360" t="s">
        <v>4715</v>
      </c>
    </row>
    <row r="361" spans="1:3">
      <c r="A361" s="66" t="s">
        <v>754</v>
      </c>
      <c r="B361" t="str">
        <f ca="1">IF(ISBLANK(OFFSET(B361,0,'Field labels'!$Q$1)),C361,OFFSET(B361,0,'Field labels'!$Q$1))</f>
        <v>Cargill Animal Nutrition (Chongqing) Co., Ltd.</v>
      </c>
      <c r="C361" t="s">
        <v>4716</v>
      </c>
    </row>
    <row r="362" spans="1:3">
      <c r="A362" s="66" t="s">
        <v>754</v>
      </c>
      <c r="B362" t="str">
        <f ca="1">IF(ISBLANK(OFFSET(B362,0,'Field labels'!$Q$1)),C362,OFFSET(B362,0,'Field labels'!$Q$1))</f>
        <v>Cargill Animal Nutrition (Foshan) Co., Ltd.</v>
      </c>
      <c r="C362" t="s">
        <v>4717</v>
      </c>
    </row>
    <row r="363" spans="1:3">
      <c r="A363" s="66" t="s">
        <v>754</v>
      </c>
      <c r="B363" t="str">
        <f ca="1">IF(ISBLANK(OFFSET(B363,0,'Field labels'!$Q$1)),C363,OFFSET(B363,0,'Field labels'!$Q$1))</f>
        <v>Cargill Animal Nutrition (Fushun) Co., Ltd.</v>
      </c>
      <c r="C363" t="s">
        <v>4718</v>
      </c>
    </row>
    <row r="364" spans="1:3">
      <c r="A364" s="66" t="s">
        <v>754</v>
      </c>
      <c r="B364" t="str">
        <f ca="1">IF(ISBLANK(OFFSET(B364,0,'Field labels'!$Q$1)),C364,OFFSET(B364,0,'Field labels'!$Q$1))</f>
        <v>Cargill Animal Nutrition (Harbin) Co., Ltd.</v>
      </c>
      <c r="C364" t="s">
        <v>4719</v>
      </c>
    </row>
    <row r="365" spans="1:3">
      <c r="A365" s="66" t="s">
        <v>754</v>
      </c>
      <c r="B365" t="str">
        <f ca="1">IF(ISBLANK(OFFSET(B365,0,'Field labels'!$Q$1)),C365,OFFSET(B365,0,'Field labels'!$Q$1))</f>
        <v>Cargill Animal Nutrition (Hefei) Co., Ltd.</v>
      </c>
      <c r="C365" t="s">
        <v>4720</v>
      </c>
    </row>
    <row r="366" spans="1:3">
      <c r="A366" s="66" t="s">
        <v>754</v>
      </c>
      <c r="B366" t="str">
        <f ca="1">IF(ISBLANK(OFFSET(B366,0,'Field labels'!$Q$1)),C366,OFFSET(B366,0,'Field labels'!$Q$1))</f>
        <v>Cargill Animal Nutrition (Inner Mongolia) Co., Ltd.</v>
      </c>
      <c r="C366" t="s">
        <v>4721</v>
      </c>
    </row>
    <row r="367" spans="1:3">
      <c r="A367" s="66" t="s">
        <v>754</v>
      </c>
      <c r="B367" t="str">
        <f ca="1">IF(ISBLANK(OFFSET(B367,0,'Field labels'!$Q$1)),C367,OFFSET(B367,0,'Field labels'!$Q$1))</f>
        <v>Cargill Animal Nutrition (Jiaxing) Co., Ltd.</v>
      </c>
      <c r="C367" t="s">
        <v>4722</v>
      </c>
    </row>
    <row r="368" spans="1:3">
      <c r="A368" s="66" t="s">
        <v>754</v>
      </c>
      <c r="B368" t="str">
        <f ca="1">IF(ISBLANK(OFFSET(B368,0,'Field labels'!$Q$1)),C368,OFFSET(B368,0,'Field labels'!$Q$1))</f>
        <v>Cargill Animal Nutrition (Jilin) Co., Ltd.</v>
      </c>
      <c r="C368" t="s">
        <v>4723</v>
      </c>
    </row>
    <row r="369" spans="1:3">
      <c r="A369" s="66" t="s">
        <v>754</v>
      </c>
      <c r="B369" t="str">
        <f ca="1">IF(ISBLANK(OFFSET(B369,0,'Field labels'!$Q$1)),C369,OFFSET(B369,0,'Field labels'!$Q$1))</f>
        <v>Cargill Animal Nutrition (Jining) Co., Ltd.</v>
      </c>
      <c r="C369" t="s">
        <v>4724</v>
      </c>
    </row>
    <row r="370" spans="1:3">
      <c r="A370" s="66" t="s">
        <v>754</v>
      </c>
      <c r="B370" t="str">
        <f ca="1">IF(ISBLANK(OFFSET(B370,0,'Field labels'!$Q$1)),C370,OFFSET(B370,0,'Field labels'!$Q$1))</f>
        <v>Cargill Animal Nutrition (Kaifeng) Co., Ltd.</v>
      </c>
      <c r="C370" t="s">
        <v>4725</v>
      </c>
    </row>
    <row r="371" spans="1:3">
      <c r="A371" s="66" t="s">
        <v>754</v>
      </c>
      <c r="B371" t="str">
        <f ca="1">IF(ISBLANK(OFFSET(B371,0,'Field labels'!$Q$1)),C371,OFFSET(B371,0,'Field labels'!$Q$1))</f>
        <v>Cargill Animal Nutrition (Kunming) Co. Ltd.</v>
      </c>
      <c r="C371" t="s">
        <v>4726</v>
      </c>
    </row>
    <row r="372" spans="1:3">
      <c r="A372" s="66" t="s">
        <v>754</v>
      </c>
      <c r="B372" t="str">
        <f ca="1">IF(ISBLANK(OFFSET(B372,0,'Field labels'!$Q$1)),C372,OFFSET(B372,0,'Field labels'!$Q$1))</f>
        <v>Cargill Animal Nutrition (Lianyungang) Co., Ltd.</v>
      </c>
      <c r="C372" t="s">
        <v>4727</v>
      </c>
    </row>
    <row r="373" spans="1:3">
      <c r="A373" s="66" t="s">
        <v>754</v>
      </c>
      <c r="B373" t="str">
        <f ca="1">IF(ISBLANK(OFFSET(B373,0,'Field labels'!$Q$1)),C373,OFFSET(B373,0,'Field labels'!$Q$1))</f>
        <v>Cargill Animal Nutrition (Nanjing) Co., Ltd.</v>
      </c>
      <c r="C373" t="s">
        <v>4728</v>
      </c>
    </row>
    <row r="374" spans="1:3">
      <c r="A374" s="66" t="s">
        <v>754</v>
      </c>
      <c r="B374" t="str">
        <f ca="1">IF(ISBLANK(OFFSET(B374,0,'Field labels'!$Q$1)),C374,OFFSET(B374,0,'Field labels'!$Q$1))</f>
        <v>Cargill Animal Nutrition (Shaanxi) Co., Ltd.</v>
      </c>
      <c r="C374" t="s">
        <v>4729</v>
      </c>
    </row>
    <row r="375" spans="1:3">
      <c r="A375" s="66" t="s">
        <v>754</v>
      </c>
      <c r="B375" t="str">
        <f ca="1">IF(ISBLANK(OFFSET(B375,0,'Field labels'!$Q$1)),C375,OFFSET(B375,0,'Field labels'!$Q$1))</f>
        <v>Cargill Animal Nutrition (Taian) Co., Ltd.</v>
      </c>
      <c r="C375" t="s">
        <v>4730</v>
      </c>
    </row>
    <row r="376" spans="1:3">
      <c r="A376" s="66" t="s">
        <v>754</v>
      </c>
      <c r="B376" t="str">
        <f ca="1">IF(ISBLANK(OFFSET(B376,0,'Field labels'!$Q$1)),C376,OFFSET(B376,0,'Field labels'!$Q$1))</f>
        <v>Cargill Animal Nutrition (Xinjiang) Co., Ltd.</v>
      </c>
      <c r="C376" t="s">
        <v>4731</v>
      </c>
    </row>
    <row r="377" spans="1:3">
      <c r="A377" s="66" t="s">
        <v>754</v>
      </c>
      <c r="B377" t="str">
        <f ca="1">IF(ISBLANK(OFFSET(B377,0,'Field labels'!$Q$1)),C377,OFFSET(B377,0,'Field labels'!$Q$1))</f>
        <v>Cargill Animal Nutrition (Zhangzhou) Co., Ltd.</v>
      </c>
      <c r="C377" t="s">
        <v>4732</v>
      </c>
    </row>
    <row r="378" spans="1:3">
      <c r="A378" s="66" t="s">
        <v>754</v>
      </c>
      <c r="B378" t="str">
        <f ca="1">IF(ISBLANK(OFFSET(B378,0,'Field labels'!$Q$1)),C378,OFFSET(B378,0,'Field labels'!$Q$1))</f>
        <v>Cargill Animal Nutrition (Zhengzhou) Co., Ltd.</v>
      </c>
      <c r="C378" t="s">
        <v>4733</v>
      </c>
    </row>
    <row r="379" spans="1:3">
      <c r="A379" s="66" t="s">
        <v>754</v>
      </c>
      <c r="B379" t="str">
        <f ca="1">IF(ISBLANK(OFFSET(B379,0,'Field labels'!$Q$1)),C379,OFFSET(B379,0,'Field labels'!$Q$1))</f>
        <v>Cargill Animal Protein (Anhui) Co., Ltd.</v>
      </c>
      <c r="C379" t="s">
        <v>4734</v>
      </c>
    </row>
    <row r="380" spans="1:3">
      <c r="A380" s="66" t="s">
        <v>754</v>
      </c>
      <c r="B380" t="str">
        <f ca="1">IF(ISBLANK(OFFSET(B380,0,'Field labels'!$Q$1)),C380,OFFSET(B380,0,'Field labels'!$Q$1))</f>
        <v>Cargill Animal Protein (Mingguang) Co., Ltd.</v>
      </c>
      <c r="C380" t="s">
        <v>4735</v>
      </c>
    </row>
    <row r="381" spans="1:3">
      <c r="A381" s="66" t="s">
        <v>754</v>
      </c>
      <c r="B381" t="str">
        <f ca="1">IF(ISBLANK(OFFSET(B381,0,'Field labels'!$Q$1)),C381,OFFSET(B381,0,'Field labels'!$Q$1))</f>
        <v>Cargill Animal Protein Further Processing (Chuzhou) Co.,Ltd.</v>
      </c>
      <c r="C381" t="s">
        <v>4736</v>
      </c>
    </row>
    <row r="382" spans="1:3">
      <c r="A382" s="66" t="s">
        <v>754</v>
      </c>
      <c r="B382" t="str">
        <f ca="1">IF(ISBLANK(OFFSET(B382,0,'Field labels'!$Q$1)),C382,OFFSET(B382,0,'Field labels'!$Q$1))</f>
        <v>Cargill Asia Pacific Food System (Beijing) Co., Ltd.</v>
      </c>
      <c r="C382" t="s">
        <v>4737</v>
      </c>
    </row>
    <row r="383" spans="1:3">
      <c r="A383" s="66" t="s">
        <v>754</v>
      </c>
      <c r="B383" t="str">
        <f ca="1">IF(ISBLANK(OFFSET(B383,0,'Field labels'!$Q$1)),C383,OFFSET(B383,0,'Field labels'!$Q$1))</f>
        <v>Cargill Asia Pacific Holdings Pte. Ltd.</v>
      </c>
      <c r="C383" t="s">
        <v>4738</v>
      </c>
    </row>
    <row r="384" spans="1:3">
      <c r="A384" s="66" t="s">
        <v>754</v>
      </c>
      <c r="B384" t="str">
        <f ca="1">IF(ISBLANK(OFFSET(B384,0,'Field labels'!$Q$1)),C384,OFFSET(B384,0,'Field labels'!$Q$1))</f>
        <v>Cargill Asia Pacific Treasury Ltd.</v>
      </c>
      <c r="C384" t="s">
        <v>4739</v>
      </c>
    </row>
    <row r="385" spans="1:3">
      <c r="A385" s="66" t="s">
        <v>754</v>
      </c>
      <c r="B385" t="str">
        <f ca="1">IF(ISBLANK(OFFSET(B385,0,'Field labels'!$Q$1)),C385,OFFSET(B385,0,'Field labels'!$Q$1))</f>
        <v>Cargill Australia Limited</v>
      </c>
      <c r="C385" t="s">
        <v>4740</v>
      </c>
    </row>
    <row r="386" spans="1:3">
      <c r="A386" s="66" t="s">
        <v>754</v>
      </c>
      <c r="B386" t="str">
        <f ca="1">IF(ISBLANK(OFFSET(B386,0,'Field labels'!$Q$1)),C386,OFFSET(B386,0,'Field labels'!$Q$1))</f>
        <v>Cargill Bio-Chemical Co.,Ltd</v>
      </c>
      <c r="C386" t="s">
        <v>4741</v>
      </c>
    </row>
    <row r="387" spans="1:3">
      <c r="A387" s="66" t="s">
        <v>754</v>
      </c>
      <c r="B387" t="str">
        <f ca="1">IF(ISBLANK(OFFSET(B387,0,'Field labels'!$Q$1)),C387,OFFSET(B387,0,'Field labels'!$Q$1))</f>
        <v>Cargill Business Services India Private Limited</v>
      </c>
      <c r="C387" t="s">
        <v>4742</v>
      </c>
    </row>
    <row r="388" spans="1:3">
      <c r="A388" s="66" t="s">
        <v>754</v>
      </c>
      <c r="B388" t="str">
        <f ca="1">IF(ISBLANK(OFFSET(B388,0,'Field labels'!$Q$1)),C388,OFFSET(B388,0,'Field labels'!$Q$1))</f>
        <v>Cargill Business Services SRL</v>
      </c>
      <c r="C388" t="s">
        <v>4743</v>
      </c>
    </row>
    <row r="389" spans="1:3">
      <c r="A389" s="66" t="s">
        <v>754</v>
      </c>
      <c r="B389" t="str">
        <f ca="1">IF(ISBLANK(OFFSET(B389,0,'Field labels'!$Q$1)),C389,OFFSET(B389,0,'Field labels'!$Q$1))</f>
        <v>Cargill Caribe, S.R.L</v>
      </c>
      <c r="C389" t="s">
        <v>4744</v>
      </c>
    </row>
    <row r="390" spans="1:3">
      <c r="A390" s="66" t="s">
        <v>754</v>
      </c>
      <c r="B390" t="str">
        <f ca="1">IF(ISBLANK(OFFSET(B390,0,'Field labels'!$Q$1)),C390,OFFSET(B390,0,'Field labels'!$Q$1))</f>
        <v>Cargill de Colombia LTDA</v>
      </c>
      <c r="C390" t="s">
        <v>4745</v>
      </c>
    </row>
    <row r="391" spans="1:3">
      <c r="A391" s="66" t="s">
        <v>754</v>
      </c>
      <c r="B391" t="str">
        <f ca="1">IF(ISBLANK(OFFSET(B391,0,'Field labels'!$Q$1)),C391,OFFSET(B391,0,'Field labels'!$Q$1))</f>
        <v>Cargill de Ecuador Cia. Ltda</v>
      </c>
      <c r="C391" t="s">
        <v>4746</v>
      </c>
    </row>
    <row r="392" spans="1:3">
      <c r="A392" s="66" t="s">
        <v>754</v>
      </c>
      <c r="B392" t="str">
        <f ca="1">IF(ISBLANK(OFFSET(B392,0,'Field labels'!$Q$1)),C392,OFFSET(B392,0,'Field labels'!$Q$1))</f>
        <v>Cargill de Honduras S. de R.L</v>
      </c>
      <c r="C392" t="s">
        <v>4747</v>
      </c>
    </row>
    <row r="393" spans="1:3">
      <c r="A393" s="66" t="s">
        <v>754</v>
      </c>
      <c r="B393" t="str">
        <f ca="1">IF(ISBLANK(OFFSET(B393,0,'Field labels'!$Q$1)),C393,OFFSET(B393,0,'Field labels'!$Q$1))</f>
        <v>Cargill de Nicaragua, Sociedad Anonima</v>
      </c>
      <c r="C393" t="s">
        <v>4748</v>
      </c>
    </row>
    <row r="394" spans="1:3">
      <c r="A394" s="66" t="s">
        <v>754</v>
      </c>
      <c r="B394" t="str">
        <f ca="1">IF(ISBLANK(OFFSET(B394,0,'Field labels'!$Q$1)),C394,OFFSET(B394,0,'Field labels'!$Q$1))</f>
        <v>Cargill de Venezuela, S.R.L.</v>
      </c>
      <c r="C394" t="s">
        <v>4749</v>
      </c>
    </row>
    <row r="395" spans="1:3">
      <c r="A395" s="66" t="s">
        <v>754</v>
      </c>
      <c r="B395" t="str">
        <f ca="1">IF(ISBLANK(OFFSET(B395,0,'Field labels'!$Q$1)),C395,OFFSET(B395,0,'Field labels'!$Q$1))</f>
        <v>Cargill Enterprises Pte. Ltd.</v>
      </c>
      <c r="C395" t="s">
        <v>4750</v>
      </c>
    </row>
    <row r="396" spans="1:3">
      <c r="A396" s="66" t="s">
        <v>754</v>
      </c>
      <c r="B396" t="str">
        <f ca="1">IF(ISBLANK(OFFSET(B396,0,'Field labels'!$Q$1)),C396,OFFSET(B396,0,'Field labels'!$Q$1))</f>
        <v>Cargill Factoring (Tianjin) Co., Ltd.</v>
      </c>
      <c r="C396" t="s">
        <v>4751</v>
      </c>
    </row>
    <row r="397" spans="1:3">
      <c r="A397" s="66" t="s">
        <v>754</v>
      </c>
      <c r="B397" t="str">
        <f ca="1">IF(ISBLANK(OFFSET(B397,0,'Field labels'!$Q$1)),C397,OFFSET(B397,0,'Field labels'!$Q$1))</f>
        <v>Cargill Feed (Tianjin)Co.,Ltd.</v>
      </c>
      <c r="C397" t="s">
        <v>4752</v>
      </c>
    </row>
    <row r="398" spans="1:3">
      <c r="A398" s="66" t="s">
        <v>754</v>
      </c>
      <c r="B398" t="str">
        <f ca="1">IF(ISBLANK(OFFSET(B398,0,'Field labels'!$Q$1)),C398,OFFSET(B398,0,'Field labels'!$Q$1))</f>
        <v>Cargill Feed (Yangjiang) Co. Ltd.</v>
      </c>
      <c r="C398" t="s">
        <v>4753</v>
      </c>
    </row>
    <row r="399" spans="1:3">
      <c r="A399" s="66" t="s">
        <v>754</v>
      </c>
      <c r="B399" t="str">
        <f ca="1">IF(ISBLANK(OFFSET(B399,0,'Field labels'!$Q$1)),C399,OFFSET(B399,0,'Field labels'!$Q$1))</f>
        <v>Cargill Feed (Zhenjiang) Co., Ltd.</v>
      </c>
      <c r="C399" t="s">
        <v>4754</v>
      </c>
    </row>
    <row r="400" spans="1:3">
      <c r="A400" s="66" t="s">
        <v>754</v>
      </c>
      <c r="B400" t="str">
        <f ca="1">IF(ISBLANK(OFFSET(B400,0,'Field labels'!$Q$1)),C400,OFFSET(B400,0,'Field labels'!$Q$1))</f>
        <v>Cargill Feed Nutrition (Nanning) Co., Ltd.</v>
      </c>
      <c r="C400" t="s">
        <v>4755</v>
      </c>
    </row>
    <row r="401" spans="1:3">
      <c r="A401" s="66" t="s">
        <v>754</v>
      </c>
      <c r="B401" t="str">
        <f ca="1">IF(ISBLANK(OFFSET(B401,0,'Field labels'!$Q$1)),C401,OFFSET(B401,0,'Field labels'!$Q$1))</f>
        <v>Cargill Feed Sdn. Bhd.</v>
      </c>
      <c r="C401" t="s">
        <v>4756</v>
      </c>
    </row>
    <row r="402" spans="1:3">
      <c r="A402" s="66" t="s">
        <v>754</v>
      </c>
      <c r="B402" t="str">
        <f ca="1">IF(ISBLANK(OFFSET(B402,0,'Field labels'!$Q$1)),C402,OFFSET(B402,0,'Field labels'!$Q$1))</f>
        <v>Cargill Financial Leasing (Shanghai) Co., Ltd.</v>
      </c>
      <c r="C402" t="s">
        <v>4757</v>
      </c>
    </row>
    <row r="403" spans="1:3">
      <c r="A403" s="66" t="s">
        <v>754</v>
      </c>
      <c r="B403" t="str">
        <f ca="1">IF(ISBLANK(OFFSET(B403,0,'Field labels'!$Q$1)),C403,OFFSET(B403,0,'Field labels'!$Q$1))</f>
        <v>Cargill Food (Luohe) Co., Ltd.</v>
      </c>
      <c r="C403" t="s">
        <v>4758</v>
      </c>
    </row>
    <row r="404" spans="1:3">
      <c r="A404" s="66" t="s">
        <v>754</v>
      </c>
      <c r="B404" t="str">
        <f ca="1">IF(ISBLANK(OFFSET(B404,0,'Field labels'!$Q$1)),C404,OFFSET(B404,0,'Field labels'!$Q$1))</f>
        <v>Cargill Food (Tianjin) Co., Ltd.</v>
      </c>
      <c r="C404" t="s">
        <v>4759</v>
      </c>
    </row>
    <row r="405" spans="1:3">
      <c r="A405" s="66" t="s">
        <v>754</v>
      </c>
      <c r="B405" t="str">
        <f ca="1">IF(ISBLANK(OFFSET(B405,0,'Field labels'!$Q$1)),C405,OFFSET(B405,0,'Field labels'!$Q$1))</f>
        <v>Cargill Food Ingredients Sdn. Bhd.</v>
      </c>
      <c r="C405" t="s">
        <v>4760</v>
      </c>
    </row>
    <row r="406" spans="1:3">
      <c r="A406" s="66" t="s">
        <v>754</v>
      </c>
      <c r="B406" t="str">
        <f ca="1">IF(ISBLANK(OFFSET(B406,0,'Field labels'!$Q$1)),C406,OFFSET(B406,0,'Field labels'!$Q$1))</f>
        <v>Cargill Food Technologies (Pinghu) Co., Ltd.</v>
      </c>
      <c r="C406" t="s">
        <v>4761</v>
      </c>
    </row>
    <row r="407" spans="1:3">
      <c r="A407" s="66" t="s">
        <v>754</v>
      </c>
      <c r="B407" t="str">
        <f ca="1">IF(ISBLANK(OFFSET(B407,0,'Field labels'!$Q$1)),C407,OFFSET(B407,0,'Field labels'!$Q$1))</f>
        <v>Cargill Foods (Dongguan) Co., Ltd.</v>
      </c>
      <c r="C407" t="s">
        <v>4762</v>
      </c>
    </row>
    <row r="408" spans="1:3">
      <c r="A408" s="66" t="s">
        <v>754</v>
      </c>
      <c r="B408" t="str">
        <f ca="1">IF(ISBLANK(OFFSET(B408,0,'Field labels'!$Q$1)),C408,OFFSET(B408,0,'Field labels'!$Q$1))</f>
        <v>Cargill Global Trading India Private Limited</v>
      </c>
      <c r="C408" t="s">
        <v>4763</v>
      </c>
    </row>
    <row r="409" spans="1:3">
      <c r="A409" s="66" t="s">
        <v>754</v>
      </c>
      <c r="B409" t="str">
        <f ca="1">IF(ISBLANK(OFFSET(B409,0,'Field labels'!$Q$1)),C409,OFFSET(B409,0,'Field labels'!$Q$1))</f>
        <v>Cargill Grain &amp; Oilseeds (Dongguan) Ltd.</v>
      </c>
      <c r="C409" t="s">
        <v>4764</v>
      </c>
    </row>
    <row r="410" spans="1:3">
      <c r="A410" s="66" t="s">
        <v>754</v>
      </c>
      <c r="B410" t="str">
        <f ca="1">IF(ISBLANK(OFFSET(B410,0,'Field labels'!$Q$1)),C410,OFFSET(B410,0,'Field labels'!$Q$1))</f>
        <v>Cargill Grain &amp; Oilseeds (Nantong) Ltd.</v>
      </c>
      <c r="C410" t="s">
        <v>4765</v>
      </c>
    </row>
    <row r="411" spans="1:3">
      <c r="A411" s="66" t="s">
        <v>754</v>
      </c>
      <c r="B411" t="str">
        <f ca="1">IF(ISBLANK(OFFSET(B411,0,'Field labels'!$Q$1)),C411,OFFSET(B411,0,'Field labels'!$Q$1))</f>
        <v>Cargill Grain &amp; Oilseeds (Yangjiang) Ltd.</v>
      </c>
      <c r="C411" t="s">
        <v>4766</v>
      </c>
    </row>
    <row r="412" spans="1:3">
      <c r="A412" s="66" t="s">
        <v>754</v>
      </c>
      <c r="B412" t="str">
        <f ca="1">IF(ISBLANK(OFFSET(B412,0,'Field labels'!$Q$1)),C412,OFFSET(B412,0,'Field labels'!$Q$1))</f>
        <v>Cargill Holdings (Malaysia) Sdn. Bhd.</v>
      </c>
      <c r="C412" t="s">
        <v>4767</v>
      </c>
    </row>
    <row r="413" spans="1:3">
      <c r="A413" s="66" t="s">
        <v>754</v>
      </c>
      <c r="B413" t="str">
        <f ca="1">IF(ISBLANK(OFFSET(B413,0,'Field labels'!$Q$1)),C413,OFFSET(B413,0,'Field labels'!$Q$1))</f>
        <v>Cargill Hong Kong Limited</v>
      </c>
      <c r="C413" t="s">
        <v>4768</v>
      </c>
    </row>
    <row r="414" spans="1:3">
      <c r="A414" s="66" t="s">
        <v>754</v>
      </c>
      <c r="B414" t="str">
        <f ca="1">IF(ISBLANK(OFFSET(B414,0,'Field labels'!$Q$1)),C414,OFFSET(B414,0,'Field labels'!$Q$1))</f>
        <v>Cargill India Private Limited</v>
      </c>
      <c r="C414" t="s">
        <v>4675</v>
      </c>
    </row>
    <row r="415" spans="1:3">
      <c r="A415" s="66" t="s">
        <v>754</v>
      </c>
      <c r="B415" t="str">
        <f ca="1">IF(ISBLANK(OFFSET(B415,0,'Field labels'!$Q$1)),C415,OFFSET(B415,0,'Field labels'!$Q$1))</f>
        <v>Cargill Industrial &amp; Commercial (Tianjin) Co., Ltd.</v>
      </c>
      <c r="C415" t="s">
        <v>4769</v>
      </c>
    </row>
    <row r="416" spans="1:3">
      <c r="A416" s="66" t="s">
        <v>754</v>
      </c>
      <c r="B416" t="str">
        <f ca="1">IF(ISBLANK(OFFSET(B416,0,'Field labels'!$Q$1)),C416,OFFSET(B416,0,'Field labels'!$Q$1))</f>
        <v>Cargill Industrial &amp; Commercial (Wuhan) Co., Ltd.</v>
      </c>
      <c r="C416" t="s">
        <v>4770</v>
      </c>
    </row>
    <row r="417" spans="1:3">
      <c r="A417" s="66" t="s">
        <v>754</v>
      </c>
      <c r="B417" t="str">
        <f ca="1">IF(ISBLANK(OFFSET(B417,0,'Field labels'!$Q$1)),C417,OFFSET(B417,0,'Field labels'!$Q$1))</f>
        <v>Cargill International Trading Pte Ltd.</v>
      </c>
      <c r="C417" t="s">
        <v>4771</v>
      </c>
    </row>
    <row r="418" spans="1:3">
      <c r="A418" s="66" t="s">
        <v>754</v>
      </c>
      <c r="B418" t="str">
        <f ca="1">IF(ISBLANK(OFFSET(B418,0,'Field labels'!$Q$1)),C418,OFFSET(B418,0,'Field labels'!$Q$1))</f>
        <v>Cargill Investments (China) Ltd.</v>
      </c>
      <c r="C418" t="s">
        <v>4772</v>
      </c>
    </row>
    <row r="419" spans="1:3">
      <c r="A419" s="66" t="s">
        <v>754</v>
      </c>
      <c r="B419" t="str">
        <f ca="1">IF(ISBLANK(OFFSET(B419,0,'Field labels'!$Q$1)),C419,OFFSET(B419,0,'Field labels'!$Q$1))</f>
        <v>Cargill Investments S.R.L.</v>
      </c>
      <c r="C419" t="s">
        <v>4773</v>
      </c>
    </row>
    <row r="420" spans="1:3">
      <c r="A420" s="66" t="s">
        <v>754</v>
      </c>
      <c r="B420" t="str">
        <f ca="1">IF(ISBLANK(OFFSET(B420,0,'Field labels'!$Q$1)),C420,OFFSET(B420,0,'Field labels'!$Q$1))</f>
        <v>Cargill IT Services Sdn. Bhd.</v>
      </c>
      <c r="C420" t="s">
        <v>4774</v>
      </c>
    </row>
    <row r="421" spans="1:3">
      <c r="A421" s="66" t="s">
        <v>754</v>
      </c>
      <c r="B421" t="str">
        <f ca="1">IF(ISBLANK(OFFSET(B421,0,'Field labels'!$Q$1)),C421,OFFSET(B421,0,'Field labels'!$Q$1))</f>
        <v>Cargill Japan Limited</v>
      </c>
      <c r="C421" t="s">
        <v>4775</v>
      </c>
    </row>
    <row r="422" spans="1:3">
      <c r="A422" s="66" t="s">
        <v>754</v>
      </c>
      <c r="B422" t="str">
        <f ca="1">IF(ISBLANK(OFFSET(B422,0,'Field labels'!$Q$1)),C422,OFFSET(B422,0,'Field labels'!$Q$1))</f>
        <v>Cargill Joy Poultry Meats Production, Incorporated.</v>
      </c>
      <c r="C422" t="s">
        <v>4776</v>
      </c>
    </row>
    <row r="423" spans="1:3">
      <c r="A423" s="66" t="s">
        <v>754</v>
      </c>
      <c r="B423" t="str">
        <f ca="1">IF(ISBLANK(OFFSET(B423,0,'Field labels'!$Q$1)),C423,OFFSET(B423,0,'Field labels'!$Q$1))</f>
        <v>Cargill Korea Limited</v>
      </c>
      <c r="C423" t="s">
        <v>4777</v>
      </c>
    </row>
    <row r="424" spans="1:3">
      <c r="A424" s="66" t="s">
        <v>754</v>
      </c>
      <c r="B424" t="str">
        <f ca="1">IF(ISBLANK(OFFSET(B424,0,'Field labels'!$Q$1)),C424,OFFSET(B424,0,'Field labels'!$Q$1))</f>
        <v>Cargill Meats (Thailand) Limited</v>
      </c>
      <c r="C424" t="s">
        <v>4778</v>
      </c>
    </row>
    <row r="425" spans="1:3">
      <c r="A425" s="66" t="s">
        <v>754</v>
      </c>
      <c r="B425" t="str">
        <f ca="1">IF(ISBLANK(OFFSET(B425,0,'Field labels'!$Q$1)),C425,OFFSET(B425,0,'Field labels'!$Q$1))</f>
        <v>Cargill Ocean Transportation (Singapore) Pte Ltd</v>
      </c>
      <c r="C425" t="s">
        <v>4779</v>
      </c>
    </row>
    <row r="426" spans="1:3">
      <c r="A426" s="66" t="s">
        <v>754</v>
      </c>
      <c r="B426" t="str">
        <f ca="1">IF(ISBLANK(OFFSET(B426,0,'Field labels'!$Q$1)),C426,OFFSET(B426,0,'Field labels'!$Q$1))</f>
        <v>Cargill Oil Mills Philippines, Inc.</v>
      </c>
      <c r="C426" t="s">
        <v>4780</v>
      </c>
    </row>
    <row r="427" spans="1:3">
      <c r="A427" s="66" t="s">
        <v>754</v>
      </c>
      <c r="B427" t="str">
        <f ca="1">IF(ISBLANK(OFFSET(B427,0,'Field labels'!$Q$1)),C427,OFFSET(B427,0,'Field labels'!$Q$1))</f>
        <v>Cargill Pakistan Agri Foods Pvt. Limited</v>
      </c>
      <c r="C427" t="s">
        <v>4781</v>
      </c>
    </row>
    <row r="428" spans="1:3">
      <c r="A428" s="66" t="s">
        <v>754</v>
      </c>
      <c r="B428" t="str">
        <f ca="1">IF(ISBLANK(OFFSET(B428,0,'Field labels'!$Q$1)),C428,OFFSET(B428,0,'Field labels'!$Q$1))</f>
        <v>Cargill Pakistan Holdings (Private) Limited</v>
      </c>
      <c r="C428" t="s">
        <v>4782</v>
      </c>
    </row>
    <row r="429" spans="1:3">
      <c r="A429" s="66" t="s">
        <v>754</v>
      </c>
      <c r="B429" t="str">
        <f ca="1">IF(ISBLANK(OFFSET(B429,0,'Field labels'!$Q$1)),C429,OFFSET(B429,0,'Field labels'!$Q$1))</f>
        <v>Cargill Palm Products Sdn. Bhd.</v>
      </c>
      <c r="C429" t="s">
        <v>4783</v>
      </c>
    </row>
    <row r="430" spans="1:3">
      <c r="A430" s="66" t="s">
        <v>754</v>
      </c>
      <c r="B430" t="str">
        <f ca="1">IF(ISBLANK(OFFSET(B430,0,'Field labels'!$Q$1)),C430,OFFSET(B430,0,'Field labels'!$Q$1))</f>
        <v>Cargill Philippines, Inc.</v>
      </c>
      <c r="C430" t="s">
        <v>4784</v>
      </c>
    </row>
    <row r="431" spans="1:3">
      <c r="A431" s="66" t="s">
        <v>754</v>
      </c>
      <c r="B431" t="str">
        <f ca="1">IF(ISBLANK(OFFSET(B431,0,'Field labels'!$Q$1)),C431,OFFSET(B431,0,'Field labels'!$Q$1))</f>
        <v>Cargill Processing Limited</v>
      </c>
      <c r="C431" t="s">
        <v>4785</v>
      </c>
    </row>
    <row r="432" spans="1:3">
      <c r="A432" s="66" t="s">
        <v>754</v>
      </c>
      <c r="B432" t="str">
        <f ca="1">IF(ISBLANK(OFFSET(B432,0,'Field labels'!$Q$1)),C432,OFFSET(B432,0,'Field labels'!$Q$1))</f>
        <v>Cargill Servicios, S. de R.L. de C.V.</v>
      </c>
      <c r="C432" t="s">
        <v>4786</v>
      </c>
    </row>
    <row r="433" spans="1:3">
      <c r="A433" s="66" t="s">
        <v>754</v>
      </c>
      <c r="B433" t="str">
        <f ca="1">IF(ISBLANK(OFFSET(B433,0,'Field labels'!$Q$1)),C433,OFFSET(B433,0,'Field labels'!$Q$1))</f>
        <v>Cargill Siam Limited</v>
      </c>
      <c r="C433" t="s">
        <v>4787</v>
      </c>
    </row>
    <row r="434" spans="1:3">
      <c r="A434" s="66" t="s">
        <v>754</v>
      </c>
      <c r="B434" t="str">
        <f ca="1">IF(ISBLANK(OFFSET(B434,0,'Field labels'!$Q$1)),C434,OFFSET(B434,0,'Field labels'!$Q$1))</f>
        <v>Cargill Sociedad Anonima Comercial e Industrial</v>
      </c>
      <c r="C434" t="s">
        <v>4788</v>
      </c>
    </row>
    <row r="435" spans="1:3">
      <c r="A435" s="66" t="s">
        <v>754</v>
      </c>
      <c r="B435" t="str">
        <f ca="1">IF(ISBLANK(OFFSET(B435,0,'Field labels'!$Q$1)),C435,OFFSET(B435,0,'Field labels'!$Q$1))</f>
        <v>Cargill Taiwan Corporation</v>
      </c>
      <c r="C435" t="s">
        <v>4789</v>
      </c>
    </row>
    <row r="436" spans="1:3">
      <c r="A436" s="66" t="s">
        <v>754</v>
      </c>
      <c r="B436" t="str">
        <f ca="1">IF(ISBLANK(OFFSET(B436,0,'Field labels'!$Q$1)),C436,OFFSET(B436,0,'Field labels'!$Q$1))</f>
        <v>Cargill Texturizing Solutions Philippines, Inc.</v>
      </c>
      <c r="C436" t="s">
        <v>4790</v>
      </c>
    </row>
    <row r="437" spans="1:3">
      <c r="A437" s="66" t="s">
        <v>754</v>
      </c>
      <c r="B437" t="str">
        <f ca="1">IF(ISBLANK(OFFSET(B437,0,'Field labels'!$Q$1)),C437,OFFSET(B437,0,'Field labels'!$Q$1))</f>
        <v>Cargill Trading (Shanghai) Ltd.</v>
      </c>
      <c r="C437" t="s">
        <v>4791</v>
      </c>
    </row>
    <row r="438" spans="1:3">
      <c r="A438" s="66" t="s">
        <v>754</v>
      </c>
      <c r="B438" t="str">
        <f ca="1">IF(ISBLANK(OFFSET(B438,0,'Field labels'!$Q$1)),C438,OFFSET(B438,0,'Field labels'!$Q$1))</f>
        <v>Cargill Transportes Ltda</v>
      </c>
      <c r="C438" t="s">
        <v>4792</v>
      </c>
    </row>
    <row r="439" spans="1:3">
      <c r="A439" s="66" t="s">
        <v>754</v>
      </c>
      <c r="B439" t="str">
        <f ca="1">IF(ISBLANK(OFFSET(B439,0,'Field labels'!$Q$1)),C439,OFFSET(B439,0,'Field labels'!$Q$1))</f>
        <v>Cargill Tropical Palm Holdings Pte. Ltd.</v>
      </c>
      <c r="C439" t="s">
        <v>4793</v>
      </c>
    </row>
    <row r="440" spans="1:3">
      <c r="A440" s="66" t="s">
        <v>754</v>
      </c>
      <c r="B440" t="str">
        <f ca="1">IF(ISBLANK(OFFSET(B440,0,'Field labels'!$Q$1)),C440,OFFSET(B440,0,'Field labels'!$Q$1))</f>
        <v>Cargill TSF Asia Pte. Ltd.</v>
      </c>
      <c r="C440" t="s">
        <v>4794</v>
      </c>
    </row>
    <row r="441" spans="1:3">
      <c r="A441" s="66" t="s">
        <v>754</v>
      </c>
      <c r="B441" t="str">
        <f ca="1">IF(ISBLANK(OFFSET(B441,0,'Field labels'!$Q$1)),C441,OFFSET(B441,0,'Field labels'!$Q$1))</f>
        <v>Cargill Vietnam Company Limited</v>
      </c>
      <c r="C441" t="s">
        <v>4795</v>
      </c>
    </row>
    <row r="442" spans="1:3">
      <c r="A442" s="66" t="s">
        <v>754</v>
      </c>
      <c r="B442" t="str">
        <f ca="1">IF(ISBLANK(OFFSET(B442,0,'Field labels'!$Q$1)),C442,OFFSET(B442,0,'Field labels'!$Q$1))</f>
        <v>Cargillprev Soc De Previdencia Complementar</v>
      </c>
      <c r="C442" t="s">
        <v>4796</v>
      </c>
    </row>
    <row r="443" spans="1:3">
      <c r="A443" s="66" t="s">
        <v>754</v>
      </c>
      <c r="B443" t="str">
        <f ca="1">IF(ISBLANK(OFFSET(B443,0,'Field labels'!$Q$1)),C443,OFFSET(B443,0,'Field labels'!$Q$1))</f>
        <v>Coop Credito Mutuo Dos Func Da Cargill Ltda</v>
      </c>
      <c r="C443" t="s">
        <v>4797</v>
      </c>
    </row>
    <row r="444" spans="1:3">
      <c r="A444" s="66" t="s">
        <v>754</v>
      </c>
      <c r="B444" t="str">
        <f ca="1">IF(ISBLANK(OFFSET(B444,0,'Field labels'!$Q$1)),C444,OFFSET(B444,0,'Field labels'!$Q$1))</f>
        <v>Corporación Pipasa Sociedad de Responsabilidad Limitada</v>
      </c>
      <c r="C444" t="s">
        <v>4798</v>
      </c>
    </row>
    <row r="445" spans="1:3">
      <c r="A445" s="66" t="s">
        <v>754</v>
      </c>
      <c r="B445" t="str">
        <f ca="1">IF(ISBLANK(OFFSET(B445,0,'Field labels'!$Q$1)),C445,OFFSET(B445,0,'Field labels'!$Q$1))</f>
        <v>Desa Cargill Sdn. Bhd.</v>
      </c>
      <c r="C445" t="s">
        <v>4799</v>
      </c>
    </row>
    <row r="446" spans="1:3">
      <c r="A446" s="66" t="s">
        <v>754</v>
      </c>
      <c r="B446" t="str">
        <f ca="1">IF(ISBLANK(OFFSET(B446,0,'Field labels'!$Q$1)),C446,OFFSET(B446,0,'Field labels'!$Q$1))</f>
        <v>Empacadora Perry y Compania Limitada</v>
      </c>
      <c r="C446" t="s">
        <v>4800</v>
      </c>
    </row>
    <row r="447" spans="1:3">
      <c r="A447" s="66" t="s">
        <v>754</v>
      </c>
      <c r="B447" t="str">
        <f ca="1">IF(ISBLANK(OFFSET(B447,0,'Field labels'!$Q$1)),C447,OFFSET(B447,0,'Field labels'!$Q$1))</f>
        <v>EWOS Vietnam JSC</v>
      </c>
      <c r="C447" t="s">
        <v>4801</v>
      </c>
    </row>
    <row r="448" spans="1:3">
      <c r="A448" s="66" t="s">
        <v>754</v>
      </c>
      <c r="B448" t="str">
        <f ca="1">IF(ISBLANK(OFFSET(B448,0,'Field labels'!$Q$1)),C448,OFFSET(B448,0,'Field labels'!$Q$1))</f>
        <v>Fundacao Cargill</v>
      </c>
      <c r="C448" t="s">
        <v>4802</v>
      </c>
    </row>
    <row r="449" spans="1:3">
      <c r="A449" s="66" t="s">
        <v>754</v>
      </c>
      <c r="B449" t="str">
        <f ca="1">IF(ISBLANK(OFFSET(B449,0,'Field labels'!$Q$1)),C449,OFFSET(B449,0,'Field labels'!$Q$1))</f>
        <v>Hebei Jiahao Grain and Oilseeds Co., Ltd.</v>
      </c>
      <c r="C449" t="s">
        <v>4803</v>
      </c>
    </row>
    <row r="450" spans="1:3">
      <c r="A450" s="66" t="s">
        <v>754</v>
      </c>
      <c r="B450" t="str">
        <f ca="1">IF(ISBLANK(OFFSET(B450,0,'Field labels'!$Q$1)),C450,OFFSET(B450,0,'Field labels'!$Q$1))</f>
        <v>Hebei Jihai Port Co., Ltd.</v>
      </c>
      <c r="C450" t="s">
        <v>4804</v>
      </c>
    </row>
    <row r="451" spans="1:3">
      <c r="A451" s="66" t="s">
        <v>754</v>
      </c>
      <c r="B451" t="str">
        <f ca="1">IF(ISBLANK(OFFSET(B451,0,'Field labels'!$Q$1)),C451,OFFSET(B451,0,'Field labels'!$Q$1))</f>
        <v>Hindoli Trade Pte. Ltd.</v>
      </c>
      <c r="C451" t="s">
        <v>4805</v>
      </c>
    </row>
    <row r="452" spans="1:3">
      <c r="A452" s="66" t="s">
        <v>754</v>
      </c>
      <c r="B452" t="str">
        <f ca="1">IF(ISBLANK(OFFSET(B452,0,'Field labels'!$Q$1)),C452,OFFSET(B452,0,'Field labels'!$Q$1))</f>
        <v>Jia Yue Feng Trading (Suzhou) Co., Ltd.</v>
      </c>
      <c r="C452" t="s">
        <v>4806</v>
      </c>
    </row>
    <row r="453" spans="1:3">
      <c r="A453" s="66" t="s">
        <v>754</v>
      </c>
      <c r="B453" t="str">
        <f ca="1">IF(ISBLANK(OFFSET(B453,0,'Field labels'!$Q$1)),C453,OFFSET(B453,0,'Field labels'!$Q$1))</f>
        <v>LE Argentina UAT</v>
      </c>
      <c r="C453" t="s">
        <v>4807</v>
      </c>
    </row>
    <row r="454" spans="1:3">
      <c r="A454" s="66" t="s">
        <v>754</v>
      </c>
      <c r="B454" t="str">
        <f ca="1">IF(ISBLANK(OFFSET(B454,0,'Field labels'!$Q$1)),C454,OFFSET(B454,0,'Field labels'!$Q$1))</f>
        <v>M.A. Cargill Trading Ltd.</v>
      </c>
      <c r="C454" t="s">
        <v>4808</v>
      </c>
    </row>
    <row r="455" spans="1:3">
      <c r="A455" s="66" t="s">
        <v>754</v>
      </c>
      <c r="B455" t="str">
        <f ca="1">IF(ISBLANK(OFFSET(B455,0,'Field labels'!$Q$1)),C455,OFFSET(B455,0,'Field labels'!$Q$1))</f>
        <v>Nantong NETDA West Steam Ltd.</v>
      </c>
      <c r="C455" t="s">
        <v>4809</v>
      </c>
    </row>
    <row r="456" spans="1:3">
      <c r="A456" s="66" t="s">
        <v>754</v>
      </c>
      <c r="B456" t="str">
        <f ca="1">IF(ISBLANK(OFFSET(B456,0,'Field labels'!$Q$1)),C456,OFFSET(B456,0,'Field labels'!$Q$1))</f>
        <v>P.T. Cargill Indonesia</v>
      </c>
      <c r="C456" t="s">
        <v>4810</v>
      </c>
    </row>
    <row r="457" spans="1:3">
      <c r="A457" s="66" t="s">
        <v>754</v>
      </c>
      <c r="B457" t="str">
        <f ca="1">IF(ISBLANK(OFFSET(B457,0,'Field labels'!$Q$1)),C457,OFFSET(B457,0,'Field labels'!$Q$1))</f>
        <v>P.T. Harapan Sawit Lestari</v>
      </c>
      <c r="C457" t="s">
        <v>4811</v>
      </c>
    </row>
    <row r="458" spans="1:3">
      <c r="A458" s="66" t="s">
        <v>754</v>
      </c>
      <c r="B458" t="str">
        <f ca="1">IF(ISBLANK(OFFSET(B458,0,'Field labels'!$Q$1)),C458,OFFSET(B458,0,'Field labels'!$Q$1))</f>
        <v>Philippine Bio-Industries, Inc.</v>
      </c>
      <c r="C458" t="s">
        <v>4812</v>
      </c>
    </row>
    <row r="459" spans="1:3">
      <c r="A459" s="66" t="s">
        <v>754</v>
      </c>
      <c r="B459" t="str">
        <f ca="1">IF(ISBLANK(OFFSET(B459,0,'Field labels'!$Q$1)),C459,OFFSET(B459,0,'Field labels'!$Q$1))</f>
        <v>PROAOASS Servicios, S. de R. L. de C. V.</v>
      </c>
      <c r="C459" t="s">
        <v>4813</v>
      </c>
    </row>
    <row r="460" spans="1:3">
      <c r="A460" s="66" t="s">
        <v>754</v>
      </c>
      <c r="B460" t="str">
        <f ca="1">IF(ISBLANK(OFFSET(B460,0,'Field labels'!$Q$1)),C460,OFFSET(B460,0,'Field labels'!$Q$1))</f>
        <v>Productora de Sal, C.A. (Produsal)</v>
      </c>
      <c r="C460" t="s">
        <v>4814</v>
      </c>
    </row>
    <row r="461" spans="1:3">
      <c r="A461" s="66" t="s">
        <v>754</v>
      </c>
      <c r="B461" t="str">
        <f ca="1">IF(ISBLANK(OFFSET(B461,0,'Field labels'!$Q$1)),C461,OFFSET(B461,0,'Field labels'!$Q$1))</f>
        <v>Provimi Animal Nutrition India Private Limited</v>
      </c>
      <c r="C461" t="s">
        <v>4815</v>
      </c>
    </row>
    <row r="462" spans="1:3">
      <c r="A462" s="66" t="s">
        <v>754</v>
      </c>
      <c r="B462" t="str">
        <f ca="1">IF(ISBLANK(OFFSET(B462,0,'Field labels'!$Q$1)),C462,OFFSET(B462,0,'Field labels'!$Q$1))</f>
        <v>Provimi Argentina S.A.</v>
      </c>
      <c r="C462" t="s">
        <v>4816</v>
      </c>
    </row>
    <row r="463" spans="1:3">
      <c r="A463" s="66" t="s">
        <v>754</v>
      </c>
      <c r="B463" t="str">
        <f ca="1">IF(ISBLANK(OFFSET(B463,0,'Field labels'!$Q$1)),C463,OFFSET(B463,0,'Field labels'!$Q$1))</f>
        <v>Provimi Guangxi Animal Nutrition Co., Ltd.</v>
      </c>
      <c r="C463" t="s">
        <v>4817</v>
      </c>
    </row>
    <row r="464" spans="1:3">
      <c r="A464" s="66" t="s">
        <v>754</v>
      </c>
      <c r="B464" t="str">
        <f ca="1">IF(ISBLANK(OFFSET(B464,0,'Field labels'!$Q$1)),C464,OFFSET(B464,0,'Field labels'!$Q$1))</f>
        <v>Provimi S.A.</v>
      </c>
      <c r="C464" t="s">
        <v>4818</v>
      </c>
    </row>
    <row r="465" spans="1:3">
      <c r="A465" s="66" t="s">
        <v>754</v>
      </c>
      <c r="B465" t="str">
        <f ca="1">IF(ISBLANK(OFFSET(B465,0,'Field labels'!$Q$1)),C465,OFFSET(B465,0,'Field labels'!$Q$1))</f>
        <v>Provimi Singapore Pte. Ltd.</v>
      </c>
      <c r="C465" t="s">
        <v>4819</v>
      </c>
    </row>
    <row r="466" spans="1:3">
      <c r="A466" s="66" t="s">
        <v>754</v>
      </c>
      <c r="B466" t="str">
        <f ca="1">IF(ISBLANK(OFFSET(B466,0,'Field labels'!$Q$1)),C466,OFFSET(B466,0,'Field labels'!$Q$1))</f>
        <v>Provimi Vietnam Ltd.</v>
      </c>
      <c r="C466" t="s">
        <v>4820</v>
      </c>
    </row>
    <row r="467" spans="1:3">
      <c r="A467" s="66" t="s">
        <v>754</v>
      </c>
      <c r="B467" t="str">
        <f ca="1">IF(ISBLANK(OFFSET(B467,0,'Field labels'!$Q$1)),C467,OFFSET(B467,0,'Field labels'!$Q$1))</f>
        <v>PT Cahaya Gunung Foods</v>
      </c>
      <c r="C467" t="s">
        <v>4821</v>
      </c>
    </row>
    <row r="468" spans="1:3">
      <c r="A468" s="66" t="s">
        <v>754</v>
      </c>
      <c r="B468" t="str">
        <f ca="1">IF(ISBLANK(OFFSET(B468,0,'Field labels'!$Q$1)),C468,OFFSET(B468,0,'Field labels'!$Q$1))</f>
        <v>PT Sorini Agro Asia Corporindo Tbk</v>
      </c>
      <c r="C468" t="s">
        <v>4822</v>
      </c>
    </row>
    <row r="469" spans="1:3">
      <c r="A469" s="66" t="s">
        <v>754</v>
      </c>
      <c r="B469" t="str">
        <f ca="1">IF(ISBLANK(OFFSET(B469,0,'Field labels'!$Q$1)),C469,OFFSET(B469,0,'Field labels'!$Q$1))</f>
        <v>PT. Cargill Foods Indonesia</v>
      </c>
      <c r="C469" t="s">
        <v>4823</v>
      </c>
    </row>
    <row r="470" spans="1:3">
      <c r="A470" s="66" t="s">
        <v>754</v>
      </c>
      <c r="B470" t="str">
        <f ca="1">IF(ISBLANK(OFFSET(B470,0,'Field labels'!$Q$1)),C470,OFFSET(B470,0,'Field labels'!$Q$1))</f>
        <v>PT. Cargill Trading Indonesia</v>
      </c>
      <c r="C470" t="s">
        <v>4824</v>
      </c>
    </row>
    <row r="471" spans="1:3">
      <c r="A471" s="66" t="s">
        <v>754</v>
      </c>
      <c r="B471" t="str">
        <f ca="1">IF(ISBLANK(OFFSET(B471,0,'Field labels'!$Q$1)),C471,OFFSET(B471,0,'Field labels'!$Q$1))</f>
        <v>Teg Terminal Exportador do Guaruja Ltda</v>
      </c>
      <c r="C471" t="s">
        <v>4825</v>
      </c>
    </row>
    <row r="472" spans="1:3">
      <c r="A472" s="66" t="s">
        <v>754</v>
      </c>
      <c r="B472" t="str">
        <f ca="1">IF(ISBLANK(OFFSET(B472,0,'Field labels'!$Q$1)),C472,OFFSET(B472,0,'Field labels'!$Q$1))</f>
        <v>THA_Legal Entity</v>
      </c>
      <c r="C472" t="s">
        <v>4826</v>
      </c>
    </row>
    <row r="473" spans="1:3">
      <c r="A473" s="66" t="s">
        <v>754</v>
      </c>
      <c r="B473" t="str">
        <f ca="1">IF(ISBLANK(OFFSET(B473,0,'Field labels'!$Q$1)),C473,OFFSET(B473,0,'Field labels'!$Q$1))</f>
        <v>Toshoku Singapore (Pte) Ltd</v>
      </c>
      <c r="C473" t="s">
        <v>4827</v>
      </c>
    </row>
    <row r="474" spans="1:3">
      <c r="A474" s="66" t="s">
        <v>754</v>
      </c>
      <c r="B474" t="str">
        <f ca="1">IF(ISBLANK(OFFSET(B474,0,'Field labels'!$Q$1)),C474,OFFSET(B474,0,'Field labels'!$Q$1))</f>
        <v>Toshoku Trading (Shanghai) Co., Ltd.</v>
      </c>
      <c r="C474" t="s">
        <v>4828</v>
      </c>
    </row>
    <row r="475" spans="1:3">
      <c r="A475" s="66" t="s">
        <v>754</v>
      </c>
      <c r="B475" t="str">
        <f ca="1">IF(ISBLANK(OFFSET(B475,0,'Field labels'!$Q$1)),C475,OFFSET(B475,0,'Field labels'!$Q$1))</f>
        <v>Yangjiang Lianggang Port Co., Ltd.</v>
      </c>
      <c r="C475" t="s">
        <v>4829</v>
      </c>
    </row>
    <row r="476" spans="1:3">
      <c r="A476" t="s">
        <v>7475</v>
      </c>
      <c r="B476" t="str">
        <f ca="1">IF(ISBLANK(OFFSET(B476,0,'Field labels'!$Q$1)),C476,OFFSET(B476,0,'Field labels'!$Q$1))</f>
        <v>2C_UAT_Cost_Center1_CHN (2C_UAT_Cost_Center1_CHN)</v>
      </c>
      <c r="C476" t="s">
        <v>5385</v>
      </c>
    </row>
    <row r="477" spans="1:3">
      <c r="A477" t="s">
        <v>7476</v>
      </c>
      <c r="B477" t="str">
        <f ca="1">IF(ISBLANK(OFFSET(B477,0,'Field labels'!$Q$1)),C477,OFFSET(B477,0,'Field labels'!$Q$1))</f>
        <v>2C_UAT_Cost_Center1_IDN (2C_UAT_Cost_Center1_IDN)</v>
      </c>
      <c r="C477" t="s">
        <v>5386</v>
      </c>
    </row>
    <row r="478" spans="1:3">
      <c r="A478" t="s">
        <v>7477</v>
      </c>
      <c r="B478" t="str">
        <f ca="1">IF(ISBLANK(OFFSET(B478,0,'Field labels'!$Q$1)),C478,OFFSET(B478,0,'Field labels'!$Q$1))</f>
        <v>2C_UAT_Cost_Center1_IND (2C_UAT_Cost_Center1_IND)</v>
      </c>
      <c r="C478" t="s">
        <v>5387</v>
      </c>
    </row>
    <row r="479" spans="1:3">
      <c r="A479" t="s">
        <v>7478</v>
      </c>
      <c r="B479" t="str">
        <f ca="1">IF(ISBLANK(OFFSET(B479,0,'Field labels'!$Q$1)),C479,OFFSET(B479,0,'Field labels'!$Q$1))</f>
        <v>2C_UAT_Cost_Center1_MYS (2C_UAT_Cost_Center1_MYS)</v>
      </c>
      <c r="C479" t="s">
        <v>5388</v>
      </c>
    </row>
    <row r="480" spans="1:3">
      <c r="A480" t="s">
        <v>7479</v>
      </c>
      <c r="B480" t="str">
        <f ca="1">IF(ISBLANK(OFFSET(B480,0,'Field labels'!$Q$1)),C480,OFFSET(B480,0,'Field labels'!$Q$1))</f>
        <v>2C_UAT_Cost_Center1_PHL (2C_UAT_Cost_Center1_PHL)</v>
      </c>
      <c r="C480" t="s">
        <v>5389</v>
      </c>
    </row>
    <row r="481" spans="1:3">
      <c r="A481" t="s">
        <v>7480</v>
      </c>
      <c r="B481" t="str">
        <f ca="1">IF(ISBLANK(OFFSET(B481,0,'Field labels'!$Q$1)),C481,OFFSET(B481,0,'Field labels'!$Q$1))</f>
        <v>2C_UAT_Cost_Center1_THA (2C_UAT_Cost_Center1_THA)</v>
      </c>
      <c r="C481" t="s">
        <v>5390</v>
      </c>
    </row>
    <row r="482" spans="1:3">
      <c r="A482" t="s">
        <v>7481</v>
      </c>
      <c r="B482" t="str">
        <f ca="1">IF(ISBLANK(OFFSET(B482,0,'Field labels'!$Q$1)),C482,OFFSET(B482,0,'Field labels'!$Q$1))</f>
        <v>2C_UAT_Cost_Center1_VNM (2C_UAT_Cost_Center1_VNM)</v>
      </c>
      <c r="C482" t="s">
        <v>5391</v>
      </c>
    </row>
    <row r="483" spans="1:3">
      <c r="A483" t="s">
        <v>7482</v>
      </c>
      <c r="B483" t="str">
        <f ca="1">IF(ISBLANK(OFFSET(B483,0,'Field labels'!$Q$1)),C483,OFFSET(B483,0,'Field labels'!$Q$1))</f>
        <v>2C_UAT_Cost_Center2_CHN (2C_UAT_Cost_Center2_CHN)</v>
      </c>
      <c r="C483" t="s">
        <v>5392</v>
      </c>
    </row>
    <row r="484" spans="1:3">
      <c r="A484" t="s">
        <v>7483</v>
      </c>
      <c r="B484" t="str">
        <f ca="1">IF(ISBLANK(OFFSET(B484,0,'Field labels'!$Q$1)),C484,OFFSET(B484,0,'Field labels'!$Q$1))</f>
        <v>2C_UAT_Cost_Center2_IDN (2C_UAT_Cost_Center2_IDN)</v>
      </c>
      <c r="C484" t="s">
        <v>5393</v>
      </c>
    </row>
    <row r="485" spans="1:3">
      <c r="A485" t="s">
        <v>7484</v>
      </c>
      <c r="B485" t="str">
        <f ca="1">IF(ISBLANK(OFFSET(B485,0,'Field labels'!$Q$1)),C485,OFFSET(B485,0,'Field labels'!$Q$1))</f>
        <v>2C_UAT_Cost_Center2_IND (2C_UAT_Cost_Center2_IND)</v>
      </c>
      <c r="C485" t="s">
        <v>5394</v>
      </c>
    </row>
    <row r="486" spans="1:3">
      <c r="A486" t="s">
        <v>7485</v>
      </c>
      <c r="B486" t="str">
        <f ca="1">IF(ISBLANK(OFFSET(B486,0,'Field labels'!$Q$1)),C486,OFFSET(B486,0,'Field labels'!$Q$1))</f>
        <v>2C_UAT_Cost_Center2_MYS (2C_UAT_Cost_Center2_MYS)</v>
      </c>
      <c r="C486" t="s">
        <v>5395</v>
      </c>
    </row>
    <row r="487" spans="1:3">
      <c r="A487" t="s">
        <v>7486</v>
      </c>
      <c r="B487" t="str">
        <f ca="1">IF(ISBLANK(OFFSET(B487,0,'Field labels'!$Q$1)),C487,OFFSET(B487,0,'Field labels'!$Q$1))</f>
        <v>2C_UAT_Cost_Center2_PHL (2C_UAT_Cost_Center2_PHL)</v>
      </c>
      <c r="C487" t="s">
        <v>5396</v>
      </c>
    </row>
    <row r="488" spans="1:3">
      <c r="A488" t="s">
        <v>7487</v>
      </c>
      <c r="B488" t="str">
        <f ca="1">IF(ISBLANK(OFFSET(B488,0,'Field labels'!$Q$1)),C488,OFFSET(B488,0,'Field labels'!$Q$1))</f>
        <v>2C_UAT_Cost_Center2_THA (2C_UAT_Cost_Center2_THA)</v>
      </c>
      <c r="C488" t="s">
        <v>5397</v>
      </c>
    </row>
    <row r="489" spans="1:3">
      <c r="A489" t="s">
        <v>7488</v>
      </c>
      <c r="B489" t="str">
        <f ca="1">IF(ISBLANK(OFFSET(B489,0,'Field labels'!$Q$1)),C489,OFFSET(B489,0,'Field labels'!$Q$1))</f>
        <v>2C_UAT_Cost_Center2_VNM (2C_UAT_Cost_Center2_VNM)</v>
      </c>
      <c r="C489" t="s">
        <v>5398</v>
      </c>
    </row>
    <row r="490" spans="1:3">
      <c r="A490" t="s">
        <v>7526</v>
      </c>
      <c r="B490" t="str">
        <f ca="1">IF(ISBLANK(OFFSET(B490,0,'Field labels'!$Q$1)),C490,OFFSET(B490,0,'Field labels'!$Q$1))</f>
        <v>CTS1 - Finan/Admin/CSD All PNLs (5117200000-LE001056)</v>
      </c>
      <c r="C490" t="s">
        <v>6027</v>
      </c>
    </row>
    <row r="491" spans="1:3">
      <c r="A491" t="s">
        <v>7526</v>
      </c>
      <c r="B491" t="str">
        <f ca="1">IF(ISBLANK(OFFSET(B491,0,'Field labels'!$Q$1)),C491,OFFSET(B491,0,'Field labels'!$Q$1))</f>
        <v>CTS2 - Comm Sales Force All PNLs (5115000000-LE001056)</v>
      </c>
      <c r="C491" t="s">
        <v>6028</v>
      </c>
    </row>
    <row r="492" spans="1:3">
      <c r="A492" t="s">
        <v>7549</v>
      </c>
      <c r="B492" t="str">
        <f ca="1">IF(ISBLANK(OFFSET(B492,0,'Field labels'!$Q$1)),C492,OFFSET(B492,0,'Field labels'!$Q$1))</f>
        <v>Functional-CFN Yangjiang (464812-LE001067)</v>
      </c>
      <c r="C492" t="s">
        <v>6410</v>
      </c>
    </row>
    <row r="493" spans="1:3">
      <c r="A493" t="s">
        <v>7549</v>
      </c>
      <c r="B493" t="str">
        <f ca="1">IF(ISBLANK(OFFSET(B493,0,'Field labels'!$Q$1)),C493,OFFSET(B493,0,'Field labels'!$Q$1))</f>
        <v>Yangjiang Aqua (464309-LE001067)</v>
      </c>
      <c r="C493" t="s">
        <v>7452</v>
      </c>
    </row>
    <row r="494" spans="1:3">
      <c r="A494" t="s">
        <v>7549</v>
      </c>
      <c r="B494" t="str">
        <f ca="1">IF(ISBLANK(OFFSET(B494,0,'Field labels'!$Q$1)),C494,OFFSET(B494,0,'Field labels'!$Q$1))</f>
        <v>Yangjiang Hog (509109-LE001067)</v>
      </c>
      <c r="C494" t="s">
        <v>7453</v>
      </c>
    </row>
    <row r="495" spans="1:3">
      <c r="A495" t="s">
        <v>7549</v>
      </c>
      <c r="B495" t="str">
        <f ca="1">IF(ISBLANK(OFFSET(B495,0,'Field labels'!$Q$1)),C495,OFFSET(B495,0,'Field labels'!$Q$1))</f>
        <v>Yangjiang Plant (464007-LE001067)</v>
      </c>
      <c r="C495" t="s">
        <v>7454</v>
      </c>
    </row>
    <row r="496" spans="1:3">
      <c r="A496" t="s">
        <v>7504</v>
      </c>
      <c r="B496" t="str">
        <f ca="1">IF(ISBLANK(OFFSET(B496,0,'Field labels'!$Q$1)),C496,OFFSET(B496,0,'Field labels'!$Q$1))</f>
        <v>Binzhou Finance (917812-LE001080)</v>
      </c>
      <c r="C496" t="s">
        <v>5591</v>
      </c>
    </row>
    <row r="497" spans="1:3">
      <c r="A497" t="s">
        <v>7504</v>
      </c>
      <c r="B497" t="str">
        <f ca="1">IF(ISBLANK(OFFSET(B497,0,'Field labels'!$Q$1)),C497,OFFSET(B497,0,'Field labels'!$Q$1))</f>
        <v>Yantai Aqua (835309-LE001080)</v>
      </c>
      <c r="C497" t="s">
        <v>7455</v>
      </c>
    </row>
    <row r="498" spans="1:3">
      <c r="A498" t="s">
        <v>7504</v>
      </c>
      <c r="B498" t="str">
        <f ca="1">IF(ISBLANK(OFFSET(B498,0,'Field labels'!$Q$1)),C498,OFFSET(B498,0,'Field labels'!$Q$1))</f>
        <v>Yantai Finance (835812-LE001080)</v>
      </c>
      <c r="C498" t="s">
        <v>7456</v>
      </c>
    </row>
    <row r="499" spans="1:3">
      <c r="A499" t="s">
        <v>7504</v>
      </c>
      <c r="B499" t="str">
        <f ca="1">IF(ISBLANK(OFFSET(B499,0,'Field labels'!$Q$1)),C499,OFFSET(B499,0,'Field labels'!$Q$1))</f>
        <v>Yantai Hog (835109-LE001080)</v>
      </c>
      <c r="C499" t="s">
        <v>7457</v>
      </c>
    </row>
    <row r="500" spans="1:3">
      <c r="A500" t="s">
        <v>7504</v>
      </c>
      <c r="B500" t="str">
        <f ca="1">IF(ISBLANK(OFFSET(B500,0,'Field labels'!$Q$1)),C500,OFFSET(B500,0,'Field labels'!$Q$1))</f>
        <v>Yantai Plant (835007-LE001080)</v>
      </c>
      <c r="C500" t="s">
        <v>7458</v>
      </c>
    </row>
    <row r="501" spans="1:3">
      <c r="A501" t="s">
        <v>7504</v>
      </c>
      <c r="B501" t="str">
        <f ca="1">IF(ISBLANK(OFFSET(B501,0,'Field labels'!$Q$1)),C501,OFFSET(B501,0,'Field labels'!$Q$1))</f>
        <v>Yantai Ruminant (835209-LE001080)</v>
      </c>
      <c r="C501" t="s">
        <v>7459</v>
      </c>
    </row>
    <row r="502" spans="1:3">
      <c r="A502" t="s">
        <v>7504</v>
      </c>
      <c r="B502" t="str">
        <f ca="1">IF(ISBLANK(OFFSET(B502,0,'Field labels'!$Q$1)),C502,OFFSET(B502,0,'Field labels'!$Q$1))</f>
        <v>YT BinZhou Plant Manufacuring (917007-LE001080)</v>
      </c>
      <c r="C502" t="s">
        <v>7460</v>
      </c>
    </row>
    <row r="503" spans="1:3">
      <c r="A503" t="s">
        <v>7504</v>
      </c>
      <c r="B503" t="str">
        <f ca="1">IF(ISBLANK(OFFSET(B503,0,'Field labels'!$Q$1)),C503,OFFSET(B503,0,'Field labels'!$Q$1))</f>
        <v>YT-Binzhou plant Hog (917109-LE001080)</v>
      </c>
      <c r="C503" t="s">
        <v>7461</v>
      </c>
    </row>
    <row r="504" spans="1:3">
      <c r="A504" t="s">
        <v>7504</v>
      </c>
      <c r="B504" t="str">
        <f ca="1">IF(ISBLANK(OFFSET(B504,0,'Field labels'!$Q$1)),C504,OFFSET(B504,0,'Field labels'!$Q$1))</f>
        <v>YT-Binzhou plant Ruminat (917209-LE001080)</v>
      </c>
      <c r="C504" t="s">
        <v>7462</v>
      </c>
    </row>
    <row r="505" spans="1:3">
      <c r="A505" t="s">
        <v>7551</v>
      </c>
      <c r="B505" t="str">
        <f ca="1">IF(ISBLANK(OFFSET(B505,0,'Field labels'!$Q$1)),C505,OFFSET(B505,0,'Field labels'!$Q$1))</f>
        <v>G&amp;A-Admin (Port) (954041-LE001109)</v>
      </c>
      <c r="C505" t="s">
        <v>6430</v>
      </c>
    </row>
    <row r="506" spans="1:3">
      <c r="A506" t="s">
        <v>7551</v>
      </c>
      <c r="B506" t="str">
        <f ca="1">IF(ISBLANK(OFFSET(B506,0,'Field labels'!$Q$1)),C506,OFFSET(B506,0,'Field labels'!$Q$1))</f>
        <v>G&amp;A-Safeguard (Port) (954071-LE001109)</v>
      </c>
      <c r="C506" t="s">
        <v>6442</v>
      </c>
    </row>
    <row r="507" spans="1:3">
      <c r="A507" t="s">
        <v>7551</v>
      </c>
      <c r="B507" t="str">
        <f ca="1">IF(ISBLANK(OFFSET(B507,0,'Field labels'!$Q$1)),C507,OFFSET(B507,0,'Field labels'!$Q$1))</f>
        <v>G&amp;A-Selling (954045-LE001109)</v>
      </c>
      <c r="C507" t="s">
        <v>6444</v>
      </c>
    </row>
    <row r="508" spans="1:3">
      <c r="A508" t="s">
        <v>7551</v>
      </c>
      <c r="B508" t="str">
        <f ca="1">IF(ISBLANK(OFFSET(B508,0,'Field labels'!$Q$1)),C508,OFFSET(B508,0,'Field labels'!$Q$1))</f>
        <v>Port operation cost (954030-LE001109)</v>
      </c>
      <c r="C508" t="s">
        <v>6859</v>
      </c>
    </row>
    <row r="509" spans="1:3">
      <c r="A509" t="s">
        <v>7531</v>
      </c>
      <c r="B509" t="str">
        <f ca="1">IF(ISBLANK(OFFSET(B509,0,'Field labels'!$Q$1)),C509,OFFSET(B509,0,'Field labels'!$Q$1))</f>
        <v>FEED Hefei-PLANT (483007-LE001185)</v>
      </c>
      <c r="C509" t="s">
        <v>6170</v>
      </c>
    </row>
    <row r="510" spans="1:3">
      <c r="A510" t="s">
        <v>7531</v>
      </c>
      <c r="B510" t="str">
        <f ca="1">IF(ISBLANK(OFFSET(B510,0,'Field labels'!$Q$1)),C510,OFFSET(B510,0,'Field labels'!$Q$1))</f>
        <v>Functional CFN Hefei (483812-LE001185)</v>
      </c>
      <c r="C510" t="s">
        <v>6394</v>
      </c>
    </row>
    <row r="511" spans="1:3">
      <c r="A511" t="s">
        <v>7531</v>
      </c>
      <c r="B511" t="str">
        <f ca="1">IF(ISBLANK(OFFSET(B511,0,'Field labels'!$Q$1)),C511,OFFSET(B511,0,'Field labels'!$Q$1))</f>
        <v>Hefei Hog (483109-LE001185)</v>
      </c>
      <c r="C511" t="s">
        <v>6551</v>
      </c>
    </row>
    <row r="512" spans="1:3">
      <c r="A512" t="s">
        <v>7531</v>
      </c>
      <c r="B512" t="str">
        <f ca="1">IF(ISBLANK(OFFSET(B512,0,'Field labels'!$Q$1)),C512,OFFSET(B512,0,'Field labels'!$Q$1))</f>
        <v>Hefei Ruminant (483209-LE001185)</v>
      </c>
      <c r="C512" t="s">
        <v>6552</v>
      </c>
    </row>
    <row r="513" spans="1:3">
      <c r="A513" t="s">
        <v>7490</v>
      </c>
      <c r="B513" t="str">
        <f ca="1">IF(ISBLANK(OFFSET(B513,0,'Field labels'!$Q$1)),C513,OFFSET(B513,0,'Field labels'!$Q$1))</f>
        <v>ABSENT WITHOUT PAY-1 (650393-LE001275)</v>
      </c>
      <c r="C513" t="s">
        <v>5483</v>
      </c>
    </row>
    <row r="514" spans="1:3">
      <c r="A514" t="s">
        <v>7490</v>
      </c>
      <c r="B514" t="str">
        <f ca="1">IF(ISBLANK(OFFSET(B514,0,'Field labels'!$Q$1)),C514,OFFSET(B514,0,'Field labels'!$Q$1))</f>
        <v>Arrival General - FP 2 Shift2 (650601-LE001275)</v>
      </c>
      <c r="C514" t="s">
        <v>5566</v>
      </c>
    </row>
    <row r="515" spans="1:3">
      <c r="A515" t="s">
        <v>7490</v>
      </c>
      <c r="B515" t="str">
        <f ca="1">IF(ISBLANK(OFFSET(B515,0,'Field labels'!$Q$1)),C515,OFFSET(B515,0,'Field labels'!$Q$1))</f>
        <v>BB 18 (650341-LE001275)</v>
      </c>
      <c r="C515" t="s">
        <v>5573</v>
      </c>
    </row>
    <row r="516" spans="1:3">
      <c r="A516" t="s">
        <v>7490</v>
      </c>
      <c r="B516" t="str">
        <f ca="1">IF(ISBLANK(OFFSET(B516,0,'Field labels'!$Q$1)),C516,OFFSET(B516,0,'Field labels'!$Q$1))</f>
        <v>BB 19 (650342-LE001275)</v>
      </c>
      <c r="C516" t="s">
        <v>5574</v>
      </c>
    </row>
    <row r="517" spans="1:3">
      <c r="A517" t="s">
        <v>7490</v>
      </c>
      <c r="B517" t="str">
        <f ca="1">IF(ISBLANK(OFFSET(B517,0,'Field labels'!$Q$1)),C517,OFFSET(B517,0,'Field labels'!$Q$1))</f>
        <v>BB 20 (650440-LE001275)</v>
      </c>
      <c r="C517" t="s">
        <v>5575</v>
      </c>
    </row>
    <row r="518" spans="1:3">
      <c r="A518" t="s">
        <v>7490</v>
      </c>
      <c r="B518" t="str">
        <f ca="1">IF(ISBLANK(OFFSET(B518,0,'Field labels'!$Q$1)),C518,OFFSET(B518,0,'Field labels'!$Q$1))</f>
        <v>BB 21 (650441-LE001275)</v>
      </c>
      <c r="C518" t="s">
        <v>5576</v>
      </c>
    </row>
    <row r="519" spans="1:3">
      <c r="A519" t="s">
        <v>7490</v>
      </c>
      <c r="B519" t="str">
        <f ca="1">IF(ISBLANK(OFFSET(B519,0,'Field labels'!$Q$1)),C519,OFFSET(B519,0,'Field labels'!$Q$1))</f>
        <v>BB 22 (650442-LE001275)</v>
      </c>
      <c r="C519" t="s">
        <v>5577</v>
      </c>
    </row>
    <row r="520" spans="1:3">
      <c r="A520" t="s">
        <v>7490</v>
      </c>
      <c r="B520" t="str">
        <f ca="1">IF(ISBLANK(OFFSET(B520,0,'Field labels'!$Q$1)),C520,OFFSET(B520,0,'Field labels'!$Q$1))</f>
        <v>BB Raw Meat 4 (658326-LE001275)</v>
      </c>
      <c r="C520" t="s">
        <v>5578</v>
      </c>
    </row>
    <row r="521" spans="1:3">
      <c r="A521" t="s">
        <v>7490</v>
      </c>
      <c r="B521" t="str">
        <f ca="1">IF(ISBLANK(OFFSET(B521,0,'Field labels'!$Q$1)),C521,OFFSET(B521,0,'Field labels'!$Q$1))</f>
        <v>BB Special 1/2 (658322-LE001275)</v>
      </c>
      <c r="C521" t="s">
        <v>5579</v>
      </c>
    </row>
    <row r="522" spans="1:3">
      <c r="A522" t="s">
        <v>7490</v>
      </c>
      <c r="B522" t="str">
        <f ca="1">IF(ISBLANK(OFFSET(B522,0,'Field labels'!$Q$1)),C522,OFFSET(B522,0,'Field labels'!$Q$1))</f>
        <v>BB Special 10/2 (658334-LE001275)</v>
      </c>
      <c r="C522" t="s">
        <v>5580</v>
      </c>
    </row>
    <row r="523" spans="1:3">
      <c r="A523" t="s">
        <v>7490</v>
      </c>
      <c r="B523" t="str">
        <f ca="1">IF(ISBLANK(OFFSET(B523,0,'Field labels'!$Q$1)),C523,OFFSET(B523,0,'Field labels'!$Q$1))</f>
        <v>BIL DS 11-B (658831-LE001275)</v>
      </c>
      <c r="C523" t="s">
        <v>5585</v>
      </c>
    </row>
    <row r="524" spans="1:3">
      <c r="A524" t="s">
        <v>7490</v>
      </c>
      <c r="B524" t="str">
        <f ca="1">IF(ISBLANK(OFFSET(B524,0,'Field labels'!$Q$1)),C524,OFFSET(B524,0,'Field labels'!$Q$1))</f>
        <v>BIL DS 12-B (658832-LE001275)</v>
      </c>
      <c r="C524" t="s">
        <v>5586</v>
      </c>
    </row>
    <row r="525" spans="1:3">
      <c r="A525" t="s">
        <v>7490</v>
      </c>
      <c r="B525" t="str">
        <f ca="1">IF(ISBLANK(OFFSET(B525,0,'Field labels'!$Q$1)),C525,OFFSET(B525,0,'Field labels'!$Q$1))</f>
        <v>BIL DS./BIL SP 13 (658421-LE001275)</v>
      </c>
      <c r="C525" t="s">
        <v>5587</v>
      </c>
    </row>
    <row r="526" spans="1:3">
      <c r="A526" t="s">
        <v>7490</v>
      </c>
      <c r="B526" t="str">
        <f ca="1">IF(ISBLANK(OFFSET(B526,0,'Field labels'!$Q$1)),C526,OFFSET(B526,0,'Field labels'!$Q$1))</f>
        <v>BIL DS./BIL SP 14 (658422-LE001275)</v>
      </c>
      <c r="C526" t="s">
        <v>5588</v>
      </c>
    </row>
    <row r="527" spans="1:3">
      <c r="A527" t="s">
        <v>7490</v>
      </c>
      <c r="B527" t="str">
        <f ca="1">IF(ISBLANK(OFFSET(B527,0,'Field labels'!$Q$1)),C527,OFFSET(B527,0,'Field labels'!$Q$1))</f>
        <v>BIL DS2-A (658821-LE001275)</v>
      </c>
      <c r="C527" t="s">
        <v>5589</v>
      </c>
    </row>
    <row r="528" spans="1:3">
      <c r="A528" t="s">
        <v>7490</v>
      </c>
      <c r="B528" t="str">
        <f ca="1">IF(ISBLANK(OFFSET(B528,0,'Field labels'!$Q$1)),C528,OFFSET(B528,0,'Field labels'!$Q$1))</f>
        <v>BL 10 (650425-LE001275)</v>
      </c>
      <c r="C528" t="s">
        <v>5595</v>
      </c>
    </row>
    <row r="529" spans="1:3">
      <c r="A529" t="s">
        <v>7490</v>
      </c>
      <c r="B529" t="str">
        <f ca="1">IF(ISBLANK(OFFSET(B529,0,'Field labels'!$Q$1)),C529,OFFSET(B529,0,'Field labels'!$Q$1))</f>
        <v>BL 4 (650326-LE001275)</v>
      </c>
      <c r="C529" t="s">
        <v>5596</v>
      </c>
    </row>
    <row r="530" spans="1:3">
      <c r="A530" t="s">
        <v>7490</v>
      </c>
      <c r="B530" t="str">
        <f ca="1">IF(ISBLANK(OFFSET(B530,0,'Field labels'!$Q$1)),C530,OFFSET(B530,0,'Field labels'!$Q$1))</f>
        <v>BL 7 (650422-LE001275)</v>
      </c>
      <c r="C530" t="s">
        <v>5597</v>
      </c>
    </row>
    <row r="531" spans="1:3">
      <c r="A531" t="s">
        <v>7490</v>
      </c>
      <c r="B531" t="str">
        <f ca="1">IF(ISBLANK(OFFSET(B531,0,'Field labels'!$Q$1)),C531,OFFSET(B531,0,'Field labels'!$Q$1))</f>
        <v>BL Kizami 1-A (650329-LE001275)</v>
      </c>
      <c r="C531" t="s">
        <v>5598</v>
      </c>
    </row>
    <row r="532" spans="1:3">
      <c r="A532" t="s">
        <v>7490</v>
      </c>
      <c r="B532" t="str">
        <f ca="1">IF(ISBLANK(OFFSET(B532,0,'Field labels'!$Q$1)),C532,OFFSET(B532,0,'Field labels'!$Q$1))</f>
        <v>BL Kizami 2-B (650429-LE001275)</v>
      </c>
      <c r="C532" t="s">
        <v>5599</v>
      </c>
    </row>
    <row r="533" spans="1:3">
      <c r="A533" t="s">
        <v>7490</v>
      </c>
      <c r="B533" t="str">
        <f ca="1">IF(ISBLANK(OFFSET(B533,0,'Field labels'!$Q$1)),C533,OFFSET(B533,0,'Field labels'!$Q$1))</f>
        <v>BL Raw Meat 11 (658335-LE001275)</v>
      </c>
      <c r="C533" t="s">
        <v>5600</v>
      </c>
    </row>
    <row r="534" spans="1:3">
      <c r="A534" t="s">
        <v>7490</v>
      </c>
      <c r="B534" t="str">
        <f ca="1">IF(ISBLANK(OFFSET(B534,0,'Field labels'!$Q$1)),C534,OFFSET(B534,0,'Field labels'!$Q$1))</f>
        <v>BL SP 15 (658423-LE001275)</v>
      </c>
      <c r="C534" t="s">
        <v>5601</v>
      </c>
    </row>
    <row r="535" spans="1:3">
      <c r="A535" t="s">
        <v>7490</v>
      </c>
      <c r="B535" t="str">
        <f ca="1">IF(ISBLANK(OFFSET(B535,0,'Field labels'!$Q$1)),C535,OFFSET(B535,0,'Field labels'!$Q$1))</f>
        <v>BL SP Scanvaegt 16 (658424-LE001275)</v>
      </c>
      <c r="C535" t="s">
        <v>5602</v>
      </c>
    </row>
    <row r="536" spans="1:3">
      <c r="A536" t="s">
        <v>7490</v>
      </c>
      <c r="B536" t="str">
        <f ca="1">IF(ISBLANK(OFFSET(B536,0,'Field labels'!$Q$1)),C536,OFFSET(B536,0,'Field labels'!$Q$1))</f>
        <v>BL SP Scanvaegt 8 (658331-LE001275)</v>
      </c>
      <c r="C536" t="s">
        <v>5603</v>
      </c>
    </row>
    <row r="537" spans="1:3">
      <c r="A537" t="s">
        <v>7490</v>
      </c>
      <c r="B537" t="str">
        <f ca="1">IF(ISBLANK(OFFSET(B537,0,'Field labels'!$Q$1)),C537,OFFSET(B537,0,'Field labels'!$Q$1))</f>
        <v>BLOOD COOKING-A (650305-LE001275)</v>
      </c>
      <c r="C537" t="s">
        <v>5606</v>
      </c>
    </row>
    <row r="538" spans="1:3">
      <c r="A538" t="s">
        <v>7490</v>
      </c>
      <c r="B538" t="str">
        <f ca="1">IF(ISBLANK(OFFSET(B538,0,'Field labels'!$Q$1)),C538,OFFSET(B538,0,'Field labels'!$Q$1))</f>
        <v>BLOOD COOKING-A (658305-LE001275)</v>
      </c>
      <c r="C538" t="s">
        <v>5605</v>
      </c>
    </row>
    <row r="539" spans="1:3">
      <c r="A539" t="s">
        <v>7490</v>
      </c>
      <c r="B539" t="str">
        <f ca="1">IF(ISBLANK(OFFSET(B539,0,'Field labels'!$Q$1)),C539,OFFSET(B539,0,'Field labels'!$Q$1))</f>
        <v>BLOOD COOKING-A (658805-LE001275)</v>
      </c>
      <c r="C539" t="s">
        <v>5604</v>
      </c>
    </row>
    <row r="540" spans="1:3">
      <c r="A540" t="s">
        <v>7490</v>
      </c>
      <c r="B540" t="str">
        <f ca="1">IF(ISBLANK(OFFSET(B540,0,'Field labels'!$Q$1)),C540,OFFSET(B540,0,'Field labels'!$Q$1))</f>
        <v>BLOOD COOKING-B (650405-LE001275)</v>
      </c>
      <c r="C540" t="s">
        <v>5609</v>
      </c>
    </row>
    <row r="541" spans="1:3">
      <c r="A541" t="s">
        <v>7490</v>
      </c>
      <c r="B541" t="str">
        <f ca="1">IF(ISBLANK(OFFSET(B541,0,'Field labels'!$Q$1)),C541,OFFSET(B541,0,'Field labels'!$Q$1))</f>
        <v>BLOOD COOKING-B (658405-LE001275)</v>
      </c>
      <c r="C541" t="s">
        <v>5608</v>
      </c>
    </row>
    <row r="542" spans="1:3">
      <c r="A542" t="s">
        <v>7490</v>
      </c>
      <c r="B542" t="str">
        <f ca="1">IF(ISBLANK(OFFSET(B542,0,'Field labels'!$Q$1)),C542,OFFSET(B542,0,'Field labels'!$Q$1))</f>
        <v>BLOOD COOKING-B (658605-LE001275)</v>
      </c>
      <c r="C542" t="s">
        <v>5607</v>
      </c>
    </row>
    <row r="543" spans="1:3">
      <c r="A543" t="s">
        <v>7490</v>
      </c>
      <c r="B543" t="str">
        <f ca="1">IF(ISBLANK(OFFSET(B543,0,'Field labels'!$Q$1)),C543,OFFSET(B543,0,'Field labels'!$Q$1))</f>
        <v>Boxing A PP2 (658361-LE001275)</v>
      </c>
      <c r="C543" t="s">
        <v>5622</v>
      </c>
    </row>
    <row r="544" spans="1:3">
      <c r="A544" t="s">
        <v>7490</v>
      </c>
      <c r="B544" t="str">
        <f ca="1">IF(ISBLANK(OFFSET(B544,0,'Field labels'!$Q$1)),C544,OFFSET(B544,0,'Field labels'!$Q$1))</f>
        <v>Boxing B PP2 (658461-LE001275)</v>
      </c>
      <c r="C544" t="s">
        <v>5623</v>
      </c>
    </row>
    <row r="545" spans="1:3">
      <c r="A545" t="s">
        <v>7490</v>
      </c>
      <c r="B545" t="str">
        <f ca="1">IF(ISBLANK(OFFSET(B545,0,'Field labels'!$Q$1)),C545,OFFSET(B545,0,'Field labels'!$Q$1))</f>
        <v>BOXING-A (650361-LE001275)</v>
      </c>
      <c r="C545" t="s">
        <v>5624</v>
      </c>
    </row>
    <row r="546" spans="1:3">
      <c r="A546" t="s">
        <v>7490</v>
      </c>
      <c r="B546" t="str">
        <f ca="1">IF(ISBLANK(OFFSET(B546,0,'Field labels'!$Q$1)),C546,OFFSET(B546,0,'Field labels'!$Q$1))</f>
        <v>BOXING-B (650461-LE001275)</v>
      </c>
      <c r="C546" t="s">
        <v>5625</v>
      </c>
    </row>
    <row r="547" spans="1:3">
      <c r="A547" t="s">
        <v>7490</v>
      </c>
      <c r="B547" t="str">
        <f ca="1">IF(ISBLANK(OFFSET(B547,0,'Field labels'!$Q$1)),C547,OFFSET(B547,0,'Field labels'!$Q$1))</f>
        <v>BREEDER 10 (658106-LE001275)</v>
      </c>
      <c r="C547" t="s">
        <v>5626</v>
      </c>
    </row>
    <row r="548" spans="1:3">
      <c r="A548" t="s">
        <v>7490</v>
      </c>
      <c r="B548" t="str">
        <f ca="1">IF(ISBLANK(OFFSET(B548,0,'Field labels'!$Q$1)),C548,OFFSET(B548,0,'Field labels'!$Q$1))</f>
        <v>Breeder 13 (650130-LE001275)</v>
      </c>
      <c r="C548" t="s">
        <v>5627</v>
      </c>
    </row>
    <row r="549" spans="1:3">
      <c r="A549" t="s">
        <v>7490</v>
      </c>
      <c r="B549" t="str">
        <f ca="1">IF(ISBLANK(OFFSET(B549,0,'Field labels'!$Q$1)),C549,OFFSET(B549,0,'Field labels'!$Q$1))</f>
        <v>Breeder 14 (650131-LE001275)</v>
      </c>
      <c r="C549" t="s">
        <v>5628</v>
      </c>
    </row>
    <row r="550" spans="1:3">
      <c r="A550" t="s">
        <v>7490</v>
      </c>
      <c r="B550" t="str">
        <f ca="1">IF(ISBLANK(OFFSET(B550,0,'Field labels'!$Q$1)),C550,OFFSET(B550,0,'Field labels'!$Q$1))</f>
        <v>BREEDER 6 (658109-LE001275)</v>
      </c>
      <c r="C550" t="s">
        <v>5629</v>
      </c>
    </row>
    <row r="551" spans="1:3">
      <c r="A551" t="s">
        <v>7490</v>
      </c>
      <c r="B551" t="str">
        <f ca="1">IF(ISBLANK(OFFSET(B551,0,'Field labels'!$Q$1)),C551,OFFSET(B551,0,'Field labels'!$Q$1))</f>
        <v>Breeder 7 (658110-LE001275)</v>
      </c>
      <c r="C551" t="s">
        <v>5630</v>
      </c>
    </row>
    <row r="552" spans="1:3">
      <c r="A552" t="s">
        <v>7490</v>
      </c>
      <c r="B552" t="str">
        <f ca="1">IF(ISBLANK(OFFSET(B552,0,'Field labels'!$Q$1)),C552,OFFSET(B552,0,'Field labels'!$Q$1))</f>
        <v>Breeder Farm 9 (658105-LE001275)</v>
      </c>
      <c r="C552" t="s">
        <v>5631</v>
      </c>
    </row>
    <row r="553" spans="1:3">
      <c r="A553" t="s">
        <v>7490</v>
      </c>
      <c r="B553" t="str">
        <f ca="1">IF(ISBLANK(OFFSET(B553,0,'Field labels'!$Q$1)),C553,OFFSET(B553,0,'Field labels'!$Q$1))</f>
        <v>CAT2 (650911-LE001275)</v>
      </c>
      <c r="C553" t="s">
        <v>5672</v>
      </c>
    </row>
    <row r="554" spans="1:3">
      <c r="A554" t="s">
        <v>7490</v>
      </c>
      <c r="B554" t="str">
        <f ca="1">IF(ISBLANK(OFFSET(B554,0,'Field labels'!$Q$1)),C554,OFFSET(B554,0,'Field labels'!$Q$1))</f>
        <v>Central  Warehouse 2 (650663-LE001275)</v>
      </c>
      <c r="C554" t="s">
        <v>5684</v>
      </c>
    </row>
    <row r="555" spans="1:3">
      <c r="A555" t="s">
        <v>7490</v>
      </c>
      <c r="B555" t="str">
        <f ca="1">IF(ISBLANK(OFFSET(B555,0,'Field labels'!$Q$1)),C555,OFFSET(B555,0,'Field labels'!$Q$1))</f>
        <v>Central Warehouse (650661-LE001275)</v>
      </c>
      <c r="C555" t="s">
        <v>5685</v>
      </c>
    </row>
    <row r="556" spans="1:3">
      <c r="A556" t="s">
        <v>7490</v>
      </c>
      <c r="B556" t="str">
        <f ca="1">IF(ISBLANK(OFFSET(B556,0,'Field labels'!$Q$1)),C556,OFFSET(B556,0,'Field labels'!$Q$1))</f>
        <v>CHILLING-A (650307-LE001275)</v>
      </c>
      <c r="C556" t="s">
        <v>5724</v>
      </c>
    </row>
    <row r="557" spans="1:3">
      <c r="A557" t="s">
        <v>7490</v>
      </c>
      <c r="B557" t="str">
        <f ca="1">IF(ISBLANK(OFFSET(B557,0,'Field labels'!$Q$1)),C557,OFFSET(B557,0,'Field labels'!$Q$1))</f>
        <v>CHILLING-A (658307-LE001275)</v>
      </c>
      <c r="C557" t="s">
        <v>5723</v>
      </c>
    </row>
    <row r="558" spans="1:3">
      <c r="A558" t="s">
        <v>7490</v>
      </c>
      <c r="B558" t="str">
        <f ca="1">IF(ISBLANK(OFFSET(B558,0,'Field labels'!$Q$1)),C558,OFFSET(B558,0,'Field labels'!$Q$1))</f>
        <v>CHILLING-A (658807-LE001275)</v>
      </c>
      <c r="C558" t="s">
        <v>5722</v>
      </c>
    </row>
    <row r="559" spans="1:3">
      <c r="A559" t="s">
        <v>7490</v>
      </c>
      <c r="B559" t="str">
        <f ca="1">IF(ISBLANK(OFFSET(B559,0,'Field labels'!$Q$1)),C559,OFFSET(B559,0,'Field labels'!$Q$1))</f>
        <v>CHILLING-B (650407-LE001275)</v>
      </c>
      <c r="C559" t="s">
        <v>5727</v>
      </c>
    </row>
    <row r="560" spans="1:3">
      <c r="A560" t="s">
        <v>7490</v>
      </c>
      <c r="B560" t="str">
        <f ca="1">IF(ISBLANK(OFFSET(B560,0,'Field labels'!$Q$1)),C560,OFFSET(B560,0,'Field labels'!$Q$1))</f>
        <v>CHILLING-B (658407-LE001275)</v>
      </c>
      <c r="C560" t="s">
        <v>5726</v>
      </c>
    </row>
    <row r="561" spans="1:3">
      <c r="A561" t="s">
        <v>7490</v>
      </c>
      <c r="B561" t="str">
        <f ca="1">IF(ISBLANK(OFFSET(B561,0,'Field labels'!$Q$1)),C561,OFFSET(B561,0,'Field labels'!$Q$1))</f>
        <v>CHILLING-B (658607-LE001275)</v>
      </c>
      <c r="C561" t="s">
        <v>5725</v>
      </c>
    </row>
    <row r="562" spans="1:3">
      <c r="A562" t="s">
        <v>7490</v>
      </c>
      <c r="B562" t="str">
        <f ca="1">IF(ISBLANK(OFFSET(B562,0,'Field labels'!$Q$1)),C562,OFFSET(B562,0,'Field labels'!$Q$1))</f>
        <v>Club House (658924-LE001275)</v>
      </c>
      <c r="C562" t="s">
        <v>5874</v>
      </c>
    </row>
    <row r="563" spans="1:3">
      <c r="A563" t="s">
        <v>7490</v>
      </c>
      <c r="B563" t="str">
        <f ca="1">IF(ISBLANK(OFFSET(B563,0,'Field labels'!$Q$1)),C563,OFFSET(B563,0,'Field labels'!$Q$1))</f>
        <v>CMK AGRICULTURAL ADMIN (658199-LE001275)</v>
      </c>
      <c r="C563" t="s">
        <v>5875</v>
      </c>
    </row>
    <row r="564" spans="1:3">
      <c r="A564" t="s">
        <v>7490</v>
      </c>
      <c r="B564" t="str">
        <f ca="1">IF(ISBLANK(OFFSET(B564,0,'Field labels'!$Q$1)),C564,OFFSET(B564,0,'Field labels'!$Q$1))</f>
        <v>CMK Breeder 11 (658107-LE001275)</v>
      </c>
      <c r="C564" t="s">
        <v>5876</v>
      </c>
    </row>
    <row r="565" spans="1:3">
      <c r="A565" t="s">
        <v>7490</v>
      </c>
      <c r="B565" t="str">
        <f ca="1">IF(ISBLANK(OFFSET(B565,0,'Field labels'!$Q$1)),C565,OFFSET(B565,0,'Field labels'!$Q$1))</f>
        <v>CMK Breeder 12 (658108-LE001275)</v>
      </c>
      <c r="C565" t="s">
        <v>5877</v>
      </c>
    </row>
    <row r="566" spans="1:3">
      <c r="A566" t="s">
        <v>7490</v>
      </c>
      <c r="B566" t="str">
        <f ca="1">IF(ISBLANK(OFFSET(B566,0,'Field labels'!$Q$1)),C566,OFFSET(B566,0,'Field labels'!$Q$1))</f>
        <v>CMK BREEDER 5 (658103-LE001275)</v>
      </c>
      <c r="C566" t="s">
        <v>5878</v>
      </c>
    </row>
    <row r="567" spans="1:3">
      <c r="A567" t="s">
        <v>7490</v>
      </c>
      <c r="B567" t="str">
        <f ca="1">IF(ISBLANK(OFFSET(B567,0,'Field labels'!$Q$1)),C567,OFFSET(B567,0,'Field labels'!$Q$1))</f>
        <v>CMK BREEDER 8 (658104-LE001275)</v>
      </c>
      <c r="C567" t="s">
        <v>5879</v>
      </c>
    </row>
    <row r="568" spans="1:3">
      <c r="A568" t="s">
        <v>7490</v>
      </c>
      <c r="B568" t="str">
        <f ca="1">IF(ISBLANK(OFFSET(B568,0,'Field labels'!$Q$1)),C568,OFFSET(B568,0,'Field labels'!$Q$1))</f>
        <v>CMK DEBONE GENERAL (658810-LE001275)</v>
      </c>
      <c r="C568" t="s">
        <v>5880</v>
      </c>
    </row>
    <row r="569" spans="1:3">
      <c r="A569" t="s">
        <v>7490</v>
      </c>
      <c r="B569" t="str">
        <f ca="1">IF(ISBLANK(OFFSET(B569,0,'Field labels'!$Q$1)),C569,OFFSET(B569,0,'Field labels'!$Q$1))</f>
        <v>CMK Employee Services (658931-LE001275)</v>
      </c>
      <c r="C569" t="s">
        <v>5881</v>
      </c>
    </row>
    <row r="570" spans="1:3">
      <c r="A570" t="s">
        <v>7490</v>
      </c>
      <c r="B570" t="str">
        <f ca="1">IF(ISBLANK(OFFSET(B570,0,'Field labels'!$Q$1)),C570,OFFSET(B570,0,'Field labels'!$Q$1))</f>
        <v>CMK HR-Employee Relations (658932-LE001275)</v>
      </c>
      <c r="C570" t="s">
        <v>5882</v>
      </c>
    </row>
    <row r="571" spans="1:3">
      <c r="A571" t="s">
        <v>7490</v>
      </c>
      <c r="B571" t="str">
        <f ca="1">IF(ISBLANK(OFFSET(B571,0,'Field labels'!$Q$1)),C571,OFFSET(B571,0,'Field labels'!$Q$1))</f>
        <v>CMK HR-Recruitment-Daily (658920-LE001275)</v>
      </c>
      <c r="C571" t="s">
        <v>5883</v>
      </c>
    </row>
    <row r="572" spans="1:3">
      <c r="A572" t="s">
        <v>7490</v>
      </c>
      <c r="B572" t="str">
        <f ca="1">IF(ISBLANK(OFFSET(B572,0,'Field labels'!$Q$1)),C572,OFFSET(B572,0,'Field labels'!$Q$1))</f>
        <v>CMK LOAD DOMESTIC-QC PP (658380-LE001275)</v>
      </c>
      <c r="C572" t="s">
        <v>5884</v>
      </c>
    </row>
    <row r="573" spans="1:3">
      <c r="A573" t="s">
        <v>7490</v>
      </c>
      <c r="B573" t="str">
        <f ca="1">IF(ISBLANK(OFFSET(B573,0,'Field labels'!$Q$1)),C573,OFFSET(B573,0,'Field labels'!$Q$1))</f>
        <v>CMK MAINTENANCE PP3 (658871-LE001275)</v>
      </c>
      <c r="C573" t="s">
        <v>5885</v>
      </c>
    </row>
    <row r="574" spans="1:3">
      <c r="A574" t="s">
        <v>7490</v>
      </c>
      <c r="B574" t="str">
        <f ca="1">IF(ISBLANK(OFFSET(B574,0,'Field labels'!$Q$1)),C574,OFFSET(B574,0,'Field labels'!$Q$1))</f>
        <v>CMK PLANNING PP3 (658891-LE001275)</v>
      </c>
      <c r="C574" t="s">
        <v>5886</v>
      </c>
    </row>
    <row r="575" spans="1:3">
      <c r="A575" t="s">
        <v>7490</v>
      </c>
      <c r="B575" t="str">
        <f ca="1">IF(ISBLANK(OFFSET(B575,0,'Field labels'!$Q$1)),C575,OFFSET(B575,0,'Field labels'!$Q$1))</f>
        <v>CMK PLANT GENERAL (658890-LE001275)</v>
      </c>
      <c r="C575" t="s">
        <v>5887</v>
      </c>
    </row>
    <row r="576" spans="1:3">
      <c r="A576" t="s">
        <v>7490</v>
      </c>
      <c r="B576" t="str">
        <f ca="1">IF(ISBLANK(OFFSET(B576,0,'Field labels'!$Q$1)),C576,OFFSET(B576,0,'Field labels'!$Q$1))</f>
        <v>CMK QUALITY CONTROL PP3 (658881-LE001275)</v>
      </c>
      <c r="C576" t="s">
        <v>5888</v>
      </c>
    </row>
    <row r="577" spans="1:3">
      <c r="A577" t="s">
        <v>7490</v>
      </c>
      <c r="B577" t="str">
        <f ca="1">IF(ISBLANK(OFFSET(B577,0,'Field labels'!$Q$1)),C577,OFFSET(B577,0,'Field labels'!$Q$1))</f>
        <v>CMK RAW FURT PROC BB (658830-LE001275)</v>
      </c>
      <c r="C577" t="s">
        <v>5889</v>
      </c>
    </row>
    <row r="578" spans="1:3">
      <c r="A578" t="s">
        <v>7490</v>
      </c>
      <c r="B578" t="str">
        <f ca="1">IF(ISBLANK(OFFSET(B578,0,'Field labels'!$Q$1)),C578,OFFSET(B578,0,'Field labels'!$Q$1))</f>
        <v>CMK RAW FURTHER GEN PP3 (658820-LE001275)</v>
      </c>
      <c r="C578" t="s">
        <v>5890</v>
      </c>
    </row>
    <row r="579" spans="1:3">
      <c r="A579" t="s">
        <v>7490</v>
      </c>
      <c r="B579" t="str">
        <f ca="1">IF(ISBLANK(OFFSET(B579,0,'Field labels'!$Q$1)),C579,OFFSET(B579,0,'Field labels'!$Q$1))</f>
        <v>CMK RECEIVE HANG&amp;KILL PP3 (658800-LE001275)</v>
      </c>
      <c r="C579" t="s">
        <v>5891</v>
      </c>
    </row>
    <row r="580" spans="1:3">
      <c r="A580" t="s">
        <v>7490</v>
      </c>
      <c r="B580" t="str">
        <f ca="1">IF(ISBLANK(OFFSET(B580,0,'Field labels'!$Q$1)),C580,OFFSET(B580,0,'Field labels'!$Q$1))</f>
        <v>CMK Sub Station (658375-LE001275)</v>
      </c>
      <c r="C580" t="s">
        <v>5892</v>
      </c>
    </row>
    <row r="581" spans="1:3">
      <c r="A581" t="s">
        <v>7490</v>
      </c>
      <c r="B581" t="str">
        <f ca="1">IF(ISBLANK(OFFSET(B581,0,'Field labels'!$Q$1)),C581,OFFSET(B581,0,'Field labels'!$Q$1))</f>
        <v>CMK WAREHOUSE PP (658363-LE001275)</v>
      </c>
      <c r="C581" t="s">
        <v>5893</v>
      </c>
    </row>
    <row r="582" spans="1:3">
      <c r="A582" t="s">
        <v>7490</v>
      </c>
      <c r="B582" t="str">
        <f ca="1">IF(ISBLANK(OFFSET(B582,0,'Field labels'!$Q$1)),C582,OFFSET(B582,0,'Field labels'!$Q$1))</f>
        <v>CMT Pullet 9 (658204-LE001275)</v>
      </c>
      <c r="C582" t="s">
        <v>5894</v>
      </c>
    </row>
    <row r="583" spans="1:3">
      <c r="A583" t="s">
        <v>7490</v>
      </c>
      <c r="B583" t="str">
        <f ca="1">IF(ISBLANK(OFFSET(B583,0,'Field labels'!$Q$1)),C583,OFFSET(B583,0,'Field labels'!$Q$1))</f>
        <v>Cold Storage -FP4 (658667-LE001275)</v>
      </c>
      <c r="C583" t="s">
        <v>5901</v>
      </c>
    </row>
    <row r="584" spans="1:3">
      <c r="A584" t="s">
        <v>7490</v>
      </c>
      <c r="B584" t="str">
        <f ca="1">IF(ISBLANK(OFFSET(B584,0,'Field labels'!$Q$1)),C584,OFFSET(B584,0,'Field labels'!$Q$1))</f>
        <v>Communication (650970-LE001275)</v>
      </c>
      <c r="C584" t="s">
        <v>5924</v>
      </c>
    </row>
    <row r="585" spans="1:3">
      <c r="A585" t="s">
        <v>7490</v>
      </c>
      <c r="B585" t="str">
        <f ca="1">IF(ISBLANK(OFFSET(B585,0,'Field labels'!$Q$1)),C585,OFFSET(B585,0,'Field labels'!$Q$1))</f>
        <v>Cook Line 1-1 (650531-LE001275)</v>
      </c>
      <c r="C585" t="s">
        <v>5931</v>
      </c>
    </row>
    <row r="586" spans="1:3">
      <c r="A586" t="s">
        <v>7490</v>
      </c>
      <c r="B586" t="str">
        <f ca="1">IF(ISBLANK(OFFSET(B586,0,'Field labels'!$Q$1)),C586,OFFSET(B586,0,'Field labels'!$Q$1))</f>
        <v>Cook Line 3- 1 (650533-LE001275)</v>
      </c>
      <c r="C586" t="s">
        <v>5932</v>
      </c>
    </row>
    <row r="587" spans="1:3">
      <c r="A587" t="s">
        <v>7490</v>
      </c>
      <c r="B587" t="str">
        <f ca="1">IF(ISBLANK(OFFSET(B587,0,'Field labels'!$Q$1)),C587,OFFSET(B587,0,'Field labels'!$Q$1))</f>
        <v>Cook Line 4-1 (650534-LE001275)</v>
      </c>
      <c r="C587" t="s">
        <v>5933</v>
      </c>
    </row>
    <row r="588" spans="1:3">
      <c r="A588" t="s">
        <v>7490</v>
      </c>
      <c r="B588" t="str">
        <f ca="1">IF(ISBLANK(OFFSET(B588,0,'Field labels'!$Q$1)),C588,OFFSET(B588,0,'Field labels'!$Q$1))</f>
        <v>Cook Line 5-2 (650537-LE001275)</v>
      </c>
      <c r="C588" t="s">
        <v>5934</v>
      </c>
    </row>
    <row r="589" spans="1:3">
      <c r="A589" t="s">
        <v>7490</v>
      </c>
      <c r="B589" t="str">
        <f ca="1">IF(ISBLANK(OFFSET(B589,0,'Field labels'!$Q$1)),C589,OFFSET(B589,0,'Field labels'!$Q$1))</f>
        <v>Cook Line 6-2 (650633-LE001275)</v>
      </c>
      <c r="C589" t="s">
        <v>5935</v>
      </c>
    </row>
    <row r="590" spans="1:3">
      <c r="A590" t="s">
        <v>7490</v>
      </c>
      <c r="B590" t="str">
        <f ca="1">IF(ISBLANK(OFFSET(B590,0,'Field labels'!$Q$1)),C590,OFFSET(B590,0,'Field labels'!$Q$1))</f>
        <v>Cook Line 7-2 (650634-LE001275)</v>
      </c>
      <c r="C590" t="s">
        <v>5936</v>
      </c>
    </row>
    <row r="591" spans="1:3">
      <c r="A591" t="s">
        <v>7490</v>
      </c>
      <c r="B591" t="str">
        <f ca="1">IF(ISBLANK(OFFSET(B591,0,'Field labels'!$Q$1)),C591,OFFSET(B591,0,'Field labels'!$Q$1))</f>
        <v>CSR &amp; Community Relation (650971-LE001275)</v>
      </c>
      <c r="C591" t="s">
        <v>6010</v>
      </c>
    </row>
    <row r="592" spans="1:3">
      <c r="A592" t="s">
        <v>7490</v>
      </c>
      <c r="B592" t="str">
        <f ca="1">IF(ISBLANK(OFFSET(B592,0,'Field labels'!$Q$1)),C592,OFFSET(B592,0,'Field labels'!$Q$1))</f>
        <v>DEBONE 1 (650311-LE001275)</v>
      </c>
      <c r="C592" t="s">
        <v>6080</v>
      </c>
    </row>
    <row r="593" spans="1:3">
      <c r="A593" t="s">
        <v>7490</v>
      </c>
      <c r="B593" t="str">
        <f ca="1">IF(ISBLANK(OFFSET(B593,0,'Field labels'!$Q$1)),C593,OFFSET(B593,0,'Field labels'!$Q$1))</f>
        <v>DEBONE 1 (658311-LE001275)</v>
      </c>
      <c r="C593" t="s">
        <v>6079</v>
      </c>
    </row>
    <row r="594" spans="1:3">
      <c r="A594" t="s">
        <v>7490</v>
      </c>
      <c r="B594" t="str">
        <f ca="1">IF(ISBLANK(OFFSET(B594,0,'Field labels'!$Q$1)),C594,OFFSET(B594,0,'Field labels'!$Q$1))</f>
        <v>DEBONE 2 (650312-LE001275)</v>
      </c>
      <c r="C594" t="s">
        <v>6082</v>
      </c>
    </row>
    <row r="595" spans="1:3">
      <c r="A595" t="s">
        <v>7490</v>
      </c>
      <c r="B595" t="str">
        <f ca="1">IF(ISBLANK(OFFSET(B595,0,'Field labels'!$Q$1)),C595,OFFSET(B595,0,'Field labels'!$Q$1))</f>
        <v>DEBONE 2 (658312-LE001275)</v>
      </c>
      <c r="C595" t="s">
        <v>6081</v>
      </c>
    </row>
    <row r="596" spans="1:3">
      <c r="A596" t="s">
        <v>7490</v>
      </c>
      <c r="B596" t="str">
        <f ca="1">IF(ISBLANK(OFFSET(B596,0,'Field labels'!$Q$1)),C596,OFFSET(B596,0,'Field labels'!$Q$1))</f>
        <v>DEBONE 3 (650313-LE001275)</v>
      </c>
      <c r="C596" t="s">
        <v>6084</v>
      </c>
    </row>
    <row r="597" spans="1:3">
      <c r="A597" t="s">
        <v>7490</v>
      </c>
      <c r="B597" t="str">
        <f ca="1">IF(ISBLANK(OFFSET(B597,0,'Field labels'!$Q$1)),C597,OFFSET(B597,0,'Field labels'!$Q$1))</f>
        <v>DEBONE 3 (658313-LE001275)</v>
      </c>
      <c r="C597" t="s">
        <v>6083</v>
      </c>
    </row>
    <row r="598" spans="1:3">
      <c r="A598" t="s">
        <v>7490</v>
      </c>
      <c r="B598" t="str">
        <f ca="1">IF(ISBLANK(OFFSET(B598,0,'Field labels'!$Q$1)),C598,OFFSET(B598,0,'Field labels'!$Q$1))</f>
        <v>DEBONE 4 (650314-LE001275)</v>
      </c>
      <c r="C598" t="s">
        <v>6086</v>
      </c>
    </row>
    <row r="599" spans="1:3">
      <c r="A599" t="s">
        <v>7490</v>
      </c>
      <c r="B599" t="str">
        <f ca="1">IF(ISBLANK(OFFSET(B599,0,'Field labels'!$Q$1)),C599,OFFSET(B599,0,'Field labels'!$Q$1))</f>
        <v>DEBONE 4 (658314-LE001275)</v>
      </c>
      <c r="C599" t="s">
        <v>6085</v>
      </c>
    </row>
    <row r="600" spans="1:3">
      <c r="A600" t="s">
        <v>7490</v>
      </c>
      <c r="B600" t="str">
        <f ca="1">IF(ISBLANK(OFFSET(B600,0,'Field labels'!$Q$1)),C600,OFFSET(B600,0,'Field labels'!$Q$1))</f>
        <v>DEBONE BL 1 (658411-LE001275)</v>
      </c>
      <c r="C600" t="s">
        <v>6087</v>
      </c>
    </row>
    <row r="601" spans="1:3">
      <c r="A601" t="s">
        <v>7490</v>
      </c>
      <c r="B601" t="str">
        <f ca="1">IF(ISBLANK(OFFSET(B601,0,'Field labels'!$Q$1)),C601,OFFSET(B601,0,'Field labels'!$Q$1))</f>
        <v>DEBONE BL 2 (658413-LE001275)</v>
      </c>
      <c r="C601" t="s">
        <v>6088</v>
      </c>
    </row>
    <row r="602" spans="1:3">
      <c r="A602" t="s">
        <v>7490</v>
      </c>
      <c r="B602" t="str">
        <f ca="1">IF(ISBLANK(OFFSET(B602,0,'Field labels'!$Q$1)),C602,OFFSET(B602,0,'Field labels'!$Q$1))</f>
        <v>DEBONE BL1-A (658813-LE001275)</v>
      </c>
      <c r="C602" t="s">
        <v>6089</v>
      </c>
    </row>
    <row r="603" spans="1:3">
      <c r="A603" t="s">
        <v>7490</v>
      </c>
      <c r="B603" t="str">
        <f ca="1">IF(ISBLANK(OFFSET(B603,0,'Field labels'!$Q$1)),C603,OFFSET(B603,0,'Field labels'!$Q$1))</f>
        <v>DEBONE BL3-B (658613-LE001275)</v>
      </c>
      <c r="C603" t="s">
        <v>6090</v>
      </c>
    </row>
    <row r="604" spans="1:3">
      <c r="A604" t="s">
        <v>7490</v>
      </c>
      <c r="B604" t="str">
        <f ca="1">IF(ISBLANK(OFFSET(B604,0,'Field labels'!$Q$1)),C604,OFFSET(B604,0,'Field labels'!$Q$1))</f>
        <v>Debone BL4 Manual - B (658844-LE001275)</v>
      </c>
      <c r="C604" t="s">
        <v>6091</v>
      </c>
    </row>
    <row r="605" spans="1:3">
      <c r="A605" t="s">
        <v>7490</v>
      </c>
      <c r="B605" t="str">
        <f ca="1">IF(ISBLANK(OFFSET(B605,0,'Field labels'!$Q$1)),C605,OFFSET(B605,0,'Field labels'!$Q$1))</f>
        <v>DEBONE GENERAL KNIFE-A (658843-LE001275)</v>
      </c>
      <c r="C605" t="s">
        <v>6092</v>
      </c>
    </row>
    <row r="606" spans="1:3">
      <c r="A606" t="s">
        <v>7490</v>
      </c>
      <c r="B606" t="str">
        <f ca="1">IF(ISBLANK(OFFSET(B606,0,'Field labels'!$Q$1)),C606,OFFSET(B606,0,'Field labels'!$Q$1))</f>
        <v>DEBONE GENERAL KNIFE-B (658845-LE001275)</v>
      </c>
      <c r="C606" t="s">
        <v>6093</v>
      </c>
    </row>
    <row r="607" spans="1:3">
      <c r="A607" t="s">
        <v>7490</v>
      </c>
      <c r="B607" t="str">
        <f ca="1">IF(ISBLANK(OFFSET(B607,0,'Field labels'!$Q$1)),C607,OFFSET(B607,0,'Field labels'!$Q$1))</f>
        <v>DEBONE GENERAL-B (658610-LE001275)</v>
      </c>
      <c r="C607" t="s">
        <v>6094</v>
      </c>
    </row>
    <row r="608" spans="1:3">
      <c r="A608" t="s">
        <v>7490</v>
      </c>
      <c r="B608" t="str">
        <f ca="1">IF(ISBLANK(OFFSET(B608,0,'Field labels'!$Q$1)),C608,OFFSET(B608,0,'Field labels'!$Q$1))</f>
        <v>DEBONE OH BB 2-A (658812-LE001275)</v>
      </c>
      <c r="C608" t="s">
        <v>6095</v>
      </c>
    </row>
    <row r="609" spans="1:3">
      <c r="A609" t="s">
        <v>7490</v>
      </c>
      <c r="B609" t="str">
        <f ca="1">IF(ISBLANK(OFFSET(B609,0,'Field labels'!$Q$1)),C609,OFFSET(B609,0,'Field labels'!$Q$1))</f>
        <v>DEBONE OH BB4-B (658612-LE001275)</v>
      </c>
      <c r="C609" t="s">
        <v>6096</v>
      </c>
    </row>
    <row r="610" spans="1:3">
      <c r="A610" t="s">
        <v>7490</v>
      </c>
      <c r="B610" t="str">
        <f ca="1">IF(ISBLANK(OFFSET(B610,0,'Field labels'!$Q$1)),C610,OFFSET(B610,0,'Field labels'!$Q$1))</f>
        <v>DEBONE OH BL 1-A (658811-LE001275)</v>
      </c>
      <c r="C610" t="s">
        <v>6097</v>
      </c>
    </row>
    <row r="611" spans="1:3">
      <c r="A611" t="s">
        <v>7490</v>
      </c>
      <c r="B611" t="str">
        <f ca="1">IF(ISBLANK(OFFSET(B611,0,'Field labels'!$Q$1)),C611,OFFSET(B611,0,'Field labels'!$Q$1))</f>
        <v>DEBONE OH BL3-B (658611-LE001275)</v>
      </c>
      <c r="C611" t="s">
        <v>6098</v>
      </c>
    </row>
    <row r="612" spans="1:3">
      <c r="A612" t="s">
        <v>7490</v>
      </c>
      <c r="B612" t="str">
        <f ca="1">IF(ISBLANK(OFFSET(B612,0,'Field labels'!$Q$1)),C612,OFFSET(B612,0,'Field labels'!$Q$1))</f>
        <v>DEBONE OH FILLET-B (658616-LE001275)</v>
      </c>
      <c r="C612" t="s">
        <v>6099</v>
      </c>
    </row>
    <row r="613" spans="1:3">
      <c r="A613" t="s">
        <v>7490</v>
      </c>
      <c r="B613" t="str">
        <f ca="1">IF(ISBLANK(OFFSET(B613,0,'Field labels'!$Q$1)),C613,OFFSET(B613,0,'Field labels'!$Q$1))</f>
        <v>DEBONE SP 1 (658412-LE001275)</v>
      </c>
      <c r="C613" t="s">
        <v>6100</v>
      </c>
    </row>
    <row r="614" spans="1:3">
      <c r="A614" t="s">
        <v>7490</v>
      </c>
      <c r="B614" t="str">
        <f ca="1">IF(ISBLANK(OFFSET(B614,0,'Field labels'!$Q$1)),C614,OFFSET(B614,0,'Field labels'!$Q$1))</f>
        <v>DEBONE SP 2 (658414-LE001275)</v>
      </c>
      <c r="C614" t="s">
        <v>6101</v>
      </c>
    </row>
    <row r="615" spans="1:3">
      <c r="A615" t="s">
        <v>7490</v>
      </c>
      <c r="B615" t="str">
        <f ca="1">IF(ISBLANK(OFFSET(B615,0,'Field labels'!$Q$1)),C615,OFFSET(B615,0,'Field labels'!$Q$1))</f>
        <v>DEBONE SP FILLET-A (658814-LE001275)</v>
      </c>
      <c r="C615" t="s">
        <v>6102</v>
      </c>
    </row>
    <row r="616" spans="1:3">
      <c r="A616" t="s">
        <v>7490</v>
      </c>
      <c r="B616" t="str">
        <f ca="1">IF(ISBLANK(OFFSET(B616,0,'Field labels'!$Q$1)),C616,OFFSET(B616,0,'Field labels'!$Q$1))</f>
        <v>DEBONE SP1-A (658815-LE001275)</v>
      </c>
      <c r="C616" t="s">
        <v>6103</v>
      </c>
    </row>
    <row r="617" spans="1:3">
      <c r="A617" t="s">
        <v>7490</v>
      </c>
      <c r="B617" t="str">
        <f ca="1">IF(ISBLANK(OFFSET(B617,0,'Field labels'!$Q$1)),C617,OFFSET(B617,0,'Field labels'!$Q$1))</f>
        <v>DEBONE SP2-A (658816-LE001275)</v>
      </c>
      <c r="C617" t="s">
        <v>6104</v>
      </c>
    </row>
    <row r="618" spans="1:3">
      <c r="A618" t="s">
        <v>7490</v>
      </c>
      <c r="B618" t="str">
        <f ca="1">IF(ISBLANK(OFFSET(B618,0,'Field labels'!$Q$1)),C618,OFFSET(B618,0,'Field labels'!$Q$1))</f>
        <v>DEBONE SP3-B (658615-LE001275)</v>
      </c>
      <c r="C618" t="s">
        <v>6105</v>
      </c>
    </row>
    <row r="619" spans="1:3">
      <c r="A619" t="s">
        <v>7490</v>
      </c>
      <c r="B619" t="str">
        <f ca="1">IF(ISBLANK(OFFSET(B619,0,'Field labels'!$Q$1)),C619,OFFSET(B619,0,'Field labels'!$Q$1))</f>
        <v>DEBONE-5 (650411-LE001275)</v>
      </c>
      <c r="C619" t="s">
        <v>6106</v>
      </c>
    </row>
    <row r="620" spans="1:3">
      <c r="A620" t="s">
        <v>7490</v>
      </c>
      <c r="B620" t="str">
        <f ca="1">IF(ISBLANK(OFFSET(B620,0,'Field labels'!$Q$1)),C620,OFFSET(B620,0,'Field labels'!$Q$1))</f>
        <v>DEBONE-6 (650412-LE001275)</v>
      </c>
      <c r="C620" t="s">
        <v>6107</v>
      </c>
    </row>
    <row r="621" spans="1:3">
      <c r="A621" t="s">
        <v>7490</v>
      </c>
      <c r="B621" t="str">
        <f ca="1">IF(ISBLANK(OFFSET(B621,0,'Field labels'!$Q$1)),C621,OFFSET(B621,0,'Field labels'!$Q$1))</f>
        <v>DEBONE-7 (650413-LE001275)</v>
      </c>
      <c r="C621" t="s">
        <v>6108</v>
      </c>
    </row>
    <row r="622" spans="1:3">
      <c r="A622" t="s">
        <v>7490</v>
      </c>
      <c r="B622" t="str">
        <f ca="1">IF(ISBLANK(OFFSET(B622,0,'Field labels'!$Q$1)),C622,OFFSET(B622,0,'Field labels'!$Q$1))</f>
        <v>DEBONE-8 (650414-LE001275)</v>
      </c>
      <c r="C622" t="s">
        <v>6109</v>
      </c>
    </row>
    <row r="623" spans="1:3">
      <c r="A623" t="s">
        <v>7490</v>
      </c>
      <c r="B623" t="str">
        <f ca="1">IF(ISBLANK(OFFSET(B623,0,'Field labels'!$Q$1)),C623,OFFSET(B623,0,'Field labels'!$Q$1))</f>
        <v>DEFEATHERING-A (650301-LE001275)</v>
      </c>
      <c r="C623" t="s">
        <v>6112</v>
      </c>
    </row>
    <row r="624" spans="1:3">
      <c r="A624" t="s">
        <v>7490</v>
      </c>
      <c r="B624" t="str">
        <f ca="1">IF(ISBLANK(OFFSET(B624,0,'Field labels'!$Q$1)),C624,OFFSET(B624,0,'Field labels'!$Q$1))</f>
        <v>DEFEATHERING-A (658301-LE001275)</v>
      </c>
      <c r="C624" t="s">
        <v>6111</v>
      </c>
    </row>
    <row r="625" spans="1:3">
      <c r="A625" t="s">
        <v>7490</v>
      </c>
      <c r="B625" t="str">
        <f ca="1">IF(ISBLANK(OFFSET(B625,0,'Field labels'!$Q$1)),C625,OFFSET(B625,0,'Field labels'!$Q$1))</f>
        <v>DEFEATHERING-A (658801-LE001275)</v>
      </c>
      <c r="C625" t="s">
        <v>6110</v>
      </c>
    </row>
    <row r="626" spans="1:3">
      <c r="A626" t="s">
        <v>7490</v>
      </c>
      <c r="B626" t="str">
        <f ca="1">IF(ISBLANK(OFFSET(B626,0,'Field labels'!$Q$1)),C626,OFFSET(B626,0,'Field labels'!$Q$1))</f>
        <v>DEFEATHERING-B (650401-LE001275)</v>
      </c>
      <c r="C626" t="s">
        <v>6115</v>
      </c>
    </row>
    <row r="627" spans="1:3">
      <c r="A627" t="s">
        <v>7490</v>
      </c>
      <c r="B627" t="str">
        <f ca="1">IF(ISBLANK(OFFSET(B627,0,'Field labels'!$Q$1)),C627,OFFSET(B627,0,'Field labels'!$Q$1))</f>
        <v>DEFEATHERING-B (658401-LE001275)</v>
      </c>
      <c r="C627" t="s">
        <v>6114</v>
      </c>
    </row>
    <row r="628" spans="1:3">
      <c r="A628" t="s">
        <v>7490</v>
      </c>
      <c r="B628" t="str">
        <f ca="1">IF(ISBLANK(OFFSET(B628,0,'Field labels'!$Q$1)),C628,OFFSET(B628,0,'Field labels'!$Q$1))</f>
        <v>DEFEATHERING-B (658601-LE001275)</v>
      </c>
      <c r="C628" t="s">
        <v>6113</v>
      </c>
    </row>
    <row r="629" spans="1:3">
      <c r="A629" t="s">
        <v>7490</v>
      </c>
      <c r="B629" t="str">
        <f ca="1">IF(ISBLANK(OFFSET(B629,0,'Field labels'!$Q$1)),C629,OFFSET(B629,0,'Field labels'!$Q$1))</f>
        <v>Dmst Outlet Office - CMS (650944-LE001275)</v>
      </c>
      <c r="C629" t="s">
        <v>6120</v>
      </c>
    </row>
    <row r="630" spans="1:3">
      <c r="A630" t="s">
        <v>7490</v>
      </c>
      <c r="B630" t="str">
        <f ca="1">IF(ISBLANK(OFFSET(B630,0,'Field labels'!$Q$1)),C630,OFFSET(B630,0,'Field labels'!$Q$1))</f>
        <v>DOMESTIC CHILL-B (650406-LE001275)</v>
      </c>
      <c r="C630" t="s">
        <v>6121</v>
      </c>
    </row>
    <row r="631" spans="1:3">
      <c r="A631" t="s">
        <v>7490</v>
      </c>
      <c r="B631" t="str">
        <f ca="1">IF(ISBLANK(OFFSET(B631,0,'Field labels'!$Q$1)),C631,OFFSET(B631,0,'Field labels'!$Q$1))</f>
        <v>DOMESTIC SALES-A (658306-LE001275)</v>
      </c>
      <c r="C631" t="s">
        <v>6123</v>
      </c>
    </row>
    <row r="632" spans="1:3">
      <c r="A632" t="s">
        <v>7490</v>
      </c>
      <c r="B632" t="str">
        <f ca="1">IF(ISBLANK(OFFSET(B632,0,'Field labels'!$Q$1)),C632,OFFSET(B632,0,'Field labels'!$Q$1))</f>
        <v>DOMESTIC SALES-A (658806-LE001275)</v>
      </c>
      <c r="C632" t="s">
        <v>6122</v>
      </c>
    </row>
    <row r="633" spans="1:3">
      <c r="A633" t="s">
        <v>7490</v>
      </c>
      <c r="B633" t="str">
        <f ca="1">IF(ISBLANK(OFFSET(B633,0,'Field labels'!$Q$1)),C633,OFFSET(B633,0,'Field labels'!$Q$1))</f>
        <v>DOMESTIC SALES-B (658406-LE001275)</v>
      </c>
      <c r="C633" t="s">
        <v>6125</v>
      </c>
    </row>
    <row r="634" spans="1:3">
      <c r="A634" t="s">
        <v>7490</v>
      </c>
      <c r="B634" t="str">
        <f ca="1">IF(ISBLANK(OFFSET(B634,0,'Field labels'!$Q$1)),C634,OFFSET(B634,0,'Field labels'!$Q$1))</f>
        <v>DOMESTIC SALES-B (658606-LE001275)</v>
      </c>
      <c r="C634" t="s">
        <v>6124</v>
      </c>
    </row>
    <row r="635" spans="1:3">
      <c r="A635" t="s">
        <v>7490</v>
      </c>
      <c r="B635" t="str">
        <f ca="1">IF(ISBLANK(OFFSET(B635,0,'Field labels'!$Q$1)),C635,OFFSET(B635,0,'Field labels'!$Q$1))</f>
        <v>Dummy (658614-LE001275)</v>
      </c>
      <c r="C635" t="s">
        <v>6128</v>
      </c>
    </row>
    <row r="636" spans="1:3">
      <c r="A636" t="s">
        <v>7490</v>
      </c>
      <c r="B636" t="str">
        <f ca="1">IF(ISBLANK(OFFSET(B636,0,'Field labels'!$Q$1)),C636,OFFSET(B636,0,'Field labels'!$Q$1))</f>
        <v>EHS Central (650594-LE001275)</v>
      </c>
      <c r="C636" t="s">
        <v>6133</v>
      </c>
    </row>
    <row r="637" spans="1:3">
      <c r="A637" t="s">
        <v>7490</v>
      </c>
      <c r="B637" t="str">
        <f ca="1">IF(ISBLANK(OFFSET(B637,0,'Field labels'!$Q$1)),C637,OFFSET(B637,0,'Field labels'!$Q$1))</f>
        <v>Employee Services (650931-LE001275)</v>
      </c>
      <c r="C637" t="s">
        <v>6137</v>
      </c>
    </row>
    <row r="638" spans="1:3">
      <c r="A638" t="s">
        <v>7490</v>
      </c>
      <c r="B638" t="str">
        <f ca="1">IF(ISBLANK(OFFSET(B638,0,'Field labels'!$Q$1)),C638,OFFSET(B638,0,'Field labels'!$Q$1))</f>
        <v>Engineering - FP4 (658689-LE001275)</v>
      </c>
      <c r="C638" t="s">
        <v>6141</v>
      </c>
    </row>
    <row r="639" spans="1:3">
      <c r="A639" t="s">
        <v>7490</v>
      </c>
      <c r="B639" t="str">
        <f ca="1">IF(ISBLANK(OFFSET(B639,0,'Field labels'!$Q$1)),C639,OFFSET(B639,0,'Field labels'!$Q$1))</f>
        <v>Engineering and Reliability (650596-LE001275)</v>
      </c>
      <c r="C639" t="s">
        <v>6142</v>
      </c>
    </row>
    <row r="640" spans="1:3">
      <c r="A640" t="s">
        <v>7490</v>
      </c>
      <c r="B640" t="str">
        <f ca="1">IF(ISBLANK(OFFSET(B640,0,'Field labels'!$Q$1)),C640,OFFSET(B640,0,'Field labels'!$Q$1))</f>
        <v>EVISCERATION 1-B (650403-LE001275)</v>
      </c>
      <c r="C640" t="s">
        <v>6147</v>
      </c>
    </row>
    <row r="641" spans="1:3">
      <c r="A641" t="s">
        <v>7490</v>
      </c>
      <c r="B641" t="str">
        <f ca="1">IF(ISBLANK(OFFSET(B641,0,'Field labels'!$Q$1)),C641,OFFSET(B641,0,'Field labels'!$Q$1))</f>
        <v>EVISCERATION 2-A (650304-LE001275)</v>
      </c>
      <c r="C641" t="s">
        <v>6148</v>
      </c>
    </row>
    <row r="642" spans="1:3">
      <c r="A642" t="s">
        <v>7490</v>
      </c>
      <c r="B642" t="str">
        <f ca="1">IF(ISBLANK(OFFSET(B642,0,'Field labels'!$Q$1)),C642,OFFSET(B642,0,'Field labels'!$Q$1))</f>
        <v>EVISCERATION 2-B (650404-LE001275)</v>
      </c>
      <c r="C642" t="s">
        <v>6149</v>
      </c>
    </row>
    <row r="643" spans="1:3">
      <c r="A643" t="s">
        <v>7490</v>
      </c>
      <c r="B643" t="str">
        <f ca="1">IF(ISBLANK(OFFSET(B643,0,'Field labels'!$Q$1)),C643,OFFSET(B643,0,'Field labels'!$Q$1))</f>
        <v>EVISCERATION REJECT BIRD-A (658803-LE001275)</v>
      </c>
      <c r="C643" t="s">
        <v>6150</v>
      </c>
    </row>
    <row r="644" spans="1:3">
      <c r="A644" t="s">
        <v>7490</v>
      </c>
      <c r="B644" t="str">
        <f ca="1">IF(ISBLANK(OFFSET(B644,0,'Field labels'!$Q$1)),C644,OFFSET(B644,0,'Field labels'!$Q$1))</f>
        <v>EVISCERATION REJECT BIRD-B (658804-LE001275)</v>
      </c>
      <c r="C644" t="s">
        <v>6151</v>
      </c>
    </row>
    <row r="645" spans="1:3">
      <c r="A645" t="s">
        <v>7490</v>
      </c>
      <c r="B645" t="str">
        <f ca="1">IF(ISBLANK(OFFSET(B645,0,'Field labels'!$Q$1)),C645,OFFSET(B645,0,'Field labels'!$Q$1))</f>
        <v>EVISCERATION-G.-A (658302-LE001275)</v>
      </c>
      <c r="C645" t="s">
        <v>6153</v>
      </c>
    </row>
    <row r="646" spans="1:3">
      <c r="A646" t="s">
        <v>7490</v>
      </c>
      <c r="B646" t="str">
        <f ca="1">IF(ISBLANK(OFFSET(B646,0,'Field labels'!$Q$1)),C646,OFFSET(B646,0,'Field labels'!$Q$1))</f>
        <v>EVISCERATION-G.-A (658802-LE001275)</v>
      </c>
      <c r="C646" t="s">
        <v>6152</v>
      </c>
    </row>
    <row r="647" spans="1:3">
      <c r="A647" t="s">
        <v>7490</v>
      </c>
      <c r="B647" t="str">
        <f ca="1">IF(ISBLANK(OFFSET(B647,0,'Field labels'!$Q$1)),C647,OFFSET(B647,0,'Field labels'!$Q$1))</f>
        <v>EVISCERATION-G-B (650402-LE001275)</v>
      </c>
      <c r="C647" t="s">
        <v>6156</v>
      </c>
    </row>
    <row r="648" spans="1:3">
      <c r="A648" t="s">
        <v>7490</v>
      </c>
      <c r="B648" t="str">
        <f ca="1">IF(ISBLANK(OFFSET(B648,0,'Field labels'!$Q$1)),C648,OFFSET(B648,0,'Field labels'!$Q$1))</f>
        <v>EVISCERATION-G-B (658402-LE001275)</v>
      </c>
      <c r="C648" t="s">
        <v>6155</v>
      </c>
    </row>
    <row r="649" spans="1:3">
      <c r="A649" t="s">
        <v>7490</v>
      </c>
      <c r="B649" t="str">
        <f ca="1">IF(ISBLANK(OFFSET(B649,0,'Field labels'!$Q$1)),C649,OFFSET(B649,0,'Field labels'!$Q$1))</f>
        <v>EVISCERATION-G-B (658602-LE001275)</v>
      </c>
      <c r="C649" t="s">
        <v>6154</v>
      </c>
    </row>
    <row r="650" spans="1:3">
      <c r="A650" t="s">
        <v>7490</v>
      </c>
      <c r="B650" t="str">
        <f ca="1">IF(ISBLANK(OFFSET(B650,0,'Field labels'!$Q$1)),C650,OFFSET(B650,0,'Field labels'!$Q$1))</f>
        <v>FEED MILL-CMK (658120-LE001275)</v>
      </c>
      <c r="C650" t="s">
        <v>6175</v>
      </c>
    </row>
    <row r="651" spans="1:3">
      <c r="A651" t="s">
        <v>7490</v>
      </c>
      <c r="B651" t="str">
        <f ca="1">IF(ISBLANK(OFFSET(B651,0,'Field labels'!$Q$1)),C651,OFFSET(B651,0,'Field labels'!$Q$1))</f>
        <v>Feedmill - Administration (658122-LE001275)</v>
      </c>
      <c r="C651" t="s">
        <v>6177</v>
      </c>
    </row>
    <row r="652" spans="1:3">
      <c r="A652" t="s">
        <v>7490</v>
      </c>
      <c r="B652" t="str">
        <f ca="1">IF(ISBLANK(OFFSET(B652,0,'Field labels'!$Q$1)),C652,OFFSET(B652,0,'Field labels'!$Q$1))</f>
        <v>Feedmill - Raw Material (658121-LE001275)</v>
      </c>
      <c r="C652" t="s">
        <v>6178</v>
      </c>
    </row>
    <row r="653" spans="1:3">
      <c r="A653" t="s">
        <v>7490</v>
      </c>
      <c r="B653" t="str">
        <f ca="1">IF(ISBLANK(OFFSET(B653,0,'Field labels'!$Q$1)),C653,OFFSET(B653,0,'Field labels'!$Q$1))</f>
        <v>Feedmill-Outside Warehous (658125-LE001275)</v>
      </c>
      <c r="C653" t="s">
        <v>6180</v>
      </c>
    </row>
    <row r="654" spans="1:3">
      <c r="A654" t="s">
        <v>7490</v>
      </c>
      <c r="B654" t="str">
        <f ca="1">IF(ISBLANK(OFFSET(B654,0,'Field labels'!$Q$1)),C654,OFFSET(B654,0,'Field labels'!$Q$1))</f>
        <v>First aid (658396-LE001275)</v>
      </c>
      <c r="C654" t="s">
        <v>6226</v>
      </c>
    </row>
    <row r="655" spans="1:3">
      <c r="A655" t="s">
        <v>7490</v>
      </c>
      <c r="B655" t="str">
        <f ca="1">IF(ISBLANK(OFFSET(B655,0,'Field labels'!$Q$1)),C655,OFFSET(B655,0,'Field labels'!$Q$1))</f>
        <v>Food safety FP2 (650686-LE001275)</v>
      </c>
      <c r="C655" t="s">
        <v>6239</v>
      </c>
    </row>
    <row r="656" spans="1:3">
      <c r="A656" t="s">
        <v>7490</v>
      </c>
      <c r="B656" t="str">
        <f ca="1">IF(ISBLANK(OFFSET(B656,0,'Field labels'!$Q$1)),C656,OFFSET(B656,0,'Field labels'!$Q$1))</f>
        <v>FOOD SAFTY REGULATION (650586-LE001275)</v>
      </c>
      <c r="C656" t="s">
        <v>6240</v>
      </c>
    </row>
    <row r="657" spans="1:3">
      <c r="A657" t="s">
        <v>7490</v>
      </c>
      <c r="B657" t="str">
        <f ca="1">IF(ISBLANK(OFFSET(B657,0,'Field labels'!$Q$1)),C657,OFFSET(B657,0,'Field labels'!$Q$1))</f>
        <v>FP - Belt  No. 17 (650347-LE001275)</v>
      </c>
      <c r="C657" t="s">
        <v>6248</v>
      </c>
    </row>
    <row r="658" spans="1:3">
      <c r="A658" t="s">
        <v>7490</v>
      </c>
      <c r="B658" t="str">
        <f ca="1">IF(ISBLANK(OFFSET(B658,0,'Field labels'!$Q$1)),C658,OFFSET(B658,0,'Field labels'!$Q$1))</f>
        <v>FP BOX 1-1 (650561-LE001275)</v>
      </c>
      <c r="C658" t="s">
        <v>6249</v>
      </c>
    </row>
    <row r="659" spans="1:3">
      <c r="A659" t="s">
        <v>7490</v>
      </c>
      <c r="B659" t="str">
        <f ca="1">IF(ISBLANK(OFFSET(B659,0,'Field labels'!$Q$1)),C659,OFFSET(B659,0,'Field labels'!$Q$1))</f>
        <v>FP BOX 1-2 (650562-LE001275)</v>
      </c>
      <c r="C659" t="s">
        <v>6250</v>
      </c>
    </row>
    <row r="660" spans="1:3">
      <c r="A660" t="s">
        <v>7490</v>
      </c>
      <c r="B660" t="str">
        <f ca="1">IF(ISBLANK(OFFSET(B660,0,'Field labels'!$Q$1)),C660,OFFSET(B660,0,'Field labels'!$Q$1))</f>
        <v>FP BOX 2-1 (650567-LE001275)</v>
      </c>
      <c r="C660" t="s">
        <v>6251</v>
      </c>
    </row>
    <row r="661" spans="1:3">
      <c r="A661" t="s">
        <v>7490</v>
      </c>
      <c r="B661" t="str">
        <f ca="1">IF(ISBLANK(OFFSET(B661,0,'Field labels'!$Q$1)),C661,OFFSET(B661,0,'Field labels'!$Q$1))</f>
        <v>FP BOX 2-2 (650568-LE001275)</v>
      </c>
      <c r="C661" t="s">
        <v>6252</v>
      </c>
    </row>
    <row r="662" spans="1:3">
      <c r="A662" t="s">
        <v>7490</v>
      </c>
      <c r="B662" t="str">
        <f ca="1">IF(ISBLANK(OFFSET(B662,0,'Field labels'!$Q$1)),C662,OFFSET(B662,0,'Field labels'!$Q$1))</f>
        <v>FP BOX 3-1 (650564-LE001275)</v>
      </c>
      <c r="C662" t="s">
        <v>6253</v>
      </c>
    </row>
    <row r="663" spans="1:3">
      <c r="A663" t="s">
        <v>7490</v>
      </c>
      <c r="B663" t="str">
        <f ca="1">IF(ISBLANK(OFFSET(B663,0,'Field labels'!$Q$1)),C663,OFFSET(B663,0,'Field labels'!$Q$1))</f>
        <v>FP BOX 3-2 (650565-LE001275)</v>
      </c>
      <c r="C663" t="s">
        <v>6254</v>
      </c>
    </row>
    <row r="664" spans="1:3">
      <c r="A664" t="s">
        <v>7490</v>
      </c>
      <c r="B664" t="str">
        <f ca="1">IF(ISBLANK(OFFSET(B664,0,'Field labels'!$Q$1)),C664,OFFSET(B664,0,'Field labels'!$Q$1))</f>
        <v>FP BOX 6-2 (650651-LE001275)</v>
      </c>
      <c r="C664" t="s">
        <v>6255</v>
      </c>
    </row>
    <row r="665" spans="1:3">
      <c r="A665" t="s">
        <v>7490</v>
      </c>
      <c r="B665" t="str">
        <f ca="1">IF(ISBLANK(OFFSET(B665,0,'Field labels'!$Q$1)),C665,OFFSET(B665,0,'Field labels'!$Q$1))</f>
        <v>FP BOX 7-2 (650652-LE001275)</v>
      </c>
      <c r="C665" t="s">
        <v>6256</v>
      </c>
    </row>
    <row r="666" spans="1:3">
      <c r="A666" t="s">
        <v>7490</v>
      </c>
      <c r="B666" t="str">
        <f ca="1">IF(ISBLANK(OFFSET(B666,0,'Field labels'!$Q$1)),C666,OFFSET(B666,0,'Field labels'!$Q$1))</f>
        <v>FP Boxing 4-1 (650554-LE001275)</v>
      </c>
      <c r="C666" t="s">
        <v>6257</v>
      </c>
    </row>
    <row r="667" spans="1:3">
      <c r="A667" t="s">
        <v>7490</v>
      </c>
      <c r="B667" t="str">
        <f ca="1">IF(ISBLANK(OFFSET(B667,0,'Field labels'!$Q$1)),C667,OFFSET(B667,0,'Field labels'!$Q$1))</f>
        <v>FP Boxing 4-2 (650569-LE001275)</v>
      </c>
      <c r="C667" t="s">
        <v>6258</v>
      </c>
    </row>
    <row r="668" spans="1:3">
      <c r="A668" t="s">
        <v>7490</v>
      </c>
      <c r="B668" t="str">
        <f ca="1">IF(ISBLANK(OFFSET(B668,0,'Field labels'!$Q$1)),C668,OFFSET(B668,0,'Field labels'!$Q$1))</f>
        <v>FP Boxing 5-2 (650556-LE001275)</v>
      </c>
      <c r="C668" t="s">
        <v>6259</v>
      </c>
    </row>
    <row r="669" spans="1:3">
      <c r="A669" t="s">
        <v>7490</v>
      </c>
      <c r="B669" t="str">
        <f ca="1">IF(ISBLANK(OFFSET(B669,0,'Field labels'!$Q$1)),C669,OFFSET(B669,0,'Field labels'!$Q$1))</f>
        <v>FP Boxing 6-2 (650653-LE001275)</v>
      </c>
      <c r="C669" t="s">
        <v>6260</v>
      </c>
    </row>
    <row r="670" spans="1:3">
      <c r="A670" t="s">
        <v>7490</v>
      </c>
      <c r="B670" t="str">
        <f ca="1">IF(ISBLANK(OFFSET(B670,0,'Field labels'!$Q$1)),C670,OFFSET(B670,0,'Field labels'!$Q$1))</f>
        <v>FP Boxing 7-2 (650654-LE001275)</v>
      </c>
      <c r="C670" t="s">
        <v>6261</v>
      </c>
    </row>
    <row r="671" spans="1:3">
      <c r="A671" t="s">
        <v>7490</v>
      </c>
      <c r="B671" t="str">
        <f ca="1">IF(ISBLANK(OFFSET(B671,0,'Field labels'!$Q$1)),C671,OFFSET(B671,0,'Field labels'!$Q$1))</f>
        <v>FP Boxing line 8 S# 1 (658551-LE001275)</v>
      </c>
      <c r="C671" t="s">
        <v>6262</v>
      </c>
    </row>
    <row r="672" spans="1:3">
      <c r="A672" t="s">
        <v>7490</v>
      </c>
      <c r="B672" t="str">
        <f ca="1">IF(ISBLANK(OFFSET(B672,0,'Field labels'!$Q$1)),C672,OFFSET(B672,0,'Field labels'!$Q$1))</f>
        <v>FP Boxing line 8 S# 2 (658553-LE001275)</v>
      </c>
      <c r="C672" t="s">
        <v>6263</v>
      </c>
    </row>
    <row r="673" spans="1:3">
      <c r="A673" t="s">
        <v>7490</v>
      </c>
      <c r="B673" t="str">
        <f ca="1">IF(ISBLANK(OFFSET(B673,0,'Field labels'!$Q$1)),C673,OFFSET(B673,0,'Field labels'!$Q$1))</f>
        <v>FP Boxing line 9 S# 1 (658552-LE001275)</v>
      </c>
      <c r="C673" t="s">
        <v>6264</v>
      </c>
    </row>
    <row r="674" spans="1:3">
      <c r="A674" t="s">
        <v>7490</v>
      </c>
      <c r="B674" t="str">
        <f ca="1">IF(ISBLANK(OFFSET(B674,0,'Field labels'!$Q$1)),C674,OFFSET(B674,0,'Field labels'!$Q$1))</f>
        <v>FP Boxing line 9 S# 2 (658554-LE001275)</v>
      </c>
      <c r="C674" t="s">
        <v>6265</v>
      </c>
    </row>
    <row r="675" spans="1:3">
      <c r="A675" t="s">
        <v>7490</v>
      </c>
      <c r="B675" t="str">
        <f ca="1">IF(ISBLANK(OFFSET(B675,0,'Field labels'!$Q$1)),C675,OFFSET(B675,0,'Field labels'!$Q$1))</f>
        <v>FP Cold Storage FP.3 (658560-LE001275)</v>
      </c>
      <c r="C675" t="s">
        <v>6266</v>
      </c>
    </row>
    <row r="676" spans="1:3">
      <c r="A676" t="s">
        <v>7490</v>
      </c>
      <c r="B676" t="str">
        <f ca="1">IF(ISBLANK(OFFSET(B676,0,'Field labels'!$Q$1)),C676,OFFSET(B676,0,'Field labels'!$Q$1))</f>
        <v>FP LAUNDRY1-5 (650584-LE001275)</v>
      </c>
      <c r="C676" t="s">
        <v>6267</v>
      </c>
    </row>
    <row r="677" spans="1:3">
      <c r="A677" t="s">
        <v>7490</v>
      </c>
      <c r="B677" t="str">
        <f ca="1">IF(ISBLANK(OFFSET(B677,0,'Field labels'!$Q$1)),C677,OFFSET(B677,0,'Field labels'!$Q$1))</f>
        <v>FP LAUNDRY6-7 (650684-LE001275)</v>
      </c>
      <c r="C677" t="s">
        <v>6268</v>
      </c>
    </row>
    <row r="678" spans="1:3">
      <c r="A678" t="s">
        <v>7490</v>
      </c>
      <c r="B678" t="str">
        <f ca="1">IF(ISBLANK(OFFSET(B678,0,'Field labels'!$Q$1)),C678,OFFSET(B678,0,'Field labels'!$Q$1))</f>
        <v>FP LINE 1-2 (650526-LE001275)</v>
      </c>
      <c r="C678" t="s">
        <v>6269</v>
      </c>
    </row>
    <row r="679" spans="1:3">
      <c r="A679" t="s">
        <v>7490</v>
      </c>
      <c r="B679" t="str">
        <f ca="1">IF(ISBLANK(OFFSET(B679,0,'Field labels'!$Q$1)),C679,OFFSET(B679,0,'Field labels'!$Q$1))</f>
        <v>FP LINE 2-2 (650546-LE001275)</v>
      </c>
      <c r="C679" t="s">
        <v>6270</v>
      </c>
    </row>
    <row r="680" spans="1:3">
      <c r="A680" t="s">
        <v>7490</v>
      </c>
      <c r="B680" t="str">
        <f ca="1">IF(ISBLANK(OFFSET(B680,0,'Field labels'!$Q$1)),C680,OFFSET(B680,0,'Field labels'!$Q$1))</f>
        <v>FP LINE 3-2 (650536-LE001275)</v>
      </c>
      <c r="C680" t="s">
        <v>6271</v>
      </c>
    </row>
    <row r="681" spans="1:3">
      <c r="A681" t="s">
        <v>7490</v>
      </c>
      <c r="B681" t="str">
        <f ca="1">IF(ISBLANK(OFFSET(B681,0,'Field labels'!$Q$1)),C681,OFFSET(B681,0,'Field labels'!$Q$1))</f>
        <v>FP LINE 6-2 (650631-LE001275)</v>
      </c>
      <c r="C681" t="s">
        <v>6272</v>
      </c>
    </row>
    <row r="682" spans="1:3">
      <c r="A682" t="s">
        <v>7490</v>
      </c>
      <c r="B682" t="str">
        <f ca="1">IF(ISBLANK(OFFSET(B682,0,'Field labels'!$Q$1)),C682,OFFSET(B682,0,'Field labels'!$Q$1))</f>
        <v>FP LINE 7-2 (650632-LE001275)</v>
      </c>
      <c r="C682" t="s">
        <v>6273</v>
      </c>
    </row>
    <row r="683" spans="1:3">
      <c r="A683" t="s">
        <v>7490</v>
      </c>
      <c r="B683" t="str">
        <f ca="1">IF(ISBLANK(OFFSET(B683,0,'Field labels'!$Q$1)),C683,OFFSET(B683,0,'Field labels'!$Q$1))</f>
        <v>FP LOAD 1-1 (650521-LE001275)</v>
      </c>
      <c r="C683" t="s">
        <v>6274</v>
      </c>
    </row>
    <row r="684" spans="1:3">
      <c r="A684" t="s">
        <v>7490</v>
      </c>
      <c r="B684" t="str">
        <f ca="1">IF(ISBLANK(OFFSET(B684,0,'Field labels'!$Q$1)),C684,OFFSET(B684,0,'Field labels'!$Q$1))</f>
        <v>FP LOAD 1-2 (650525-LE001275)</v>
      </c>
      <c r="C684" t="s">
        <v>6275</v>
      </c>
    </row>
    <row r="685" spans="1:3">
      <c r="A685" t="s">
        <v>7490</v>
      </c>
      <c r="B685" t="str">
        <f ca="1">IF(ISBLANK(OFFSET(B685,0,'Field labels'!$Q$1)),C685,OFFSET(B685,0,'Field labels'!$Q$1))</f>
        <v>FP LOAD 2-2 (650545-LE001275)</v>
      </c>
      <c r="C685" t="s">
        <v>6276</v>
      </c>
    </row>
    <row r="686" spans="1:3">
      <c r="A686" t="s">
        <v>7490</v>
      </c>
      <c r="B686" t="str">
        <f ca="1">IF(ISBLANK(OFFSET(B686,0,'Field labels'!$Q$1)),C686,OFFSET(B686,0,'Field labels'!$Q$1))</f>
        <v>FP LOAD 3-2 (650535-LE001275)</v>
      </c>
      <c r="C686" t="s">
        <v>6277</v>
      </c>
    </row>
    <row r="687" spans="1:3">
      <c r="A687" t="s">
        <v>7490</v>
      </c>
      <c r="B687" t="str">
        <f ca="1">IF(ISBLANK(OFFSET(B687,0,'Field labels'!$Q$1)),C687,OFFSET(B687,0,'Field labels'!$Q$1))</f>
        <v>FP LOAD 4-2 (650555-LE001275)</v>
      </c>
      <c r="C687" t="s">
        <v>6278</v>
      </c>
    </row>
    <row r="688" spans="1:3">
      <c r="A688" t="s">
        <v>7490</v>
      </c>
      <c r="B688" t="str">
        <f ca="1">IF(ISBLANK(OFFSET(B688,0,'Field labels'!$Q$1)),C688,OFFSET(B688,0,'Field labels'!$Q$1))</f>
        <v>FP LOAD 6-2 (650621-LE001275)</v>
      </c>
      <c r="C688" t="s">
        <v>6279</v>
      </c>
    </row>
    <row r="689" spans="1:3">
      <c r="A689" t="s">
        <v>7490</v>
      </c>
      <c r="B689" t="str">
        <f ca="1">IF(ISBLANK(OFFSET(B689,0,'Field labels'!$Q$1)),C689,OFFSET(B689,0,'Field labels'!$Q$1))</f>
        <v>FP LOAD 7-2 (650622-LE001275)</v>
      </c>
      <c r="C689" t="s">
        <v>6280</v>
      </c>
    </row>
    <row r="690" spans="1:3">
      <c r="A690" t="s">
        <v>7490</v>
      </c>
      <c r="B690" t="str">
        <f ca="1">IF(ISBLANK(OFFSET(B690,0,'Field labels'!$Q$1)),C690,OFFSET(B690,0,'Field labels'!$Q$1))</f>
        <v>FP Loading  2-1 (650522-LE001275)</v>
      </c>
      <c r="C690" t="s">
        <v>6281</v>
      </c>
    </row>
    <row r="691" spans="1:3">
      <c r="A691" t="s">
        <v>7490</v>
      </c>
      <c r="B691" t="str">
        <f ca="1">IF(ISBLANK(OFFSET(B691,0,'Field labels'!$Q$1)),C691,OFFSET(B691,0,'Field labels'!$Q$1))</f>
        <v>FP Loading  2-2 (650549-LE001275)</v>
      </c>
      <c r="C691" t="s">
        <v>6282</v>
      </c>
    </row>
    <row r="692" spans="1:3">
      <c r="A692" t="s">
        <v>7490</v>
      </c>
      <c r="B692" t="str">
        <f ca="1">IF(ISBLANK(OFFSET(B692,0,'Field labels'!$Q$1)),C692,OFFSET(B692,0,'Field labels'!$Q$1))</f>
        <v>FP Loading  3-2 (650539-LE001275)</v>
      </c>
      <c r="C692" t="s">
        <v>6283</v>
      </c>
    </row>
    <row r="693" spans="1:3">
      <c r="A693" t="s">
        <v>7490</v>
      </c>
      <c r="B693" t="str">
        <f ca="1">IF(ISBLANK(OFFSET(B693,0,'Field labels'!$Q$1)),C693,OFFSET(B693,0,'Field labels'!$Q$1))</f>
        <v>FP Loading  4-1 (650524-LE001275)</v>
      </c>
      <c r="C693" t="s">
        <v>6284</v>
      </c>
    </row>
    <row r="694" spans="1:3">
      <c r="A694" t="s">
        <v>7490</v>
      </c>
      <c r="B694" t="str">
        <f ca="1">IF(ISBLANK(OFFSET(B694,0,'Field labels'!$Q$1)),C694,OFFSET(B694,0,'Field labels'!$Q$1))</f>
        <v>FP Loading  4-2 (650559-LE001275)</v>
      </c>
      <c r="C694" t="s">
        <v>6285</v>
      </c>
    </row>
    <row r="695" spans="1:3">
      <c r="A695" t="s">
        <v>7490</v>
      </c>
      <c r="B695" t="str">
        <f ca="1">IF(ISBLANK(OFFSET(B695,0,'Field labels'!$Q$1)),C695,OFFSET(B695,0,'Field labels'!$Q$1))</f>
        <v>FP Loading 1-2 (650529-LE001275)</v>
      </c>
      <c r="C695" t="s">
        <v>6286</v>
      </c>
    </row>
    <row r="696" spans="1:3">
      <c r="A696" t="s">
        <v>7490</v>
      </c>
      <c r="B696" t="str">
        <f ca="1">IF(ISBLANK(OFFSET(B696,0,'Field labels'!$Q$1)),C696,OFFSET(B696,0,'Field labels'!$Q$1))</f>
        <v>FP Loading 3-1 (650523-LE001275)</v>
      </c>
      <c r="C696" t="s">
        <v>6287</v>
      </c>
    </row>
    <row r="697" spans="1:3">
      <c r="A697" t="s">
        <v>7490</v>
      </c>
      <c r="B697" t="str">
        <f ca="1">IF(ISBLANK(OFFSET(B697,0,'Field labels'!$Q$1)),C697,OFFSET(B697,0,'Field labels'!$Q$1))</f>
        <v>FP Loading 5-2 (650527-LE001275)</v>
      </c>
      <c r="C697" t="s">
        <v>6288</v>
      </c>
    </row>
    <row r="698" spans="1:3">
      <c r="A698" t="s">
        <v>7490</v>
      </c>
      <c r="B698" t="str">
        <f ca="1">IF(ISBLANK(OFFSET(B698,0,'Field labels'!$Q$1)),C698,OFFSET(B698,0,'Field labels'!$Q$1))</f>
        <v>FP Loading 6-2 (650623-LE001275)</v>
      </c>
      <c r="C698" t="s">
        <v>6289</v>
      </c>
    </row>
    <row r="699" spans="1:3">
      <c r="A699" t="s">
        <v>7490</v>
      </c>
      <c r="B699" t="str">
        <f ca="1">IF(ISBLANK(OFFSET(B699,0,'Field labels'!$Q$1)),C699,OFFSET(B699,0,'Field labels'!$Q$1))</f>
        <v>FP Loading 7-2 (650624-LE001275)</v>
      </c>
      <c r="C699" t="s">
        <v>6290</v>
      </c>
    </row>
    <row r="700" spans="1:3">
      <c r="A700" t="s">
        <v>7490</v>
      </c>
      <c r="B700" t="str">
        <f ca="1">IF(ISBLANK(OFFSET(B700,0,'Field labels'!$Q$1)),C700,OFFSET(B700,0,'Field labels'!$Q$1))</f>
        <v>FP Loading Line 8 S# 1 (658521-LE001275)</v>
      </c>
      <c r="C700" t="s">
        <v>6291</v>
      </c>
    </row>
    <row r="701" spans="1:3">
      <c r="A701" t="s">
        <v>7490</v>
      </c>
      <c r="B701" t="str">
        <f ca="1">IF(ISBLANK(OFFSET(B701,0,'Field labels'!$Q$1)),C701,OFFSET(B701,0,'Field labels'!$Q$1))</f>
        <v>FP Loading Line 8 S# 2 (658523-LE001275)</v>
      </c>
      <c r="C701" t="s">
        <v>6292</v>
      </c>
    </row>
    <row r="702" spans="1:3">
      <c r="A702" t="s">
        <v>7490</v>
      </c>
      <c r="B702" t="str">
        <f ca="1">IF(ISBLANK(OFFSET(B702,0,'Field labels'!$Q$1)),C702,OFFSET(B702,0,'Field labels'!$Q$1))</f>
        <v>FP Loading Line 9 S# 1 (658522-LE001275)</v>
      </c>
      <c r="C702" t="s">
        <v>6293</v>
      </c>
    </row>
    <row r="703" spans="1:3">
      <c r="A703" t="s">
        <v>7490</v>
      </c>
      <c r="B703" t="str">
        <f ca="1">IF(ISBLANK(OFFSET(B703,0,'Field labels'!$Q$1)),C703,OFFSET(B703,0,'Field labels'!$Q$1))</f>
        <v>FP Loading Line 9 S# 2 (658524-LE001275)</v>
      </c>
      <c r="C703" t="s">
        <v>6294</v>
      </c>
    </row>
    <row r="704" spans="1:3">
      <c r="A704" t="s">
        <v>7490</v>
      </c>
      <c r="B704" t="str">
        <f ca="1">IF(ISBLANK(OFFSET(B704,0,'Field labels'!$Q$1)),C704,OFFSET(B704,0,'Field labels'!$Q$1))</f>
        <v>FP MATERNITY (650593-LE001275)</v>
      </c>
      <c r="C704" t="s">
        <v>6295</v>
      </c>
    </row>
    <row r="705" spans="1:3">
      <c r="A705" t="s">
        <v>7490</v>
      </c>
      <c r="B705" t="str">
        <f ca="1">IF(ISBLANK(OFFSET(B705,0,'Field labels'!$Q$1)),C705,OFFSET(B705,0,'Field labels'!$Q$1))</f>
        <v>FP MATERNITY 6-7 (650693-LE001275)</v>
      </c>
      <c r="C705" t="s">
        <v>6296</v>
      </c>
    </row>
    <row r="706" spans="1:3">
      <c r="A706" t="s">
        <v>7490</v>
      </c>
      <c r="B706" t="str">
        <f ca="1">IF(ISBLANK(OFFSET(B706,0,'Field labels'!$Q$1)),C706,OFFSET(B706,0,'Field labels'!$Q$1))</f>
        <v>FP PACK 1-2 (650528-LE001275)</v>
      </c>
      <c r="C706" t="s">
        <v>6297</v>
      </c>
    </row>
    <row r="707" spans="1:3">
      <c r="A707" t="s">
        <v>7490</v>
      </c>
      <c r="B707" t="str">
        <f ca="1">IF(ISBLANK(OFFSET(B707,0,'Field labels'!$Q$1)),C707,OFFSET(B707,0,'Field labels'!$Q$1))</f>
        <v>FP PACK 2-2 (650548-LE001275)</v>
      </c>
      <c r="C707" t="s">
        <v>6298</v>
      </c>
    </row>
    <row r="708" spans="1:3">
      <c r="A708" t="s">
        <v>7490</v>
      </c>
      <c r="B708" t="str">
        <f ca="1">IF(ISBLANK(OFFSET(B708,0,'Field labels'!$Q$1)),C708,OFFSET(B708,0,'Field labels'!$Q$1))</f>
        <v>FP PACK 3-2 (650538-LE001275)</v>
      </c>
      <c r="C708" t="s">
        <v>6299</v>
      </c>
    </row>
    <row r="709" spans="1:3">
      <c r="A709" t="s">
        <v>7490</v>
      </c>
      <c r="B709" t="str">
        <f ca="1">IF(ISBLANK(OFFSET(B709,0,'Field labels'!$Q$1)),C709,OFFSET(B709,0,'Field labels'!$Q$1))</f>
        <v>FP PACK 4-1 (650557-LE001275)</v>
      </c>
      <c r="C709" t="s">
        <v>6300</v>
      </c>
    </row>
    <row r="710" spans="1:3">
      <c r="A710" t="s">
        <v>7490</v>
      </c>
      <c r="B710" t="str">
        <f ca="1">IF(ISBLANK(OFFSET(B710,0,'Field labels'!$Q$1)),C710,OFFSET(B710,0,'Field labels'!$Q$1))</f>
        <v>FP PACK 4-2 (650558-LE001275)</v>
      </c>
      <c r="C710" t="s">
        <v>6301</v>
      </c>
    </row>
    <row r="711" spans="1:3">
      <c r="A711" t="s">
        <v>7490</v>
      </c>
      <c r="B711" t="str">
        <f ca="1">IF(ISBLANK(OFFSET(B711,0,'Field labels'!$Q$1)),C711,OFFSET(B711,0,'Field labels'!$Q$1))</f>
        <v>FP PACK 6-2 (650641-LE001275)</v>
      </c>
      <c r="C711" t="s">
        <v>6302</v>
      </c>
    </row>
    <row r="712" spans="1:3">
      <c r="A712" t="s">
        <v>7490</v>
      </c>
      <c r="B712" t="str">
        <f ca="1">IF(ISBLANK(OFFSET(B712,0,'Field labels'!$Q$1)),C712,OFFSET(B712,0,'Field labels'!$Q$1))</f>
        <v>FP PACK 7-2 (650642-LE001275)</v>
      </c>
      <c r="C712" t="s">
        <v>6303</v>
      </c>
    </row>
    <row r="713" spans="1:3">
      <c r="A713" t="s">
        <v>7490</v>
      </c>
      <c r="B713" t="str">
        <f ca="1">IF(ISBLANK(OFFSET(B713,0,'Field labels'!$Q$1)),C713,OFFSET(B713,0,'Field labels'!$Q$1))</f>
        <v>FP Packing 2-1 (650542-LE001275)</v>
      </c>
      <c r="C713" t="s">
        <v>6304</v>
      </c>
    </row>
    <row r="714" spans="1:3">
      <c r="A714" t="s">
        <v>7490</v>
      </c>
      <c r="B714" t="str">
        <f ca="1">IF(ISBLANK(OFFSET(B714,0,'Field labels'!$Q$1)),C714,OFFSET(B714,0,'Field labels'!$Q$1))</f>
        <v>FP Packing 3-1 (650543-LE001275)</v>
      </c>
      <c r="C714" t="s">
        <v>6305</v>
      </c>
    </row>
    <row r="715" spans="1:3">
      <c r="A715" t="s">
        <v>7490</v>
      </c>
      <c r="B715" t="str">
        <f ca="1">IF(ISBLANK(OFFSET(B715,0,'Field labels'!$Q$1)),C715,OFFSET(B715,0,'Field labels'!$Q$1))</f>
        <v>FP Packing 5-2 (650547-LE001275)</v>
      </c>
      <c r="C715" t="s">
        <v>6306</v>
      </c>
    </row>
    <row r="716" spans="1:3">
      <c r="A716" t="s">
        <v>7490</v>
      </c>
      <c r="B716" t="str">
        <f ca="1">IF(ISBLANK(OFFSET(B716,0,'Field labels'!$Q$1)),C716,OFFSET(B716,0,'Field labels'!$Q$1))</f>
        <v>FP Packing 6-2 (650643-LE001275)</v>
      </c>
      <c r="C716" t="s">
        <v>6307</v>
      </c>
    </row>
    <row r="717" spans="1:3">
      <c r="A717" t="s">
        <v>7490</v>
      </c>
      <c r="B717" t="str">
        <f ca="1">IF(ISBLANK(OFFSET(B717,0,'Field labels'!$Q$1)),C717,OFFSET(B717,0,'Field labels'!$Q$1))</f>
        <v>FP Packing 7-2 (650644-LE001275)</v>
      </c>
      <c r="C717" t="s">
        <v>6308</v>
      </c>
    </row>
    <row r="718" spans="1:3">
      <c r="A718" t="s">
        <v>7490</v>
      </c>
      <c r="B718" t="str">
        <f ca="1">IF(ISBLANK(OFFSET(B718,0,'Field labels'!$Q$1)),C718,OFFSET(B718,0,'Field labels'!$Q$1))</f>
        <v>FP Packing line 8 S# 1 (658541-LE001275)</v>
      </c>
      <c r="C718" t="s">
        <v>6309</v>
      </c>
    </row>
    <row r="719" spans="1:3">
      <c r="A719" t="s">
        <v>7490</v>
      </c>
      <c r="B719" t="str">
        <f ca="1">IF(ISBLANK(OFFSET(B719,0,'Field labels'!$Q$1)),C719,OFFSET(B719,0,'Field labels'!$Q$1))</f>
        <v>FP Packing line 8 S# 2 (658543-LE001275)</v>
      </c>
      <c r="C719" t="s">
        <v>6310</v>
      </c>
    </row>
    <row r="720" spans="1:3">
      <c r="A720" t="s">
        <v>7490</v>
      </c>
      <c r="B720" t="str">
        <f ca="1">IF(ISBLANK(OFFSET(B720,0,'Field labels'!$Q$1)),C720,OFFSET(B720,0,'Field labels'!$Q$1))</f>
        <v>FP Packing line 9 S# 1 (658542-LE001275)</v>
      </c>
      <c r="C720" t="s">
        <v>6311</v>
      </c>
    </row>
    <row r="721" spans="1:3">
      <c r="A721" t="s">
        <v>7490</v>
      </c>
      <c r="B721" t="str">
        <f ca="1">IF(ISBLANK(OFFSET(B721,0,'Field labels'!$Q$1)),C721,OFFSET(B721,0,'Field labels'!$Q$1))</f>
        <v>FP Packing line 9 S# 2 (658544-LE001275)</v>
      </c>
      <c r="C721" t="s">
        <v>6312</v>
      </c>
    </row>
    <row r="722" spans="1:3">
      <c r="A722" t="s">
        <v>7490</v>
      </c>
      <c r="B722" t="str">
        <f ca="1">IF(ISBLANK(OFFSET(B722,0,'Field labels'!$Q$1)),C722,OFFSET(B722,0,'Field labels'!$Q$1))</f>
        <v>FP Plant General 1-5/2 (650591-LE001275)</v>
      </c>
      <c r="C722" t="s">
        <v>6313</v>
      </c>
    </row>
    <row r="723" spans="1:3">
      <c r="A723" t="s">
        <v>7490</v>
      </c>
      <c r="B723" t="str">
        <f ca="1">IF(ISBLANK(OFFSET(B723,0,'Field labels'!$Q$1)),C723,OFFSET(B723,0,'Field labels'!$Q$1))</f>
        <v>FP Plant General 6-7/2 (650691-LE001275)</v>
      </c>
      <c r="C723" t="s">
        <v>6314</v>
      </c>
    </row>
    <row r="724" spans="1:3">
      <c r="A724" t="s">
        <v>7490</v>
      </c>
      <c r="B724" t="str">
        <f ca="1">IF(ISBLANK(OFFSET(B724,0,'Field labels'!$Q$1)),C724,OFFSET(B724,0,'Field labels'!$Q$1))</f>
        <v>FP Plant-General Line 8-9 S#2 (658595-LE001275)</v>
      </c>
      <c r="C724" t="s">
        <v>6315</v>
      </c>
    </row>
    <row r="725" spans="1:3">
      <c r="A725" t="s">
        <v>7490</v>
      </c>
      <c r="B725" t="str">
        <f ca="1">IF(ISBLANK(OFFSET(B725,0,'Field labels'!$Q$1)),C725,OFFSET(B725,0,'Field labels'!$Q$1))</f>
        <v>FP Preparation 6-7 /2 (650611-LE001275)</v>
      </c>
      <c r="C725" t="s">
        <v>6316</v>
      </c>
    </row>
    <row r="726" spans="1:3">
      <c r="A726" t="s">
        <v>7490</v>
      </c>
      <c r="B726" t="str">
        <f ca="1">IF(ISBLANK(OFFSET(B726,0,'Field labels'!$Q$1)),C726,OFFSET(B726,0,'Field labels'!$Q$1))</f>
        <v>FP Site Service FP.3 (658570-LE001275)</v>
      </c>
      <c r="C726" t="s">
        <v>6317</v>
      </c>
    </row>
    <row r="727" spans="1:3">
      <c r="A727" t="s">
        <v>7490</v>
      </c>
      <c r="B727" t="str">
        <f ca="1">IF(ISBLANK(OFFSET(B727,0,'Field labels'!$Q$1)),C727,OFFSET(B727,0,'Field labels'!$Q$1))</f>
        <v>FP WAREHOUSE 1 (650563-LE001275)</v>
      </c>
      <c r="C727" t="s">
        <v>6318</v>
      </c>
    </row>
    <row r="728" spans="1:3">
      <c r="A728" t="s">
        <v>7490</v>
      </c>
      <c r="B728" t="str">
        <f ca="1">IF(ISBLANK(OFFSET(B728,0,'Field labels'!$Q$1)),C728,OFFSET(B728,0,'Field labels'!$Q$1))</f>
        <v>FP WAREHOUSE 2 (650566-LE001275)</v>
      </c>
      <c r="C728" t="s">
        <v>6319</v>
      </c>
    </row>
    <row r="729" spans="1:3">
      <c r="A729" t="s">
        <v>7490</v>
      </c>
      <c r="B729" t="str">
        <f ca="1">IF(ISBLANK(OFFSET(B729,0,'Field labels'!$Q$1)),C729,OFFSET(B729,0,'Field labels'!$Q$1))</f>
        <v>FP.Arrival Line 8-9 S#1 (658501-LE001275)</v>
      </c>
      <c r="C729" t="s">
        <v>6321</v>
      </c>
    </row>
    <row r="730" spans="1:3">
      <c r="A730" t="s">
        <v>7490</v>
      </c>
      <c r="B730" t="str">
        <f ca="1">IF(ISBLANK(OFFSET(B730,0,'Field labels'!$Q$1)),C730,OFFSET(B730,0,'Field labels'!$Q$1))</f>
        <v>FP.Arrival Line 8-9 S#2 (658502-LE001275)</v>
      </c>
      <c r="C730" t="s">
        <v>6322</v>
      </c>
    </row>
    <row r="731" spans="1:3">
      <c r="A731" t="s">
        <v>7490</v>
      </c>
      <c r="B731" t="str">
        <f ca="1">IF(ISBLANK(OFFSET(B731,0,'Field labels'!$Q$1)),C731,OFFSET(B731,0,'Field labels'!$Q$1))</f>
        <v>FP.PREP.-1 (650510-LE001275)</v>
      </c>
      <c r="C731" t="s">
        <v>6323</v>
      </c>
    </row>
    <row r="732" spans="1:3">
      <c r="A732" t="s">
        <v>7490</v>
      </c>
      <c r="B732" t="str">
        <f ca="1">IF(ISBLANK(OFFSET(B732,0,'Field labels'!$Q$1)),C732,OFFSET(B732,0,'Field labels'!$Q$1))</f>
        <v>FP.PREP.-2 (650511-LE001275)</v>
      </c>
      <c r="C732" t="s">
        <v>6324</v>
      </c>
    </row>
    <row r="733" spans="1:3">
      <c r="A733" t="s">
        <v>7490</v>
      </c>
      <c r="B733" t="str">
        <f ca="1">IF(ISBLANK(OFFSET(B733,0,'Field labels'!$Q$1)),C733,OFFSET(B733,0,'Field labels'!$Q$1))</f>
        <v>FP.PREP.6-7/2 (650610-LE001275)</v>
      </c>
      <c r="C733" t="s">
        <v>6325</v>
      </c>
    </row>
    <row r="734" spans="1:3">
      <c r="A734" t="s">
        <v>7490</v>
      </c>
      <c r="B734" t="str">
        <f ca="1">IF(ISBLANK(OFFSET(B734,0,'Field labels'!$Q$1)),C734,OFFSET(B734,0,'Field labels'!$Q$1))</f>
        <v>FP.Preparation Line 8-9 Shift 1 (658511-LE001275)</v>
      </c>
      <c r="C734" t="s">
        <v>6326</v>
      </c>
    </row>
    <row r="735" spans="1:3">
      <c r="A735" t="s">
        <v>7490</v>
      </c>
      <c r="B735" t="str">
        <f ca="1">IF(ISBLANK(OFFSET(B735,0,'Field labels'!$Q$1)),C735,OFFSET(B735,0,'Field labels'!$Q$1))</f>
        <v>FP.Preparation Line 8-9 Shift 2 (658512-LE001275)</v>
      </c>
      <c r="C735" t="s">
        <v>6327</v>
      </c>
    </row>
    <row r="736" spans="1:3">
      <c r="A736" t="s">
        <v>7490</v>
      </c>
      <c r="B736" t="str">
        <f ca="1">IF(ISBLANK(OFFSET(B736,0,'Field labels'!$Q$1)),C736,OFFSET(B736,0,'Field labels'!$Q$1))</f>
        <v>FP.Q.A.2 (650681-LE001275)</v>
      </c>
      <c r="C736" t="s">
        <v>6328</v>
      </c>
    </row>
    <row r="737" spans="1:3">
      <c r="A737" t="s">
        <v>7490</v>
      </c>
      <c r="B737" t="str">
        <f ca="1">IF(ISBLANK(OFFSET(B737,0,'Field labels'!$Q$1)),C737,OFFSET(B737,0,'Field labels'!$Q$1))</f>
        <v>FP.TRANSFER 6-7/2 (650600-LE001275)</v>
      </c>
      <c r="C737" t="s">
        <v>6329</v>
      </c>
    </row>
    <row r="738" spans="1:3">
      <c r="A738" t="s">
        <v>7490</v>
      </c>
      <c r="B738" t="str">
        <f ca="1">IF(ISBLANK(OFFSET(B738,0,'Field labels'!$Q$1)),C738,OFFSET(B738,0,'Field labels'!$Q$1))</f>
        <v>FP.TRANSFER-1 (650500-LE001275)</v>
      </c>
      <c r="C738" t="s">
        <v>6330</v>
      </c>
    </row>
    <row r="739" spans="1:3">
      <c r="A739" t="s">
        <v>7490</v>
      </c>
      <c r="B739" t="str">
        <f ca="1">IF(ISBLANK(OFFSET(B739,0,'Field labels'!$Q$1)),C739,OFFSET(B739,0,'Field labels'!$Q$1))</f>
        <v>FP.TRANSFER-2 (650501-LE001275)</v>
      </c>
      <c r="C739" t="s">
        <v>6331</v>
      </c>
    </row>
    <row r="740" spans="1:3">
      <c r="A740" t="s">
        <v>7490</v>
      </c>
      <c r="B740" t="str">
        <f ca="1">IF(ISBLANK(OFFSET(B740,0,'Field labels'!$Q$1)),C740,OFFSET(B740,0,'Field labels'!$Q$1))</f>
        <v>FP4 Arrival  Gen #1 (658617-LE001275)</v>
      </c>
      <c r="C740" t="s">
        <v>6332</v>
      </c>
    </row>
    <row r="741" spans="1:3">
      <c r="A741" t="s">
        <v>7490</v>
      </c>
      <c r="B741" t="str">
        <f ca="1">IF(ISBLANK(OFFSET(B741,0,'Field labels'!$Q$1)),C741,OFFSET(B741,0,'Field labels'!$Q$1))</f>
        <v>FP4 Arrival  Gen #2 (658618-LE001275)</v>
      </c>
      <c r="C741" t="s">
        <v>6333</v>
      </c>
    </row>
    <row r="742" spans="1:3">
      <c r="A742" t="s">
        <v>7490</v>
      </c>
      <c r="B742" t="str">
        <f ca="1">IF(ISBLANK(OFFSET(B742,0,'Field labels'!$Q$1)),C742,OFFSET(B742,0,'Field labels'!$Q$1))</f>
        <v>FP4 Boxing L.10 #1 (658653-LE001275)</v>
      </c>
      <c r="C742" t="s">
        <v>6334</v>
      </c>
    </row>
    <row r="743" spans="1:3">
      <c r="A743" t="s">
        <v>7490</v>
      </c>
      <c r="B743" t="str">
        <f ca="1">IF(ISBLANK(OFFSET(B743,0,'Field labels'!$Q$1)),C743,OFFSET(B743,0,'Field labels'!$Q$1))</f>
        <v>FP4 Boxing L.10 #2 (658654-LE001275)</v>
      </c>
      <c r="C743" t="s">
        <v>6335</v>
      </c>
    </row>
    <row r="744" spans="1:3">
      <c r="A744" t="s">
        <v>7490</v>
      </c>
      <c r="B744" t="str">
        <f ca="1">IF(ISBLANK(OFFSET(B744,0,'Field labels'!$Q$1)),C744,OFFSET(B744,0,'Field labels'!$Q$1))</f>
        <v>FP4 Boxing L.11 #1 (658655-LE001275)</v>
      </c>
      <c r="C744" t="s">
        <v>6336</v>
      </c>
    </row>
    <row r="745" spans="1:3">
      <c r="A745" t="s">
        <v>7490</v>
      </c>
      <c r="B745" t="str">
        <f ca="1">IF(ISBLANK(OFFSET(B745,0,'Field labels'!$Q$1)),C745,OFFSET(B745,0,'Field labels'!$Q$1))</f>
        <v>FP4 Boxing L.11 #2 (658656-LE001275)</v>
      </c>
      <c r="C745" t="s">
        <v>6337</v>
      </c>
    </row>
    <row r="746" spans="1:3">
      <c r="A746" t="s">
        <v>7490</v>
      </c>
      <c r="B746" t="str">
        <f ca="1">IF(ISBLANK(OFFSET(B746,0,'Field labels'!$Q$1)),C746,OFFSET(B746,0,'Field labels'!$Q$1))</f>
        <v>FP4 Loading L.10 #1 (658623-LE001275)</v>
      </c>
      <c r="C746" t="s">
        <v>6338</v>
      </c>
    </row>
    <row r="747" spans="1:3">
      <c r="A747" t="s">
        <v>7490</v>
      </c>
      <c r="B747" t="str">
        <f ca="1">IF(ISBLANK(OFFSET(B747,0,'Field labels'!$Q$1)),C747,OFFSET(B747,0,'Field labels'!$Q$1))</f>
        <v>FP4 Loading L.10 #2 (658624-LE001275)</v>
      </c>
      <c r="C747" t="s">
        <v>6339</v>
      </c>
    </row>
    <row r="748" spans="1:3">
      <c r="A748" t="s">
        <v>7490</v>
      </c>
      <c r="B748" t="str">
        <f ca="1">IF(ISBLANK(OFFSET(B748,0,'Field labels'!$Q$1)),C748,OFFSET(B748,0,'Field labels'!$Q$1))</f>
        <v>FP4 Loading L.11 #1 (658625-LE001275)</v>
      </c>
      <c r="C748" t="s">
        <v>6340</v>
      </c>
    </row>
    <row r="749" spans="1:3">
      <c r="A749" t="s">
        <v>7490</v>
      </c>
      <c r="B749" t="str">
        <f ca="1">IF(ISBLANK(OFFSET(B749,0,'Field labels'!$Q$1)),C749,OFFSET(B749,0,'Field labels'!$Q$1))</f>
        <v>FP4 Loading L.11 #2 (658626-LE001275)</v>
      </c>
      <c r="C749" t="s">
        <v>6341</v>
      </c>
    </row>
    <row r="750" spans="1:3">
      <c r="A750" t="s">
        <v>7490</v>
      </c>
      <c r="B750" t="str">
        <f ca="1">IF(ISBLANK(OFFSET(B750,0,'Field labels'!$Q$1)),C750,OFFSET(B750,0,'Field labels'!$Q$1))</f>
        <v>FP4 Packing L.10 #1 (658643-LE001275)</v>
      </c>
      <c r="C750" t="s">
        <v>6342</v>
      </c>
    </row>
    <row r="751" spans="1:3">
      <c r="A751" t="s">
        <v>7490</v>
      </c>
      <c r="B751" t="str">
        <f ca="1">IF(ISBLANK(OFFSET(B751,0,'Field labels'!$Q$1)),C751,OFFSET(B751,0,'Field labels'!$Q$1))</f>
        <v>FP4 Packing L.10 #2 (658644-LE001275)</v>
      </c>
      <c r="C751" t="s">
        <v>6343</v>
      </c>
    </row>
    <row r="752" spans="1:3">
      <c r="A752" t="s">
        <v>7490</v>
      </c>
      <c r="B752" t="str">
        <f ca="1">IF(ISBLANK(OFFSET(B752,0,'Field labels'!$Q$1)),C752,OFFSET(B752,0,'Field labels'!$Q$1))</f>
        <v>FP4 Packing L.11 #1 (658645-LE001275)</v>
      </c>
      <c r="C752" t="s">
        <v>6344</v>
      </c>
    </row>
    <row r="753" spans="1:3">
      <c r="A753" t="s">
        <v>7490</v>
      </c>
      <c r="B753" t="str">
        <f ca="1">IF(ISBLANK(OFFSET(B753,0,'Field labels'!$Q$1)),C753,OFFSET(B753,0,'Field labels'!$Q$1))</f>
        <v>FP4 Packing L.11 #2 (658646-LE001275)</v>
      </c>
      <c r="C753" t="s">
        <v>6345</v>
      </c>
    </row>
    <row r="754" spans="1:3">
      <c r="A754" t="s">
        <v>7490</v>
      </c>
      <c r="B754" t="str">
        <f ca="1">IF(ISBLANK(OFFSET(B754,0,'Field labels'!$Q$1)),C754,OFFSET(B754,0,'Field labels'!$Q$1))</f>
        <v>FP4 Plant Gen Load#1 (658691-LE001275)</v>
      </c>
      <c r="C754" t="s">
        <v>6346</v>
      </c>
    </row>
    <row r="755" spans="1:3">
      <c r="A755" t="s">
        <v>7490</v>
      </c>
      <c r="B755" t="str">
        <f ca="1">IF(ISBLANK(OFFSET(B755,0,'Field labels'!$Q$1)),C755,OFFSET(B755,0,'Field labels'!$Q$1))</f>
        <v>FP4 Plant Gen Load#2 (658694-LE001275)</v>
      </c>
      <c r="C755" t="s">
        <v>6347</v>
      </c>
    </row>
    <row r="756" spans="1:3">
      <c r="A756" t="s">
        <v>7490</v>
      </c>
      <c r="B756" t="str">
        <f ca="1">IF(ISBLANK(OFFSET(B756,0,'Field labels'!$Q$1)),C756,OFFSET(B756,0,'Field labels'!$Q$1))</f>
        <v>FP4 Plant Gen Pack#1 (658696-LE001275)</v>
      </c>
      <c r="C756" t="s">
        <v>6348</v>
      </c>
    </row>
    <row r="757" spans="1:3">
      <c r="A757" t="s">
        <v>7490</v>
      </c>
      <c r="B757" t="str">
        <f ca="1">IF(ISBLANK(OFFSET(B757,0,'Field labels'!$Q$1)),C757,OFFSET(B757,0,'Field labels'!$Q$1))</f>
        <v>FP4 Plant Gen Pack#2 (658697-LE001275)</v>
      </c>
      <c r="C757" t="s">
        <v>6349</v>
      </c>
    </row>
    <row r="758" spans="1:3">
      <c r="A758" t="s">
        <v>7490</v>
      </c>
      <c r="B758" t="str">
        <f ca="1">IF(ISBLANK(OFFSET(B758,0,'Field labels'!$Q$1)),C758,OFFSET(B758,0,'Field labels'!$Q$1))</f>
        <v>FP4 Preparation #1 (658619-LE001275)</v>
      </c>
      <c r="C758" t="s">
        <v>6350</v>
      </c>
    </row>
    <row r="759" spans="1:3">
      <c r="A759" t="s">
        <v>7490</v>
      </c>
      <c r="B759" t="str">
        <f ca="1">IF(ISBLANK(OFFSET(B759,0,'Field labels'!$Q$1)),C759,OFFSET(B759,0,'Field labels'!$Q$1))</f>
        <v>FP4 Preparation #2 (658634-LE001275)</v>
      </c>
      <c r="C759" t="s">
        <v>6351</v>
      </c>
    </row>
    <row r="760" spans="1:3">
      <c r="A760" t="s">
        <v>7490</v>
      </c>
      <c r="B760" t="str">
        <f ca="1">IF(ISBLANK(OFFSET(B760,0,'Field labels'!$Q$1)),C760,OFFSET(B760,0,'Field labels'!$Q$1))</f>
        <v>FP4 Sani Load #1 (658678-LE001275)</v>
      </c>
      <c r="C760" t="s">
        <v>6352</v>
      </c>
    </row>
    <row r="761" spans="1:3">
      <c r="A761" t="s">
        <v>7490</v>
      </c>
      <c r="B761" t="str">
        <f ca="1">IF(ISBLANK(OFFSET(B761,0,'Field labels'!$Q$1)),C761,OFFSET(B761,0,'Field labels'!$Q$1))</f>
        <v>FP4 Sani Load #2 (658679-LE001275)</v>
      </c>
      <c r="C761" t="s">
        <v>6353</v>
      </c>
    </row>
    <row r="762" spans="1:3">
      <c r="A762" t="s">
        <v>7490</v>
      </c>
      <c r="B762" t="str">
        <f ca="1">IF(ISBLANK(OFFSET(B762,0,'Field labels'!$Q$1)),C762,OFFSET(B762,0,'Field labels'!$Q$1))</f>
        <v>FP4 Sani Pack #1 (658686-LE001275)</v>
      </c>
      <c r="C762" t="s">
        <v>6354</v>
      </c>
    </row>
    <row r="763" spans="1:3">
      <c r="A763" t="s">
        <v>7490</v>
      </c>
      <c r="B763" t="str">
        <f ca="1">IF(ISBLANK(OFFSET(B763,0,'Field labels'!$Q$1)),C763,OFFSET(B763,0,'Field labels'!$Q$1))</f>
        <v>FP4 Sani Pack #2 (658688-LE001275)</v>
      </c>
      <c r="C763" t="s">
        <v>6355</v>
      </c>
    </row>
    <row r="764" spans="1:3">
      <c r="A764" t="s">
        <v>7490</v>
      </c>
      <c r="B764" t="str">
        <f ca="1">IF(ISBLANK(OFFSET(B764,0,'Field labels'!$Q$1)),C764,OFFSET(B764,0,'Field labels'!$Q$1))</f>
        <v>FPWarehouse 6-7/2 (650662-LE001275)</v>
      </c>
      <c r="C764" t="s">
        <v>6360</v>
      </c>
    </row>
    <row r="765" spans="1:3">
      <c r="A765" t="s">
        <v>7490</v>
      </c>
      <c r="B765" t="str">
        <f ca="1">IF(ISBLANK(OFFSET(B765,0,'Field labels'!$Q$1)),C765,OFFSET(B765,0,'Field labels'!$Q$1))</f>
        <v>Geographic expansion-Indone (650989-LE001275)</v>
      </c>
      <c r="C765" t="s">
        <v>6462</v>
      </c>
    </row>
    <row r="766" spans="1:3">
      <c r="A766" t="s">
        <v>7490</v>
      </c>
      <c r="B766" t="str">
        <f ca="1">IF(ISBLANK(OFFSET(B766,0,'Field labels'!$Q$1)),C766,OFFSET(B766,0,'Field labels'!$Q$1))</f>
        <v>GIBLET SEPARATION – A (650318-LE001275)</v>
      </c>
      <c r="C766" t="s">
        <v>6468</v>
      </c>
    </row>
    <row r="767" spans="1:3">
      <c r="A767" t="s">
        <v>7490</v>
      </c>
      <c r="B767" t="str">
        <f ca="1">IF(ISBLANK(OFFSET(B767,0,'Field labels'!$Q$1)),C767,OFFSET(B767,0,'Field labels'!$Q$1))</f>
        <v>GIBLET SEPARATION – B (650319-LE001275)</v>
      </c>
      <c r="C767" t="s">
        <v>6469</v>
      </c>
    </row>
    <row r="768" spans="1:3">
      <c r="A768" t="s">
        <v>7490</v>
      </c>
      <c r="B768" t="str">
        <f ca="1">IF(ISBLANK(OFFSET(B768,0,'Field labels'!$Q$1)),C768,OFFSET(B768,0,'Field labels'!$Q$1))</f>
        <v>HATCHERY (658111-LE001275)</v>
      </c>
      <c r="C768" t="s">
        <v>6549</v>
      </c>
    </row>
    <row r="769" spans="1:3">
      <c r="A769" t="s">
        <v>7490</v>
      </c>
      <c r="B769" t="str">
        <f ca="1">IF(ISBLANK(OFFSET(B769,0,'Field labels'!$Q$1)),C769,OFFSET(B769,0,'Field labels'!$Q$1))</f>
        <v>High Care FP Sani.Line 8-9 S# 1 (658583-LE001275)</v>
      </c>
      <c r="C769" t="s">
        <v>6553</v>
      </c>
    </row>
    <row r="770" spans="1:3">
      <c r="A770" t="s">
        <v>7490</v>
      </c>
      <c r="B770" t="str">
        <f ca="1">IF(ISBLANK(OFFSET(B770,0,'Field labels'!$Q$1)),C770,OFFSET(B770,0,'Field labels'!$Q$1))</f>
        <v>High Care FP Sani.Line 8-9 S# 2 (658587-LE001275)</v>
      </c>
      <c r="C770" t="s">
        <v>6554</v>
      </c>
    </row>
    <row r="771" spans="1:3">
      <c r="A771" t="s">
        <v>7490</v>
      </c>
      <c r="B771" t="str">
        <f ca="1">IF(ISBLANK(OFFSET(B771,0,'Field labels'!$Q$1)),C771,OFFSET(B771,0,'Field labels'!$Q$1))</f>
        <v>High Care Sani.1-5/1 (650582-LE001275)</v>
      </c>
      <c r="C771" t="s">
        <v>6555</v>
      </c>
    </row>
    <row r="772" spans="1:3">
      <c r="A772" t="s">
        <v>7490</v>
      </c>
      <c r="B772" t="str">
        <f ca="1">IF(ISBLANK(OFFSET(B772,0,'Field labels'!$Q$1)),C772,OFFSET(B772,0,'Field labels'!$Q$1))</f>
        <v>High Care Sani.1-5/1 (650585-LE001275)</v>
      </c>
      <c r="C772" t="s">
        <v>6556</v>
      </c>
    </row>
    <row r="773" spans="1:3">
      <c r="A773" t="s">
        <v>7490</v>
      </c>
      <c r="B773" t="str">
        <f ca="1">IF(ISBLANK(OFFSET(B773,0,'Field labels'!$Q$1)),C773,OFFSET(B773,0,'Field labels'!$Q$1))</f>
        <v>High Care Sani.1-5/2 (650587-LE001275)</v>
      </c>
      <c r="C773" t="s">
        <v>6557</v>
      </c>
    </row>
    <row r="774" spans="1:3">
      <c r="A774" t="s">
        <v>7490</v>
      </c>
      <c r="B774" t="str">
        <f ca="1">IF(ISBLANK(OFFSET(B774,0,'Field labels'!$Q$1)),C774,OFFSET(B774,0,'Field labels'!$Q$1))</f>
        <v>High Care Sani.6-7/1 (650682-LE001275)</v>
      </c>
      <c r="C774" t="s">
        <v>6558</v>
      </c>
    </row>
    <row r="775" spans="1:3">
      <c r="A775" t="s">
        <v>7490</v>
      </c>
      <c r="B775" t="str">
        <f ca="1">IF(ISBLANK(OFFSET(B775,0,'Field labels'!$Q$1)),C775,OFFSET(B775,0,'Field labels'!$Q$1))</f>
        <v>High Care Sani.6-7/1 (650685-LE001275)</v>
      </c>
      <c r="C775" t="s">
        <v>6559</v>
      </c>
    </row>
    <row r="776" spans="1:3">
      <c r="A776" t="s">
        <v>7490</v>
      </c>
      <c r="B776" t="str">
        <f ca="1">IF(ISBLANK(OFFSET(B776,0,'Field labels'!$Q$1)),C776,OFFSET(B776,0,'Field labels'!$Q$1))</f>
        <v>High Care Sani.6-7/2 (650687-LE001275)</v>
      </c>
      <c r="C776" t="s">
        <v>6560</v>
      </c>
    </row>
    <row r="777" spans="1:3">
      <c r="A777" t="s">
        <v>7490</v>
      </c>
      <c r="B777" t="str">
        <f ca="1">IF(ISBLANK(OFFSET(B777,0,'Field labels'!$Q$1)),C777,OFFSET(B777,0,'Field labels'!$Q$1))</f>
        <v>HR-Employee Relations (650932-LE001275)</v>
      </c>
      <c r="C777" t="s">
        <v>6582</v>
      </c>
    </row>
    <row r="778" spans="1:3">
      <c r="A778" t="s">
        <v>7490</v>
      </c>
      <c r="B778" t="str">
        <f ca="1">IF(ISBLANK(OFFSET(B778,0,'Field labels'!$Q$1)),C778,OFFSET(B778,0,'Field labels'!$Q$1))</f>
        <v>HR-Recruitment-Daily (650920-LE001275)</v>
      </c>
      <c r="C778" t="s">
        <v>6585</v>
      </c>
    </row>
    <row r="779" spans="1:3">
      <c r="A779" t="s">
        <v>7490</v>
      </c>
      <c r="B779" t="str">
        <f ca="1">IF(ISBLANK(OFFSET(B779,0,'Field labels'!$Q$1)),C779,OFFSET(B779,0,'Field labels'!$Q$1))</f>
        <v>HR-Time &amp; Attendance (650933-LE001275)</v>
      </c>
      <c r="C779" t="s">
        <v>6587</v>
      </c>
    </row>
    <row r="780" spans="1:3">
      <c r="A780" t="s">
        <v>7490</v>
      </c>
      <c r="B780" t="str">
        <f ca="1">IF(ISBLANK(OFFSET(B780,0,'Field labels'!$Q$1)),C780,OFFSET(B780,0,'Field labels'!$Q$1))</f>
        <v>Human Resources-Business-HR (650934-LE001275)</v>
      </c>
      <c r="C780" t="s">
        <v>6593</v>
      </c>
    </row>
    <row r="781" spans="1:3">
      <c r="A781" t="s">
        <v>7490</v>
      </c>
      <c r="B781" t="str">
        <f ca="1">IF(ISBLANK(OFFSET(B781,0,'Field labels'!$Q$1)),C781,OFFSET(B781,0,'Field labels'!$Q$1))</f>
        <v>Intersia (650798-LE001275)</v>
      </c>
      <c r="C781" t="s">
        <v>6599</v>
      </c>
    </row>
    <row r="782" spans="1:3">
      <c r="A782" t="s">
        <v>7490</v>
      </c>
      <c r="B782" t="str">
        <f ca="1">IF(ISBLANK(OFFSET(B782,0,'Field labels'!$Q$1)),C782,OFFSET(B782,0,'Field labels'!$Q$1))</f>
        <v>Laundry - FP4 (658668-LE001275)</v>
      </c>
      <c r="C782" t="s">
        <v>6649</v>
      </c>
    </row>
    <row r="783" spans="1:3">
      <c r="A783" t="s">
        <v>7490</v>
      </c>
      <c r="B783" t="str">
        <f ca="1">IF(ISBLANK(OFFSET(B783,0,'Field labels'!$Q$1)),C783,OFFSET(B783,0,'Field labels'!$Q$1))</f>
        <v>Laundry FP.3 (658584-LE001275)</v>
      </c>
      <c r="C783" t="s">
        <v>6650</v>
      </c>
    </row>
    <row r="784" spans="1:3">
      <c r="A784" t="s">
        <v>7490</v>
      </c>
      <c r="B784" t="str">
        <f ca="1">IF(ISBLANK(OFFSET(B784,0,'Field labels'!$Q$1)),C784,OFFSET(B784,0,'Field labels'!$Q$1))</f>
        <v>LAUNDRY-1 (650384-LE001275)</v>
      </c>
      <c r="C784" t="s">
        <v>6652</v>
      </c>
    </row>
    <row r="785" spans="1:3">
      <c r="A785" t="s">
        <v>7490</v>
      </c>
      <c r="B785" t="str">
        <f ca="1">IF(ISBLANK(OFFSET(B785,0,'Field labels'!$Q$1)),C785,OFFSET(B785,0,'Field labels'!$Q$1))</f>
        <v>LAUNDRY-1 (658384-LE001275)</v>
      </c>
      <c r="C785" t="s">
        <v>6651</v>
      </c>
    </row>
    <row r="786" spans="1:3">
      <c r="A786" t="s">
        <v>7490</v>
      </c>
      <c r="B786" t="str">
        <f ca="1">IF(ISBLANK(OFFSET(B786,0,'Field labels'!$Q$1)),C786,OFFSET(B786,0,'Field labels'!$Q$1))</f>
        <v>LAUNDRY-A (658884-LE001275)</v>
      </c>
      <c r="C786" t="s">
        <v>6653</v>
      </c>
    </row>
    <row r="787" spans="1:3">
      <c r="A787" t="s">
        <v>7490</v>
      </c>
      <c r="B787" t="str">
        <f ca="1">IF(ISBLANK(OFFSET(B787,0,'Field labels'!$Q$1)),C787,OFFSET(B787,0,'Field labels'!$Q$1))</f>
        <v>Leadership Team (650909-LE001275)</v>
      </c>
      <c r="C787" t="s">
        <v>6655</v>
      </c>
    </row>
    <row r="788" spans="1:3">
      <c r="A788" t="s">
        <v>7490</v>
      </c>
      <c r="B788" t="str">
        <f ca="1">IF(ISBLANK(OFFSET(B788,0,'Field labels'!$Q$1)),C788,OFFSET(B788,0,'Field labels'!$Q$1))</f>
        <v>Legal (650908-LE001275)</v>
      </c>
      <c r="C788" t="s">
        <v>6657</v>
      </c>
    </row>
    <row r="789" spans="1:3">
      <c r="A789" t="s">
        <v>7490</v>
      </c>
      <c r="B789" t="str">
        <f ca="1">IF(ISBLANK(OFFSET(B789,0,'Field labels'!$Q$1)),C789,OFFSET(B789,0,'Field labels'!$Q$1))</f>
        <v>LOAD DOMESTIC QC-A (658880-LE001275)</v>
      </c>
      <c r="C789" t="s">
        <v>6663</v>
      </c>
    </row>
    <row r="790" spans="1:3">
      <c r="A790" t="s">
        <v>7490</v>
      </c>
      <c r="B790" t="str">
        <f ca="1">IF(ISBLANK(OFFSET(B790,0,'Field labels'!$Q$1)),C790,OFFSET(B790,0,'Field labels'!$Q$1))</f>
        <v>Logistics (650950-LE001275)</v>
      </c>
      <c r="C790" t="s">
        <v>6676</v>
      </c>
    </row>
    <row r="791" spans="1:3">
      <c r="A791" t="s">
        <v>7490</v>
      </c>
      <c r="B791" t="str">
        <f ca="1">IF(ISBLANK(OFFSET(B791,0,'Field labels'!$Q$1)),C791,OFFSET(B791,0,'Field labels'!$Q$1))</f>
        <v>Low Risk FP Sani.Line 8-9 S# 1 (658582-LE001275)</v>
      </c>
      <c r="C791" t="s">
        <v>6680</v>
      </c>
    </row>
    <row r="792" spans="1:3">
      <c r="A792" t="s">
        <v>7490</v>
      </c>
      <c r="B792" t="str">
        <f ca="1">IF(ISBLANK(OFFSET(B792,0,'Field labels'!$Q$1)),C792,OFFSET(B792,0,'Field labels'!$Q$1))</f>
        <v>Low Risk FP Sani.Line 8-9 S# 2 (658588-LE001275)</v>
      </c>
      <c r="C792" t="s">
        <v>6681</v>
      </c>
    </row>
    <row r="793" spans="1:3">
      <c r="A793" t="s">
        <v>7490</v>
      </c>
      <c r="B793" t="str">
        <f ca="1">IF(ISBLANK(OFFSET(B793,0,'Field labels'!$Q$1)),C793,OFFSET(B793,0,'Field labels'!$Q$1))</f>
        <v>Low Risk Sani.1-5/2 (650583-LE001275)</v>
      </c>
      <c r="C793" t="s">
        <v>6682</v>
      </c>
    </row>
    <row r="794" spans="1:3">
      <c r="A794" t="s">
        <v>7490</v>
      </c>
      <c r="B794" t="str">
        <f ca="1">IF(ISBLANK(OFFSET(B794,0,'Field labels'!$Q$1)),C794,OFFSET(B794,0,'Field labels'!$Q$1))</f>
        <v>Low Risk Sani.6-7/2 (650683-LE001275)</v>
      </c>
      <c r="C794" t="s">
        <v>6683</v>
      </c>
    </row>
    <row r="795" spans="1:3">
      <c r="A795" t="s">
        <v>7490</v>
      </c>
      <c r="B795" t="str">
        <f ca="1">IF(ISBLANK(OFFSET(B795,0,'Field labels'!$Q$1)),C795,OFFSET(B795,0,'Field labels'!$Q$1))</f>
        <v>Maternity - FP4  (658695-LE001275)</v>
      </c>
      <c r="C795" t="s">
        <v>6718</v>
      </c>
    </row>
    <row r="796" spans="1:3">
      <c r="A796" t="s">
        <v>7490</v>
      </c>
      <c r="B796" t="str">
        <f ca="1">IF(ISBLANK(OFFSET(B796,0,'Field labels'!$Q$1)),C796,OFFSET(B796,0,'Field labels'!$Q$1))</f>
        <v>Maternity FP3 (658593-LE001275)</v>
      </c>
      <c r="C796" t="s">
        <v>6719</v>
      </c>
    </row>
    <row r="797" spans="1:3">
      <c r="A797" t="s">
        <v>7490</v>
      </c>
      <c r="B797" t="str">
        <f ca="1">IF(ISBLANK(OFFSET(B797,0,'Field labels'!$Q$1)),C797,OFFSET(B797,0,'Field labels'!$Q$1))</f>
        <v>Maternity PP3 (658892-LE001275)</v>
      </c>
      <c r="C797" t="s">
        <v>6720</v>
      </c>
    </row>
    <row r="798" spans="1:3">
      <c r="A798" t="s">
        <v>7490</v>
      </c>
      <c r="B798" t="str">
        <f ca="1">IF(ISBLANK(OFFSET(B798,0,'Field labels'!$Q$1)),C798,OFFSET(B798,0,'Field labels'!$Q$1))</f>
        <v>MATERNITY-1 (658392-LE001275)</v>
      </c>
      <c r="C798" t="s">
        <v>6721</v>
      </c>
    </row>
    <row r="799" spans="1:3">
      <c r="A799" t="s">
        <v>7490</v>
      </c>
      <c r="B799" t="str">
        <f ca="1">IF(ISBLANK(OFFSET(B799,0,'Field labels'!$Q$1)),C799,OFFSET(B799,0,'Field labels'!$Q$1))</f>
        <v>MATERNITY-A (650392-LE001275)</v>
      </c>
      <c r="C799" t="s">
        <v>6722</v>
      </c>
    </row>
    <row r="800" spans="1:3">
      <c r="A800" t="s">
        <v>7490</v>
      </c>
      <c r="B800" t="str">
        <f ca="1">IF(ISBLANK(OFFSET(B800,0,'Field labels'!$Q$1)),C800,OFFSET(B800,0,'Field labels'!$Q$1))</f>
        <v>MATERNITY-B (650492-LE001275)</v>
      </c>
      <c r="C800" t="s">
        <v>6723</v>
      </c>
    </row>
    <row r="801" spans="1:3">
      <c r="A801" t="s">
        <v>7490</v>
      </c>
      <c r="B801" t="str">
        <f ca="1">IF(ISBLANK(OFFSET(B801,0,'Field labels'!$Q$1)),C801,OFFSET(B801,0,'Field labels'!$Q$1))</f>
        <v>OFFAL HANDING-A (650308-LE001275)</v>
      </c>
      <c r="C801" t="s">
        <v>6760</v>
      </c>
    </row>
    <row r="802" spans="1:3">
      <c r="A802" t="s">
        <v>7490</v>
      </c>
      <c r="B802" t="str">
        <f ca="1">IF(ISBLANK(OFFSET(B802,0,'Field labels'!$Q$1)),C802,OFFSET(B802,0,'Field labels'!$Q$1))</f>
        <v>OFFAL HANDING-A (658308-LE001275)</v>
      </c>
      <c r="C802" t="s">
        <v>6759</v>
      </c>
    </row>
    <row r="803" spans="1:3">
      <c r="A803" t="s">
        <v>7490</v>
      </c>
      <c r="B803" t="str">
        <f ca="1">IF(ISBLANK(OFFSET(B803,0,'Field labels'!$Q$1)),C803,OFFSET(B803,0,'Field labels'!$Q$1))</f>
        <v>OFFAL HANDING-A (658808-LE001275)</v>
      </c>
      <c r="C803" t="s">
        <v>6758</v>
      </c>
    </row>
    <row r="804" spans="1:3">
      <c r="A804" t="s">
        <v>7490</v>
      </c>
      <c r="B804" t="str">
        <f ca="1">IF(ISBLANK(OFFSET(B804,0,'Field labels'!$Q$1)),C804,OFFSET(B804,0,'Field labels'!$Q$1))</f>
        <v>OFFAL HANDING-B (650408-LE001275)</v>
      </c>
      <c r="C804" t="s">
        <v>6762</v>
      </c>
    </row>
    <row r="805" spans="1:3">
      <c r="A805" t="s">
        <v>7490</v>
      </c>
      <c r="B805" t="str">
        <f ca="1">IF(ISBLANK(OFFSET(B805,0,'Field labels'!$Q$1)),C805,OFFSET(B805,0,'Field labels'!$Q$1))</f>
        <v>OFFAL HANDING-B (658408-LE001275)</v>
      </c>
      <c r="C805" t="s">
        <v>6761</v>
      </c>
    </row>
    <row r="806" spans="1:3">
      <c r="A806" t="s">
        <v>7490</v>
      </c>
      <c r="B806" t="str">
        <f ca="1">IF(ISBLANK(OFFSET(B806,0,'Field labels'!$Q$1)),C806,OFFSET(B806,0,'Field labels'!$Q$1))</f>
        <v>OFFAL HANDLING-B (658608-LE001275)</v>
      </c>
      <c r="C806" t="s">
        <v>6763</v>
      </c>
    </row>
    <row r="807" spans="1:3">
      <c r="A807" t="s">
        <v>7490</v>
      </c>
      <c r="B807" t="str">
        <f ca="1">IF(ISBLANK(OFFSET(B807,0,'Field labels'!$Q$1)),C807,OFFSET(B807,0,'Field labels'!$Q$1))</f>
        <v>OFFICER  SERVICE (650928-LE001275)</v>
      </c>
      <c r="C807" t="s">
        <v>6768</v>
      </c>
    </row>
    <row r="808" spans="1:3">
      <c r="A808" t="s">
        <v>7490</v>
      </c>
      <c r="B808" t="str">
        <f ca="1">IF(ISBLANK(OFFSET(B808,0,'Field labels'!$Q$1)),C808,OFFSET(B808,0,'Field labels'!$Q$1))</f>
        <v>Packing Freezing-A (658861-LE001275)</v>
      </c>
      <c r="C808" t="s">
        <v>6805</v>
      </c>
    </row>
    <row r="809" spans="1:3">
      <c r="A809" t="s">
        <v>7490</v>
      </c>
      <c r="B809" t="str">
        <f ca="1">IF(ISBLANK(OFFSET(B809,0,'Field labels'!$Q$1)),C809,OFFSET(B809,0,'Field labels'!$Q$1))</f>
        <v>Packing Freezing-B (658661-LE001275)</v>
      </c>
      <c r="C809" t="s">
        <v>6806</v>
      </c>
    </row>
    <row r="810" spans="1:3">
      <c r="A810" t="s">
        <v>7490</v>
      </c>
      <c r="B810" t="str">
        <f ca="1">IF(ISBLANK(OFFSET(B810,0,'Field labels'!$Q$1)),C810,OFFSET(B810,0,'Field labels'!$Q$1))</f>
        <v>Packing Line 1 (650541-LE001275)</v>
      </c>
      <c r="C810" t="s">
        <v>6807</v>
      </c>
    </row>
    <row r="811" spans="1:3">
      <c r="A811" t="s">
        <v>7490</v>
      </c>
      <c r="B811" t="str">
        <f ca="1">IF(ISBLANK(OFFSET(B811,0,'Field labels'!$Q$1)),C811,OFFSET(B811,0,'Field labels'!$Q$1))</f>
        <v>Personal Canteen FP (650387-LE001275)</v>
      </c>
      <c r="C811" t="s">
        <v>6827</v>
      </c>
    </row>
    <row r="812" spans="1:3">
      <c r="A812" t="s">
        <v>7490</v>
      </c>
      <c r="B812" t="str">
        <f ca="1">IF(ISBLANK(OFFSET(B812,0,'Field labels'!$Q$1)),C812,OFFSET(B812,0,'Field labels'!$Q$1))</f>
        <v>PERSONAL CANTEEN PP-A (658894-LE001275)</v>
      </c>
      <c r="C812" t="s">
        <v>6828</v>
      </c>
    </row>
    <row r="813" spans="1:3">
      <c r="A813" t="s">
        <v>7490</v>
      </c>
      <c r="B813" t="str">
        <f ca="1">IF(ISBLANK(OFFSET(B813,0,'Field labels'!$Q$1)),C813,OFFSET(B813,0,'Field labels'!$Q$1))</f>
        <v>Personal Canteen PP-B (650494-LE001275)</v>
      </c>
      <c r="C813" t="s">
        <v>6829</v>
      </c>
    </row>
    <row r="814" spans="1:3">
      <c r="A814" t="s">
        <v>7490</v>
      </c>
      <c r="B814" t="str">
        <f ca="1">IF(ISBLANK(OFFSET(B814,0,'Field labels'!$Q$1)),C814,OFFSET(B814,0,'Field labels'!$Q$1))</f>
        <v>Personal Welfare FP (650398-LE001275)</v>
      </c>
      <c r="C814" t="s">
        <v>6830</v>
      </c>
    </row>
    <row r="815" spans="1:3">
      <c r="A815" t="s">
        <v>7490</v>
      </c>
      <c r="B815" t="str">
        <f ca="1">IF(ISBLANK(OFFSET(B815,0,'Field labels'!$Q$1)),C815,OFFSET(B815,0,'Field labels'!$Q$1))</f>
        <v>Personal Welfare PP-A (650395-LE001275)</v>
      </c>
      <c r="C815" t="s">
        <v>6831</v>
      </c>
    </row>
    <row r="816" spans="1:3">
      <c r="A816" t="s">
        <v>7490</v>
      </c>
      <c r="B816" t="str">
        <f ca="1">IF(ISBLANK(OFFSET(B816,0,'Field labels'!$Q$1)),C816,OFFSET(B816,0,'Field labels'!$Q$1))</f>
        <v>Personal Welfare PP-B (650498-LE001275)</v>
      </c>
      <c r="C816" t="s">
        <v>6832</v>
      </c>
    </row>
    <row r="817" spans="1:3">
      <c r="A817" t="s">
        <v>7490</v>
      </c>
      <c r="B817" t="str">
        <f ca="1">IF(ISBLANK(OFFSET(B817,0,'Field labels'!$Q$1)),C817,OFFSET(B817,0,'Field labels'!$Q$1))</f>
        <v>Personnel Training (650921-LE001275)</v>
      </c>
      <c r="C817" t="s">
        <v>6833</v>
      </c>
    </row>
    <row r="818" spans="1:3">
      <c r="A818" t="s">
        <v>7490</v>
      </c>
      <c r="B818" t="str">
        <f ca="1">IF(ISBLANK(OFFSET(B818,0,'Field labels'!$Q$1)),C818,OFFSET(B818,0,'Field labels'!$Q$1))</f>
        <v>Planning - FP4 (658692-LE001275)</v>
      </c>
      <c r="C818" t="s">
        <v>6841</v>
      </c>
    </row>
    <row r="819" spans="1:3">
      <c r="A819" t="s">
        <v>7490</v>
      </c>
      <c r="B819" t="str">
        <f ca="1">IF(ISBLANK(OFFSET(B819,0,'Field labels'!$Q$1)),C819,OFFSET(B819,0,'Field labels'!$Q$1))</f>
        <v>Planning - FP4  (658669-LE001275)</v>
      </c>
      <c r="C819" t="s">
        <v>6842</v>
      </c>
    </row>
    <row r="820" spans="1:3">
      <c r="A820" t="s">
        <v>7490</v>
      </c>
      <c r="B820" t="str">
        <f ca="1">IF(ISBLANK(OFFSET(B820,0,'Field labels'!$Q$1)),C820,OFFSET(B820,0,'Field labels'!$Q$1))</f>
        <v>Plant General - FP4 (658690-LE001275)</v>
      </c>
      <c r="C820" t="s">
        <v>6851</v>
      </c>
    </row>
    <row r="821" spans="1:3">
      <c r="A821" t="s">
        <v>7490</v>
      </c>
      <c r="B821" t="str">
        <f ca="1">IF(ISBLANK(OFFSET(B821,0,'Field labels'!$Q$1)),C821,OFFSET(B821,0,'Field labels'!$Q$1))</f>
        <v>Production_Worker_WLD 2 (650316-LE001275)</v>
      </c>
      <c r="C821" t="s">
        <v>6930</v>
      </c>
    </row>
    <row r="822" spans="1:3">
      <c r="A822" t="s">
        <v>7490</v>
      </c>
      <c r="B822" t="str">
        <f ca="1">IF(ISBLANK(OFFSET(B822,0,'Field labels'!$Q$1)),C822,OFFSET(B822,0,'Field labels'!$Q$1))</f>
        <v>Production_Worker_WLD 3 (650415-LE001275)</v>
      </c>
      <c r="C822" t="s">
        <v>6931</v>
      </c>
    </row>
    <row r="823" spans="1:3">
      <c r="A823" t="s">
        <v>7490</v>
      </c>
      <c r="B823" t="str">
        <f ca="1">IF(ISBLANK(OFFSET(B823,0,'Field labels'!$Q$1)),C823,OFFSET(B823,0,'Field labels'!$Q$1))</f>
        <v>Production_Worker_WLD 4 (650416-LE001275)</v>
      </c>
      <c r="C823" t="s">
        <v>6932</v>
      </c>
    </row>
    <row r="824" spans="1:3">
      <c r="A824" t="s">
        <v>7490</v>
      </c>
      <c r="B824" t="str">
        <f ca="1">IF(ISBLANK(OFFSET(B824,0,'Field labels'!$Q$1)),C824,OFFSET(B824,0,'Field labels'!$Q$1))</f>
        <v>PTO 1-A (650356-LE001275)</v>
      </c>
      <c r="C824" t="s">
        <v>6965</v>
      </c>
    </row>
    <row r="825" spans="1:3">
      <c r="A825" t="s">
        <v>7490</v>
      </c>
      <c r="B825" t="str">
        <f ca="1">IF(ISBLANK(OFFSET(B825,0,'Field labels'!$Q$1)),C825,OFFSET(B825,0,'Field labels'!$Q$1))</f>
        <v>PTO 2-A (650357-LE001275)</v>
      </c>
      <c r="C825" t="s">
        <v>6966</v>
      </c>
    </row>
    <row r="826" spans="1:3">
      <c r="A826" t="s">
        <v>7490</v>
      </c>
      <c r="B826" t="str">
        <f ca="1">IF(ISBLANK(OFFSET(B826,0,'Field labels'!$Q$1)),C826,OFFSET(B826,0,'Field labels'!$Q$1))</f>
        <v>PTO 3-B (650456-LE001275)</v>
      </c>
      <c r="C826" t="s">
        <v>6967</v>
      </c>
    </row>
    <row r="827" spans="1:3">
      <c r="A827" t="s">
        <v>7490</v>
      </c>
      <c r="B827" t="str">
        <f ca="1">IF(ISBLANK(OFFSET(B827,0,'Field labels'!$Q$1)),C827,OFFSET(B827,0,'Field labels'!$Q$1))</f>
        <v>PTO 4B (650457-LE001275)</v>
      </c>
      <c r="C827" t="s">
        <v>6968</v>
      </c>
    </row>
    <row r="828" spans="1:3">
      <c r="A828" t="s">
        <v>7490</v>
      </c>
      <c r="B828" t="str">
        <f ca="1">IF(ISBLANK(OFFSET(B828,0,'Field labels'!$Q$1)),C828,OFFSET(B828,0,'Field labels'!$Q$1))</f>
        <v>PTO 5 - A (650358-LE001275)</v>
      </c>
      <c r="C828" t="s">
        <v>6969</v>
      </c>
    </row>
    <row r="829" spans="1:3">
      <c r="A829" t="s">
        <v>7490</v>
      </c>
      <c r="B829" t="str">
        <f ca="1">IF(ISBLANK(OFFSET(B829,0,'Field labels'!$Q$1)),C829,OFFSET(B829,0,'Field labels'!$Q$1))</f>
        <v>PTO 6 - B (650359-LE001275)</v>
      </c>
      <c r="C829" t="s">
        <v>6970</v>
      </c>
    </row>
    <row r="830" spans="1:3">
      <c r="A830" t="s">
        <v>7490</v>
      </c>
      <c r="B830" t="str">
        <f ca="1">IF(ISBLANK(OFFSET(B830,0,'Field labels'!$Q$1)),C830,OFFSET(B830,0,'Field labels'!$Q$1))</f>
        <v>PULLET 6 (658201-LE001275)</v>
      </c>
      <c r="C830" t="s">
        <v>6988</v>
      </c>
    </row>
    <row r="831" spans="1:3">
      <c r="A831" t="s">
        <v>7490</v>
      </c>
      <c r="B831" t="str">
        <f ca="1">IF(ISBLANK(OFFSET(B831,0,'Field labels'!$Q$1)),C831,OFFSET(B831,0,'Field labels'!$Q$1))</f>
        <v>PULLET 7 (658202-LE001275)</v>
      </c>
      <c r="C831" t="s">
        <v>6989</v>
      </c>
    </row>
    <row r="832" spans="1:3">
      <c r="A832" t="s">
        <v>7490</v>
      </c>
      <c r="B832" t="str">
        <f ca="1">IF(ISBLANK(OFFSET(B832,0,'Field labels'!$Q$1)),C832,OFFSET(B832,0,'Field labels'!$Q$1))</f>
        <v>PULLET 8 (658203-LE001275)</v>
      </c>
      <c r="C832" t="s">
        <v>6990</v>
      </c>
    </row>
    <row r="833" spans="1:3">
      <c r="A833" t="s">
        <v>7490</v>
      </c>
      <c r="B833" t="str">
        <f ca="1">IF(ISBLANK(OFFSET(B833,0,'Field labels'!$Q$1)),C833,OFFSET(B833,0,'Field labels'!$Q$1))</f>
        <v>Purchasing Feed Ingredient          (650126-LE001275)</v>
      </c>
      <c r="C833" t="s">
        <v>6991</v>
      </c>
    </row>
    <row r="834" spans="1:3">
      <c r="A834" t="s">
        <v>7490</v>
      </c>
      <c r="B834" t="str">
        <f ca="1">IF(ISBLANK(OFFSET(B834,0,'Field labels'!$Q$1)),C834,OFFSET(B834,0,'Field labels'!$Q$1))</f>
        <v>RAW FUR. - G.(B) (650420-LE001275)</v>
      </c>
      <c r="C834" t="s">
        <v>7007</v>
      </c>
    </row>
    <row r="835" spans="1:3">
      <c r="A835" t="s">
        <v>7490</v>
      </c>
      <c r="B835" t="str">
        <f ca="1">IF(ISBLANK(OFFSET(B835,0,'Field labels'!$Q$1)),C835,OFFSET(B835,0,'Field labels'!$Q$1))</f>
        <v>Raw Fur-G(B) (658420-LE001275)</v>
      </c>
      <c r="C835" t="s">
        <v>7008</v>
      </c>
    </row>
    <row r="836" spans="1:3">
      <c r="A836" t="s">
        <v>7490</v>
      </c>
      <c r="B836" t="str">
        <f ca="1">IF(ISBLANK(OFFSET(B836,0,'Field labels'!$Q$1)),C836,OFFSET(B836,0,'Field labels'!$Q$1))</f>
        <v>RAW MATERIAL (650121-LE001275)</v>
      </c>
      <c r="C836" t="s">
        <v>7009</v>
      </c>
    </row>
    <row r="837" spans="1:3">
      <c r="A837" t="s">
        <v>7490</v>
      </c>
      <c r="B837" t="str">
        <f ca="1">IF(ISBLANK(OFFSET(B837,0,'Field labels'!$Q$1)),C837,OFFSET(B837,0,'Field labels'!$Q$1))</f>
        <v>RECEIVING &amp; HANGING-B (650400-LE001275)</v>
      </c>
      <c r="C837" t="s">
        <v>7013</v>
      </c>
    </row>
    <row r="838" spans="1:3">
      <c r="A838" t="s">
        <v>7490</v>
      </c>
      <c r="B838" t="str">
        <f ca="1">IF(ISBLANK(OFFSET(B838,0,'Field labels'!$Q$1)),C838,OFFSET(B838,0,'Field labels'!$Q$1))</f>
        <v>RECEIVING &amp; HANGING-B (658400-LE001275)</v>
      </c>
      <c r="C838" t="s">
        <v>7012</v>
      </c>
    </row>
    <row r="839" spans="1:3">
      <c r="A839" t="s">
        <v>7490</v>
      </c>
      <c r="B839" t="str">
        <f ca="1">IF(ISBLANK(OFFSET(B839,0,'Field labels'!$Q$1)),C839,OFFSET(B839,0,'Field labels'!$Q$1))</f>
        <v>RECEIVING &amp; HANGING-B (658600-LE001275)</v>
      </c>
      <c r="C839" t="s">
        <v>7011</v>
      </c>
    </row>
    <row r="840" spans="1:3">
      <c r="A840" t="s">
        <v>7490</v>
      </c>
      <c r="B840" t="str">
        <f ca="1">IF(ISBLANK(OFFSET(B840,0,'Field labels'!$Q$1)),C840,OFFSET(B840,0,'Field labels'!$Q$1))</f>
        <v>Refrigeration - FP4 (658672-LE001275)</v>
      </c>
      <c r="C840" t="s">
        <v>7022</v>
      </c>
    </row>
    <row r="841" spans="1:3">
      <c r="A841" t="s">
        <v>7490</v>
      </c>
      <c r="B841" t="str">
        <f ca="1">IF(ISBLANK(OFFSET(B841,0,'Field labels'!$Q$1)),C841,OFFSET(B841,0,'Field labels'!$Q$1))</f>
        <v>Refrigeration-PP (658870-LE001275)</v>
      </c>
      <c r="C841" t="s">
        <v>7023</v>
      </c>
    </row>
    <row r="842" spans="1:3">
      <c r="A842" t="s">
        <v>7490</v>
      </c>
      <c r="B842" t="str">
        <f ca="1">IF(ISBLANK(OFFSET(B842,0,'Field labels'!$Q$1)),C842,OFFSET(B842,0,'Field labels'!$Q$1))</f>
        <v>SANI.-DAY/B (650482-LE001275)</v>
      </c>
      <c r="C842" t="s">
        <v>7070</v>
      </c>
    </row>
    <row r="843" spans="1:3">
      <c r="A843" t="s">
        <v>7490</v>
      </c>
      <c r="B843" t="str">
        <f ca="1">IF(ISBLANK(OFFSET(B843,0,'Field labels'!$Q$1)),C843,OFFSET(B843,0,'Field labels'!$Q$1))</f>
        <v>SANI-A Deep Clean High Care (658383-LE001275)</v>
      </c>
      <c r="C843" t="s">
        <v>7071</v>
      </c>
    </row>
    <row r="844" spans="1:3">
      <c r="A844" t="s">
        <v>7490</v>
      </c>
      <c r="B844" t="str">
        <f ca="1">IF(ISBLANK(OFFSET(B844,0,'Field labels'!$Q$1)),C844,OFFSET(B844,0,'Field labels'!$Q$1))</f>
        <v>SANI-A General High Care (658388-LE001275)</v>
      </c>
      <c r="C844" t="s">
        <v>7072</v>
      </c>
    </row>
    <row r="845" spans="1:3">
      <c r="A845" t="s">
        <v>7490</v>
      </c>
      <c r="B845" t="str">
        <f ca="1">IF(ISBLANK(OFFSET(B845,0,'Field labels'!$Q$1)),C845,OFFSET(B845,0,'Field labels'!$Q$1))</f>
        <v>SANI-A Low Risk PP2 (658382-LE001275)</v>
      </c>
      <c r="C845" t="s">
        <v>7073</v>
      </c>
    </row>
    <row r="846" spans="1:3">
      <c r="A846" t="s">
        <v>7490</v>
      </c>
      <c r="B846" t="str">
        <f ca="1">IF(ISBLANK(OFFSET(B846,0,'Field labels'!$Q$1)),C846,OFFSET(B846,0,'Field labels'!$Q$1))</f>
        <v>SANI-B Deep Clean High Care (658483-LE001275)</v>
      </c>
      <c r="C846" t="s">
        <v>7074</v>
      </c>
    </row>
    <row r="847" spans="1:3">
      <c r="A847" t="s">
        <v>7490</v>
      </c>
      <c r="B847" t="str">
        <f ca="1">IF(ISBLANK(OFFSET(B847,0,'Field labels'!$Q$1)),C847,OFFSET(B847,0,'Field labels'!$Q$1))</f>
        <v>SANI-B General High Care (658488-LE001275)</v>
      </c>
      <c r="C847" t="s">
        <v>7075</v>
      </c>
    </row>
    <row r="848" spans="1:3">
      <c r="A848" t="s">
        <v>7490</v>
      </c>
      <c r="B848" t="str">
        <f ca="1">IF(ISBLANK(OFFSET(B848,0,'Field labels'!$Q$1)),C848,OFFSET(B848,0,'Field labels'!$Q$1))</f>
        <v>SANI-B Low Risk PP2 (658482-LE001275)</v>
      </c>
      <c r="C848" t="s">
        <v>7076</v>
      </c>
    </row>
    <row r="849" spans="1:3">
      <c r="A849" t="s">
        <v>7490</v>
      </c>
      <c r="B849" t="str">
        <f ca="1">IF(ISBLANK(OFFSET(B849,0,'Field labels'!$Q$1)),C849,OFFSET(B849,0,'Field labels'!$Q$1))</f>
        <v>SANITATION Deep Clean HIGH CARE-A (658883-LE001275)</v>
      </c>
      <c r="C849" t="s">
        <v>7078</v>
      </c>
    </row>
    <row r="850" spans="1:3">
      <c r="A850" t="s">
        <v>7490</v>
      </c>
      <c r="B850" t="str">
        <f ca="1">IF(ISBLANK(OFFSET(B850,0,'Field labels'!$Q$1)),C850,OFFSET(B850,0,'Field labels'!$Q$1))</f>
        <v>SANITATION Deep Clean HIGH CARE-B (658683-LE001275)</v>
      </c>
      <c r="C850" t="s">
        <v>7079</v>
      </c>
    </row>
    <row r="851" spans="1:3">
      <c r="A851" t="s">
        <v>7490</v>
      </c>
      <c r="B851" t="str">
        <f ca="1">IF(ISBLANK(OFFSET(B851,0,'Field labels'!$Q$1)),C851,OFFSET(B851,0,'Field labels'!$Q$1))</f>
        <v>SANITATION General High Care - A (658887-LE001275)</v>
      </c>
      <c r="C851" t="s">
        <v>7080</v>
      </c>
    </row>
    <row r="852" spans="1:3">
      <c r="A852" t="s">
        <v>7490</v>
      </c>
      <c r="B852" t="str">
        <f ca="1">IF(ISBLANK(OFFSET(B852,0,'Field labels'!$Q$1)),C852,OFFSET(B852,0,'Field labels'!$Q$1))</f>
        <v>SANITATION General High Care - B (658687-LE001275)</v>
      </c>
      <c r="C852" t="s">
        <v>7081</v>
      </c>
    </row>
    <row r="853" spans="1:3">
      <c r="A853" t="s">
        <v>7490</v>
      </c>
      <c r="B853" t="str">
        <f ca="1">IF(ISBLANK(OFFSET(B853,0,'Field labels'!$Q$1)),C853,OFFSET(B853,0,'Field labels'!$Q$1))</f>
        <v>SANITATION LOW CARE-A (658882-LE001275)</v>
      </c>
      <c r="C853" t="s">
        <v>7082</v>
      </c>
    </row>
    <row r="854" spans="1:3">
      <c r="A854" t="s">
        <v>7490</v>
      </c>
      <c r="B854" t="str">
        <f ca="1">IF(ISBLANK(OFFSET(B854,0,'Field labels'!$Q$1)),C854,OFFSET(B854,0,'Field labels'!$Q$1))</f>
        <v>SANITATION LOW CARE-B (658682-LE001275)</v>
      </c>
      <c r="C854" t="s">
        <v>7083</v>
      </c>
    </row>
    <row r="855" spans="1:3">
      <c r="A855" t="s">
        <v>7490</v>
      </c>
      <c r="B855" t="str">
        <f ca="1">IF(ISBLANK(OFFSET(B855,0,'Field labels'!$Q$1)),C855,OFFSET(B855,0,'Field labels'!$Q$1))</f>
        <v>SAP Project (650907-LE001275)</v>
      </c>
      <c r="C855" t="s">
        <v>7084</v>
      </c>
    </row>
    <row r="856" spans="1:3">
      <c r="A856" t="s">
        <v>7490</v>
      </c>
      <c r="B856" t="str">
        <f ca="1">IF(ISBLANK(OFFSET(B856,0,'Field labels'!$Q$1)),C856,OFFSET(B856,0,'Field labels'!$Q$1))</f>
        <v>SBB Raw Meat/SP BB 10 (658333-LE001275)</v>
      </c>
      <c r="C856" t="s">
        <v>7085</v>
      </c>
    </row>
    <row r="857" spans="1:3">
      <c r="A857" t="s">
        <v>7490</v>
      </c>
      <c r="B857" t="str">
        <f ca="1">IF(ISBLANK(OFFSET(B857,0,'Field labels'!$Q$1)),C857,OFFSET(B857,0,'Field labels'!$Q$1))</f>
        <v>SBB Raw Meat/SP BB 2 (658323-LE001275)</v>
      </c>
      <c r="C857" t="s">
        <v>7086</v>
      </c>
    </row>
    <row r="858" spans="1:3">
      <c r="A858" t="s">
        <v>7490</v>
      </c>
      <c r="B858" t="str">
        <f ca="1">IF(ISBLANK(OFFSET(B858,0,'Field labels'!$Q$1)),C858,OFFSET(B858,0,'Field labels'!$Q$1))</f>
        <v>SBB RAW MEAT13-B (658833-LE001275)</v>
      </c>
      <c r="C858" t="s">
        <v>7087</v>
      </c>
    </row>
    <row r="859" spans="1:3">
      <c r="A859" t="s">
        <v>7490</v>
      </c>
      <c r="B859" t="str">
        <f ca="1">IF(ISBLANK(OFFSET(B859,0,'Field labels'!$Q$1)),C859,OFFSET(B859,0,'Field labels'!$Q$1))</f>
        <v>SBB RAW MEAT14-B (658834-LE001275)</v>
      </c>
      <c r="C859" t="s">
        <v>7088</v>
      </c>
    </row>
    <row r="860" spans="1:3">
      <c r="A860" t="s">
        <v>7490</v>
      </c>
      <c r="B860" t="str">
        <f ca="1">IF(ISBLANK(OFFSET(B860,0,'Field labels'!$Q$1)),C860,OFFSET(B860,0,'Field labels'!$Q$1))</f>
        <v>SBB RAW MEAT25-B (658853-LE001275)</v>
      </c>
      <c r="C860" t="s">
        <v>7089</v>
      </c>
    </row>
    <row r="861" spans="1:3">
      <c r="A861" t="s">
        <v>7490</v>
      </c>
      <c r="B861" t="str">
        <f ca="1">IF(ISBLANK(OFFSET(B861,0,'Field labels'!$Q$1)),C861,OFFSET(B861,0,'Field labels'!$Q$1))</f>
        <v>SBB RAW MEAT26-B (658847-LE001275)</v>
      </c>
      <c r="C861" t="s">
        <v>7090</v>
      </c>
    </row>
    <row r="862" spans="1:3">
      <c r="A862" t="s">
        <v>7490</v>
      </c>
      <c r="B862" t="str">
        <f ca="1">IF(ISBLANK(OFFSET(B862,0,'Field labels'!$Q$1)),C862,OFFSET(B862,0,'Field labels'!$Q$1))</f>
        <v>SBB RAW MEAT3-A (658822-LE001275)</v>
      </c>
      <c r="C862" t="s">
        <v>7091</v>
      </c>
    </row>
    <row r="863" spans="1:3">
      <c r="A863" t="s">
        <v>7490</v>
      </c>
      <c r="B863" t="str">
        <f ca="1">IF(ISBLANK(OFFSET(B863,0,'Field labels'!$Q$1)),C863,OFFSET(B863,0,'Field labels'!$Q$1))</f>
        <v>SBB RAW MEAT5-A (658850-LE001275)</v>
      </c>
      <c r="C863" t="s">
        <v>7092</v>
      </c>
    </row>
    <row r="864" spans="1:3">
      <c r="A864" t="s">
        <v>7490</v>
      </c>
      <c r="B864" t="str">
        <f ca="1">IF(ISBLANK(OFFSET(B864,0,'Field labels'!$Q$1)),C864,OFFSET(B864,0,'Field labels'!$Q$1))</f>
        <v>SBB S/Q 50-58g./SP BB 1 (658321-LE001275)</v>
      </c>
      <c r="C864" t="s">
        <v>7093</v>
      </c>
    </row>
    <row r="865" spans="1:3">
      <c r="A865" t="s">
        <v>7490</v>
      </c>
      <c r="B865" t="str">
        <f ca="1">IF(ISBLANK(OFFSET(B865,0,'Field labels'!$Q$1)),C865,OFFSET(B865,0,'Field labels'!$Q$1))</f>
        <v>SBB S/Q 50-58g./SP BB 12 (658336-LE001275)</v>
      </c>
      <c r="C865" t="s">
        <v>7094</v>
      </c>
    </row>
    <row r="866" spans="1:3">
      <c r="A866" t="s">
        <v>7490</v>
      </c>
      <c r="B866" t="str">
        <f ca="1">IF(ISBLANK(OFFSET(B866,0,'Field labels'!$Q$1)),C866,OFFSET(B866,0,'Field labels'!$Q$1))</f>
        <v>SBB S/Q 50-58g./SP BB 3 (658325-LE001275)</v>
      </c>
      <c r="C866" t="s">
        <v>7095</v>
      </c>
    </row>
    <row r="867" spans="1:3">
      <c r="A867" t="s">
        <v>7490</v>
      </c>
      <c r="B867" t="str">
        <f ca="1">IF(ISBLANK(OFFSET(B867,0,'Field labels'!$Q$1)),C867,OFFSET(B867,0,'Field labels'!$Q$1))</f>
        <v>SBB S/Q 50-58g./SP BB 9 (658332-LE001275)</v>
      </c>
      <c r="C867" t="s">
        <v>7096</v>
      </c>
    </row>
    <row r="868" spans="1:3">
      <c r="A868" t="s">
        <v>7490</v>
      </c>
      <c r="B868" t="str">
        <f ca="1">IF(ISBLANK(OFFSET(B868,0,'Field labels'!$Q$1)),C868,OFFSET(B868,0,'Field labels'!$Q$1))</f>
        <v>SCANVAEGT 1 - A (650354-LE001275)</v>
      </c>
      <c r="C868" t="s">
        <v>7098</v>
      </c>
    </row>
    <row r="869" spans="1:3">
      <c r="A869" t="s">
        <v>7490</v>
      </c>
      <c r="B869" t="str">
        <f ca="1">IF(ISBLANK(OFFSET(B869,0,'Field labels'!$Q$1)),C869,OFFSET(B869,0,'Field labels'!$Q$1))</f>
        <v>SCANVAEGT 2 - B (650454-LE001275)</v>
      </c>
      <c r="C869" t="s">
        <v>7099</v>
      </c>
    </row>
    <row r="870" spans="1:3">
      <c r="A870" t="s">
        <v>7490</v>
      </c>
      <c r="B870" t="str">
        <f ca="1">IF(ISBLANK(OFFSET(B870,0,'Field labels'!$Q$1)),C870,OFFSET(B870,0,'Field labels'!$Q$1))</f>
        <v>SP BB 15-B (658835-LE001275)</v>
      </c>
      <c r="C870" t="s">
        <v>7151</v>
      </c>
    </row>
    <row r="871" spans="1:3">
      <c r="A871" t="s">
        <v>7490</v>
      </c>
      <c r="B871" t="str">
        <f ca="1">IF(ISBLANK(OFFSET(B871,0,'Field labels'!$Q$1)),C871,OFFSET(B871,0,'Field labels'!$Q$1))</f>
        <v>SP BB 16-B (658836-LE001275)</v>
      </c>
      <c r="C871" t="s">
        <v>7152</v>
      </c>
    </row>
    <row r="872" spans="1:3">
      <c r="A872" t="s">
        <v>7490</v>
      </c>
      <c r="B872" t="str">
        <f ca="1">IF(ISBLANK(OFFSET(B872,0,'Field labels'!$Q$1)),C872,OFFSET(B872,0,'Field labels'!$Q$1))</f>
        <v>SP BB 5 (658327-LE001275)</v>
      </c>
      <c r="C872" t="s">
        <v>7153</v>
      </c>
    </row>
    <row r="873" spans="1:3">
      <c r="A873" t="s">
        <v>7490</v>
      </c>
      <c r="B873" t="str">
        <f ca="1">IF(ISBLANK(OFFSET(B873,0,'Field labels'!$Q$1)),C873,OFFSET(B873,0,'Field labels'!$Q$1))</f>
        <v>SP BB 5-A (658824-LE001275)</v>
      </c>
      <c r="C873" t="s">
        <v>7154</v>
      </c>
    </row>
    <row r="874" spans="1:3">
      <c r="A874" t="s">
        <v>7490</v>
      </c>
      <c r="B874" t="str">
        <f ca="1">IF(ISBLANK(OFFSET(B874,0,'Field labels'!$Q$1)),C874,OFFSET(B874,0,'Field labels'!$Q$1))</f>
        <v>SP BB 6-A (658825-LE001275)</v>
      </c>
      <c r="C874" t="s">
        <v>7155</v>
      </c>
    </row>
    <row r="875" spans="1:3">
      <c r="A875" t="s">
        <v>7490</v>
      </c>
      <c r="B875" t="str">
        <f ca="1">IF(ISBLANK(OFFSET(B875,0,'Field labels'!$Q$1)),C875,OFFSET(B875,0,'Field labels'!$Q$1))</f>
        <v>SP BL 10-A (658851-LE001275)</v>
      </c>
      <c r="C875" t="s">
        <v>7156</v>
      </c>
    </row>
    <row r="876" spans="1:3">
      <c r="A876" t="s">
        <v>7490</v>
      </c>
      <c r="B876" t="str">
        <f ca="1">IF(ISBLANK(OFFSET(B876,0,'Field labels'!$Q$1)),C876,OFFSET(B876,0,'Field labels'!$Q$1))</f>
        <v>SP BL 11-A (658852-LE001275)</v>
      </c>
      <c r="C876" t="s">
        <v>7157</v>
      </c>
    </row>
    <row r="877" spans="1:3">
      <c r="A877" t="s">
        <v>7490</v>
      </c>
      <c r="B877" t="str">
        <f ca="1">IF(ISBLANK(OFFSET(B877,0,'Field labels'!$Q$1)),C877,OFFSET(B877,0,'Field labels'!$Q$1))</f>
        <v>SP BL 13 (650322-LE001275)</v>
      </c>
      <c r="C877" t="s">
        <v>7158</v>
      </c>
    </row>
    <row r="878" spans="1:3">
      <c r="A878" t="s">
        <v>7490</v>
      </c>
      <c r="B878" t="str">
        <f ca="1">IF(ISBLANK(OFFSET(B878,0,'Field labels'!$Q$1)),C878,OFFSET(B878,0,'Field labels'!$Q$1))</f>
        <v>SP BL 17-B (658837-LE001275)</v>
      </c>
      <c r="C878" t="s">
        <v>7159</v>
      </c>
    </row>
    <row r="879" spans="1:3">
      <c r="A879" t="s">
        <v>7490</v>
      </c>
      <c r="B879" t="str">
        <f ca="1">IF(ISBLANK(OFFSET(B879,0,'Field labels'!$Q$1)),C879,OFFSET(B879,0,'Field labels'!$Q$1))</f>
        <v>SP BL 18-B (658838-LE001275)</v>
      </c>
      <c r="C879" t="s">
        <v>7160</v>
      </c>
    </row>
    <row r="880" spans="1:3">
      <c r="A880" t="s">
        <v>7490</v>
      </c>
      <c r="B880" t="str">
        <f ca="1">IF(ISBLANK(OFFSET(B880,0,'Field labels'!$Q$1)),C880,OFFSET(B880,0,'Field labels'!$Q$1))</f>
        <v>SP BL 30-B (658854-LE001275)</v>
      </c>
      <c r="C880" t="s">
        <v>7161</v>
      </c>
    </row>
    <row r="881" spans="1:3">
      <c r="A881" t="s">
        <v>7490</v>
      </c>
      <c r="B881" t="str">
        <f ca="1">IF(ISBLANK(OFFSET(B881,0,'Field labels'!$Q$1)),C881,OFFSET(B881,0,'Field labels'!$Q$1))</f>
        <v>SP BL 31-B (658855-LE001275)</v>
      </c>
      <c r="C881" t="s">
        <v>7162</v>
      </c>
    </row>
    <row r="882" spans="1:3">
      <c r="A882" t="s">
        <v>7490</v>
      </c>
      <c r="B882" t="str">
        <f ca="1">IF(ISBLANK(OFFSET(B882,0,'Field labels'!$Q$1)),C882,OFFSET(B882,0,'Field labels'!$Q$1))</f>
        <v>SP BL 6 (658328-LE001275)</v>
      </c>
      <c r="C882" t="s">
        <v>7163</v>
      </c>
    </row>
    <row r="883" spans="1:3">
      <c r="A883" t="s">
        <v>7490</v>
      </c>
      <c r="B883" t="str">
        <f ca="1">IF(ISBLANK(OFFSET(B883,0,'Field labels'!$Q$1)),C883,OFFSET(B883,0,'Field labels'!$Q$1))</f>
        <v>SP BL 7 (658329-LE001275)</v>
      </c>
      <c r="C883" t="s">
        <v>7164</v>
      </c>
    </row>
    <row r="884" spans="1:3">
      <c r="A884" t="s">
        <v>7490</v>
      </c>
      <c r="B884" t="str">
        <f ca="1">IF(ISBLANK(OFFSET(B884,0,'Field labels'!$Q$1)),C884,OFFSET(B884,0,'Field labels'!$Q$1))</f>
        <v>SP BL 7-A (658826-LE001275)</v>
      </c>
      <c r="C884" t="s">
        <v>7165</v>
      </c>
    </row>
    <row r="885" spans="1:3">
      <c r="A885" t="s">
        <v>7490</v>
      </c>
      <c r="B885" t="str">
        <f ca="1">IF(ISBLANK(OFFSET(B885,0,'Field labels'!$Q$1)),C885,OFFSET(B885,0,'Field labels'!$Q$1))</f>
        <v>SP BL 8-A (658827-LE001275)</v>
      </c>
      <c r="C885" t="s">
        <v>7166</v>
      </c>
    </row>
    <row r="886" spans="1:3">
      <c r="A886" t="s">
        <v>7490</v>
      </c>
      <c r="B886" t="str">
        <f ca="1">IF(ISBLANK(OFFSET(B886,0,'Field labels'!$Q$1)),C886,OFFSET(B886,0,'Field labels'!$Q$1))</f>
        <v>SPECIAL -23 (650323-LE001275)</v>
      </c>
      <c r="C886" t="s">
        <v>7167</v>
      </c>
    </row>
    <row r="887" spans="1:3">
      <c r="A887" t="s">
        <v>7490</v>
      </c>
      <c r="B887" t="str">
        <f ca="1">IF(ISBLANK(OFFSET(B887,0,'Field labels'!$Q$1)),C887,OFFSET(B887,0,'Field labels'!$Q$1))</f>
        <v>SPECIAL -28 (650324-LE001275)</v>
      </c>
      <c r="C887" t="s">
        <v>7168</v>
      </c>
    </row>
    <row r="888" spans="1:3">
      <c r="A888" t="s">
        <v>7490</v>
      </c>
      <c r="B888" t="str">
        <f ca="1">IF(ISBLANK(OFFSET(B888,0,'Field labels'!$Q$1)),C888,OFFSET(B888,0,'Field labels'!$Q$1))</f>
        <v>SPECIAL-24 (650351-LE001275)</v>
      </c>
      <c r="C888" t="s">
        <v>7169</v>
      </c>
    </row>
    <row r="889" spans="1:3">
      <c r="A889" t="s">
        <v>7490</v>
      </c>
      <c r="B889" t="str">
        <f ca="1">IF(ISBLANK(OFFSET(B889,0,'Field labels'!$Q$1)),C889,OFFSET(B889,0,'Field labels'!$Q$1))</f>
        <v>SPECIAL-25 (650352-LE001275)</v>
      </c>
      <c r="C889" t="s">
        <v>7170</v>
      </c>
    </row>
    <row r="890" spans="1:3">
      <c r="A890" t="s">
        <v>7490</v>
      </c>
      <c r="B890" t="str">
        <f ca="1">IF(ISBLANK(OFFSET(B890,0,'Field labels'!$Q$1)),C890,OFFSET(B890,0,'Field labels'!$Q$1))</f>
        <v>SPECIAL-26 (650353-LE001275)</v>
      </c>
      <c r="C890" t="s">
        <v>7171</v>
      </c>
    </row>
    <row r="891" spans="1:3">
      <c r="A891" t="s">
        <v>7490</v>
      </c>
      <c r="B891" t="str">
        <f ca="1">IF(ISBLANK(OFFSET(B891,0,'Field labels'!$Q$1)),C891,OFFSET(B891,0,'Field labels'!$Q$1))</f>
        <v>SPECIAL-27 (650450-LE001275)</v>
      </c>
      <c r="C891" t="s">
        <v>7172</v>
      </c>
    </row>
    <row r="892" spans="1:3">
      <c r="A892" t="s">
        <v>7490</v>
      </c>
      <c r="B892" t="str">
        <f ca="1">IF(ISBLANK(OFFSET(B892,0,'Field labels'!$Q$1)),C892,OFFSET(B892,0,'Field labels'!$Q$1))</f>
        <v>SPECIAL-29 (650452-LE001275)</v>
      </c>
      <c r="C892" t="s">
        <v>7173</v>
      </c>
    </row>
    <row r="893" spans="1:3">
      <c r="A893" t="s">
        <v>7490</v>
      </c>
      <c r="B893" t="str">
        <f ca="1">IF(ISBLANK(OFFSET(B893,0,'Field labels'!$Q$1)),C893,OFFSET(B893,0,'Field labels'!$Q$1))</f>
        <v>SPECIAL-30 (650453-LE001275)</v>
      </c>
      <c r="C893" t="s">
        <v>7174</v>
      </c>
    </row>
    <row r="894" spans="1:3">
      <c r="A894" t="s">
        <v>7490</v>
      </c>
      <c r="B894" t="str">
        <f ca="1">IF(ISBLANK(OFFSET(B894,0,'Field labels'!$Q$1)),C894,OFFSET(B894,0,'Field labels'!$Q$1))</f>
        <v>Spring Kitchen (650799-LE001275)</v>
      </c>
      <c r="C894" t="s">
        <v>7177</v>
      </c>
    </row>
    <row r="895" spans="1:3">
      <c r="A895" t="s">
        <v>7490</v>
      </c>
      <c r="B895" t="str">
        <f ca="1">IF(ISBLANK(OFFSET(B895,0,'Field labels'!$Q$1)),C895,OFFSET(B895,0,'Field labels'!$Q$1))</f>
        <v>SVK Accounts-Financial (Thai) (658903-LE001275)</v>
      </c>
      <c r="C895" t="s">
        <v>7219</v>
      </c>
    </row>
    <row r="896" spans="1:3">
      <c r="A896" t="s">
        <v>7490</v>
      </c>
      <c r="B896" t="str">
        <f ca="1">IF(ISBLANK(OFFSET(B896,0,'Field labels'!$Q$1)),C896,OFFSET(B896,0,'Field labels'!$Q$1))</f>
        <v>SVK Arrival (Thai) (658300-LE001275)</v>
      </c>
      <c r="C896" t="s">
        <v>7220</v>
      </c>
    </row>
    <row r="897" spans="1:3">
      <c r="A897" t="s">
        <v>7490</v>
      </c>
      <c r="B897" t="str">
        <f ca="1">IF(ISBLANK(OFFSET(B897,0,'Field labels'!$Q$1)),C897,OFFSET(B897,0,'Field labels'!$Q$1))</f>
        <v>SVK Breeder-Hatchery (658100-LE001275)</v>
      </c>
      <c r="C897" t="s">
        <v>7221</v>
      </c>
    </row>
    <row r="898" spans="1:3">
      <c r="A898" t="s">
        <v>7490</v>
      </c>
      <c r="B898" t="str">
        <f ca="1">IF(ISBLANK(OFFSET(B898,0,'Field labels'!$Q$1)),C898,OFFSET(B898,0,'Field labels'!$Q$1))</f>
        <v>SVK Canteen (Thai) (658394-LE001275)</v>
      </c>
      <c r="C898" t="s">
        <v>7222</v>
      </c>
    </row>
    <row r="899" spans="1:3">
      <c r="A899" t="s">
        <v>7490</v>
      </c>
      <c r="B899" t="str">
        <f ca="1">IF(ISBLANK(OFFSET(B899,0,'Field labels'!$Q$1)),C899,OFFSET(B899,0,'Field labels'!$Q$1))</f>
        <v>SVK Contract-ADM (658180-LE001275)</v>
      </c>
      <c r="C899" t="s">
        <v>7223</v>
      </c>
    </row>
    <row r="900" spans="1:3">
      <c r="A900" t="s">
        <v>7490</v>
      </c>
      <c r="B900" t="str">
        <f ca="1">IF(ISBLANK(OFFSET(B900,0,'Field labels'!$Q$1)),C900,OFFSET(B900,0,'Field labels'!$Q$1))</f>
        <v>SVK Debone (Thai) (658310-LE001275)</v>
      </c>
      <c r="C900" t="s">
        <v>7224</v>
      </c>
    </row>
    <row r="901" spans="1:3">
      <c r="A901" t="s">
        <v>7490</v>
      </c>
      <c r="B901" t="str">
        <f ca="1">IF(ISBLANK(OFFSET(B901,0,'Field labels'!$Q$1)),C901,OFFSET(B901,0,'Field labels'!$Q$1))</f>
        <v>SVK Domestic Retail Sales (Thai) (658941-LE001275)</v>
      </c>
      <c r="C901" t="s">
        <v>7225</v>
      </c>
    </row>
    <row r="902" spans="1:3">
      <c r="A902" t="s">
        <v>7490</v>
      </c>
      <c r="B902" t="str">
        <f ca="1">IF(ISBLANK(OFFSET(B902,0,'Field labels'!$Q$1)),C902,OFFSET(B902,0,'Field labels'!$Q$1))</f>
        <v>SVK Engineering FP 3 (Thai) (658589-LE001275)</v>
      </c>
      <c r="C902" t="s">
        <v>7226</v>
      </c>
    </row>
    <row r="903" spans="1:3">
      <c r="A903" t="s">
        <v>7490</v>
      </c>
      <c r="B903" t="str">
        <f ca="1">IF(ISBLANK(OFFSET(B903,0,'Field labels'!$Q$1)),C903,OFFSET(B903,0,'Field labels'!$Q$1))</f>
        <v>SVK General Affairs (Thai) (658925-LE001275)</v>
      </c>
      <c r="C903" t="s">
        <v>7227</v>
      </c>
    </row>
    <row r="904" spans="1:3">
      <c r="A904" t="s">
        <v>7490</v>
      </c>
      <c r="B904" t="str">
        <f ca="1">IF(ISBLANK(OFFSET(B904,0,'Field labels'!$Q$1)),C904,OFFSET(B904,0,'Field labels'!$Q$1))</f>
        <v>SVK House Keeping (Thai) (658397-LE001275)</v>
      </c>
      <c r="C904" t="s">
        <v>7228</v>
      </c>
    </row>
    <row r="905" spans="1:3">
      <c r="A905" t="s">
        <v>7490</v>
      </c>
      <c r="B905" t="str">
        <f ca="1">IF(ISBLANK(OFFSET(B905,0,'Field labels'!$Q$1)),C905,OFFSET(B905,0,'Field labels'!$Q$1))</f>
        <v>SVK Maintenance PP (Thai) (658371-LE001275)</v>
      </c>
      <c r="C905" t="s">
        <v>7229</v>
      </c>
    </row>
    <row r="906" spans="1:3">
      <c r="A906" t="s">
        <v>7490</v>
      </c>
      <c r="B906" t="str">
        <f ca="1">IF(ISBLANK(OFFSET(B906,0,'Field labels'!$Q$1)),C906,OFFSET(B906,0,'Field labels'!$Q$1))</f>
        <v>SVK Planning FP 3 (Thai) (658592-LE001275)</v>
      </c>
      <c r="C906" t="s">
        <v>7230</v>
      </c>
    </row>
    <row r="907" spans="1:3">
      <c r="A907" t="s">
        <v>7490</v>
      </c>
      <c r="B907" t="str">
        <f ca="1">IF(ISBLANK(OFFSET(B907,0,'Field labels'!$Q$1)),C907,OFFSET(B907,0,'Field labels'!$Q$1))</f>
        <v>SVK Planning PP (Thai) (658391-LE001275)</v>
      </c>
      <c r="C907" t="s">
        <v>7231</v>
      </c>
    </row>
    <row r="908" spans="1:3">
      <c r="A908" t="s">
        <v>7490</v>
      </c>
      <c r="B908" t="str">
        <f ca="1">IF(ISBLANK(OFFSET(B908,0,'Field labels'!$Q$1)),C908,OFFSET(B908,0,'Field labels'!$Q$1))</f>
        <v>SVK Plant Gen FP 3 (Thai) (658590-LE001275)</v>
      </c>
      <c r="C908" t="s">
        <v>7232</v>
      </c>
    </row>
    <row r="909" spans="1:3">
      <c r="A909" t="s">
        <v>7490</v>
      </c>
      <c r="B909" t="str">
        <f ca="1">IF(ISBLANK(OFFSET(B909,0,'Field labels'!$Q$1)),C909,OFFSET(B909,0,'Field labels'!$Q$1))</f>
        <v>SVK PP Plant General (Thai) (658390-LE001275)</v>
      </c>
      <c r="C909" t="s">
        <v>7233</v>
      </c>
    </row>
    <row r="910" spans="1:3">
      <c r="A910" t="s">
        <v>7490</v>
      </c>
      <c r="B910" t="str">
        <f ca="1">IF(ISBLANK(OFFSET(B910,0,'Field labels'!$Q$1)),C910,OFFSET(B910,0,'Field labels'!$Q$1))</f>
        <v>SVK QA PP (658381-LE001275)</v>
      </c>
      <c r="C910" t="s">
        <v>7234</v>
      </c>
    </row>
    <row r="911" spans="1:3">
      <c r="A911" t="s">
        <v>7490</v>
      </c>
      <c r="B911" t="str">
        <f ca="1">IF(ISBLANK(OFFSET(B911,0,'Field labels'!$Q$1)),C911,OFFSET(B911,0,'Field labels'!$Q$1))</f>
        <v>SVK Raw Further (Thai) (658330-LE001275)</v>
      </c>
      <c r="C911" t="s">
        <v>7235</v>
      </c>
    </row>
    <row r="912" spans="1:3">
      <c r="A912" t="s">
        <v>7490</v>
      </c>
      <c r="B912" t="str">
        <f ca="1">IF(ISBLANK(OFFSET(B912,0,'Field labels'!$Q$1)),C912,OFFSET(B912,0,'Field labels'!$Q$1))</f>
        <v>SVK Refigeration PP (Thai) (658370-LE001275)</v>
      </c>
      <c r="C912" t="s">
        <v>7236</v>
      </c>
    </row>
    <row r="913" spans="1:3">
      <c r="A913" t="s">
        <v>7490</v>
      </c>
      <c r="B913" t="str">
        <f ca="1">IF(ISBLANK(OFFSET(B913,0,'Field labels'!$Q$1)),C913,OFFSET(B913,0,'Field labels'!$Q$1))</f>
        <v>SVK Refrigeration FP 3 (Thai) (658571-LE001275)</v>
      </c>
      <c r="C913" t="s">
        <v>7237</v>
      </c>
    </row>
    <row r="914" spans="1:3">
      <c r="A914" t="s">
        <v>7490</v>
      </c>
      <c r="B914" t="str">
        <f ca="1">IF(ISBLANK(OFFSET(B914,0,'Field labels'!$Q$1)),C914,OFFSET(B914,0,'Field labels'!$Q$1))</f>
        <v>SVK Water Treatment PP(Thai) (658372-LE001275)</v>
      </c>
      <c r="C914" t="s">
        <v>7238</v>
      </c>
    </row>
    <row r="915" spans="1:3">
      <c r="A915" t="s">
        <v>7490</v>
      </c>
      <c r="B915" t="str">
        <f ca="1">IF(ISBLANK(OFFSET(B915,0,'Field labels'!$Q$1)),C915,OFFSET(B915,0,'Field labels'!$Q$1))</f>
        <v>SVK Technical Service FP (Thai) (658580-LE001275)</v>
      </c>
      <c r="C915" t="s">
        <v>7239</v>
      </c>
    </row>
    <row r="916" spans="1:3">
      <c r="A916" t="s">
        <v>7490</v>
      </c>
      <c r="B916" t="str">
        <f ca="1">IF(ISBLANK(OFFSET(B916,0,'Field labels'!$Q$1)),C916,OFFSET(B916,0,'Field labels'!$Q$1))</f>
        <v>SVT Agriculture - Logistic &amp; Planning (650198-LE001275)</v>
      </c>
      <c r="C916" t="s">
        <v>7240</v>
      </c>
    </row>
    <row r="917" spans="1:3">
      <c r="A917" t="s">
        <v>7490</v>
      </c>
      <c r="B917" t="str">
        <f ca="1">IF(ISBLANK(OFFSET(B917,0,'Field labels'!$Q$1)),C917,OFFSET(B917,0,'Field labels'!$Q$1))</f>
        <v>SVT. - Admin. - A/C Financial (Thai) (650903-LE001275)</v>
      </c>
      <c r="C917" t="s">
        <v>7241</v>
      </c>
    </row>
    <row r="918" spans="1:3">
      <c r="A918" t="s">
        <v>7490</v>
      </c>
      <c r="B918" t="str">
        <f ca="1">IF(ISBLANK(OFFSET(B918,0,'Field labels'!$Q$1)),C918,OFFSET(B918,0,'Field labels'!$Q$1))</f>
        <v>SVT. - Agriculture Admin (Thai) (650199-LE001275)</v>
      </c>
      <c r="C918" t="s">
        <v>7242</v>
      </c>
    </row>
    <row r="919" spans="1:3">
      <c r="A919" t="s">
        <v>7490</v>
      </c>
      <c r="B919" t="str">
        <f ca="1">IF(ISBLANK(OFFSET(B919,0,'Field labels'!$Q$1)),C919,OFFSET(B919,0,'Field labels'!$Q$1))</f>
        <v>SVT. - Breeder - General (Thai) (650100-LE001275)</v>
      </c>
      <c r="C919" t="s">
        <v>7243</v>
      </c>
    </row>
    <row r="920" spans="1:3">
      <c r="A920" t="s">
        <v>7490</v>
      </c>
      <c r="B920" t="str">
        <f ca="1">IF(ISBLANK(OFFSET(B920,0,'Field labels'!$Q$1)),C920,OFFSET(B920,0,'Field labels'!$Q$1))</f>
        <v>SVT. - Breeder - Pullet 1 (Thai) (650101-LE001275)</v>
      </c>
      <c r="C920" t="s">
        <v>7244</v>
      </c>
    </row>
    <row r="921" spans="1:3">
      <c r="A921" t="s">
        <v>7490</v>
      </c>
      <c r="B921" t="str">
        <f ca="1">IF(ISBLANK(OFFSET(B921,0,'Field labels'!$Q$1)),C921,OFFSET(B921,0,'Field labels'!$Q$1))</f>
        <v>SVT. - Breeder - Pullet 2 (Thai) (650102-LE001275)</v>
      </c>
      <c r="C921" t="s">
        <v>7245</v>
      </c>
    </row>
    <row r="922" spans="1:3">
      <c r="A922" t="s">
        <v>7490</v>
      </c>
      <c r="B922" t="str">
        <f ca="1">IF(ISBLANK(OFFSET(B922,0,'Field labels'!$Q$1)),C922,OFFSET(B922,0,'Field labels'!$Q$1))</f>
        <v>SVT. - Contract Farms - Evisceration - N (650303-LE001275)</v>
      </c>
      <c r="C922" t="s">
        <v>7246</v>
      </c>
    </row>
    <row r="923" spans="1:3">
      <c r="A923" t="s">
        <v>7490</v>
      </c>
      <c r="B923" t="str">
        <f ca="1">IF(ISBLANK(OFFSET(B923,0,'Field labels'!$Q$1)),C923,OFFSET(B923,0,'Field labels'!$Q$1))</f>
        <v>SVT. - Contract Farms (Thai) (650180-LE001275)</v>
      </c>
      <c r="C923" t="s">
        <v>7247</v>
      </c>
    </row>
    <row r="924" spans="1:3">
      <c r="A924" t="s">
        <v>7490</v>
      </c>
      <c r="B924" t="str">
        <f ca="1">IF(ISBLANK(OFFSET(B924,0,'Field labels'!$Q$1)),C924,OFFSET(B924,0,'Field labels'!$Q$1))</f>
        <v>SVT. - Deboning - Debone 5 (Thai) (650315-LE001275)</v>
      </c>
      <c r="C924" t="s">
        <v>7248</v>
      </c>
    </row>
    <row r="925" spans="1:3">
      <c r="A925" t="s">
        <v>7490</v>
      </c>
      <c r="B925" t="str">
        <f ca="1">IF(ISBLANK(OFFSET(B925,0,'Field labels'!$Q$1)),C925,OFFSET(B925,0,'Field labels'!$Q$1))</f>
        <v>SVT. - Feedmill - Administration (Thai) (650122-LE001275)</v>
      </c>
      <c r="C925" t="s">
        <v>7249</v>
      </c>
    </row>
    <row r="926" spans="1:3">
      <c r="A926" t="s">
        <v>7490</v>
      </c>
      <c r="B926" t="str">
        <f ca="1">IF(ISBLANK(OFFSET(B926,0,'Field labels'!$Q$1)),C926,OFFSET(B926,0,'Field labels'!$Q$1))</f>
        <v>SVT. - Feedmill - Delivery (Thai) (650124-LE001275)</v>
      </c>
      <c r="C926" t="s">
        <v>7250</v>
      </c>
    </row>
    <row r="927" spans="1:3">
      <c r="A927" t="s">
        <v>7490</v>
      </c>
      <c r="B927" t="str">
        <f ca="1">IF(ISBLANK(OFFSET(B927,0,'Field labels'!$Q$1)),C927,OFFSET(B927,0,'Field labels'!$Q$1))</f>
        <v>SVT. - Feedmill - Laboratory (Thai) (650123-LE001275)</v>
      </c>
      <c r="C927" t="s">
        <v>7251</v>
      </c>
    </row>
    <row r="928" spans="1:3">
      <c r="A928" t="s">
        <v>7490</v>
      </c>
      <c r="B928" t="str">
        <f ca="1">IF(ISBLANK(OFFSET(B928,0,'Field labels'!$Q$1)),C928,OFFSET(B928,0,'Field labels'!$Q$1))</f>
        <v>SVT. - Finished Feed (Thai) (650120-LE001275)</v>
      </c>
      <c r="C928" t="s">
        <v>7252</v>
      </c>
    </row>
    <row r="929" spans="1:3">
      <c r="A929" t="s">
        <v>7490</v>
      </c>
      <c r="B929" t="str">
        <f ca="1">IF(ISBLANK(OFFSET(B929,0,'Field labels'!$Q$1)),C929,OFFSET(B929,0,'Field labels'!$Q$1))</f>
        <v>SVT. - FP. Technical Service - Q.A. (Tha (650581-LE001275)</v>
      </c>
      <c r="C929" t="s">
        <v>7253</v>
      </c>
    </row>
    <row r="930" spans="1:3">
      <c r="A930" t="s">
        <v>7490</v>
      </c>
      <c r="B930" t="str">
        <f ca="1">IF(ISBLANK(OFFSET(B930,0,'Field labels'!$Q$1)),C930,OFFSET(B930,0,'Field labels'!$Q$1))</f>
        <v>SVT. - Growout Farm - 1 (Thai) (650151-LE001275)</v>
      </c>
      <c r="C930" t="s">
        <v>7254</v>
      </c>
    </row>
    <row r="931" spans="1:3">
      <c r="A931" t="s">
        <v>7490</v>
      </c>
      <c r="B931" t="str">
        <f ca="1">IF(ISBLANK(OFFSET(B931,0,'Field labels'!$Q$1)),C931,OFFSET(B931,0,'Field labels'!$Q$1))</f>
        <v>SVT. - Growout Farm - 10 (Thai) (650160-LE001275)</v>
      </c>
      <c r="C931" t="s">
        <v>7255</v>
      </c>
    </row>
    <row r="932" spans="1:3">
      <c r="A932" t="s">
        <v>7490</v>
      </c>
      <c r="B932" t="str">
        <f ca="1">IF(ISBLANK(OFFSET(B932,0,'Field labels'!$Q$1)),C932,OFFSET(B932,0,'Field labels'!$Q$1))</f>
        <v>SVT. - Growout Farm - 11 (Thai) (650161-LE001275)</v>
      </c>
      <c r="C932" t="s">
        <v>7256</v>
      </c>
    </row>
    <row r="933" spans="1:3">
      <c r="A933" t="s">
        <v>7490</v>
      </c>
      <c r="B933" t="str">
        <f ca="1">IF(ISBLANK(OFFSET(B933,0,'Field labels'!$Q$1)),C933,OFFSET(B933,0,'Field labels'!$Q$1))</f>
        <v>SVT. - Growout Farm - 12 (Thai) (650162-LE001275)</v>
      </c>
      <c r="C933" t="s">
        <v>7257</v>
      </c>
    </row>
    <row r="934" spans="1:3">
      <c r="A934" t="s">
        <v>7490</v>
      </c>
      <c r="B934" t="str">
        <f ca="1">IF(ISBLANK(OFFSET(B934,0,'Field labels'!$Q$1)),C934,OFFSET(B934,0,'Field labels'!$Q$1))</f>
        <v>SVT. - Growout Farm - 2 (Thai) (650152-LE001275)</v>
      </c>
      <c r="C934" t="s">
        <v>7258</v>
      </c>
    </row>
    <row r="935" spans="1:3">
      <c r="A935" t="s">
        <v>7490</v>
      </c>
      <c r="B935" t="str">
        <f ca="1">IF(ISBLANK(OFFSET(B935,0,'Field labels'!$Q$1)),C935,OFFSET(B935,0,'Field labels'!$Q$1))</f>
        <v>SVT. - Growout Farm - 3 (Thai) (650153-LE001275)</v>
      </c>
      <c r="C935" t="s">
        <v>7259</v>
      </c>
    </row>
    <row r="936" spans="1:3">
      <c r="A936" t="s">
        <v>7490</v>
      </c>
      <c r="B936" t="str">
        <f ca="1">IF(ISBLANK(OFFSET(B936,0,'Field labels'!$Q$1)),C936,OFFSET(B936,0,'Field labels'!$Q$1))</f>
        <v>SVT. - Growout Farm - 4 (Thai) (650154-LE001275)</v>
      </c>
      <c r="C936" t="s">
        <v>7260</v>
      </c>
    </row>
    <row r="937" spans="1:3">
      <c r="A937" t="s">
        <v>7490</v>
      </c>
      <c r="B937" t="str">
        <f ca="1">IF(ISBLANK(OFFSET(B937,0,'Field labels'!$Q$1)),C937,OFFSET(B937,0,'Field labels'!$Q$1))</f>
        <v>SVT. - Growout Farm - 5 (Thai) (650155-LE001275)</v>
      </c>
      <c r="C937" t="s">
        <v>7261</v>
      </c>
    </row>
    <row r="938" spans="1:3">
      <c r="A938" t="s">
        <v>7490</v>
      </c>
      <c r="B938" t="str">
        <f ca="1">IF(ISBLANK(OFFSET(B938,0,'Field labels'!$Q$1)),C938,OFFSET(B938,0,'Field labels'!$Q$1))</f>
        <v>SVT. - Growout Farm - 6 (Thai) (650156-LE001275)</v>
      </c>
      <c r="C938" t="s">
        <v>7262</v>
      </c>
    </row>
    <row r="939" spans="1:3">
      <c r="A939" t="s">
        <v>7490</v>
      </c>
      <c r="B939" t="str">
        <f ca="1">IF(ISBLANK(OFFSET(B939,0,'Field labels'!$Q$1)),C939,OFFSET(B939,0,'Field labels'!$Q$1))</f>
        <v>SVT. - Growout Farm - 7 (Thai) (650157-LE001275)</v>
      </c>
      <c r="C939" t="s">
        <v>7263</v>
      </c>
    </row>
    <row r="940" spans="1:3">
      <c r="A940" t="s">
        <v>7490</v>
      </c>
      <c r="B940" t="str">
        <f ca="1">IF(ISBLANK(OFFSET(B940,0,'Field labels'!$Q$1)),C940,OFFSET(B940,0,'Field labels'!$Q$1))</f>
        <v>SVT. - Growout Farm - 8 (Thai) (650158-LE001275)</v>
      </c>
      <c r="C940" t="s">
        <v>7264</v>
      </c>
    </row>
    <row r="941" spans="1:3">
      <c r="A941" t="s">
        <v>7490</v>
      </c>
      <c r="B941" t="str">
        <f ca="1">IF(ISBLANK(OFFSET(B941,0,'Field labels'!$Q$1)),C941,OFFSET(B941,0,'Field labels'!$Q$1))</f>
        <v>SVT. - Growout Farm - 9 (Thai) (650159-LE001275)</v>
      </c>
      <c r="C941" t="s">
        <v>7265</v>
      </c>
    </row>
    <row r="942" spans="1:3">
      <c r="A942" t="s">
        <v>7490</v>
      </c>
      <c r="B942" t="str">
        <f ca="1">IF(ISBLANK(OFFSET(B942,0,'Field labels'!$Q$1)),C942,OFFSET(B942,0,'Field labels'!$Q$1))</f>
        <v>SVT. - Growout Farm General-Farm 1-12 (T (650150-LE001275)</v>
      </c>
      <c r="C942" t="s">
        <v>7266</v>
      </c>
    </row>
    <row r="943" spans="1:3">
      <c r="A943" t="s">
        <v>7490</v>
      </c>
      <c r="B943" t="str">
        <f ca="1">IF(ISBLANK(OFFSET(B943,0,'Field labels'!$Q$1)),C943,OFFSET(B943,0,'Field labels'!$Q$1))</f>
        <v>SVT. - Hatchery - 1 (Thai) (650111-LE001275)</v>
      </c>
      <c r="C943" t="s">
        <v>7267</v>
      </c>
    </row>
    <row r="944" spans="1:3">
      <c r="A944" t="s">
        <v>7490</v>
      </c>
      <c r="B944" t="str">
        <f ca="1">IF(ISBLANK(OFFSET(B944,0,'Field labels'!$Q$1)),C944,OFFSET(B944,0,'Field labels'!$Q$1))</f>
        <v>SVT. - HRD. - General Affairs (Thai) (650925-LE001275)</v>
      </c>
      <c r="C944" t="s">
        <v>7268</v>
      </c>
    </row>
    <row r="945" spans="1:3">
      <c r="A945" t="s">
        <v>7490</v>
      </c>
      <c r="B945" t="str">
        <f ca="1">IF(ISBLANK(OFFSET(B945,0,'Field labels'!$Q$1)),C945,OFFSET(B945,0,'Field labels'!$Q$1))</f>
        <v>SVT. - Poultry Health Center (Thai) (650193-LE001275)</v>
      </c>
      <c r="C945" t="s">
        <v>7269</v>
      </c>
    </row>
    <row r="946" spans="1:3">
      <c r="A946" t="s">
        <v>7490</v>
      </c>
      <c r="B946" t="str">
        <f ca="1">IF(ISBLANK(OFFSET(B946,0,'Field labels'!$Q$1)),C946,OFFSET(B946,0,'Field labels'!$Q$1))</f>
        <v>SVT. Breeder - Pullet 3 (650141-LE001275)</v>
      </c>
      <c r="C946" t="s">
        <v>7270</v>
      </c>
    </row>
    <row r="947" spans="1:3">
      <c r="A947" t="s">
        <v>7490</v>
      </c>
      <c r="B947" t="str">
        <f ca="1">IF(ISBLANK(OFFSET(B947,0,'Field labels'!$Q$1)),C947,OFFSET(B947,0,'Field labels'!$Q$1))</f>
        <v>SVT. Breeder - Pullet 4 (650142-LE001275)</v>
      </c>
      <c r="C947" t="s">
        <v>7271</v>
      </c>
    </row>
    <row r="948" spans="1:3">
      <c r="A948" t="s">
        <v>7490</v>
      </c>
      <c r="B948" t="str">
        <f ca="1">IF(ISBLANK(OFFSET(B948,0,'Field labels'!$Q$1)),C948,OFFSET(B948,0,'Field labels'!$Q$1))</f>
        <v>SVT. Breeder - Pullet 5 (650143-LE001275)</v>
      </c>
      <c r="C948" t="s">
        <v>7272</v>
      </c>
    </row>
    <row r="949" spans="1:3">
      <c r="A949" t="s">
        <v>7490</v>
      </c>
      <c r="B949" t="str">
        <f ca="1">IF(ISBLANK(OFFSET(B949,0,'Field labels'!$Q$1)),C949,OFFSET(B949,0,'Field labels'!$Q$1))</f>
        <v>SVT. Breeder 1 (Thai) (650103-LE001275)</v>
      </c>
      <c r="C949" t="s">
        <v>7273</v>
      </c>
    </row>
    <row r="950" spans="1:3">
      <c r="A950" t="s">
        <v>7490</v>
      </c>
      <c r="B950" t="str">
        <f ca="1">IF(ISBLANK(OFFSET(B950,0,'Field labels'!$Q$1)),C950,OFFSET(B950,0,'Field labels'!$Q$1))</f>
        <v>SVT. Breeder 3 (Thai) (650106-LE001275)</v>
      </c>
      <c r="C950" t="s">
        <v>7274</v>
      </c>
    </row>
    <row r="951" spans="1:3">
      <c r="A951" t="s">
        <v>7490</v>
      </c>
      <c r="B951" t="str">
        <f ca="1">IF(ISBLANK(OFFSET(B951,0,'Field labels'!$Q$1)),C951,OFFSET(B951,0,'Field labels'!$Q$1))</f>
        <v>SVT. Canteen (Thai) (650394-LE001275)</v>
      </c>
      <c r="C951" t="s">
        <v>7275</v>
      </c>
    </row>
    <row r="952" spans="1:3">
      <c r="A952" t="s">
        <v>7490</v>
      </c>
      <c r="B952" t="str">
        <f ca="1">IF(ISBLANK(OFFSET(B952,0,'Field labels'!$Q$1)),C952,OFFSET(B952,0,'Field labels'!$Q$1))</f>
        <v>SVT. Engineering FP#1 (Thai) (650589-LE001275)</v>
      </c>
      <c r="C952" t="s">
        <v>7276</v>
      </c>
    </row>
    <row r="953" spans="1:3">
      <c r="A953" t="s">
        <v>7490</v>
      </c>
      <c r="B953" t="str">
        <f ca="1">IF(ISBLANK(OFFSET(B953,0,'Field labels'!$Q$1)),C953,OFFSET(B953,0,'Field labels'!$Q$1))</f>
        <v>SVT. Engineering FP#2 (Thai) (650689-LE001275)</v>
      </c>
      <c r="C953" t="s">
        <v>7277</v>
      </c>
    </row>
    <row r="954" spans="1:3">
      <c r="A954" t="s">
        <v>7490</v>
      </c>
      <c r="B954" t="str">
        <f ca="1">IF(ISBLANK(OFFSET(B954,0,'Field labels'!$Q$1)),C954,OFFSET(B954,0,'Field labels'!$Q$1))</f>
        <v>SVT. First Aid (Thai) (650396-LE001275)</v>
      </c>
      <c r="C954" t="s">
        <v>7278</v>
      </c>
    </row>
    <row r="955" spans="1:3">
      <c r="A955" t="s">
        <v>7490</v>
      </c>
      <c r="B955" t="str">
        <f ca="1">IF(ISBLANK(OFFSET(B955,0,'Field labels'!$Q$1)),C955,OFFSET(B955,0,'Field labels'!$Q$1))</f>
        <v>SVT. FP Plant #2 (650690-LE001275)</v>
      </c>
      <c r="C955" t="s">
        <v>7279</v>
      </c>
    </row>
    <row r="956" spans="1:3">
      <c r="A956" t="s">
        <v>7490</v>
      </c>
      <c r="B956" t="str">
        <f ca="1">IF(ISBLANK(OFFSET(B956,0,'Field labels'!$Q$1)),C956,OFFSET(B956,0,'Field labels'!$Q$1))</f>
        <v>SVT. FP. Plant#1 (Thai) (650590-LE001275)</v>
      </c>
      <c r="C956" t="s">
        <v>7280</v>
      </c>
    </row>
    <row r="957" spans="1:3">
      <c r="A957" t="s">
        <v>7490</v>
      </c>
      <c r="B957" t="str">
        <f ca="1">IF(ISBLANK(OFFSET(B957,0,'Field labels'!$Q$1)),C957,OFFSET(B957,0,'Field labels'!$Q$1))</f>
        <v>SVT. Logistic - Cold Statage FP#2 (Thai) (650660-LE001275)</v>
      </c>
      <c r="C957" t="s">
        <v>7281</v>
      </c>
    </row>
    <row r="958" spans="1:3">
      <c r="A958" t="s">
        <v>7490</v>
      </c>
      <c r="B958" t="str">
        <f ca="1">IF(ISBLANK(OFFSET(B958,0,'Field labels'!$Q$1)),C958,OFFSET(B958,0,'Field labels'!$Q$1))</f>
        <v>SVT. Logistic - Cold Storage FP#1 (Thai) (650560-LE001275)</v>
      </c>
      <c r="C958" t="s">
        <v>7282</v>
      </c>
    </row>
    <row r="959" spans="1:3">
      <c r="A959" t="s">
        <v>7490</v>
      </c>
      <c r="B959" t="str">
        <f ca="1">IF(ISBLANK(OFFSET(B959,0,'Field labels'!$Q$1)),C959,OFFSET(B959,0,'Field labels'!$Q$1))</f>
        <v>SVT. Logistic - Cold Storage PP (Thai) (650363-LE001275)</v>
      </c>
      <c r="C959" t="s">
        <v>7283</v>
      </c>
    </row>
    <row r="960" spans="1:3">
      <c r="A960" t="s">
        <v>7490</v>
      </c>
      <c r="B960" t="str">
        <f ca="1">IF(ISBLANK(OFFSET(B960,0,'Field labels'!$Q$1)),C960,OFFSET(B960,0,'Field labels'!$Q$1))</f>
        <v>SVT. Logistic - Planning - FP#1 (Thai) (650592-LE001275)</v>
      </c>
      <c r="C960" t="s">
        <v>7284</v>
      </c>
    </row>
    <row r="961" spans="1:3">
      <c r="A961" t="s">
        <v>7490</v>
      </c>
      <c r="B961" t="str">
        <f ca="1">IF(ISBLANK(OFFSET(B961,0,'Field labels'!$Q$1)),C961,OFFSET(B961,0,'Field labels'!$Q$1))</f>
        <v>SVT. Logistic - Planning FP#2 (Thai) (650692-LE001275)</v>
      </c>
      <c r="C961" t="s">
        <v>7285</v>
      </c>
    </row>
    <row r="962" spans="1:3">
      <c r="A962" t="s">
        <v>7490</v>
      </c>
      <c r="B962" t="str">
        <f ca="1">IF(ISBLANK(OFFSET(B962,0,'Field labels'!$Q$1)),C962,OFFSET(B962,0,'Field labels'!$Q$1))</f>
        <v>SVT. Logistic - Planning PP(Thai) (650391-LE001275)</v>
      </c>
      <c r="C962" t="s">
        <v>7286</v>
      </c>
    </row>
    <row r="963" spans="1:3">
      <c r="A963" t="s">
        <v>7490</v>
      </c>
      <c r="B963" t="str">
        <f ca="1">IF(ISBLANK(OFFSET(B963,0,'Field labels'!$Q$1)),C963,OFFSET(B963,0,'Field labels'!$Q$1))</f>
        <v>SVT. Maintenance &amp; SS - Building (Thai) (650377-LE001275)</v>
      </c>
      <c r="C963" t="s">
        <v>7287</v>
      </c>
    </row>
    <row r="964" spans="1:3">
      <c r="A964" t="s">
        <v>7490</v>
      </c>
      <c r="B964" t="str">
        <f ca="1">IF(ISBLANK(OFFSET(B964,0,'Field labels'!$Q$1)),C964,OFFSET(B964,0,'Field labels'!$Q$1))</f>
        <v>SVT. Maintenance &amp; SS - Maintenance PP ( (650371-LE001275)</v>
      </c>
      <c r="C964" t="s">
        <v>7288</v>
      </c>
    </row>
    <row r="965" spans="1:3">
      <c r="A965" t="s">
        <v>7490</v>
      </c>
      <c r="B965" t="str">
        <f ca="1">IF(ISBLANK(OFFSET(B965,0,'Field labels'!$Q$1)),C965,OFFSET(B965,0,'Field labels'!$Q$1))</f>
        <v>SVT. Maintenance &amp; SS - Maintenance Stor (650376-LE001275)</v>
      </c>
      <c r="C965" t="s">
        <v>7289</v>
      </c>
    </row>
    <row r="966" spans="1:3">
      <c r="A966" t="s">
        <v>7490</v>
      </c>
      <c r="B966" t="str">
        <f ca="1">IF(ISBLANK(OFFSET(B966,0,'Field labels'!$Q$1)),C966,OFFSET(B966,0,'Field labels'!$Q$1))</f>
        <v>SVT. Maintenance &amp; SS - Refrigeration PP (650370-LE001275)</v>
      </c>
      <c r="C966" t="s">
        <v>7290</v>
      </c>
    </row>
    <row r="967" spans="1:3">
      <c r="A967" t="s">
        <v>7490</v>
      </c>
      <c r="B967" t="str">
        <f ca="1">IF(ISBLANK(OFFSET(B967,0,'Field labels'!$Q$1)),C967,OFFSET(B967,0,'Field labels'!$Q$1))</f>
        <v>SVT. Maintenance &amp; SS - Sub Station (Tha (650375-LE001275)</v>
      </c>
      <c r="C967" t="s">
        <v>7291</v>
      </c>
    </row>
    <row r="968" spans="1:3">
      <c r="A968" t="s">
        <v>7490</v>
      </c>
      <c r="B968" t="str">
        <f ca="1">IF(ISBLANK(OFFSET(B968,0,'Field labels'!$Q$1)),C968,OFFSET(B968,0,'Field labels'!$Q$1))</f>
        <v>SVT. Maintenance &amp; SS-Water/Waste Treatm (650372-LE001275)</v>
      </c>
      <c r="C968" t="s">
        <v>7292</v>
      </c>
    </row>
    <row r="969" spans="1:3">
      <c r="A969" t="s">
        <v>7490</v>
      </c>
      <c r="B969" t="str">
        <f ca="1">IF(ISBLANK(OFFSET(B969,0,'Field labels'!$Q$1)),C969,OFFSET(B969,0,'Field labels'!$Q$1))</f>
        <v>SVT. MKT &amp; SALES - Domestic Retail Sales (650941-LE001275)</v>
      </c>
      <c r="C969" t="s">
        <v>7293</v>
      </c>
    </row>
    <row r="970" spans="1:3">
      <c r="A970" t="s">
        <v>7490</v>
      </c>
      <c r="B970" t="str">
        <f ca="1">IF(ISBLANK(OFFSET(B970,0,'Field labels'!$Q$1)),C970,OFFSET(B970,0,'Field labels'!$Q$1))</f>
        <v>SVT. MKT &amp; SALES - Export Sales (Thai) (650940-LE001275)</v>
      </c>
      <c r="C970" t="s">
        <v>7294</v>
      </c>
    </row>
    <row r="971" spans="1:3">
      <c r="A971" t="s">
        <v>7490</v>
      </c>
      <c r="B971" t="str">
        <f ca="1">IF(ISBLANK(OFFSET(B971,0,'Field labels'!$Q$1)),C971,OFFSET(B971,0,'Field labels'!$Q$1))</f>
        <v>SVT. MKT &amp; SALES - R&amp;D (Thai) (650961-LE001275)</v>
      </c>
      <c r="C971" t="s">
        <v>7295</v>
      </c>
    </row>
    <row r="972" spans="1:3">
      <c r="A972" t="s">
        <v>7490</v>
      </c>
      <c r="B972" t="str">
        <f ca="1">IF(ISBLANK(OFFSET(B972,0,'Field labels'!$Q$1)),C972,OFFSET(B972,0,'Field labels'!$Q$1))</f>
        <v>SVT. PP - Arrival (Thai) (650300-LE001275)</v>
      </c>
      <c r="C972" t="s">
        <v>7296</v>
      </c>
    </row>
    <row r="973" spans="1:3">
      <c r="A973" t="s">
        <v>7490</v>
      </c>
      <c r="B973" t="str">
        <f ca="1">IF(ISBLANK(OFFSET(B973,0,'Field labels'!$Q$1)),C973,OFFSET(B973,0,'Field labels'!$Q$1))</f>
        <v>SVT. PP - Debone (Thai) (650310-LE001275)</v>
      </c>
      <c r="C973" t="s">
        <v>7297</v>
      </c>
    </row>
    <row r="974" spans="1:3">
      <c r="A974" t="s">
        <v>7490</v>
      </c>
      <c r="B974" t="str">
        <f ca="1">IF(ISBLANK(OFFSET(B974,0,'Field labels'!$Q$1)),C974,OFFSET(B974,0,'Field labels'!$Q$1))</f>
        <v>SVT. PP - Domestic Chill (Thai) (650306-LE001275)</v>
      </c>
      <c r="C974" t="s">
        <v>7298</v>
      </c>
    </row>
    <row r="975" spans="1:3">
      <c r="A975" t="s">
        <v>7490</v>
      </c>
      <c r="B975" t="str">
        <f ca="1">IF(ISBLANK(OFFSET(B975,0,'Field labels'!$Q$1)),C975,OFFSET(B975,0,'Field labels'!$Q$1))</f>
        <v>SVT. PP - Eviscerating (Thai) (650302-LE001275)</v>
      </c>
      <c r="C975" t="s">
        <v>7299</v>
      </c>
    </row>
    <row r="976" spans="1:3">
      <c r="A976" t="s">
        <v>7490</v>
      </c>
      <c r="B976" t="str">
        <f ca="1">IF(ISBLANK(OFFSET(B976,0,'Field labels'!$Q$1)),C976,OFFSET(B976,0,'Field labels'!$Q$1))</f>
        <v>SVT. PP - Plant General (Thai) (650390-LE001275)</v>
      </c>
      <c r="C976" t="s">
        <v>7300</v>
      </c>
    </row>
    <row r="977" spans="1:3">
      <c r="A977" t="s">
        <v>7490</v>
      </c>
      <c r="B977" t="str">
        <f ca="1">IF(ISBLANK(OFFSET(B977,0,'Field labels'!$Q$1)),C977,OFFSET(B977,0,'Field labels'!$Q$1))</f>
        <v>SVT. PP - Raw Further Procesing - Specia (650340-LE001275)</v>
      </c>
      <c r="C977" t="s">
        <v>7301</v>
      </c>
    </row>
    <row r="978" spans="1:3">
      <c r="A978" t="s">
        <v>7490</v>
      </c>
      <c r="B978" t="str">
        <f ca="1">IF(ISBLANK(OFFSET(B978,0,'Field labels'!$Q$1)),C978,OFFSET(B978,0,'Field labels'!$Q$1))</f>
        <v>SVT. PP - Raw Further Processing - BB (T (650330-LE001275)</v>
      </c>
      <c r="C978" t="s">
        <v>7302</v>
      </c>
    </row>
    <row r="979" spans="1:3">
      <c r="A979" t="s">
        <v>7490</v>
      </c>
      <c r="B979" t="str">
        <f ca="1">IF(ISBLANK(OFFSET(B979,0,'Field labels'!$Q$1)),C979,OFFSET(B979,0,'Field labels'!$Q$1))</f>
        <v>SVT. PP - Raw Further Processing - BL (T (650320-LE001275)</v>
      </c>
      <c r="C979" t="s">
        <v>7303</v>
      </c>
    </row>
    <row r="980" spans="1:3">
      <c r="A980" t="s">
        <v>7490</v>
      </c>
      <c r="B980" t="str">
        <f ca="1">IF(ISBLANK(OFFSET(B980,0,'Field labels'!$Q$1)),C980,OFFSET(B980,0,'Field labels'!$Q$1))</f>
        <v>SVT. PP - Sanitation (650382-LE001275)</v>
      </c>
      <c r="C980" t="s">
        <v>7304</v>
      </c>
    </row>
    <row r="981" spans="1:3">
      <c r="A981" t="s">
        <v>7490</v>
      </c>
      <c r="B981" t="str">
        <f ca="1">IF(ISBLANK(OFFSET(B981,0,'Field labels'!$Q$1)),C981,OFFSET(B981,0,'Field labels'!$Q$1))</f>
        <v>SVT. PP Packing &amp; Boxing (Thai) (650360-LE001275)</v>
      </c>
      <c r="C981" t="s">
        <v>7305</v>
      </c>
    </row>
    <row r="982" spans="1:3">
      <c r="A982" t="s">
        <v>7490</v>
      </c>
      <c r="B982" t="str">
        <f ca="1">IF(ISBLANK(OFFSET(B982,0,'Field labels'!$Q$1)),C982,OFFSET(B982,0,'Field labels'!$Q$1))</f>
        <v>SVT. Refrigeration FP#1 (Thai) (650571-LE001275)</v>
      </c>
      <c r="C982" t="s">
        <v>7306</v>
      </c>
    </row>
    <row r="983" spans="1:3">
      <c r="A983" t="s">
        <v>7490</v>
      </c>
      <c r="B983" t="str">
        <f ca="1">IF(ISBLANK(OFFSET(B983,0,'Field labels'!$Q$1)),C983,OFFSET(B983,0,'Field labels'!$Q$1))</f>
        <v>SVT. Refrigeration FP#2 (Thai) (650671-LE001275)</v>
      </c>
      <c r="C983" t="s">
        <v>7307</v>
      </c>
    </row>
    <row r="984" spans="1:3">
      <c r="A984" t="s">
        <v>7490</v>
      </c>
      <c r="B984" t="str">
        <f ca="1">IF(ISBLANK(OFFSET(B984,0,'Field labels'!$Q$1)),C984,OFFSET(B984,0,'Field labels'!$Q$1))</f>
        <v>SVT. Technical Services - Lab Micro PP ( (650385-LE001275)</v>
      </c>
      <c r="C984" t="s">
        <v>7308</v>
      </c>
    </row>
    <row r="985" spans="1:3">
      <c r="A985" t="s">
        <v>7490</v>
      </c>
      <c r="B985" t="str">
        <f ca="1">IF(ISBLANK(OFFSET(B985,0,'Field labels'!$Q$1)),C985,OFFSET(B985,0,'Field labels'!$Q$1))</f>
        <v>SVT. Technical Services - QA. FP#1 (Thai (650580-LE001275)</v>
      </c>
      <c r="C985" t="s">
        <v>7309</v>
      </c>
    </row>
    <row r="986" spans="1:3">
      <c r="A986" t="s">
        <v>7490</v>
      </c>
      <c r="B986" t="str">
        <f ca="1">IF(ISBLANK(OFFSET(B986,0,'Field labels'!$Q$1)),C986,OFFSET(B986,0,'Field labels'!$Q$1))</f>
        <v>SVT. Technical Services - QA.FP#2 (Thai) (650680-LE001275)</v>
      </c>
      <c r="C986" t="s">
        <v>7310</v>
      </c>
    </row>
    <row r="987" spans="1:3">
      <c r="A987" t="s">
        <v>7490</v>
      </c>
      <c r="B987" t="str">
        <f ca="1">IF(ISBLANK(OFFSET(B987,0,'Field labels'!$Q$1)),C987,OFFSET(B987,0,'Field labels'!$Q$1))</f>
        <v>SVT. Technical Services - QA.PP. (Thai) (650381-LE001275)</v>
      </c>
      <c r="C987" t="s">
        <v>7311</v>
      </c>
    </row>
    <row r="988" spans="1:3">
      <c r="A988" t="s">
        <v>7490</v>
      </c>
      <c r="B988" t="str">
        <f ca="1">IF(ISBLANK(OFFSET(B988,0,'Field labels'!$Q$1)),C988,OFFSET(B988,0,'Field labels'!$Q$1))</f>
        <v>Technical Service - FP4 (658680-LE001275)</v>
      </c>
      <c r="C988" t="s">
        <v>7368</v>
      </c>
    </row>
    <row r="989" spans="1:3">
      <c r="A989" t="s">
        <v>7490</v>
      </c>
      <c r="B989" t="str">
        <f ca="1">IF(ISBLANK(OFFSET(B989,0,'Field labels'!$Q$1)),C989,OFFSET(B989,0,'Field labels'!$Q$1))</f>
        <v>TSM 1 - A (650343-LE001275)</v>
      </c>
      <c r="C989" t="s">
        <v>7384</v>
      </c>
    </row>
    <row r="990" spans="1:3">
      <c r="A990" t="s">
        <v>7490</v>
      </c>
      <c r="B990" t="str">
        <f ca="1">IF(ISBLANK(OFFSET(B990,0,'Field labels'!$Q$1)),C990,OFFSET(B990,0,'Field labels'!$Q$1))</f>
        <v>TSM 10 - B (650350-LE001275)</v>
      </c>
      <c r="C990" t="s">
        <v>7385</v>
      </c>
    </row>
    <row r="991" spans="1:3">
      <c r="A991" t="s">
        <v>7490</v>
      </c>
      <c r="B991" t="str">
        <f ca="1">IF(ISBLANK(OFFSET(B991,0,'Field labels'!$Q$1)),C991,OFFSET(B991,0,'Field labels'!$Q$1))</f>
        <v>TSM 10-A (658829-LE001275)</v>
      </c>
      <c r="C991" t="s">
        <v>7386</v>
      </c>
    </row>
    <row r="992" spans="1:3">
      <c r="A992" t="s">
        <v>7490</v>
      </c>
      <c r="B992" t="str">
        <f ca="1">IF(ISBLANK(OFFSET(B992,0,'Field labels'!$Q$1)),C992,OFFSET(B992,0,'Field labels'!$Q$1))</f>
        <v>TSM 19-B (658839-LE001275)</v>
      </c>
      <c r="C992" t="s">
        <v>7387</v>
      </c>
    </row>
    <row r="993" spans="1:3">
      <c r="A993" t="s">
        <v>7490</v>
      </c>
      <c r="B993" t="str">
        <f ca="1">IF(ISBLANK(OFFSET(B993,0,'Field labels'!$Q$1)),C993,OFFSET(B993,0,'Field labels'!$Q$1))</f>
        <v>TSM 2 - A (650344-LE001275)</v>
      </c>
      <c r="C993" t="s">
        <v>7388</v>
      </c>
    </row>
    <row r="994" spans="1:3">
      <c r="A994" t="s">
        <v>7490</v>
      </c>
      <c r="B994" t="str">
        <f ca="1">IF(ISBLANK(OFFSET(B994,0,'Field labels'!$Q$1)),C994,OFFSET(B994,0,'Field labels'!$Q$1))</f>
        <v>TSM 20-B PP3 (658841-LE001275)</v>
      </c>
      <c r="C994" t="s">
        <v>7389</v>
      </c>
    </row>
    <row r="995" spans="1:3">
      <c r="A995" t="s">
        <v>7490</v>
      </c>
      <c r="B995" t="str">
        <f ca="1">IF(ISBLANK(OFFSET(B995,0,'Field labels'!$Q$1)),C995,OFFSET(B995,0,'Field labels'!$Q$1))</f>
        <v>TSM 3 - A (650345-LE001275)</v>
      </c>
      <c r="C995" t="s">
        <v>7390</v>
      </c>
    </row>
    <row r="996" spans="1:3">
      <c r="A996" t="s">
        <v>7490</v>
      </c>
      <c r="B996" t="str">
        <f ca="1">IF(ISBLANK(OFFSET(B996,0,'Field labels'!$Q$1)),C996,OFFSET(B996,0,'Field labels'!$Q$1))</f>
        <v>TSM 4 - B (650443-LE001275)</v>
      </c>
      <c r="C996" t="s">
        <v>7391</v>
      </c>
    </row>
    <row r="997" spans="1:3">
      <c r="A997" t="s">
        <v>7490</v>
      </c>
      <c r="B997" t="str">
        <f ca="1">IF(ISBLANK(OFFSET(B997,0,'Field labels'!$Q$1)),C997,OFFSET(B997,0,'Field labels'!$Q$1))</f>
        <v>TSM 5 - B (650444-LE001275)</v>
      </c>
      <c r="C997" t="s">
        <v>7392</v>
      </c>
    </row>
    <row r="998" spans="1:3">
      <c r="A998" t="s">
        <v>7490</v>
      </c>
      <c r="B998" t="str">
        <f ca="1">IF(ISBLANK(OFFSET(B998,0,'Field labels'!$Q$1)),C998,OFFSET(B998,0,'Field labels'!$Q$1))</f>
        <v>TSM 6 - B (650445-LE001275)</v>
      </c>
      <c r="C998" t="s">
        <v>7393</v>
      </c>
    </row>
    <row r="999" spans="1:3">
      <c r="A999" t="s">
        <v>7490</v>
      </c>
      <c r="B999" t="str">
        <f ca="1">IF(ISBLANK(OFFSET(B999,0,'Field labels'!$Q$1)),C999,OFFSET(B999,0,'Field labels'!$Q$1))</f>
        <v>TSM 7 - B (650446-LE001275)</v>
      </c>
      <c r="C999" t="s">
        <v>7394</v>
      </c>
    </row>
    <row r="1000" spans="1:3">
      <c r="A1000" t="s">
        <v>7490</v>
      </c>
      <c r="B1000" t="str">
        <f ca="1">IF(ISBLANK(OFFSET(B1000,0,'Field labels'!$Q$1)),C1000,OFFSET(B1000,0,'Field labels'!$Q$1))</f>
        <v>TSM 8 - A (650346-LE001275)</v>
      </c>
      <c r="C1000" t="s">
        <v>7395</v>
      </c>
    </row>
    <row r="1001" spans="1:3">
      <c r="A1001" t="s">
        <v>7490</v>
      </c>
      <c r="B1001" t="str">
        <f ca="1">IF(ISBLANK(OFFSET(B1001,0,'Field labels'!$Q$1)),C1001,OFFSET(B1001,0,'Field labels'!$Q$1))</f>
        <v>TSM 9 - A (650348-LE001275)</v>
      </c>
      <c r="C1001" t="s">
        <v>7396</v>
      </c>
    </row>
    <row r="1002" spans="1:3">
      <c r="A1002" t="s">
        <v>7490</v>
      </c>
      <c r="B1002" t="str">
        <f ca="1">IF(ISBLANK(OFFSET(B1002,0,'Field labels'!$Q$1)),C1002,OFFSET(B1002,0,'Field labels'!$Q$1))</f>
        <v>TSM 9-A (658828-LE001275)</v>
      </c>
      <c r="C1002" t="s">
        <v>7397</v>
      </c>
    </row>
    <row r="1003" spans="1:3">
      <c r="A1003" t="s">
        <v>7490</v>
      </c>
      <c r="B1003" t="str">
        <f ca="1">IF(ISBLANK(OFFSET(B1003,0,'Field labels'!$Q$1)),C1003,OFFSET(B1003,0,'Field labels'!$Q$1))</f>
        <v>VACUUM PACKING-A (658360-LE001275)</v>
      </c>
      <c r="C1003" t="s">
        <v>7400</v>
      </c>
    </row>
    <row r="1004" spans="1:3">
      <c r="A1004" t="s">
        <v>7490</v>
      </c>
      <c r="B1004" t="str">
        <f ca="1">IF(ISBLANK(OFFSET(B1004,0,'Field labels'!$Q$1)),C1004,OFFSET(B1004,0,'Field labels'!$Q$1))</f>
        <v>VACUUM PACKING-A (658860-LE001275)</v>
      </c>
      <c r="C1004" t="s">
        <v>7399</v>
      </c>
    </row>
    <row r="1005" spans="1:3">
      <c r="A1005" t="s">
        <v>7490</v>
      </c>
      <c r="B1005" t="str">
        <f ca="1">IF(ISBLANK(OFFSET(B1005,0,'Field labels'!$Q$1)),C1005,OFFSET(B1005,0,'Field labels'!$Q$1))</f>
        <v>VACUUM PACKING-B (650460-LE001275)</v>
      </c>
      <c r="C1005" t="s">
        <v>7403</v>
      </c>
    </row>
    <row r="1006" spans="1:3">
      <c r="A1006" t="s">
        <v>7490</v>
      </c>
      <c r="B1006" t="str">
        <f ca="1">IF(ISBLANK(OFFSET(B1006,0,'Field labels'!$Q$1)),C1006,OFFSET(B1006,0,'Field labels'!$Q$1))</f>
        <v>VACUUM PACKING-B (658460-LE001275)</v>
      </c>
      <c r="C1006" t="s">
        <v>7402</v>
      </c>
    </row>
    <row r="1007" spans="1:3">
      <c r="A1007" t="s">
        <v>7490</v>
      </c>
      <c r="B1007" t="str">
        <f ca="1">IF(ISBLANK(OFFSET(B1007,0,'Field labels'!$Q$1)),C1007,OFFSET(B1007,0,'Field labels'!$Q$1))</f>
        <v>VACUUM PACKING-B (658660-LE001275)</v>
      </c>
      <c r="C1007" t="s">
        <v>7401</v>
      </c>
    </row>
    <row r="1008" spans="1:3">
      <c r="A1008" t="s">
        <v>7490</v>
      </c>
      <c r="B1008" t="str">
        <f ca="1">IF(ISBLANK(OFFSET(B1008,0,'Field labels'!$Q$1)),C1008,OFFSET(B1008,0,'Field labels'!$Q$1))</f>
        <v>VISITORS HOUSE (650926-LE001275)</v>
      </c>
      <c r="C1008" t="s">
        <v>7416</v>
      </c>
    </row>
    <row r="1009" spans="1:3">
      <c r="A1009" t="s">
        <v>7490</v>
      </c>
      <c r="B1009" t="str">
        <f ca="1">IF(ISBLANK(OFFSET(B1009,0,'Field labels'!$Q$1)),C1009,OFFSET(B1009,0,'Field labels'!$Q$1))</f>
        <v>VISITORS HOUSE (658926-LE001275)</v>
      </c>
      <c r="C1009" t="s">
        <v>7415</v>
      </c>
    </row>
    <row r="1010" spans="1:3">
      <c r="A1010" t="s">
        <v>7490</v>
      </c>
      <c r="B1010" t="str">
        <f ca="1">IF(ISBLANK(OFFSET(B1010,0,'Field labels'!$Q$1)),C1010,OFFSET(B1010,0,'Field labels'!$Q$1))</f>
        <v>WAREHOUSE (658863-LE001275)</v>
      </c>
      <c r="C1010" t="s">
        <v>7417</v>
      </c>
    </row>
    <row r="1011" spans="1:3">
      <c r="A1011" t="s">
        <v>7490</v>
      </c>
      <c r="B1011" t="str">
        <f ca="1">IF(ISBLANK(OFFSET(B1011,0,'Field labels'!$Q$1)),C1011,OFFSET(B1011,0,'Field labels'!$Q$1))</f>
        <v>Warehouse -B (650463-LE001275)</v>
      </c>
      <c r="C1011" t="s">
        <v>7419</v>
      </c>
    </row>
    <row r="1012" spans="1:3">
      <c r="A1012" t="s">
        <v>7510</v>
      </c>
      <c r="B1012" t="str">
        <f ca="1">IF(ISBLANK(OFFSET(B1012,0,'Field labels'!$Q$1)),C1012,OFFSET(B1012,0,'Field labels'!$Q$1))</f>
        <v>Changsha Hog (850109-LE001352)</v>
      </c>
      <c r="C1012" t="s">
        <v>5717</v>
      </c>
    </row>
    <row r="1013" spans="1:3">
      <c r="A1013" t="s">
        <v>7510</v>
      </c>
      <c r="B1013" t="str">
        <f ca="1">IF(ISBLANK(OFFSET(B1013,0,'Field labels'!$Q$1)),C1013,OFFSET(B1013,0,'Field labels'!$Q$1))</f>
        <v>Cs-Hanchuan Plant (966007-LE001352)</v>
      </c>
      <c r="C1013" t="s">
        <v>6003</v>
      </c>
    </row>
    <row r="1014" spans="1:3">
      <c r="A1014" t="s">
        <v>7510</v>
      </c>
      <c r="B1014" t="str">
        <f ca="1">IF(ISBLANK(OFFSET(B1014,0,'Field labels'!$Q$1)),C1014,OFFSET(B1014,0,'Field labels'!$Q$1))</f>
        <v>Functional-CFN Changsha (850812-LE001352)</v>
      </c>
      <c r="C1014" t="s">
        <v>6403</v>
      </c>
    </row>
    <row r="1015" spans="1:3">
      <c r="A1015" t="s">
        <v>7510</v>
      </c>
      <c r="B1015" t="str">
        <f ca="1">IF(ISBLANK(OFFSET(B1015,0,'Field labels'!$Q$1)),C1015,OFFSET(B1015,0,'Field labels'!$Q$1))</f>
        <v>Functional-CFN Hanchuan (966812-LE001352)</v>
      </c>
      <c r="C1015" t="s">
        <v>6405</v>
      </c>
    </row>
    <row r="1016" spans="1:3">
      <c r="A1016" t="s">
        <v>7510</v>
      </c>
      <c r="B1016" t="str">
        <f ca="1">IF(ISBLANK(OFFSET(B1016,0,'Field labels'!$Q$1)),C1016,OFFSET(B1016,0,'Field labels'!$Q$1))</f>
        <v>Hanchuan Hog (966109-LE001352)</v>
      </c>
      <c r="C1016" t="s">
        <v>6545</v>
      </c>
    </row>
    <row r="1017" spans="1:3">
      <c r="A1017" t="s">
        <v>7510</v>
      </c>
      <c r="B1017" t="str">
        <f ca="1">IF(ISBLANK(OFFSET(B1017,0,'Field labels'!$Q$1)),C1017,OFFSET(B1017,0,'Field labels'!$Q$1))</f>
        <v>Hanchuan Ruminant (966209-LE001352)</v>
      </c>
      <c r="C1017" t="s">
        <v>6546</v>
      </c>
    </row>
    <row r="1018" spans="1:3">
      <c r="A1018" t="s">
        <v>7510</v>
      </c>
      <c r="B1018" t="str">
        <f ca="1">IF(ISBLANK(OFFSET(B1018,0,'Field labels'!$Q$1)),C1018,OFFSET(B1018,0,'Field labels'!$Q$1))</f>
        <v>Plant Operations (850007-LE001352)</v>
      </c>
      <c r="C1018" t="s">
        <v>6853</v>
      </c>
    </row>
    <row r="1019" spans="1:3">
      <c r="A1019" t="s">
        <v>7518</v>
      </c>
      <c r="B1019" t="str">
        <f ca="1">IF(ISBLANK(OFFSET(B1019,0,'Field labels'!$Q$1)),C1019,OFFSET(B1019,0,'Field labels'!$Q$1))</f>
        <v>Commercial (472020-LE001438)</v>
      </c>
      <c r="C1019" t="s">
        <v>5905</v>
      </c>
    </row>
    <row r="1020" spans="1:3">
      <c r="A1020" t="s">
        <v>7518</v>
      </c>
      <c r="B1020" t="str">
        <f ca="1">IF(ISBLANK(OFFSET(B1020,0,'Field labels'!$Q$1)),C1020,OFFSET(B1020,0,'Field labels'!$Q$1))</f>
        <v>Commercial-BR (474021-LE001438)</v>
      </c>
      <c r="C1020" t="s">
        <v>5913</v>
      </c>
    </row>
    <row r="1021" spans="1:3">
      <c r="A1021" t="s">
        <v>7518</v>
      </c>
      <c r="B1021" t="str">
        <f ca="1">IF(ISBLANK(OFFSET(B1021,0,'Field labels'!$Q$1)),C1021,OFFSET(B1021,0,'Field labels'!$Q$1))</f>
        <v>Contract executive (472044-LE001438)</v>
      </c>
      <c r="C1021" t="s">
        <v>5928</v>
      </c>
    </row>
    <row r="1022" spans="1:3">
      <c r="A1022" t="s">
        <v>7518</v>
      </c>
      <c r="B1022" t="str">
        <f ca="1">IF(ISBLANK(OFFSET(B1022,0,'Field labels'!$Q$1)),C1022,OFFSET(B1022,0,'Field labels'!$Q$1))</f>
        <v>Crush (472030-LE001438)</v>
      </c>
      <c r="C1022" t="s">
        <v>6000</v>
      </c>
    </row>
    <row r="1023" spans="1:3">
      <c r="A1023" t="s">
        <v>7518</v>
      </c>
      <c r="B1023" t="str">
        <f ca="1">IF(ISBLANK(OFFSET(B1023,0,'Field labels'!$Q$1)),C1023,OFFSET(B1023,0,'Field labels'!$Q$1))</f>
        <v>FSQR (474038-LE001438)</v>
      </c>
      <c r="C1023" t="s">
        <v>6364</v>
      </c>
    </row>
    <row r="1024" spans="1:3">
      <c r="A1024" t="s">
        <v>7518</v>
      </c>
      <c r="B1024" t="str">
        <f ca="1">IF(ISBLANK(OFFSET(B1024,0,'Field labels'!$Q$1)),C1024,OFFSET(B1024,0,'Field labels'!$Q$1))</f>
        <v>GCK Sharing-Commercial Execution (474944-LE001438)</v>
      </c>
      <c r="C1024" t="s">
        <v>6454</v>
      </c>
    </row>
    <row r="1025" spans="1:3">
      <c r="A1025" t="s">
        <v>7518</v>
      </c>
      <c r="B1025" t="str">
        <f ca="1">IF(ISBLANK(OFFSET(B1025,0,'Field labels'!$Q$1)),C1025,OFFSET(B1025,0,'Field labels'!$Q$1))</f>
        <v>GCK Sharing-Supply Chain (474060-LE001438)</v>
      </c>
      <c r="C1025" t="s">
        <v>6455</v>
      </c>
    </row>
    <row r="1026" spans="1:3">
      <c r="A1026" t="s">
        <v>7518</v>
      </c>
      <c r="B1026" t="str">
        <f ca="1">IF(ISBLANK(OFFSET(B1026,0,'Field labels'!$Q$1)),C1026,OFFSET(B1026,0,'Field labels'!$Q$1))</f>
        <v>GM (472050-LE001438)</v>
      </c>
      <c r="C1026" t="s">
        <v>6486</v>
      </c>
    </row>
    <row r="1027" spans="1:3">
      <c r="A1027" t="s">
        <v>7518</v>
      </c>
      <c r="B1027" t="str">
        <f ca="1">IF(ISBLANK(OFFSET(B1027,0,'Field labels'!$Q$1)),C1027,OFFSET(B1027,0,'Field labels'!$Q$1))</f>
        <v>GM (474050-LE001438)</v>
      </c>
      <c r="C1027" t="s">
        <v>6485</v>
      </c>
    </row>
    <row r="1028" spans="1:3">
      <c r="A1028" t="s">
        <v>7518</v>
      </c>
      <c r="B1028" t="str">
        <f ca="1">IF(ISBLANK(OFFSET(B1028,0,'Field labels'!$Q$1)),C1028,OFFSET(B1028,0,'Field labels'!$Q$1))</f>
        <v>GOSC HH Weighbridge (472072-LE001438)</v>
      </c>
      <c r="C1028" t="s">
        <v>6505</v>
      </c>
    </row>
    <row r="1029" spans="1:3">
      <c r="A1029" t="s">
        <v>7518</v>
      </c>
      <c r="B1029" t="str">
        <f ca="1">IF(ISBLANK(OFFSET(B1029,0,'Field labels'!$Q$1)),C1029,OFFSET(B1029,0,'Field labels'!$Q$1))</f>
        <v>GOSC HH Weighbridge (474072-LE001438)</v>
      </c>
      <c r="C1029" t="s">
        <v>6504</v>
      </c>
    </row>
    <row r="1030" spans="1:3">
      <c r="A1030" t="s">
        <v>7518</v>
      </c>
      <c r="B1030" t="str">
        <f ca="1">IF(ISBLANK(OFFSET(B1030,0,'Field labels'!$Q$1)),C1030,OFFSET(B1030,0,'Field labels'!$Q$1))</f>
        <v>GOSC Huanghua Admin (472040-LE001438)</v>
      </c>
      <c r="C1030" t="s">
        <v>6506</v>
      </c>
    </row>
    <row r="1031" spans="1:3">
      <c r="A1031" t="s">
        <v>7518</v>
      </c>
      <c r="B1031" t="str">
        <f ca="1">IF(ISBLANK(OFFSET(B1031,0,'Field labels'!$Q$1)),C1031,OFFSET(B1031,0,'Field labels'!$Q$1))</f>
        <v>GOSC Huanghua Finance (472075-LE001438)</v>
      </c>
      <c r="C1031" t="s">
        <v>6507</v>
      </c>
    </row>
    <row r="1032" spans="1:3">
      <c r="A1032" t="s">
        <v>7518</v>
      </c>
      <c r="B1032" t="str">
        <f ca="1">IF(ISBLANK(OFFSET(B1032,0,'Field labels'!$Q$1)),C1032,OFFSET(B1032,0,'Field labels'!$Q$1))</f>
        <v>GOSC Huanghua R&amp;M (472034-LE001438)</v>
      </c>
      <c r="C1032" t="s">
        <v>6508</v>
      </c>
    </row>
    <row r="1033" spans="1:3">
      <c r="A1033" t="s">
        <v>7518</v>
      </c>
      <c r="B1033" t="str">
        <f ca="1">IF(ISBLANK(OFFSET(B1033,0,'Field labels'!$Q$1)),C1033,OFFSET(B1033,0,'Field labels'!$Q$1))</f>
        <v>GOSC Huanghua Safety Guard (472071-LE001438)</v>
      </c>
      <c r="C1033" t="s">
        <v>6509</v>
      </c>
    </row>
    <row r="1034" spans="1:3">
      <c r="A1034" t="s">
        <v>7518</v>
      </c>
      <c r="B1034" t="str">
        <f ca="1">IF(ISBLANK(OFFSET(B1034,0,'Field labels'!$Q$1)),C1034,OFFSET(B1034,0,'Field labels'!$Q$1))</f>
        <v>GOSC Huanghua Supply chain (472060-LE001438)</v>
      </c>
      <c r="C1034" t="s">
        <v>6510</v>
      </c>
    </row>
    <row r="1035" spans="1:3">
      <c r="A1035" t="s">
        <v>7518</v>
      </c>
      <c r="B1035" t="str">
        <f ca="1">IF(ISBLANK(OFFSET(B1035,0,'Field labels'!$Q$1)),C1035,OFFSET(B1035,0,'Field labels'!$Q$1))</f>
        <v>GOSC Huanghua Utility (472033-LE001438)</v>
      </c>
      <c r="C1035" t="s">
        <v>6511</v>
      </c>
    </row>
    <row r="1036" spans="1:3">
      <c r="A1036" t="s">
        <v>7518</v>
      </c>
      <c r="B1036" t="str">
        <f ca="1">IF(ISBLANK(OFFSET(B1036,0,'Field labels'!$Q$1)),C1036,OFFSET(B1036,0,'Field labels'!$Q$1))</f>
        <v>Loading/unloading (472026-LE001438)</v>
      </c>
      <c r="C1036" t="s">
        <v>6666</v>
      </c>
    </row>
    <row r="1037" spans="1:3">
      <c r="A1037" t="s">
        <v>7518</v>
      </c>
      <c r="B1037" t="str">
        <f ca="1">IF(ISBLANK(OFFSET(B1037,0,'Field labels'!$Q$1)),C1037,OFFSET(B1037,0,'Field labels'!$Q$1))</f>
        <v>Production EHS (472032-LE001438)</v>
      </c>
      <c r="C1037" t="s">
        <v>6913</v>
      </c>
    </row>
    <row r="1038" spans="1:3">
      <c r="A1038" t="s">
        <v>7518</v>
      </c>
      <c r="B1038" t="str">
        <f ca="1">IF(ISBLANK(OFFSET(B1038,0,'Field labels'!$Q$1)),C1038,OFFSET(B1038,0,'Field labels'!$Q$1))</f>
        <v>Production Shared (474035-LE001438)</v>
      </c>
      <c r="C1038" t="s">
        <v>6919</v>
      </c>
    </row>
    <row r="1039" spans="1:3">
      <c r="A1039" t="s">
        <v>7518</v>
      </c>
      <c r="B1039" t="str">
        <f ca="1">IF(ISBLANK(OFFSET(B1039,0,'Field labels'!$Q$1)),C1039,OFFSET(B1039,0,'Field labels'!$Q$1))</f>
        <v>Production-QA (472038-LE001438)</v>
      </c>
      <c r="C1039" t="s">
        <v>6945</v>
      </c>
    </row>
    <row r="1040" spans="1:3">
      <c r="A1040" t="s">
        <v>7518</v>
      </c>
      <c r="B1040" t="str">
        <f ca="1">IF(ISBLANK(OFFSET(B1040,0,'Field labels'!$Q$1)),C1040,OFFSET(B1040,0,'Field labels'!$Q$1))</f>
        <v>Refinery Production (474030-LE001438)</v>
      </c>
      <c r="C1040" t="s">
        <v>7017</v>
      </c>
    </row>
    <row r="1041" spans="1:3">
      <c r="A1041" t="s">
        <v>7518</v>
      </c>
      <c r="B1041" t="str">
        <f ca="1">IF(ISBLANK(OFFSET(B1041,0,'Field labels'!$Q$1)),C1041,OFFSET(B1041,0,'Field labels'!$Q$1))</f>
        <v>ROAP Huanghua Admin (474040-LE001438)</v>
      </c>
      <c r="C1041" t="s">
        <v>7042</v>
      </c>
    </row>
    <row r="1042" spans="1:3">
      <c r="A1042" t="s">
        <v>7518</v>
      </c>
      <c r="B1042" t="str">
        <f ca="1">IF(ISBLANK(OFFSET(B1042,0,'Field labels'!$Q$1)),C1042,OFFSET(B1042,0,'Field labels'!$Q$1))</f>
        <v>ROAP Huanghua Finance (474075-LE001438)</v>
      </c>
      <c r="C1042" t="s">
        <v>7043</v>
      </c>
    </row>
    <row r="1043" spans="1:3">
      <c r="A1043" t="s">
        <v>7518</v>
      </c>
      <c r="B1043" t="str">
        <f ca="1">IF(ISBLANK(OFFSET(B1043,0,'Field labels'!$Q$1)),C1043,OFFSET(B1043,0,'Field labels'!$Q$1))</f>
        <v>ROAP Huanghua R&amp;M (474034-LE001438)</v>
      </c>
      <c r="C1043" t="s">
        <v>7044</v>
      </c>
    </row>
    <row r="1044" spans="1:3">
      <c r="A1044" t="s">
        <v>7518</v>
      </c>
      <c r="B1044" t="str">
        <f ca="1">IF(ISBLANK(OFFSET(B1044,0,'Field labels'!$Q$1)),C1044,OFFSET(B1044,0,'Field labels'!$Q$1))</f>
        <v>ROAP Huanghua Safety Guard (474071-LE001438)</v>
      </c>
      <c r="C1044" t="s">
        <v>7045</v>
      </c>
    </row>
    <row r="1045" spans="1:3">
      <c r="A1045" t="s">
        <v>7518</v>
      </c>
      <c r="B1045" t="str">
        <f ca="1">IF(ISBLANK(OFFSET(B1045,0,'Field labels'!$Q$1)),C1045,OFFSET(B1045,0,'Field labels'!$Q$1))</f>
        <v>ROAP Production EHS (474032-LE001438)</v>
      </c>
      <c r="C1045" t="s">
        <v>7046</v>
      </c>
    </row>
    <row r="1046" spans="1:3">
      <c r="A1046" t="s">
        <v>7518</v>
      </c>
      <c r="B1046" t="str">
        <f ca="1">IF(ISBLANK(OFFSET(B1046,0,'Field labels'!$Q$1)),C1046,OFFSET(B1046,0,'Field labels'!$Q$1))</f>
        <v>Supply Chain-CE (474044-LE001438)</v>
      </c>
      <c r="C1046" t="s">
        <v>7206</v>
      </c>
    </row>
    <row r="1047" spans="1:3">
      <c r="A1047" t="s">
        <v>7518</v>
      </c>
      <c r="B1047" t="str">
        <f ca="1">IF(ISBLANK(OFFSET(B1047,0,'Field labels'!$Q$1)),C1047,OFFSET(B1047,0,'Field labels'!$Q$1))</f>
        <v>Tank Farm (474039-LE001438)</v>
      </c>
      <c r="C1047" t="s">
        <v>7356</v>
      </c>
    </row>
    <row r="1048" spans="1:3">
      <c r="A1048" t="s">
        <v>7518</v>
      </c>
      <c r="B1048" t="str">
        <f ca="1">IF(ISBLANK(OFFSET(B1048,0,'Field labels'!$Q$1)),C1048,OFFSET(B1048,0,'Field labels'!$Q$1))</f>
        <v>WWTP (474037-LE001438)</v>
      </c>
      <c r="C1048" t="s">
        <v>7444</v>
      </c>
    </row>
    <row r="1049" spans="1:3">
      <c r="A1049" t="s">
        <v>7492</v>
      </c>
      <c r="B1049" t="str">
        <f ca="1">IF(ISBLANK(OFFSET(B1049,0,'Field labels'!$Q$1)),C1049,OFFSET(B1049,0,'Field labels'!$Q$1))</f>
        <v>Admin/Service/Canteen (150200-LE001440)</v>
      </c>
      <c r="C1049" t="s">
        <v>5493</v>
      </c>
    </row>
    <row r="1050" spans="1:3">
      <c r="A1050" t="s">
        <v>7492</v>
      </c>
      <c r="B1050" t="str">
        <f ca="1">IF(ISBLANK(OFFSET(B1050,0,'Field labels'!$Q$1)),C1050,OFFSET(B1050,0,'Field labels'!$Q$1))</f>
        <v>Agri-Breeder -1 (110801-LE001440)</v>
      </c>
      <c r="C1050" t="s">
        <v>5501</v>
      </c>
    </row>
    <row r="1051" spans="1:3">
      <c r="A1051" t="s">
        <v>7492</v>
      </c>
      <c r="B1051" t="str">
        <f ca="1">IF(ISBLANK(OFFSET(B1051,0,'Field labels'!$Q$1)),C1051,OFFSET(B1051,0,'Field labels'!$Q$1))</f>
        <v>Agri-Breeder -2 (110802-LE001440)</v>
      </c>
      <c r="C1051" t="s">
        <v>5502</v>
      </c>
    </row>
    <row r="1052" spans="1:3">
      <c r="A1052" t="s">
        <v>7492</v>
      </c>
      <c r="B1052" t="str">
        <f ca="1">IF(ISBLANK(OFFSET(B1052,0,'Field labels'!$Q$1)),C1052,OFFSET(B1052,0,'Field labels'!$Q$1))</f>
        <v>Agri-Breeder -3 (110803-LE001440)</v>
      </c>
      <c r="C1052" t="s">
        <v>5503</v>
      </c>
    </row>
    <row r="1053" spans="1:3">
      <c r="A1053" t="s">
        <v>7492</v>
      </c>
      <c r="B1053" t="str">
        <f ca="1">IF(ISBLANK(OFFSET(B1053,0,'Field labels'!$Q$1)),C1053,OFFSET(B1053,0,'Field labels'!$Q$1))</f>
        <v>Agri-Breeder -4 (110804-LE001440)</v>
      </c>
      <c r="C1053" t="s">
        <v>5504</v>
      </c>
    </row>
    <row r="1054" spans="1:3">
      <c r="A1054" t="s">
        <v>7492</v>
      </c>
      <c r="B1054" t="str">
        <f ca="1">IF(ISBLANK(OFFSET(B1054,0,'Field labels'!$Q$1)),C1054,OFFSET(B1054,0,'Field labels'!$Q$1))</f>
        <v>Agri-Breeder -5 (110805-LE001440)</v>
      </c>
      <c r="C1054" t="s">
        <v>5505</v>
      </c>
    </row>
    <row r="1055" spans="1:3">
      <c r="A1055" t="s">
        <v>7492</v>
      </c>
      <c r="B1055" t="str">
        <f ca="1">IF(ISBLANK(OFFSET(B1055,0,'Field labels'!$Q$1)),C1055,OFFSET(B1055,0,'Field labels'!$Q$1))</f>
        <v>Agri-Breeder -6 (110806-LE001440)</v>
      </c>
      <c r="C1055" t="s">
        <v>5506</v>
      </c>
    </row>
    <row r="1056" spans="1:3">
      <c r="A1056" t="s">
        <v>7492</v>
      </c>
      <c r="B1056" t="str">
        <f ca="1">IF(ISBLANK(OFFSET(B1056,0,'Field labels'!$Q$1)),C1056,OFFSET(B1056,0,'Field labels'!$Q$1))</f>
        <v>Agri-Breeder -7 (110807-LE001440)</v>
      </c>
      <c r="C1056" t="s">
        <v>5507</v>
      </c>
    </row>
    <row r="1057" spans="1:3">
      <c r="A1057" t="s">
        <v>7492</v>
      </c>
      <c r="B1057" t="str">
        <f ca="1">IF(ISBLANK(OFFSET(B1057,0,'Field labels'!$Q$1)),C1057,OFFSET(B1057,0,'Field labels'!$Q$1))</f>
        <v>Agri-Breeder -8 (110808-LE001440)</v>
      </c>
      <c r="C1057" t="s">
        <v>5508</v>
      </c>
    </row>
    <row r="1058" spans="1:3">
      <c r="A1058" t="s">
        <v>7492</v>
      </c>
      <c r="B1058" t="str">
        <f ca="1">IF(ISBLANK(OFFSET(B1058,0,'Field labels'!$Q$1)),C1058,OFFSET(B1058,0,'Field labels'!$Q$1))</f>
        <v>Agri-Breeder Admin (110700-LE001440)</v>
      </c>
      <c r="C1058" t="s">
        <v>5509</v>
      </c>
    </row>
    <row r="1059" spans="1:3">
      <c r="A1059" t="s">
        <v>7492</v>
      </c>
      <c r="B1059" t="str">
        <f ca="1">IF(ISBLANK(OFFSET(B1059,0,'Field labels'!$Q$1)),C1059,OFFSET(B1059,0,'Field labels'!$Q$1))</f>
        <v>Agri-Feedmill &amp;Risk management (110600-LE001440)</v>
      </c>
      <c r="C1059" t="s">
        <v>5511</v>
      </c>
    </row>
    <row r="1060" spans="1:3">
      <c r="A1060" t="s">
        <v>7492</v>
      </c>
      <c r="B1060" t="str">
        <f ca="1">IF(ISBLANK(OFFSET(B1060,0,'Field labels'!$Q$1)),C1060,OFFSET(B1060,0,'Field labels'!$Q$1))</f>
        <v>Agri-Feedmill (110601-LE001440)</v>
      </c>
      <c r="C1060" t="s">
        <v>5510</v>
      </c>
    </row>
    <row r="1061" spans="1:3">
      <c r="A1061" t="s">
        <v>7492</v>
      </c>
      <c r="B1061" t="str">
        <f ca="1">IF(ISBLANK(OFFSET(B1061,0,'Field labels'!$Q$1)),C1061,OFFSET(B1061,0,'Field labels'!$Q$1))</f>
        <v>Agri-Growout Admin&amp;Opeation (111000-LE001440)</v>
      </c>
      <c r="C1061" t="s">
        <v>5512</v>
      </c>
    </row>
    <row r="1062" spans="1:3">
      <c r="A1062" t="s">
        <v>7492</v>
      </c>
      <c r="B1062" t="str">
        <f ca="1">IF(ISBLANK(OFFSET(B1062,0,'Field labels'!$Q$1)),C1062,OFFSET(B1062,0,'Field labels'!$Q$1))</f>
        <v>Agri-Growout Farm-1 (111201-LE001440)</v>
      </c>
      <c r="C1062" t="s">
        <v>5513</v>
      </c>
    </row>
    <row r="1063" spans="1:3">
      <c r="A1063" t="s">
        <v>7492</v>
      </c>
      <c r="B1063" t="str">
        <f ca="1">IF(ISBLANK(OFFSET(B1063,0,'Field labels'!$Q$1)),C1063,OFFSET(B1063,0,'Field labels'!$Q$1))</f>
        <v>Agri-Growout Farm-10 (111210-LE001440)</v>
      </c>
      <c r="C1063" t="s">
        <v>5514</v>
      </c>
    </row>
    <row r="1064" spans="1:3">
      <c r="A1064" t="s">
        <v>7492</v>
      </c>
      <c r="B1064" t="str">
        <f ca="1">IF(ISBLANK(OFFSET(B1064,0,'Field labels'!$Q$1)),C1064,OFFSET(B1064,0,'Field labels'!$Q$1))</f>
        <v>Agri-Growout Farm-11 (111211-LE001440)</v>
      </c>
      <c r="C1064" t="s">
        <v>5515</v>
      </c>
    </row>
    <row r="1065" spans="1:3">
      <c r="A1065" t="s">
        <v>7492</v>
      </c>
      <c r="B1065" t="str">
        <f ca="1">IF(ISBLANK(OFFSET(B1065,0,'Field labels'!$Q$1)),C1065,OFFSET(B1065,0,'Field labels'!$Q$1))</f>
        <v>Agri-Growout Farm-12 (111212-LE001440)</v>
      </c>
      <c r="C1065" t="s">
        <v>5516</v>
      </c>
    </row>
    <row r="1066" spans="1:3">
      <c r="A1066" t="s">
        <v>7492</v>
      </c>
      <c r="B1066" t="str">
        <f ca="1">IF(ISBLANK(OFFSET(B1066,0,'Field labels'!$Q$1)),C1066,OFFSET(B1066,0,'Field labels'!$Q$1))</f>
        <v>Agri-Growout Farm-13 (111213-LE001440)</v>
      </c>
      <c r="C1066" t="s">
        <v>5517</v>
      </c>
    </row>
    <row r="1067" spans="1:3">
      <c r="A1067" t="s">
        <v>7492</v>
      </c>
      <c r="B1067" t="str">
        <f ca="1">IF(ISBLANK(OFFSET(B1067,0,'Field labels'!$Q$1)),C1067,OFFSET(B1067,0,'Field labels'!$Q$1))</f>
        <v>Agri-Growout Farm-14 (111214-LE001440)</v>
      </c>
      <c r="C1067" t="s">
        <v>5518</v>
      </c>
    </row>
    <row r="1068" spans="1:3">
      <c r="A1068" t="s">
        <v>7492</v>
      </c>
      <c r="B1068" t="str">
        <f ca="1">IF(ISBLANK(OFFSET(B1068,0,'Field labels'!$Q$1)),C1068,OFFSET(B1068,0,'Field labels'!$Q$1))</f>
        <v>Agri-Growout Farm-15 (111215-LE001440)</v>
      </c>
      <c r="C1068" t="s">
        <v>5519</v>
      </c>
    </row>
    <row r="1069" spans="1:3">
      <c r="A1069" t="s">
        <v>7492</v>
      </c>
      <c r="B1069" t="str">
        <f ca="1">IF(ISBLANK(OFFSET(B1069,0,'Field labels'!$Q$1)),C1069,OFFSET(B1069,0,'Field labels'!$Q$1))</f>
        <v>Agri-Growout Farm-16 (111216-LE001440)</v>
      </c>
      <c r="C1069" t="s">
        <v>5520</v>
      </c>
    </row>
    <row r="1070" spans="1:3">
      <c r="A1070" t="s">
        <v>7492</v>
      </c>
      <c r="B1070" t="str">
        <f ca="1">IF(ISBLANK(OFFSET(B1070,0,'Field labels'!$Q$1)),C1070,OFFSET(B1070,0,'Field labels'!$Q$1))</f>
        <v>Agri-Growout Farm-17 (111217-LE001440)</v>
      </c>
      <c r="C1070" t="s">
        <v>5521</v>
      </c>
    </row>
    <row r="1071" spans="1:3">
      <c r="A1071" t="s">
        <v>7492</v>
      </c>
      <c r="B1071" t="str">
        <f ca="1">IF(ISBLANK(OFFSET(B1071,0,'Field labels'!$Q$1)),C1071,OFFSET(B1071,0,'Field labels'!$Q$1))</f>
        <v>Agri-Growout Farm-2 (111202-LE001440)</v>
      </c>
      <c r="C1071" t="s">
        <v>5522</v>
      </c>
    </row>
    <row r="1072" spans="1:3">
      <c r="A1072" t="s">
        <v>7492</v>
      </c>
      <c r="B1072" t="str">
        <f ca="1">IF(ISBLANK(OFFSET(B1072,0,'Field labels'!$Q$1)),C1072,OFFSET(B1072,0,'Field labels'!$Q$1))</f>
        <v>Agri-Growout Farm-21 (111221-LE001440)</v>
      </c>
      <c r="C1072" t="s">
        <v>5523</v>
      </c>
    </row>
    <row r="1073" spans="1:3">
      <c r="A1073" t="s">
        <v>7492</v>
      </c>
      <c r="B1073" t="str">
        <f ca="1">IF(ISBLANK(OFFSET(B1073,0,'Field labels'!$Q$1)),C1073,OFFSET(B1073,0,'Field labels'!$Q$1))</f>
        <v>Agri-Growout Farm-3 (111203-LE001440)</v>
      </c>
      <c r="C1073" t="s">
        <v>5524</v>
      </c>
    </row>
    <row r="1074" spans="1:3">
      <c r="A1074" t="s">
        <v>7492</v>
      </c>
      <c r="B1074" t="str">
        <f ca="1">IF(ISBLANK(OFFSET(B1074,0,'Field labels'!$Q$1)),C1074,OFFSET(B1074,0,'Field labels'!$Q$1))</f>
        <v>Agri-Growout Farm-4 (111204-LE001440)</v>
      </c>
      <c r="C1074" t="s">
        <v>5528</v>
      </c>
    </row>
    <row r="1075" spans="1:3">
      <c r="A1075" t="s">
        <v>7492</v>
      </c>
      <c r="B1075" t="str">
        <f ca="1">IF(ISBLANK(OFFSET(B1075,0,'Field labels'!$Q$1)),C1075,OFFSET(B1075,0,'Field labels'!$Q$1))</f>
        <v>Agri-Growout Farm-5 (111205-LE001440)</v>
      </c>
      <c r="C1075" t="s">
        <v>5529</v>
      </c>
    </row>
    <row r="1076" spans="1:3">
      <c r="A1076" t="s">
        <v>7492</v>
      </c>
      <c r="B1076" t="str">
        <f ca="1">IF(ISBLANK(OFFSET(B1076,0,'Field labels'!$Q$1)),C1076,OFFSET(B1076,0,'Field labels'!$Q$1))</f>
        <v>Agri-Growout Farm-6 (111206-LE001440)</v>
      </c>
      <c r="C1076" t="s">
        <v>5530</v>
      </c>
    </row>
    <row r="1077" spans="1:3">
      <c r="A1077" t="s">
        <v>7492</v>
      </c>
      <c r="B1077" t="str">
        <f ca="1">IF(ISBLANK(OFFSET(B1077,0,'Field labels'!$Q$1)),C1077,OFFSET(B1077,0,'Field labels'!$Q$1))</f>
        <v>Agri-Growout Farm-7 (111207-LE001440)</v>
      </c>
      <c r="C1077" t="s">
        <v>5531</v>
      </c>
    </row>
    <row r="1078" spans="1:3">
      <c r="A1078" t="s">
        <v>7492</v>
      </c>
      <c r="B1078" t="str">
        <f ca="1">IF(ISBLANK(OFFSET(B1078,0,'Field labels'!$Q$1)),C1078,OFFSET(B1078,0,'Field labels'!$Q$1))</f>
        <v>Agri-Growout Farm-8 (111208-LE001440)</v>
      </c>
      <c r="C1078" t="s">
        <v>5532</v>
      </c>
    </row>
    <row r="1079" spans="1:3">
      <c r="A1079" t="s">
        <v>7492</v>
      </c>
      <c r="B1079" t="str">
        <f ca="1">IF(ISBLANK(OFFSET(B1079,0,'Field labels'!$Q$1)),C1079,OFFSET(B1079,0,'Field labels'!$Q$1))</f>
        <v>Agri-Growout Farm-9 (111209-LE001440)</v>
      </c>
      <c r="C1079" t="s">
        <v>5533</v>
      </c>
    </row>
    <row r="1080" spans="1:3">
      <c r="A1080" t="s">
        <v>7492</v>
      </c>
      <c r="B1080" t="str">
        <f ca="1">IF(ISBLANK(OFFSET(B1080,0,'Field labels'!$Q$1)),C1080,OFFSET(B1080,0,'Field labels'!$Q$1))</f>
        <v>Agri-Hatchery (110900-LE001440)</v>
      </c>
      <c r="C1080" t="s">
        <v>5534</v>
      </c>
    </row>
    <row r="1081" spans="1:3">
      <c r="A1081" t="s">
        <v>7492</v>
      </c>
      <c r="B1081" t="str">
        <f ca="1">IF(ISBLANK(OFFSET(B1081,0,'Field labels'!$Q$1)),C1081,OFFSET(B1081,0,'Field labels'!$Q$1))</f>
        <v>Agri-Poultry Health Center (110200-LE001440)</v>
      </c>
      <c r="C1081" t="s">
        <v>5535</v>
      </c>
    </row>
    <row r="1082" spans="1:3">
      <c r="A1082" t="s">
        <v>7492</v>
      </c>
      <c r="B1082" t="str">
        <f ca="1">IF(ISBLANK(OFFSET(B1082,0,'Field labels'!$Q$1)),C1082,OFFSET(B1082,0,'Field labels'!$Q$1))</f>
        <v>Agri-Pullet -1 (110701-LE001440)</v>
      </c>
      <c r="C1082" t="s">
        <v>5536</v>
      </c>
    </row>
    <row r="1083" spans="1:3">
      <c r="A1083" t="s">
        <v>7492</v>
      </c>
      <c r="B1083" t="str">
        <f ca="1">IF(ISBLANK(OFFSET(B1083,0,'Field labels'!$Q$1)),C1083,OFFSET(B1083,0,'Field labels'!$Q$1))</f>
        <v>Agri-Pullet -2 (110702-LE001440)</v>
      </c>
      <c r="C1083" t="s">
        <v>5537</v>
      </c>
    </row>
    <row r="1084" spans="1:3">
      <c r="A1084" t="s">
        <v>7492</v>
      </c>
      <c r="B1084" t="str">
        <f ca="1">IF(ISBLANK(OFFSET(B1084,0,'Field labels'!$Q$1)),C1084,OFFSET(B1084,0,'Field labels'!$Q$1))</f>
        <v>Agri-Pullet -3 (110703-LE001440)</v>
      </c>
      <c r="C1084" t="s">
        <v>5538</v>
      </c>
    </row>
    <row r="1085" spans="1:3">
      <c r="A1085" t="s">
        <v>7492</v>
      </c>
      <c r="B1085" t="str">
        <f ca="1">IF(ISBLANK(OFFSET(B1085,0,'Field labels'!$Q$1)),C1085,OFFSET(B1085,0,'Field labels'!$Q$1))</f>
        <v>Agri-Pullet -4 (110704-LE001440)</v>
      </c>
      <c r="C1085" t="s">
        <v>5539</v>
      </c>
    </row>
    <row r="1086" spans="1:3">
      <c r="A1086" t="s">
        <v>7492</v>
      </c>
      <c r="B1086" t="str">
        <f ca="1">IF(ISBLANK(OFFSET(B1086,0,'Field labels'!$Q$1)),C1086,OFFSET(B1086,0,'Field labels'!$Q$1))</f>
        <v>Agri-Repair &amp; Maintenance (110500-LE001440)</v>
      </c>
      <c r="C1086" t="s">
        <v>5540</v>
      </c>
    </row>
    <row r="1087" spans="1:3">
      <c r="A1087" t="s">
        <v>7492</v>
      </c>
      <c r="B1087" t="str">
        <f ca="1">IF(ISBLANK(OFFSET(B1087,0,'Field labels'!$Q$1)),C1087,OFFSET(B1087,0,'Field labels'!$Q$1))</f>
        <v>Agri-Trial Farm (111100-LE001440)</v>
      </c>
      <c r="C1087" t="s">
        <v>5541</v>
      </c>
    </row>
    <row r="1088" spans="1:3">
      <c r="A1088" t="s">
        <v>7492</v>
      </c>
      <c r="B1088" t="str">
        <f ca="1">IF(ISBLANK(OFFSET(B1088,0,'Field labels'!$Q$1)),C1088,OFFSET(B1088,0,'Field labels'!$Q$1))</f>
        <v>Business Development (150700-LE001440)</v>
      </c>
      <c r="C1088" t="s">
        <v>5636</v>
      </c>
    </row>
    <row r="1089" spans="1:3">
      <c r="A1089" t="s">
        <v>7492</v>
      </c>
      <c r="B1089" t="str">
        <f ca="1">IF(ISBLANK(OFFSET(B1089,0,'Field labels'!$Q$1)),C1089,OFFSET(B1089,0,'Field labels'!$Q$1))</f>
        <v>Chuzhou Finance (150500-LE001440)</v>
      </c>
      <c r="C1089" t="s">
        <v>5732</v>
      </c>
    </row>
    <row r="1090" spans="1:3">
      <c r="A1090" t="s">
        <v>7492</v>
      </c>
      <c r="B1090" t="str">
        <f ca="1">IF(ISBLANK(OFFSET(B1090,0,'Field labels'!$Q$1)),C1090,OFFSET(B1090,0,'Field labels'!$Q$1))</f>
        <v>Commercial (150600-LE001440)</v>
      </c>
      <c r="C1090" t="s">
        <v>5904</v>
      </c>
    </row>
    <row r="1091" spans="1:3">
      <c r="A1091" t="s">
        <v>7492</v>
      </c>
      <c r="B1091" t="str">
        <f ca="1">IF(ISBLANK(OFFSET(B1091,0,'Field labels'!$Q$1)),C1091,OFFSET(B1091,0,'Field labels'!$Q$1))</f>
        <v>Contract Farm (111101-LE001440)</v>
      </c>
      <c r="C1091" t="s">
        <v>5929</v>
      </c>
    </row>
    <row r="1092" spans="1:3">
      <c r="A1092" t="s">
        <v>7492</v>
      </c>
      <c r="B1092" t="str">
        <f ca="1">IF(ISBLANK(OFFSET(B1092,0,'Field labels'!$Q$1)),C1092,OFFSET(B1092,0,'Field labels'!$Q$1))</f>
        <v>Engineer and Project (160100-LE001440)</v>
      </c>
      <c r="C1092" t="s">
        <v>6139</v>
      </c>
    </row>
    <row r="1093" spans="1:3">
      <c r="A1093" t="s">
        <v>7492</v>
      </c>
      <c r="B1093" t="str">
        <f ca="1">IF(ISBLANK(OFFSET(B1093,0,'Field labels'!$Q$1)),C1093,OFFSET(B1093,0,'Field labels'!$Q$1))</f>
        <v>FM FSQR (110603-LE001440)</v>
      </c>
      <c r="C1093" t="s">
        <v>6231</v>
      </c>
    </row>
    <row r="1094" spans="1:3">
      <c r="A1094" t="s">
        <v>7492</v>
      </c>
      <c r="B1094" t="str">
        <f ca="1">IF(ISBLANK(OFFSET(B1094,0,'Field labels'!$Q$1)),C1094,OFFSET(B1094,0,'Field labels'!$Q$1))</f>
        <v>FSQR FS (130104-LE001440)</v>
      </c>
      <c r="C1094" t="s">
        <v>6372</v>
      </c>
    </row>
    <row r="1095" spans="1:3">
      <c r="A1095" t="s">
        <v>7492</v>
      </c>
      <c r="B1095" t="str">
        <f ca="1">IF(ISBLANK(OFFSET(B1095,0,'Field labels'!$Q$1)),C1095,OFFSET(B1095,0,'Field labels'!$Q$1))</f>
        <v>FSQR PP (130101-LE001440)</v>
      </c>
      <c r="C1095" t="s">
        <v>6373</v>
      </c>
    </row>
    <row r="1096" spans="1:3">
      <c r="A1096" t="s">
        <v>7492</v>
      </c>
      <c r="B1096" t="str">
        <f ca="1">IF(ISBLANK(OFFSET(B1096,0,'Field labels'!$Q$1)),C1096,OFFSET(B1096,0,'Field labels'!$Q$1))</f>
        <v>FSQR-Lab (130102-LE001440)</v>
      </c>
      <c r="C1096" t="s">
        <v>6375</v>
      </c>
    </row>
    <row r="1097" spans="1:3">
      <c r="A1097" t="s">
        <v>7492</v>
      </c>
      <c r="B1097" t="str">
        <f ca="1">IF(ISBLANK(OFFSET(B1097,0,'Field labels'!$Q$1)),C1097,OFFSET(B1097,0,'Field labels'!$Q$1))</f>
        <v>HR (150300-LE001440)</v>
      </c>
      <c r="C1097" t="s">
        <v>6563</v>
      </c>
    </row>
    <row r="1098" spans="1:3">
      <c r="A1098" t="s">
        <v>7492</v>
      </c>
      <c r="B1098" t="str">
        <f ca="1">IF(ISBLANK(OFFSET(B1098,0,'Field labels'!$Q$1)),C1098,OFFSET(B1098,0,'Field labels'!$Q$1))</f>
        <v>HR Employee Experience (150301-LE001440)</v>
      </c>
      <c r="C1098" t="s">
        <v>6569</v>
      </c>
    </row>
    <row r="1099" spans="1:3">
      <c r="A1099" t="s">
        <v>7492</v>
      </c>
      <c r="B1099" t="str">
        <f ca="1">IF(ISBLANK(OFFSET(B1099,0,'Field labels'!$Q$1)),C1099,OFFSET(B1099,0,'Field labels'!$Q$1))</f>
        <v>Logistic and Planning (140200-LE001440)</v>
      </c>
      <c r="C1099" t="s">
        <v>6675</v>
      </c>
    </row>
    <row r="1100" spans="1:3">
      <c r="A1100" t="s">
        <v>7492</v>
      </c>
      <c r="B1100" t="str">
        <f ca="1">IF(ISBLANK(OFFSET(B1100,0,'Field labels'!$Q$1)),C1100,OFFSET(B1100,0,'Field labels'!$Q$1))</f>
        <v>Marketing (150630-LE001440)</v>
      </c>
      <c r="C1100" t="s">
        <v>6711</v>
      </c>
    </row>
    <row r="1101" spans="1:3">
      <c r="A1101" t="s">
        <v>7492</v>
      </c>
      <c r="B1101" t="str">
        <f ca="1">IF(ISBLANK(OFFSET(B1101,0,'Field labels'!$Q$1)),C1101,OFFSET(B1101,0,'Field labels'!$Q$1))</f>
        <v>Overhead (for management team) (150100-LE001440)</v>
      </c>
      <c r="C1101" t="s">
        <v>6794</v>
      </c>
    </row>
    <row r="1102" spans="1:3">
      <c r="A1102" t="s">
        <v>7492</v>
      </c>
      <c r="B1102" t="str">
        <f ca="1">IF(ISBLANK(OFFSET(B1102,0,'Field labels'!$Q$1)),C1102,OFFSET(B1102,0,'Field labels'!$Q$1))</f>
        <v>PP-IQF (120240-LE001440)</v>
      </c>
      <c r="C1102" t="s">
        <v>6869</v>
      </c>
    </row>
    <row r="1103" spans="1:3">
      <c r="A1103" t="s">
        <v>7492</v>
      </c>
      <c r="B1103" t="str">
        <f ca="1">IF(ISBLANK(OFFSET(B1103,0,'Field labels'!$Q$1)),C1103,OFFSET(B1103,0,'Field labels'!$Q$1))</f>
        <v>PP-M-Production maintenance-Mechanical (120322-LE001440)</v>
      </c>
      <c r="C1103" t="s">
        <v>6870</v>
      </c>
    </row>
    <row r="1104" spans="1:3">
      <c r="A1104" t="s">
        <v>7492</v>
      </c>
      <c r="B1104" t="str">
        <f ca="1">IF(ISBLANK(OFFSET(B1104,0,'Field labels'!$Q$1)),C1104,OFFSET(B1104,0,'Field labels'!$Q$1))</f>
        <v>PP-M-UT-Water Treatment (120325-LE001440)</v>
      </c>
      <c r="C1104" t="s">
        <v>6871</v>
      </c>
    </row>
    <row r="1105" spans="1:3">
      <c r="A1105" t="s">
        <v>7492</v>
      </c>
      <c r="B1105" t="str">
        <f ca="1">IF(ISBLANK(OFFSET(B1105,0,'Field labels'!$Q$1)),C1105,OFFSET(B1105,0,'Field labels'!$Q$1))</f>
        <v>PP-Packing (120235-LE001440)</v>
      </c>
      <c r="C1105" t="s">
        <v>6872</v>
      </c>
    </row>
    <row r="1106" spans="1:3">
      <c r="A1106" t="s">
        <v>7492</v>
      </c>
      <c r="B1106" t="str">
        <f ca="1">IF(ISBLANK(OFFSET(B1106,0,'Field labels'!$Q$1)),C1106,OFFSET(B1106,0,'Field labels'!$Q$1))</f>
        <v>PP-P-Chilling&amp;Hanging (120229-LE001440)</v>
      </c>
      <c r="C1106" t="s">
        <v>6873</v>
      </c>
    </row>
    <row r="1107" spans="1:3">
      <c r="A1107" t="s">
        <v>7492</v>
      </c>
      <c r="B1107" t="str">
        <f ca="1">IF(ISBLANK(OFFSET(B1107,0,'Field labels'!$Q$1)),C1107,OFFSET(B1107,0,'Field labels'!$Q$1))</f>
        <v>PP-P-Classify&amp;Packing (120234-LE001440)</v>
      </c>
      <c r="C1107" t="s">
        <v>6874</v>
      </c>
    </row>
    <row r="1108" spans="1:3">
      <c r="A1108" t="s">
        <v>7492</v>
      </c>
      <c r="B1108" t="str">
        <f ca="1">IF(ISBLANK(OFFSET(B1108,0,'Field labels'!$Q$1)),C1108,OFFSET(B1108,0,'Field labels'!$Q$1))</f>
        <v>PP-Plant General (120101-LE001440)</v>
      </c>
      <c r="C1108" t="s">
        <v>6875</v>
      </c>
    </row>
    <row r="1109" spans="1:3">
      <c r="A1109" t="s">
        <v>7492</v>
      </c>
      <c r="B1109" t="str">
        <f ca="1">IF(ISBLANK(OFFSET(B1109,0,'Field labels'!$Q$1)),C1109,OFFSET(B1109,0,'Field labels'!$Q$1))</f>
        <v>PP-P-Leg cut (120233-LE001440)</v>
      </c>
      <c r="C1109" t="s">
        <v>6876</v>
      </c>
    </row>
    <row r="1110" spans="1:3">
      <c r="A1110" t="s">
        <v>7492</v>
      </c>
      <c r="B1110" t="str">
        <f ca="1">IF(ISBLANK(OFFSET(B1110,0,'Field labels'!$Q$1)),C1110,OFFSET(B1110,0,'Field labels'!$Q$1))</f>
        <v>PP-P-Offal Operation (120223-LE001440)</v>
      </c>
      <c r="C1110" t="s">
        <v>6877</v>
      </c>
    </row>
    <row r="1111" spans="1:3">
      <c r="A1111" t="s">
        <v>7492</v>
      </c>
      <c r="B1111" t="str">
        <f ca="1">IF(ISBLANK(OFFSET(B1111,0,'Field labels'!$Q$1)),C1111,OFFSET(B1111,0,'Field labels'!$Q$1))</f>
        <v>PP-P-PP-P-Auto cut (120232-LE001440)</v>
      </c>
      <c r="C1111" t="s">
        <v>6878</v>
      </c>
    </row>
    <row r="1112" spans="1:3">
      <c r="A1112" t="s">
        <v>7492</v>
      </c>
      <c r="B1112" t="str">
        <f ca="1">IF(ISBLANK(OFFSET(B1112,0,'Field labels'!$Q$1)),C1112,OFFSET(B1112,0,'Field labels'!$Q$1))</f>
        <v>PP-P-Receive Hang/Kill/Eviscerating (120222-LE001440)</v>
      </c>
      <c r="C1112" t="s">
        <v>6879</v>
      </c>
    </row>
    <row r="1113" spans="1:3">
      <c r="A1113" t="s">
        <v>7492</v>
      </c>
      <c r="B1113" t="str">
        <f ca="1">IF(ISBLANK(OFFSET(B1113,0,'Field labels'!$Q$1)),C1113,OFFSET(B1113,0,'Field labels'!$Q$1))</f>
        <v>PP-P-Wing&amp;Breast cut (120231-LE001440)</v>
      </c>
      <c r="C1113" t="s">
        <v>6880</v>
      </c>
    </row>
    <row r="1114" spans="1:3">
      <c r="A1114" t="s">
        <v>7492</v>
      </c>
      <c r="B1114" t="str">
        <f ca="1">IF(ISBLANK(OFFSET(B1114,0,'Field labels'!$Q$1)),C1114,OFFSET(B1114,0,'Field labels'!$Q$1))</f>
        <v>PP-Sanitation (120102-LE001440)</v>
      </c>
      <c r="C1114" t="s">
        <v>6881</v>
      </c>
    </row>
    <row r="1115" spans="1:3">
      <c r="A1115" t="s">
        <v>7492</v>
      </c>
      <c r="B1115" t="str">
        <f ca="1">IF(ISBLANK(OFFSET(B1115,0,'Field labels'!$Q$1)),C1115,OFFSET(B1115,0,'Field labels'!$Q$1))</f>
        <v>PP-SY (140600-LE001440)</v>
      </c>
      <c r="C1115" t="s">
        <v>6882</v>
      </c>
    </row>
    <row r="1116" spans="1:3">
      <c r="A1116" t="s">
        <v>7492</v>
      </c>
      <c r="B1116" t="str">
        <f ca="1">IF(ISBLANK(OFFSET(B1116,0,'Field labels'!$Q$1)),C1116,OFFSET(B1116,0,'Field labels'!$Q$1))</f>
        <v>Raw meat procurement (250620-LE001440)</v>
      </c>
      <c r="C1116" t="s">
        <v>7010</v>
      </c>
    </row>
    <row r="1117" spans="1:3">
      <c r="A1117" t="s">
        <v>7492</v>
      </c>
      <c r="B1117" t="str">
        <f ca="1">IF(ISBLANK(OFFSET(B1117,0,'Field labels'!$Q$1)),C1117,OFFSET(B1117,0,'Field labels'!$Q$1))</f>
        <v>Safety (CIP) (160300-LE001440)</v>
      </c>
      <c r="C1117" t="s">
        <v>7058</v>
      </c>
    </row>
    <row r="1118" spans="1:3">
      <c r="A1118" t="s">
        <v>7492</v>
      </c>
      <c r="B1118" t="str">
        <f ca="1">IF(ISBLANK(OFFSET(B1118,0,'Field labels'!$Q$1)),C1118,OFFSET(B1118,0,'Field labels'!$Q$1))</f>
        <v>Strategic Farm Partner (150710-LE001440)</v>
      </c>
      <c r="C1118" t="s">
        <v>7191</v>
      </c>
    </row>
    <row r="1119" spans="1:3">
      <c r="A1119" t="s">
        <v>7492</v>
      </c>
      <c r="B1119" t="str">
        <f ca="1">IF(ISBLANK(OFFSET(B1119,0,'Field labels'!$Q$1)),C1119,OFFSET(B1119,0,'Field labels'!$Q$1))</f>
        <v>Warehouse Common (120237-LE001440)</v>
      </c>
      <c r="C1119" t="s">
        <v>7424</v>
      </c>
    </row>
    <row r="1120" spans="1:3">
      <c r="A1120" t="s">
        <v>7473</v>
      </c>
      <c r="B1120" t="str">
        <f ca="1">IF(ISBLANK(OFFSET(B1120,0,'Field labels'!$Q$1)),C1120,OFFSET(B1120,0,'Field labels'!$Q$1))</f>
        <v>1CFF A217 GENERAL ADMINISTRATION OTHERS (114100579-LE001467)</v>
      </c>
      <c r="C1120" t="s">
        <v>5335</v>
      </c>
    </row>
    <row r="1121" spans="1:3">
      <c r="A1121" t="s">
        <v>7473</v>
      </c>
      <c r="B1121" t="str">
        <f ca="1">IF(ISBLANK(OFFSET(B1121,0,'Field labels'!$Q$1)),C1121,OFFSET(B1121,0,'Field labels'!$Q$1))</f>
        <v>1CFF A217 S&amp;S FINANCE (114101472-LE001467)</v>
      </c>
      <c r="C1121" t="s">
        <v>5336</v>
      </c>
    </row>
    <row r="1122" spans="1:3">
      <c r="A1122" t="s">
        <v>7473</v>
      </c>
      <c r="B1122" t="str">
        <f ca="1">IF(ISBLANK(OFFSET(B1122,0,'Field labels'!$Q$1)),C1122,OFFSET(B1122,0,'Field labels'!$Q$1))</f>
        <v>1CFF A217 STARCHES &amp; SWEETNER-COMMERCIAL (114101296-LE001467)</v>
      </c>
      <c r="C1122" t="s">
        <v>5337</v>
      </c>
    </row>
    <row r="1123" spans="1:3">
      <c r="A1123" t="s">
        <v>7473</v>
      </c>
      <c r="B1123" t="str">
        <f ca="1">IF(ISBLANK(OFFSET(B1123,0,'Field labels'!$Q$1)),C1123,OFFSET(B1123,0,'Field labels'!$Q$1))</f>
        <v>1CFF A219 ATTA SUPPORT (114101694-LE001467)</v>
      </c>
      <c r="C1123" t="s">
        <v>5338</v>
      </c>
    </row>
    <row r="1124" spans="1:3">
      <c r="A1124" t="s">
        <v>7473</v>
      </c>
      <c r="B1124" t="str">
        <f ca="1">IF(ISBLANK(OFFSET(B1124,0,'Field labels'!$Q$1)),C1124,OFFSET(B1124,0,'Field labels'!$Q$1))</f>
        <v>1CFF A219 GENERAL ADMINISTRATION OTHERS (114100577-LE001467)</v>
      </c>
      <c r="C1124" t="s">
        <v>5339</v>
      </c>
    </row>
    <row r="1125" spans="1:3">
      <c r="A1125" t="s">
        <v>7473</v>
      </c>
      <c r="B1125" t="str">
        <f ca="1">IF(ISBLANK(OFFSET(B1125,0,'Field labels'!$Q$1)),C1125,OFFSET(B1125,0,'Field labels'!$Q$1))</f>
        <v>1CFF A220 B2B SUPPORT (114101452-LE001467)</v>
      </c>
      <c r="C1125" t="s">
        <v>5340</v>
      </c>
    </row>
    <row r="1126" spans="1:3">
      <c r="A1126" t="s">
        <v>7473</v>
      </c>
      <c r="B1126" t="str">
        <f ca="1">IF(ISBLANK(OFFSET(B1126,0,'Field labels'!$Q$1)),C1126,OFFSET(B1126,0,'Field labels'!$Q$1))</f>
        <v>1CFF A220 BU MANAGEMENT (114100569-LE001467)</v>
      </c>
      <c r="C1126" t="s">
        <v>5341</v>
      </c>
    </row>
    <row r="1127" spans="1:3">
      <c r="A1127" t="s">
        <v>7473</v>
      </c>
      <c r="B1127" t="str">
        <f ca="1">IF(ISBLANK(OFFSET(B1127,0,'Field labels'!$Q$1)),C1127,OFFSET(B1127,0,'Field labels'!$Q$1))</f>
        <v>1CFF A220 BU OFFICE (114100570-LE001467)</v>
      </c>
      <c r="C1127" t="s">
        <v>5342</v>
      </c>
    </row>
    <row r="1128" spans="1:3">
      <c r="A1128" t="s">
        <v>7473</v>
      </c>
      <c r="B1128" t="str">
        <f ca="1">IF(ISBLANK(OFFSET(B1128,0,'Field labels'!$Q$1)),C1128,OFFSET(B1128,0,'Field labels'!$Q$1))</f>
        <v>1CFF A220 BU TRANSP, LOG, WH (114100633-LE001467)</v>
      </c>
      <c r="C1128" t="s">
        <v>5343</v>
      </c>
    </row>
    <row r="1129" spans="1:3">
      <c r="A1129" t="s">
        <v>7473</v>
      </c>
      <c r="B1129" t="str">
        <f ca="1">IF(ISBLANK(OFFSET(B1129,0,'Field labels'!$Q$1)),C1129,OFFSET(B1129,0,'Field labels'!$Q$1))</f>
        <v>1CFF A220 CORPORATE NON ADMIN (114101468-LE001467)</v>
      </c>
      <c r="C1129" t="s">
        <v>5344</v>
      </c>
    </row>
    <row r="1130" spans="1:3">
      <c r="A1130" t="s">
        <v>7473</v>
      </c>
      <c r="B1130" t="str">
        <f ca="1">IF(ISBLANK(OFFSET(B1130,0,'Field labels'!$Q$1)),C1130,OFFSET(B1130,0,'Field labels'!$Q$1))</f>
        <v>1CFF A220 FINANCE (114100573-LE001467)</v>
      </c>
      <c r="C1130" t="s">
        <v>5345</v>
      </c>
    </row>
    <row r="1131" spans="1:3">
      <c r="A1131" t="s">
        <v>7473</v>
      </c>
      <c r="B1131" t="str">
        <f ca="1">IF(ISBLANK(OFFSET(B1131,0,'Field labels'!$Q$1)),C1131,OFFSET(B1131,0,'Field labels'!$Q$1))</f>
        <v>1CFF A220 HUMAN RESOURCE (114100587-LE001467)</v>
      </c>
      <c r="C1131" t="s">
        <v>5346</v>
      </c>
    </row>
    <row r="1132" spans="1:3">
      <c r="A1132" t="s">
        <v>7473</v>
      </c>
      <c r="B1132" t="str">
        <f ca="1">IF(ISBLANK(OFFSET(B1132,0,'Field labels'!$Q$1)),C1132,OFFSET(B1132,0,'Field labels'!$Q$1))</f>
        <v>1CFF A220 INSTITUTION (114100628-LE001467)</v>
      </c>
      <c r="C1132" t="s">
        <v>5347</v>
      </c>
    </row>
    <row r="1133" spans="1:3">
      <c r="A1133" t="s">
        <v>7473</v>
      </c>
      <c r="B1133" t="str">
        <f ca="1">IF(ISBLANK(OFFSET(B1133,0,'Field labels'!$Q$1)),C1133,OFFSET(B1133,0,'Field labels'!$Q$1))</f>
        <v>1CFF A220 MARKETING OTHERS (114100607-LE001467)</v>
      </c>
      <c r="C1133" t="s">
        <v>5348</v>
      </c>
    </row>
    <row r="1134" spans="1:3">
      <c r="A1134" t="s">
        <v>7473</v>
      </c>
      <c r="B1134" t="str">
        <f ca="1">IF(ISBLANK(OFFSET(B1134,0,'Field labels'!$Q$1)),C1134,OFFSET(B1134,0,'Field labels'!$Q$1))</f>
        <v>1CFF A220 MT SUPPORT (114101455-LE001467)</v>
      </c>
      <c r="C1134" t="s">
        <v>5349</v>
      </c>
    </row>
    <row r="1135" spans="1:3">
      <c r="A1135" t="s">
        <v>7473</v>
      </c>
      <c r="B1135" t="str">
        <f ca="1">IF(ISBLANK(OFFSET(B1135,0,'Field labels'!$Q$1)),C1135,OFFSET(B1135,0,'Field labels'!$Q$1))</f>
        <v>1CFF A220 RISK MANAGEMENT (114100576-LE001467)</v>
      </c>
      <c r="C1135" t="s">
        <v>5350</v>
      </c>
    </row>
    <row r="1136" spans="1:3">
      <c r="A1136" t="s">
        <v>7473</v>
      </c>
      <c r="B1136" t="str">
        <f ca="1">IF(ISBLANK(OFFSET(B1136,0,'Field labels'!$Q$1)),C1136,OFFSET(B1136,0,'Field labels'!$Q$1))</f>
        <v>1CFF A220 SELLING-OTHER (114100630-LE001467)</v>
      </c>
      <c r="C1136" t="s">
        <v>5351</v>
      </c>
    </row>
    <row r="1137" spans="1:3">
      <c r="A1137" t="s">
        <v>7473</v>
      </c>
      <c r="B1137" t="str">
        <f ca="1">IF(ISBLANK(OFFSET(B1137,0,'Field labels'!$Q$1)),C1137,OFFSET(B1137,0,'Field labels'!$Q$1))</f>
        <v>1CFF A220 SMT (114101459-LE001467)</v>
      </c>
      <c r="C1137" t="s">
        <v>5352</v>
      </c>
    </row>
    <row r="1138" spans="1:3">
      <c r="A1138" t="s">
        <v>7473</v>
      </c>
      <c r="B1138" t="str">
        <f ca="1">IF(ISBLANK(OFFSET(B1138,0,'Field labels'!$Q$1)),C1138,OFFSET(B1138,0,'Field labels'!$Q$1))</f>
        <v>1CFF A220 TOLLING (114101049-LE001467)</v>
      </c>
      <c r="C1138" t="s">
        <v>5353</v>
      </c>
    </row>
    <row r="1139" spans="1:3">
      <c r="A1139" t="s">
        <v>7473</v>
      </c>
      <c r="B1139" t="str">
        <f ca="1">IF(ISBLANK(OFFSET(B1139,0,'Field labels'!$Q$1)),C1139,OFFSET(B1139,0,'Field labels'!$Q$1))</f>
        <v>1CFF A220 TOLLING SCM (114101291-LE001467)</v>
      </c>
      <c r="C1139" t="s">
        <v>5354</v>
      </c>
    </row>
    <row r="1140" spans="1:3">
      <c r="A1140" t="s">
        <v>7473</v>
      </c>
      <c r="B1140" t="str">
        <f ca="1">IF(ISBLANK(OFFSET(B1140,0,'Field labels'!$Q$1)),C1140,OFFSET(B1140,0,'Field labels'!$Q$1))</f>
        <v>1CFF A220 WEST SUPPORT (114101462-LE001467)</v>
      </c>
      <c r="C1140" t="s">
        <v>5355</v>
      </c>
    </row>
    <row r="1141" spans="1:3">
      <c r="A1141" t="s">
        <v>7473</v>
      </c>
      <c r="B1141" t="str">
        <f ca="1">IF(ISBLANK(OFFSET(B1141,0,'Field labels'!$Q$1)),C1141,OFFSET(B1141,0,'Field labels'!$Q$1))</f>
        <v>1CFF A221 FI FINANCE (114101471-LE001467)</v>
      </c>
      <c r="C1141" t="s">
        <v>5356</v>
      </c>
    </row>
    <row r="1142" spans="1:3">
      <c r="A1142" t="s">
        <v>7473</v>
      </c>
      <c r="B1142" t="str">
        <f ca="1">IF(ISBLANK(OFFSET(B1142,0,'Field labels'!$Q$1)),C1142,OFFSET(B1142,0,'Field labels'!$Q$1))</f>
        <v>1CKG A220 BU TRANSP, LOG, WH (114100660-LE001467)</v>
      </c>
      <c r="C1142" t="s">
        <v>5357</v>
      </c>
    </row>
    <row r="1143" spans="1:3">
      <c r="A1143" t="s">
        <v>7473</v>
      </c>
      <c r="B1143" t="str">
        <f ca="1">IF(ISBLANK(OFFSET(B1143,0,'Field labels'!$Q$1)),C1143,OFFSET(B1143,0,'Field labels'!$Q$1))</f>
        <v>1CKG A220 FINANCE (114100641-LE001467)</v>
      </c>
      <c r="C1143" t="s">
        <v>5358</v>
      </c>
    </row>
    <row r="1144" spans="1:3">
      <c r="A1144" t="s">
        <v>7473</v>
      </c>
      <c r="B1144" t="str">
        <f ca="1">IF(ISBLANK(OFFSET(B1144,0,'Field labels'!$Q$1)),C1144,OFFSET(B1144,0,'Field labels'!$Q$1))</f>
        <v>1CKG A220 PLANT MAINT DFA (114100649-LE001467)</v>
      </c>
      <c r="C1144" t="s">
        <v>5359</v>
      </c>
    </row>
    <row r="1145" spans="1:3">
      <c r="A1145" t="s">
        <v>7473</v>
      </c>
      <c r="B1145" t="str">
        <f ca="1">IF(ISBLANK(OFFSET(B1145,0,'Field labels'!$Q$1)),C1145,OFFSET(B1145,0,'Field labels'!$Q$1))</f>
        <v>1CKG A220 PLANT MAINT PACKAGING (114100648-LE001467)</v>
      </c>
      <c r="C1145" t="s">
        <v>5360</v>
      </c>
    </row>
    <row r="1146" spans="1:3">
      <c r="A1146" t="s">
        <v>7473</v>
      </c>
      <c r="B1146" t="str">
        <f ca="1">IF(ISBLANK(OFFSET(B1146,0,'Field labels'!$Q$1)),C1146,OFFSET(B1146,0,'Field labels'!$Q$1))</f>
        <v>1CKG A220 PLANT MAINT REFINING (114100647-LE001467)</v>
      </c>
      <c r="C1146" t="s">
        <v>5361</v>
      </c>
    </row>
    <row r="1147" spans="1:3">
      <c r="A1147" t="s">
        <v>7473</v>
      </c>
      <c r="B1147" t="str">
        <f ca="1">IF(ISBLANK(OFFSET(B1147,0,'Field labels'!$Q$1)),C1147,OFFSET(B1147,0,'Field labels'!$Q$1))</f>
        <v>1CKG A220 PLANT MGMT REFINING (114100651-LE001467)</v>
      </c>
      <c r="C1147" t="s">
        <v>5362</v>
      </c>
    </row>
    <row r="1148" spans="1:3">
      <c r="A1148" t="s">
        <v>7473</v>
      </c>
      <c r="B1148" t="str">
        <f ca="1">IF(ISBLANK(OFFSET(B1148,0,'Field labels'!$Q$1)),C1148,OFFSET(B1148,0,'Field labels'!$Q$1))</f>
        <v>1CKG A220 PROJECT MANAGEMENT (114100643-LE001467)</v>
      </c>
      <c r="C1148" t="s">
        <v>5363</v>
      </c>
    </row>
    <row r="1149" spans="1:3">
      <c r="A1149" t="s">
        <v>7473</v>
      </c>
      <c r="B1149" t="str">
        <f ca="1">IF(ISBLANK(OFFSET(B1149,0,'Field labels'!$Q$1)),C1149,OFFSET(B1149,0,'Field labels'!$Q$1))</f>
        <v>1CKG A220 QUALITY ASSURANCE (114100652-LE001467)</v>
      </c>
      <c r="C1149" t="s">
        <v>5364</v>
      </c>
    </row>
    <row r="1150" spans="1:3">
      <c r="A1150" t="s">
        <v>7473</v>
      </c>
      <c r="B1150" t="str">
        <f ca="1">IF(ISBLANK(OFFSET(B1150,0,'Field labels'!$Q$1)),C1150,OFFSET(B1150,0,'Field labels'!$Q$1))</f>
        <v>1CKU A220 BU TRANSP, LOG, WH (114100685-LE001467)</v>
      </c>
      <c r="C1150" t="s">
        <v>5365</v>
      </c>
    </row>
    <row r="1151" spans="1:3">
      <c r="A1151" t="s">
        <v>7473</v>
      </c>
      <c r="B1151" t="str">
        <f ca="1">IF(ISBLANK(OFFSET(B1151,0,'Field labels'!$Q$1)),C1151,OFFSET(B1151,0,'Field labels'!$Q$1))</f>
        <v>1CKU A220 FINANCE (114100666-LE001467)</v>
      </c>
      <c r="C1151" t="s">
        <v>5366</v>
      </c>
    </row>
    <row r="1152" spans="1:3">
      <c r="A1152" t="s">
        <v>7473</v>
      </c>
      <c r="B1152" t="str">
        <f ca="1">IF(ISBLANK(OFFSET(B1152,0,'Field labels'!$Q$1)),C1152,OFFSET(B1152,0,'Field labels'!$Q$1))</f>
        <v>1CKU A220 PLANT MAINT PACKAGING (114100673-LE001467)</v>
      </c>
      <c r="C1152" t="s">
        <v>5367</v>
      </c>
    </row>
    <row r="1153" spans="1:3">
      <c r="A1153" t="s">
        <v>7473</v>
      </c>
      <c r="B1153" t="str">
        <f ca="1">IF(ISBLANK(OFFSET(B1153,0,'Field labels'!$Q$1)),C1153,OFFSET(B1153,0,'Field labels'!$Q$1))</f>
        <v>1CKU A220 PLANT MAINT REFINING (114100672-LE001467)</v>
      </c>
      <c r="C1153" t="s">
        <v>5368</v>
      </c>
    </row>
    <row r="1154" spans="1:3">
      <c r="A1154" t="s">
        <v>7473</v>
      </c>
      <c r="B1154" t="str">
        <f ca="1">IF(ISBLANK(OFFSET(B1154,0,'Field labels'!$Q$1)),C1154,OFFSET(B1154,0,'Field labels'!$Q$1))</f>
        <v>1CKU A220 QUALITY ASSURANCE (114100677-LE001467)</v>
      </c>
      <c r="C1154" t="s">
        <v>5369</v>
      </c>
    </row>
    <row r="1155" spans="1:3">
      <c r="A1155" t="s">
        <v>7473</v>
      </c>
      <c r="B1155" t="str">
        <f ca="1">IF(ISBLANK(OFFSET(B1155,0,'Field labels'!$Q$1)),C1155,OFFSET(B1155,0,'Field labels'!$Q$1))</f>
        <v>1CKY A220 FINANCE (114100691-LE001467)</v>
      </c>
      <c r="C1155" t="s">
        <v>5370</v>
      </c>
    </row>
    <row r="1156" spans="1:3">
      <c r="A1156" t="s">
        <v>7473</v>
      </c>
      <c r="B1156" t="str">
        <f ca="1">IF(ISBLANK(OFFSET(B1156,0,'Field labels'!$Q$1)),C1156,OFFSET(B1156,0,'Field labels'!$Q$1))</f>
        <v>1CKY A220 PLANT MAINT PACKAGING (114100698-LE001467)</v>
      </c>
      <c r="C1156" t="s">
        <v>5371</v>
      </c>
    </row>
    <row r="1157" spans="1:3">
      <c r="A1157" t="s">
        <v>7473</v>
      </c>
      <c r="B1157" t="str">
        <f ca="1">IF(ISBLANK(OFFSET(B1157,0,'Field labels'!$Q$1)),C1157,OFFSET(B1157,0,'Field labels'!$Q$1))</f>
        <v>1CKY A220 PLANT MAINT REFINING (114100697-LE001467)</v>
      </c>
      <c r="C1157" t="s">
        <v>5372</v>
      </c>
    </row>
    <row r="1158" spans="1:3">
      <c r="A1158" t="s">
        <v>7473</v>
      </c>
      <c r="B1158" t="str">
        <f ca="1">IF(ISBLANK(OFFSET(B1158,0,'Field labels'!$Q$1)),C1158,OFFSET(B1158,0,'Field labels'!$Q$1))</f>
        <v>1CKY A220 PURCHASING (114100704-LE001467)</v>
      </c>
      <c r="C1158" t="s">
        <v>5373</v>
      </c>
    </row>
    <row r="1159" spans="1:3">
      <c r="A1159" t="s">
        <v>7473</v>
      </c>
      <c r="B1159" t="str">
        <f ca="1">IF(ISBLANK(OFFSET(B1159,0,'Field labels'!$Q$1)),C1159,OFFSET(B1159,0,'Field labels'!$Q$1))</f>
        <v>1HZA A217 BU TRANSP, LOG, WH (114101366-LE001467)</v>
      </c>
      <c r="C1159" t="s">
        <v>5374</v>
      </c>
    </row>
    <row r="1160" spans="1:3">
      <c r="A1160" t="s">
        <v>7473</v>
      </c>
      <c r="B1160" t="str">
        <f ca="1">IF(ISBLANK(OFFSET(B1160,0,'Field labels'!$Q$1)),C1160,OFFSET(B1160,0,'Field labels'!$Q$1))</f>
        <v>1HZA A217 CORN WET MILLING (114101513-LE001467)</v>
      </c>
      <c r="C1160" t="s">
        <v>5375</v>
      </c>
    </row>
    <row r="1161" spans="1:3">
      <c r="A1161" t="s">
        <v>7473</v>
      </c>
      <c r="B1161" t="str">
        <f ca="1">IF(ISBLANK(OFFSET(B1161,0,'Field labels'!$Q$1)),C1161,OFFSET(B1161,0,'Field labels'!$Q$1))</f>
        <v>1HZA A217 ENERGY GENERATION (114101332-LE001467)</v>
      </c>
      <c r="C1161" t="s">
        <v>5376</v>
      </c>
    </row>
    <row r="1162" spans="1:3">
      <c r="A1162" t="s">
        <v>7473</v>
      </c>
      <c r="B1162" t="str">
        <f ca="1">IF(ISBLANK(OFFSET(B1162,0,'Field labels'!$Q$1)),C1162,OFFSET(B1162,0,'Field labels'!$Q$1))</f>
        <v>1HZA A217 FOOD SAFETY (114101345-LE001467)</v>
      </c>
      <c r="C1162" t="s">
        <v>5377</v>
      </c>
    </row>
    <row r="1163" spans="1:3">
      <c r="A1163" t="s">
        <v>7473</v>
      </c>
      <c r="B1163" t="str">
        <f ca="1">IF(ISBLANK(OFFSET(B1163,0,'Field labels'!$Q$1)),C1163,OFFSET(B1163,0,'Field labels'!$Q$1))</f>
        <v>1HZA A217 HUMAN RESOURCE (114101351-LE001467)</v>
      </c>
      <c r="C1163" t="s">
        <v>5378</v>
      </c>
    </row>
    <row r="1164" spans="1:3">
      <c r="A1164" t="s">
        <v>7473</v>
      </c>
      <c r="B1164" t="str">
        <f ca="1">IF(ISBLANK(OFFSET(B1164,0,'Field labels'!$Q$1)),C1164,OFFSET(B1164,0,'Field labels'!$Q$1))</f>
        <v>1HZA A217 LABORATORY (114101333-LE001467)</v>
      </c>
      <c r="C1164" t="s">
        <v>5379</v>
      </c>
    </row>
    <row r="1165" spans="1:3">
      <c r="A1165" t="s">
        <v>7473</v>
      </c>
      <c r="B1165" t="str">
        <f ca="1">IF(ISBLANK(OFFSET(B1165,0,'Field labels'!$Q$1)),C1165,OFFSET(B1165,0,'Field labels'!$Q$1))</f>
        <v>1HZA A217 PLANT MAINT-GEN (114101337-LE001467)</v>
      </c>
      <c r="C1165" t="s">
        <v>5380</v>
      </c>
    </row>
    <row r="1166" spans="1:3">
      <c r="A1166" t="s">
        <v>7473</v>
      </c>
      <c r="B1166" t="str">
        <f ca="1">IF(ISBLANK(OFFSET(B1166,0,'Field labels'!$Q$1)),C1166,OFFSET(B1166,0,'Field labels'!$Q$1))</f>
        <v>1HZA A217 PLANT MGMT REFINING (114101354-LE001467)</v>
      </c>
      <c r="C1166" t="s">
        <v>5381</v>
      </c>
    </row>
    <row r="1167" spans="1:3">
      <c r="A1167" t="s">
        <v>7473</v>
      </c>
      <c r="B1167" t="str">
        <f ca="1">IF(ISBLANK(OFFSET(B1167,0,'Field labels'!$Q$1)),C1167,OFFSET(B1167,0,'Field labels'!$Q$1))</f>
        <v>1HZA A217 QUALITY ASSURANCE (114101358-LE001467)</v>
      </c>
      <c r="C1167" t="s">
        <v>5382</v>
      </c>
    </row>
    <row r="1168" spans="1:3">
      <c r="A1168" t="s">
        <v>7473</v>
      </c>
      <c r="B1168" t="str">
        <f ca="1">IF(ISBLANK(OFFSET(B1168,0,'Field labels'!$Q$1)),C1168,OFFSET(B1168,0,'Field labels'!$Q$1))</f>
        <v>1HZA A217 UTILITIES (114101340-LE001467)</v>
      </c>
      <c r="C1168" t="s">
        <v>5383</v>
      </c>
    </row>
    <row r="1169" spans="1:3">
      <c r="A1169" t="s">
        <v>7473</v>
      </c>
      <c r="B1169" t="str">
        <f ca="1">IF(ISBLANK(OFFSET(B1169,0,'Field labels'!$Q$1)),C1169,OFFSET(B1169,0,'Field labels'!$Q$1))</f>
        <v>3BZW A220 BAKERY (114101685-LE001467)</v>
      </c>
      <c r="C1169" t="s">
        <v>5399</v>
      </c>
    </row>
    <row r="1170" spans="1:3">
      <c r="A1170" t="s">
        <v>7473</v>
      </c>
      <c r="B1170" t="str">
        <f ca="1">IF(ISBLANK(OFFSET(B1170,0,'Field labels'!$Q$1)),C1170,OFFSET(B1170,0,'Field labels'!$Q$1))</f>
        <v>3BZW A220 BU TRANSP, LOG, WH (114100958-LE001467)</v>
      </c>
      <c r="C1170" t="s">
        <v>5400</v>
      </c>
    </row>
    <row r="1171" spans="1:3">
      <c r="A1171" t="s">
        <v>7473</v>
      </c>
      <c r="B1171" t="str">
        <f ca="1">IF(ISBLANK(OFFSET(B1171,0,'Field labels'!$Q$1)),C1171,OFFSET(B1171,0,'Field labels'!$Q$1))</f>
        <v>3BZW A220 COMMERCIAL (114100951-LE001467)</v>
      </c>
      <c r="C1171" t="s">
        <v>5401</v>
      </c>
    </row>
    <row r="1172" spans="1:3">
      <c r="A1172" t="s">
        <v>7473</v>
      </c>
      <c r="B1172" t="str">
        <f ca="1">IF(ISBLANK(OFFSET(B1172,0,'Field labels'!$Q$1)),C1172,OFFSET(B1172,0,'Field labels'!$Q$1))</f>
        <v>3BZW A220 CORE (114100952-LE001467)</v>
      </c>
      <c r="C1172" t="s">
        <v>5402</v>
      </c>
    </row>
    <row r="1173" spans="1:3">
      <c r="A1173" t="s">
        <v>7473</v>
      </c>
      <c r="B1173" t="str">
        <f ca="1">IF(ISBLANK(OFFSET(B1173,0,'Field labels'!$Q$1)),C1173,OFFSET(B1173,0,'Field labels'!$Q$1))</f>
        <v>3BZW A220 FINANCE (114100944-LE001467)</v>
      </c>
      <c r="C1173" t="s">
        <v>5403</v>
      </c>
    </row>
    <row r="1174" spans="1:3">
      <c r="A1174" t="s">
        <v>7473</v>
      </c>
      <c r="B1174" t="str">
        <f ca="1">IF(ISBLANK(OFFSET(B1174,0,'Field labels'!$Q$1)),C1174,OFFSET(B1174,0,'Field labels'!$Q$1))</f>
        <v>3BZW A220 LEONARDO (114101689-LE001467)</v>
      </c>
      <c r="C1174" t="s">
        <v>5404</v>
      </c>
    </row>
    <row r="1175" spans="1:3">
      <c r="A1175" t="s">
        <v>7473</v>
      </c>
      <c r="B1175" t="str">
        <f ca="1">IF(ISBLANK(OFFSET(B1175,0,'Field labels'!$Q$1)),C1175,OFFSET(B1175,0,'Field labels'!$Q$1))</f>
        <v>3BZW A220 MODERN TRADE (114100955-LE001467)</v>
      </c>
      <c r="C1175" t="s">
        <v>5405</v>
      </c>
    </row>
    <row r="1176" spans="1:3">
      <c r="A1176" t="s">
        <v>7473</v>
      </c>
      <c r="B1176" t="str">
        <f ca="1">IF(ISBLANK(OFFSET(B1176,0,'Field labels'!$Q$1)),C1176,OFFSET(B1176,0,'Field labels'!$Q$1))</f>
        <v>3BZX A220 BAKERY (114101686-LE001467)</v>
      </c>
      <c r="C1176" t="s">
        <v>5406</v>
      </c>
    </row>
    <row r="1177" spans="1:3">
      <c r="A1177" t="s">
        <v>7473</v>
      </c>
      <c r="B1177" t="str">
        <f ca="1">IF(ISBLANK(OFFSET(B1177,0,'Field labels'!$Q$1)),C1177,OFFSET(B1177,0,'Field labels'!$Q$1))</f>
        <v>3BZX A220 BU TRANSP, LOG, WH (114100978-LE001467)</v>
      </c>
      <c r="C1177" t="s">
        <v>5407</v>
      </c>
    </row>
    <row r="1178" spans="1:3">
      <c r="A1178" t="s">
        <v>7473</v>
      </c>
      <c r="B1178" t="str">
        <f ca="1">IF(ISBLANK(OFFSET(B1178,0,'Field labels'!$Q$1)),C1178,OFFSET(B1178,0,'Field labels'!$Q$1))</f>
        <v>3BZX A220 CORE (114100972-LE001467)</v>
      </c>
      <c r="C1178" t="s">
        <v>5408</v>
      </c>
    </row>
    <row r="1179" spans="1:3">
      <c r="A1179" t="s">
        <v>7473</v>
      </c>
      <c r="B1179" t="str">
        <f ca="1">IF(ISBLANK(OFFSET(B1179,0,'Field labels'!$Q$1)),C1179,OFFSET(B1179,0,'Field labels'!$Q$1))</f>
        <v>3BZX A220 MODERN TRADE (114100975-LE001467)</v>
      </c>
      <c r="C1179" t="s">
        <v>5409</v>
      </c>
    </row>
    <row r="1180" spans="1:3">
      <c r="A1180" t="s">
        <v>7473</v>
      </c>
      <c r="B1180" t="str">
        <f ca="1">IF(ISBLANK(OFFSET(B1180,0,'Field labels'!$Q$1)),C1180,OFFSET(B1180,0,'Field labels'!$Q$1))</f>
        <v>3BZY A220 BAKERY (114101687-LE001467)</v>
      </c>
      <c r="C1180" t="s">
        <v>5410</v>
      </c>
    </row>
    <row r="1181" spans="1:3">
      <c r="A1181" t="s">
        <v>7473</v>
      </c>
      <c r="B1181" t="str">
        <f ca="1">IF(ISBLANK(OFFSET(B1181,0,'Field labels'!$Q$1)),C1181,OFFSET(B1181,0,'Field labels'!$Q$1))</f>
        <v>3BZY A220 BU TRANSP, LOG, WH (114100998-LE001467)</v>
      </c>
      <c r="C1181" t="s">
        <v>5411</v>
      </c>
    </row>
    <row r="1182" spans="1:3">
      <c r="A1182" t="s">
        <v>7473</v>
      </c>
      <c r="B1182" t="str">
        <f ca="1">IF(ISBLANK(OFFSET(B1182,0,'Field labels'!$Q$1)),C1182,OFFSET(B1182,0,'Field labels'!$Q$1))</f>
        <v>3BZY A220 COMMERCIAL (114100991-LE001467)</v>
      </c>
      <c r="C1182" t="s">
        <v>5412</v>
      </c>
    </row>
    <row r="1183" spans="1:3">
      <c r="A1183" t="s">
        <v>7473</v>
      </c>
      <c r="B1183" t="str">
        <f ca="1">IF(ISBLANK(OFFSET(B1183,0,'Field labels'!$Q$1)),C1183,OFFSET(B1183,0,'Field labels'!$Q$1))</f>
        <v>3BZY A220 CORE (114100992-LE001467)</v>
      </c>
      <c r="C1183" t="s">
        <v>5413</v>
      </c>
    </row>
    <row r="1184" spans="1:3">
      <c r="A1184" t="s">
        <v>7473</v>
      </c>
      <c r="B1184" t="str">
        <f ca="1">IF(ISBLANK(OFFSET(B1184,0,'Field labels'!$Q$1)),C1184,OFFSET(B1184,0,'Field labels'!$Q$1))</f>
        <v>3BZY A220 LEONARDO (114101691-LE001467)</v>
      </c>
      <c r="C1184" t="s">
        <v>5414</v>
      </c>
    </row>
    <row r="1185" spans="1:3">
      <c r="A1185" t="s">
        <v>7473</v>
      </c>
      <c r="B1185" t="str">
        <f ca="1">IF(ISBLANK(OFFSET(B1185,0,'Field labels'!$Q$1)),C1185,OFFSET(B1185,0,'Field labels'!$Q$1))</f>
        <v>3BZY A220 MODERN TRADE (114100995-LE001467)</v>
      </c>
      <c r="C1185" t="s">
        <v>5415</v>
      </c>
    </row>
    <row r="1186" spans="1:3">
      <c r="A1186" t="s">
        <v>7473</v>
      </c>
      <c r="B1186" t="str">
        <f ca="1">IF(ISBLANK(OFFSET(B1186,0,'Field labels'!$Q$1)),C1186,OFFSET(B1186,0,'Field labels'!$Q$1))</f>
        <v>3BZZ A220 BAKERY (114101688-LE001467)</v>
      </c>
      <c r="C1186" t="s">
        <v>5416</v>
      </c>
    </row>
    <row r="1187" spans="1:3">
      <c r="A1187" t="s">
        <v>7473</v>
      </c>
      <c r="B1187" t="str">
        <f ca="1">IF(ISBLANK(OFFSET(B1187,0,'Field labels'!$Q$1)),C1187,OFFSET(B1187,0,'Field labels'!$Q$1))</f>
        <v>3BZZ A220 BU TRANSP, LOG, WH (114101018-LE001467)</v>
      </c>
      <c r="C1187" t="s">
        <v>5417</v>
      </c>
    </row>
    <row r="1188" spans="1:3">
      <c r="A1188" t="s">
        <v>7473</v>
      </c>
      <c r="B1188" t="str">
        <f ca="1">IF(ISBLANK(OFFSET(B1188,0,'Field labels'!$Q$1)),C1188,OFFSET(B1188,0,'Field labels'!$Q$1))</f>
        <v>3BZZ A220 CORE (114101012-LE001467)</v>
      </c>
      <c r="C1188" t="s">
        <v>5418</v>
      </c>
    </row>
    <row r="1189" spans="1:3">
      <c r="A1189" t="s">
        <v>7473</v>
      </c>
      <c r="B1189" t="str">
        <f ca="1">IF(ISBLANK(OFFSET(B1189,0,'Field labels'!$Q$1)),C1189,OFFSET(B1189,0,'Field labels'!$Q$1))</f>
        <v>3BZZ A220 MODERN TRADE (114101015-LE001467)</v>
      </c>
      <c r="C1189" t="s">
        <v>5419</v>
      </c>
    </row>
    <row r="1190" spans="1:3">
      <c r="A1190" t="s">
        <v>7473</v>
      </c>
      <c r="B1190" t="str">
        <f ca="1">IF(ISBLANK(OFFSET(B1190,0,'Field labels'!$Q$1)),C1190,OFFSET(B1190,0,'Field labels'!$Q$1))</f>
        <v>4ABA A220 FSQR (114101454-LE001467)</v>
      </c>
      <c r="C1190" t="s">
        <v>5420</v>
      </c>
    </row>
    <row r="1191" spans="1:3">
      <c r="A1191" t="s">
        <v>7473</v>
      </c>
      <c r="B1191" t="str">
        <f ca="1">IF(ISBLANK(OFFSET(B1191,0,'Field labels'!$Q$1)),C1191,OFFSET(B1191,0,'Field labels'!$Q$1))</f>
        <v>Admin Expenses  ( HR) (617112-LE001467)</v>
      </c>
      <c r="C1191" t="s">
        <v>5491</v>
      </c>
    </row>
    <row r="1192" spans="1:3">
      <c r="A1192" t="s">
        <v>7473</v>
      </c>
      <c r="B1192" t="str">
        <f ca="1">IF(ISBLANK(OFFSET(B1192,0,'Field labels'!$Q$1)),C1192,OFFSET(B1192,0,'Field labels'!$Q$1))</f>
        <v>Admin Expenses (536012-LE001467)</v>
      </c>
      <c r="C1192" t="s">
        <v>5490</v>
      </c>
    </row>
    <row r="1193" spans="1:3">
      <c r="A1193" t="s">
        <v>7473</v>
      </c>
      <c r="B1193" t="str">
        <f ca="1">IF(ISBLANK(OFFSET(B1193,0,'Field labels'!$Q$1)),C1193,OFFSET(B1193,0,'Field labels'!$Q$1))</f>
        <v>Admin Expenses (563012-LE001467)</v>
      </c>
      <c r="C1193" t="s">
        <v>5489</v>
      </c>
    </row>
    <row r="1194" spans="1:3">
      <c r="A1194" t="s">
        <v>7473</v>
      </c>
      <c r="B1194" t="str">
        <f ca="1">IF(ISBLANK(OFFSET(B1194,0,'Field labels'!$Q$1)),C1194,OFFSET(B1194,0,'Field labels'!$Q$1))</f>
        <v>Admin Expenses (617012-LE001467)</v>
      </c>
      <c r="C1194" t="s">
        <v>5487</v>
      </c>
    </row>
    <row r="1195" spans="1:3">
      <c r="A1195" t="s">
        <v>7473</v>
      </c>
      <c r="B1195" t="str">
        <f ca="1">IF(ISBLANK(OFFSET(B1195,0,'Field labels'!$Q$1)),C1195,OFFSET(B1195,0,'Field labels'!$Q$1))</f>
        <v>Admin Expenses (618012-LE001467)</v>
      </c>
      <c r="C1195" t="s">
        <v>5488</v>
      </c>
    </row>
    <row r="1196" spans="1:3">
      <c r="A1196" t="s">
        <v>7473</v>
      </c>
      <c r="B1196" t="str">
        <f ca="1">IF(ISBLANK(OFFSET(B1196,0,'Field labels'!$Q$1)),C1196,OFFSET(B1196,0,'Field labels'!$Q$1))</f>
        <v>Admin Expenses (621012-LE001467)</v>
      </c>
      <c r="C1196" t="s">
        <v>5486</v>
      </c>
    </row>
    <row r="1197" spans="1:3">
      <c r="A1197" t="s">
        <v>7473</v>
      </c>
      <c r="B1197" t="str">
        <f ca="1">IF(ISBLANK(OFFSET(B1197,0,'Field labels'!$Q$1)),C1197,OFFSET(B1197,0,'Field labels'!$Q$1))</f>
        <v>Admin  (618070-LE001467)</v>
      </c>
      <c r="C1197" t="s">
        <v>5492</v>
      </c>
    </row>
    <row r="1198" spans="1:3">
      <c r="A1198" t="s">
        <v>7473</v>
      </c>
      <c r="B1198" t="str">
        <f ca="1">IF(ISBLANK(OFFSET(B1198,0,'Field labels'!$Q$1)),C1198,OFFSET(B1198,0,'Field labels'!$Q$1))</f>
        <v>Admin-DS (744242-LE001467)</v>
      </c>
      <c r="C1198" t="s">
        <v>5496</v>
      </c>
    </row>
    <row r="1199" spans="1:3">
      <c r="A1199" t="s">
        <v>7473</v>
      </c>
      <c r="B1199" t="str">
        <f ca="1">IF(ISBLANK(OFFSET(B1199,0,'Field labels'!$Q$1)),C1199,OFFSET(B1199,0,'Field labels'!$Q$1))</f>
        <v>Admin-Expat (731360-LE001467)</v>
      </c>
      <c r="C1199" t="s">
        <v>5497</v>
      </c>
    </row>
    <row r="1200" spans="1:3">
      <c r="A1200" t="s">
        <v>7473</v>
      </c>
      <c r="B1200" t="str">
        <f ca="1">IF(ISBLANK(OFFSET(B1200,0,'Field labels'!$Q$1)),C1200,OFFSET(B1200,0,'Field labels'!$Q$1))</f>
        <v>All SGNA cost (744243-LE001467)</v>
      </c>
      <c r="C1200" t="s">
        <v>5549</v>
      </c>
    </row>
    <row r="1201" spans="1:3">
      <c r="A1201" t="s">
        <v>7473</v>
      </c>
      <c r="B1201" t="str">
        <f ca="1">IF(ISBLANK(OFFSET(B1201,0,'Field labels'!$Q$1)),C1201,OFFSET(B1201,0,'Field labels'!$Q$1))</f>
        <v>APAC Regional Controller (731315-LE001467)</v>
      </c>
      <c r="C1201" t="s">
        <v>5559</v>
      </c>
    </row>
    <row r="1202" spans="1:3">
      <c r="A1202" t="s">
        <v>7473</v>
      </c>
      <c r="B1202" t="str">
        <f ca="1">IF(ISBLANK(OFFSET(B1202,0,'Field labels'!$Q$1)),C1202,OFFSET(B1202,0,'Field labels'!$Q$1))</f>
        <v>APAC Regional Infrastructure - IND (731550-LE001467)</v>
      </c>
      <c r="C1202" t="s">
        <v>5560</v>
      </c>
    </row>
    <row r="1203" spans="1:3">
      <c r="A1203" t="s">
        <v>7473</v>
      </c>
      <c r="B1203" t="str">
        <f ca="1">IF(ISBLANK(OFFSET(B1203,0,'Field labels'!$Q$1)),C1203,OFFSET(B1203,0,'Field labels'!$Q$1))</f>
        <v>BU GENERAL ADMIN (114101524-LE001467)</v>
      </c>
      <c r="C1203" t="s">
        <v>5632</v>
      </c>
    </row>
    <row r="1204" spans="1:3">
      <c r="A1204" t="s">
        <v>7473</v>
      </c>
      <c r="B1204" t="str">
        <f ca="1">IF(ISBLANK(OFFSET(B1204,0,'Field labels'!$Q$1)),C1204,OFFSET(B1204,0,'Field labels'!$Q$1))</f>
        <v>BU IT (624421-LE001467)</v>
      </c>
      <c r="C1204" t="s">
        <v>5633</v>
      </c>
    </row>
    <row r="1205" spans="1:3">
      <c r="A1205" t="s">
        <v>7473</v>
      </c>
      <c r="B1205" t="str">
        <f ca="1">IF(ISBLANK(OFFSET(B1205,0,'Field labels'!$Q$1)),C1205,OFFSET(B1205,0,'Field labels'!$Q$1))</f>
        <v>CFR (731011-LE001467)</v>
      </c>
      <c r="C1205" t="s">
        <v>5713</v>
      </c>
    </row>
    <row r="1206" spans="1:3">
      <c r="A1206" t="s">
        <v>7473</v>
      </c>
      <c r="B1206" t="str">
        <f ca="1">IF(ISBLANK(OFFSET(B1206,0,'Field labels'!$Q$1)),C1206,OFFSET(B1206,0,'Field labels'!$Q$1))</f>
        <v>CILEBC- Export Bean Crushing (545909-LE001467)</v>
      </c>
      <c r="C1206" t="s">
        <v>5867</v>
      </c>
    </row>
    <row r="1207" spans="1:3">
      <c r="A1207" t="s">
        <v>7473</v>
      </c>
      <c r="B1207" t="str">
        <f ca="1">IF(ISBLANK(OFFSET(B1207,0,'Field labels'!$Q$1)),C1207,OFFSET(B1207,0,'Field labels'!$Q$1))</f>
        <v>CILMBP- Malwa Bean Pr (545902-LE001467)</v>
      </c>
      <c r="C1207" t="s">
        <v>5868</v>
      </c>
    </row>
    <row r="1208" spans="1:3">
      <c r="A1208" t="s">
        <v>7473</v>
      </c>
      <c r="B1208" t="str">
        <f ca="1">IF(ISBLANK(OFFSET(B1208,0,'Field labels'!$Q$1)),C1208,OFFSET(B1208,0,'Field labels'!$Q$1))</f>
        <v>CIPL - Cotton - ADM (544000-LE001467)</v>
      </c>
      <c r="C1208" t="s">
        <v>5869</v>
      </c>
    </row>
    <row r="1209" spans="1:3">
      <c r="A1209" t="s">
        <v>7473</v>
      </c>
      <c r="B1209" t="str">
        <f ca="1">IF(ISBLANK(OFFSET(B1209,0,'Field labels'!$Q$1)),C1209,OFFSET(B1209,0,'Field labels'!$Q$1))</f>
        <v>CIPL- FMG-TSF trading (744240-LE001467)</v>
      </c>
      <c r="C1209" t="s">
        <v>5870</v>
      </c>
    </row>
    <row r="1210" spans="1:3">
      <c r="A1210" t="s">
        <v>7473</v>
      </c>
      <c r="B1210" t="str">
        <f ca="1">IF(ISBLANK(OFFSET(B1210,0,'Field labels'!$Q$1)),C1210,OFFSET(B1210,0,'Field labels'!$Q$1))</f>
        <v>CIPL-HR EMEA (731750-LE001467)</v>
      </c>
      <c r="C1210" t="s">
        <v>5871</v>
      </c>
    </row>
    <row r="1211" spans="1:3">
      <c r="A1211" t="s">
        <v>7473</v>
      </c>
      <c r="B1211" t="str">
        <f ca="1">IF(ISBLANK(OFFSET(B1211,0,'Field labels'!$Q$1)),C1211,OFFSET(B1211,0,'Field labels'!$Q$1))</f>
        <v>Corporate Affair (731061-LE001467)</v>
      </c>
      <c r="C1211" t="s">
        <v>5945</v>
      </c>
    </row>
    <row r="1212" spans="1:3">
      <c r="A1212" t="s">
        <v>7473</v>
      </c>
      <c r="B1212" t="str">
        <f ca="1">IF(ISBLANK(OFFSET(B1212,0,'Field labels'!$Q$1)),C1212,OFFSET(B1212,0,'Field labels'!$Q$1))</f>
        <v>Corporate Affairs APAC (731690-LE001467)</v>
      </c>
      <c r="C1212" t="s">
        <v>5947</v>
      </c>
    </row>
    <row r="1213" spans="1:3">
      <c r="A1213" t="s">
        <v>7473</v>
      </c>
      <c r="B1213" t="str">
        <f ca="1">IF(ISBLANK(OFFSET(B1213,0,'Field labels'!$Q$1)),C1213,OFFSET(B1213,0,'Field labels'!$Q$1))</f>
        <v>CSS (731430-LE001467)</v>
      </c>
      <c r="C1213" t="s">
        <v>6011</v>
      </c>
    </row>
    <row r="1214" spans="1:3">
      <c r="A1214" t="s">
        <v>7473</v>
      </c>
      <c r="B1214" t="str">
        <f ca="1">IF(ISBLANK(OFFSET(B1214,0,'Field labels'!$Q$1)),C1214,OFFSET(B1214,0,'Field labels'!$Q$1))</f>
        <v>EHS (114101514-LE001467)</v>
      </c>
      <c r="C1214" t="s">
        <v>6131</v>
      </c>
    </row>
    <row r="1215" spans="1:3">
      <c r="A1215" t="s">
        <v>7473</v>
      </c>
      <c r="B1215" t="str">
        <f ca="1">IF(ISBLANK(OFFSET(B1215,0,'Field labels'!$Q$1)),C1215,OFFSET(B1215,0,'Field labels'!$Q$1))</f>
        <v>Ferrous (731151-LE001467)</v>
      </c>
      <c r="C1215" t="s">
        <v>6182</v>
      </c>
    </row>
    <row r="1216" spans="1:3">
      <c r="A1216" t="s">
        <v>7473</v>
      </c>
      <c r="B1216" t="str">
        <f ca="1">IF(ISBLANK(OFFSET(B1216,0,'Field labels'!$Q$1)),C1216,OFFSET(B1216,0,'Field labels'!$Q$1))</f>
        <v>FG-Admin-Gurgaon (550000-LE001467)</v>
      </c>
      <c r="C1216" t="s">
        <v>6190</v>
      </c>
    </row>
    <row r="1217" spans="1:3">
      <c r="A1217" t="s">
        <v>7473</v>
      </c>
      <c r="B1217" t="str">
        <f ca="1">IF(ISBLANK(OFFSET(B1217,0,'Field labels'!$Q$1)),C1217,OFFSET(B1217,0,'Field labels'!$Q$1))</f>
        <v>FG-BIHAR (550019-LE001467)</v>
      </c>
      <c r="C1217" t="s">
        <v>6191</v>
      </c>
    </row>
    <row r="1218" spans="1:3">
      <c r="A1218" t="s">
        <v>7473</v>
      </c>
      <c r="B1218" t="str">
        <f ca="1">IF(ISBLANK(OFFSET(B1218,0,'Field labels'!$Q$1)),C1218,OFFSET(B1218,0,'Field labels'!$Q$1))</f>
        <v>FG-Hub-Gujarat (550501-LE001467)</v>
      </c>
      <c r="C1218" t="s">
        <v>6192</v>
      </c>
    </row>
    <row r="1219" spans="1:3">
      <c r="A1219" t="s">
        <v>7473</v>
      </c>
      <c r="B1219" t="str">
        <f ca="1">IF(ISBLANK(OFFSET(B1219,0,'Field labels'!$Q$1)),C1219,OFFSET(B1219,0,'Field labels'!$Q$1))</f>
        <v>FG-Hub-Karnataka (550401-LE001467)</v>
      </c>
      <c r="C1219" t="s">
        <v>6193</v>
      </c>
    </row>
    <row r="1220" spans="1:3">
      <c r="A1220" t="s">
        <v>7473</v>
      </c>
      <c r="B1220" t="str">
        <f ca="1">IF(ISBLANK(OFFSET(B1220,0,'Field labels'!$Q$1)),C1220,OFFSET(B1220,0,'Field labels'!$Q$1))</f>
        <v>FG-Indore-MP (550105-LE001467)</v>
      </c>
      <c r="C1220" t="s">
        <v>6194</v>
      </c>
    </row>
    <row r="1221" spans="1:3">
      <c r="A1221" t="s">
        <v>7473</v>
      </c>
      <c r="B1221" t="str">
        <f ca="1">IF(ISBLANK(OFFSET(B1221,0,'Field labels'!$Q$1)),C1221,OFFSET(B1221,0,'Field labels'!$Q$1))</f>
        <v>FG-Kanpur-UP (550002-LE001467)</v>
      </c>
      <c r="C1221" t="s">
        <v>6195</v>
      </c>
    </row>
    <row r="1222" spans="1:3">
      <c r="A1222" t="s">
        <v>7473</v>
      </c>
      <c r="B1222" t="str">
        <f ca="1">IF(ISBLANK(OFFSET(B1222,0,'Field labels'!$Q$1)),C1222,OFFSET(B1222,0,'Field labels'!$Q$1))</f>
        <v>FG-Kota-Rajasthan (550201-LE001467)</v>
      </c>
      <c r="C1222" t="s">
        <v>6196</v>
      </c>
    </row>
    <row r="1223" spans="1:3">
      <c r="A1223" t="s">
        <v>7473</v>
      </c>
      <c r="B1223" t="str">
        <f ca="1">IF(ISBLANK(OFFSET(B1223,0,'Field labels'!$Q$1)),C1223,OFFSET(B1223,0,'Field labels'!$Q$1))</f>
        <v>FG-Nagpur-Maharashtra (550302-LE001467)</v>
      </c>
      <c r="C1223" t="s">
        <v>6197</v>
      </c>
    </row>
    <row r="1224" spans="1:3">
      <c r="A1224" t="s">
        <v>7473</v>
      </c>
      <c r="B1224" t="str">
        <f ca="1">IF(ISBLANK(OFFSET(B1224,0,'Field labels'!$Q$1)),C1224,OFFSET(B1224,0,'Field labels'!$Q$1))</f>
        <v>Finance- Procure to Pay (550953-LE001467)</v>
      </c>
      <c r="C1224" t="s">
        <v>6212</v>
      </c>
    </row>
    <row r="1225" spans="1:3">
      <c r="A1225" t="s">
        <v>7473</v>
      </c>
      <c r="B1225" t="str">
        <f ca="1">IF(ISBLANK(OFFSET(B1225,0,'Field labels'!$Q$1)),C1225,OFFSET(B1225,0,'Field labels'!$Q$1))</f>
        <v>Finance-Decision Support (550955-LE001467)</v>
      </c>
      <c r="C1225" t="s">
        <v>6219</v>
      </c>
    </row>
    <row r="1226" spans="1:3">
      <c r="A1226" t="s">
        <v>7473</v>
      </c>
      <c r="B1226" t="str">
        <f ca="1">IF(ISBLANK(OFFSET(B1226,0,'Field labels'!$Q$1)),C1226,OFFSET(B1226,0,'Field labels'!$Q$1))</f>
        <v>Finance-OTSC (550952-LE001467)</v>
      </c>
      <c r="C1226" t="s">
        <v>6220</v>
      </c>
    </row>
    <row r="1227" spans="1:3">
      <c r="A1227" t="s">
        <v>7473</v>
      </c>
      <c r="B1227" t="str">
        <f ca="1">IF(ISBLANK(OFFSET(B1227,0,'Field labels'!$Q$1)),C1227,OFFSET(B1227,0,'Field labels'!$Q$1))</f>
        <v>Finance-Record to Report (550951-LE001467)</v>
      </c>
      <c r="C1227" t="s">
        <v>6222</v>
      </c>
    </row>
    <row r="1228" spans="1:3">
      <c r="A1228" t="s">
        <v>7473</v>
      </c>
      <c r="B1228" t="str">
        <f ca="1">IF(ISBLANK(OFFSET(B1228,0,'Field labels'!$Q$1)),C1228,OFFSET(B1228,0,'Field labels'!$Q$1))</f>
        <v>Foods Ingredients (114101271-LE001467)</v>
      </c>
      <c r="C1228" t="s">
        <v>6241</v>
      </c>
    </row>
    <row r="1229" spans="1:3">
      <c r="A1229" t="s">
        <v>7473</v>
      </c>
      <c r="B1229" t="str">
        <f ca="1">IF(ISBLANK(OFFSET(B1229,0,'Field labels'!$Q$1)),C1229,OFFSET(B1229,0,'Field labels'!$Q$1))</f>
        <v>GENERAL ADMINISTRATION OTHERS (114101521-LE001467)</v>
      </c>
      <c r="C1229" t="s">
        <v>6457</v>
      </c>
    </row>
    <row r="1230" spans="1:3">
      <c r="A1230" t="s">
        <v>7473</v>
      </c>
      <c r="B1230" t="str">
        <f ca="1">IF(ISBLANK(OFFSET(B1230,0,'Field labels'!$Q$1)),C1230,OFFSET(B1230,0,'Field labels'!$Q$1))</f>
        <v>GFG Back Office (986000-LE001467)</v>
      </c>
      <c r="C1230" t="s">
        <v>6463</v>
      </c>
    </row>
    <row r="1231" spans="1:3">
      <c r="A1231" t="s">
        <v>7473</v>
      </c>
      <c r="B1231" t="str">
        <f ca="1">IF(ISBLANK(OFFSET(B1231,0,'Field labels'!$Q$1)),C1231,OFFSET(B1231,0,'Field labels'!$Q$1))</f>
        <v>Global Procurement 2 (731580-LE001467)</v>
      </c>
      <c r="C1231" t="s">
        <v>6483</v>
      </c>
    </row>
    <row r="1232" spans="1:3">
      <c r="A1232" t="s">
        <v>7473</v>
      </c>
      <c r="B1232" t="str">
        <f ca="1">IF(ISBLANK(OFFSET(B1232,0,'Field labels'!$Q$1)),C1232,OFFSET(B1232,0,'Field labels'!$Q$1))</f>
        <v>Grains book - Tamilnadu (550801-LE001467)</v>
      </c>
      <c r="C1232" t="s">
        <v>6532</v>
      </c>
    </row>
    <row r="1233" spans="1:3">
      <c r="A1233" t="s">
        <v>7473</v>
      </c>
      <c r="B1233" t="str">
        <f ca="1">IF(ISBLANK(OFFSET(B1233,0,'Field labels'!$Q$1)),C1233,OFFSET(B1233,0,'Field labels'!$Q$1))</f>
        <v>Gross Profit (536070-LE001467)</v>
      </c>
      <c r="C1233" t="s">
        <v>6535</v>
      </c>
    </row>
    <row r="1234" spans="1:3">
      <c r="A1234" t="s">
        <v>7473</v>
      </c>
      <c r="B1234" t="str">
        <f ca="1">IF(ISBLANK(OFFSET(B1234,0,'Field labels'!$Q$1)),C1234,OFFSET(B1234,0,'Field labels'!$Q$1))</f>
        <v>HR Talent Performance (731760-LE001467)</v>
      </c>
      <c r="C1234" t="s">
        <v>6576</v>
      </c>
    </row>
    <row r="1235" spans="1:3">
      <c r="A1235" t="s">
        <v>7473</v>
      </c>
      <c r="B1235" t="str">
        <f ca="1">IF(ISBLANK(OFFSET(B1235,0,'Field labels'!$Q$1)),C1235,OFFSET(B1235,0,'Field labels'!$Q$1))</f>
        <v>HRSS (731051-LE001467)</v>
      </c>
      <c r="C1235" t="s">
        <v>6586</v>
      </c>
    </row>
    <row r="1236" spans="1:3">
      <c r="A1236" t="s">
        <v>7473</v>
      </c>
      <c r="B1236" t="str">
        <f ca="1">IF(ISBLANK(OFFSET(B1236,0,'Field labels'!$Q$1)),C1236,OFFSET(B1236,0,'Field labels'!$Q$1))</f>
        <v>Industrial Specialities (114101272-LE001467)</v>
      </c>
      <c r="C1236" t="s">
        <v>6597</v>
      </c>
    </row>
    <row r="1237" spans="1:3">
      <c r="A1237" t="s">
        <v>7473</v>
      </c>
      <c r="B1237" t="str">
        <f ca="1">IF(ISBLANK(OFFSET(B1237,0,'Field labels'!$Q$1)),C1237,OFFSET(B1237,0,'Field labels'!$Q$1))</f>
        <v>IT APP MIT IN (731610-LE001467)</v>
      </c>
      <c r="C1237" t="s">
        <v>6609</v>
      </c>
    </row>
    <row r="1238" spans="1:3">
      <c r="A1238" t="s">
        <v>7473</v>
      </c>
      <c r="B1238" t="str">
        <f ca="1">IF(ISBLANK(OFFSET(B1238,0,'Field labels'!$Q$1)),C1238,OFFSET(B1238,0,'Field labels'!$Q$1))</f>
        <v>IT Bus Partner IN - 2 (731650-LE001467)</v>
      </c>
      <c r="C1238" t="s">
        <v>6619</v>
      </c>
    </row>
    <row r="1239" spans="1:3">
      <c r="A1239" t="s">
        <v>7473</v>
      </c>
      <c r="B1239" t="str">
        <f ca="1">IF(ISBLANK(OFFSET(B1239,0,'Field labels'!$Q$1)),C1239,OFFSET(B1239,0,'Field labels'!$Q$1))</f>
        <v>IT Bus Partner IN (731620-LE001467)</v>
      </c>
      <c r="C1239" t="s">
        <v>6618</v>
      </c>
    </row>
    <row r="1240" spans="1:3">
      <c r="A1240" t="s">
        <v>7473</v>
      </c>
      <c r="B1240" t="str">
        <f ca="1">IF(ISBLANK(OFFSET(B1240,0,'Field labels'!$Q$1)),C1240,OFFSET(B1240,0,'Field labels'!$Q$1))</f>
        <v>IT TGRC-IN (731680-LE001467)</v>
      </c>
      <c r="C1240" t="s">
        <v>6624</v>
      </c>
    </row>
    <row r="1241" spans="1:3">
      <c r="A1241" t="s">
        <v>7473</v>
      </c>
      <c r="B1241" t="str">
        <f ca="1">IF(ISBLANK(OFFSET(B1241,0,'Field labels'!$Q$1)),C1241,OFFSET(B1241,0,'Field labels'!$Q$1))</f>
        <v>Kota Bean Crushing (545906-LE001467)</v>
      </c>
      <c r="C1241" t="s">
        <v>6634</v>
      </c>
    </row>
    <row r="1242" spans="1:3">
      <c r="A1242" t="s">
        <v>7473</v>
      </c>
      <c r="B1242" t="str">
        <f ca="1">IF(ISBLANK(OFFSET(B1242,0,'Field labels'!$Q$1)),C1242,OFFSET(B1242,0,'Field labels'!$Q$1))</f>
        <v>Legal (731141-LE001467)</v>
      </c>
      <c r="C1242" t="s">
        <v>6656</v>
      </c>
    </row>
    <row r="1243" spans="1:3">
      <c r="A1243" t="s">
        <v>7473</v>
      </c>
      <c r="B1243" t="str">
        <f ca="1">IF(ISBLANK(OFFSET(B1243,0,'Field labels'!$Q$1)),C1243,OFFSET(B1243,0,'Field labels'!$Q$1))</f>
        <v>Logistic &amp; Warehouse Fixed (626551-LE001467)</v>
      </c>
      <c r="C1243" t="s">
        <v>6674</v>
      </c>
    </row>
    <row r="1244" spans="1:3">
      <c r="A1244" t="s">
        <v>7473</v>
      </c>
      <c r="B1244" t="str">
        <f ca="1">IF(ISBLANK(OFFSET(B1244,0,'Field labels'!$Q$1)),C1244,OFFSET(B1244,0,'Field labels'!$Q$1))</f>
        <v>Maharastra Beans Program (545300-LE001467)</v>
      </c>
      <c r="C1244" t="s">
        <v>6686</v>
      </c>
    </row>
    <row r="1245" spans="1:3">
      <c r="A1245" t="s">
        <v>7473</v>
      </c>
      <c r="B1245" t="str">
        <f ca="1">IF(ISBLANK(OFFSET(B1245,0,'Field labels'!$Q$1)),C1245,OFFSET(B1245,0,'Field labels'!$Q$1))</f>
        <v>Malwa Bean Pr-Nagpur (545903-LE001467)</v>
      </c>
      <c r="C1245" t="s">
        <v>6698</v>
      </c>
    </row>
    <row r="1246" spans="1:3">
      <c r="A1246" t="s">
        <v>7473</v>
      </c>
      <c r="B1246" t="str">
        <f ca="1">IF(ISBLANK(OFFSET(B1246,0,'Field labels'!$Q$1)),C1246,OFFSET(B1246,0,'Field labels'!$Q$1))</f>
        <v>Marketing Expenses (563009-LE001467)</v>
      </c>
      <c r="C1246" t="s">
        <v>6714</v>
      </c>
    </row>
    <row r="1247" spans="1:3">
      <c r="A1247" t="s">
        <v>7473</v>
      </c>
      <c r="B1247" t="str">
        <f ca="1">IF(ISBLANK(OFFSET(B1247,0,'Field labels'!$Q$1)),C1247,OFFSET(B1247,0,'Field labels'!$Q$1))</f>
        <v>Marketing Expenses (617009-LE001467)</v>
      </c>
      <c r="C1247" t="s">
        <v>6713</v>
      </c>
    </row>
    <row r="1248" spans="1:3">
      <c r="A1248" t="s">
        <v>7473</v>
      </c>
      <c r="B1248" t="str">
        <f ca="1">IF(ISBLANK(OFFSET(B1248,0,'Field labels'!$Q$1)),C1248,OFFSET(B1248,0,'Field labels'!$Q$1))</f>
        <v>Marking Expenses (621009-LE001467)</v>
      </c>
      <c r="C1248" t="s">
        <v>6717</v>
      </c>
    </row>
    <row r="1249" spans="1:3">
      <c r="A1249" t="s">
        <v>7473</v>
      </c>
      <c r="B1249" t="str">
        <f ca="1">IF(ISBLANK(OFFSET(B1249,0,'Field labels'!$Q$1)),C1249,OFFSET(B1249,0,'Field labels'!$Q$1))</f>
        <v>OFFICE Sevice (731000-LE001467)</v>
      </c>
      <c r="C1249" t="s">
        <v>6767</v>
      </c>
    </row>
    <row r="1250" spans="1:3">
      <c r="A1250" t="s">
        <v>7473</v>
      </c>
      <c r="B1250" t="str">
        <f ca="1">IF(ISBLANK(OFFSET(B1250,0,'Field labels'!$Q$1)),C1250,OFFSET(B1250,0,'Field labels'!$Q$1))</f>
        <v>Oilseeds - Indore Bean Pr (545000-LE001467)</v>
      </c>
      <c r="C1250" t="s">
        <v>6769</v>
      </c>
    </row>
    <row r="1251" spans="1:3">
      <c r="A1251" t="s">
        <v>7473</v>
      </c>
      <c r="B1251" t="str">
        <f ca="1">IF(ISBLANK(OFFSET(B1251,0,'Field labels'!$Q$1)),C1251,OFFSET(B1251,0,'Field labels'!$Q$1))</f>
        <v>Operations (563070-LE001467)</v>
      </c>
      <c r="C1251" t="s">
        <v>6775</v>
      </c>
    </row>
    <row r="1252" spans="1:3">
      <c r="A1252" t="s">
        <v>7473</v>
      </c>
      <c r="B1252" t="str">
        <f ca="1">IF(ISBLANK(OFFSET(B1252,0,'Field labels'!$Q$1)),C1252,OFFSET(B1252,0,'Field labels'!$Q$1))</f>
        <v>Operations (621070-LE001467)</v>
      </c>
      <c r="C1252" t="s">
        <v>6774</v>
      </c>
    </row>
    <row r="1253" spans="1:3">
      <c r="A1253" t="s">
        <v>7473</v>
      </c>
      <c r="B1253" t="str">
        <f ca="1">IF(ISBLANK(OFFSET(B1253,0,'Field labels'!$Q$1)),C1253,OFFSET(B1253,0,'Field labels'!$Q$1))</f>
        <v>OT (731300-LE001467)</v>
      </c>
      <c r="C1253" t="s">
        <v>6782</v>
      </c>
    </row>
    <row r="1254" spans="1:3">
      <c r="A1254" t="s">
        <v>7473</v>
      </c>
      <c r="B1254" t="str">
        <f ca="1">IF(ISBLANK(OFFSET(B1254,0,'Field labels'!$Q$1)),C1254,OFFSET(B1254,0,'Field labels'!$Q$1))</f>
        <v>Plant / Mill/Expenses (618007-LE001467)</v>
      </c>
      <c r="C1254" t="s">
        <v>6844</v>
      </c>
    </row>
    <row r="1255" spans="1:3">
      <c r="A1255" t="s">
        <v>7473</v>
      </c>
      <c r="B1255" t="str">
        <f ca="1">IF(ISBLANK(OFFSET(B1255,0,'Field labels'!$Q$1)),C1255,OFFSET(B1255,0,'Field labels'!$Q$1))</f>
        <v>Plant Expenses (536007-LE001467)</v>
      </c>
      <c r="C1255" t="s">
        <v>6849</v>
      </c>
    </row>
    <row r="1256" spans="1:3">
      <c r="A1256" t="s">
        <v>7473</v>
      </c>
      <c r="B1256" t="str">
        <f ca="1">IF(ISBLANK(OFFSET(B1256,0,'Field labels'!$Q$1)),C1256,OFFSET(B1256,0,'Field labels'!$Q$1))</f>
        <v>Plant Expenses (621007-LE001467)</v>
      </c>
      <c r="C1256" t="s">
        <v>6848</v>
      </c>
    </row>
    <row r="1257" spans="1:3">
      <c r="A1257" t="s">
        <v>7473</v>
      </c>
      <c r="B1257" t="str">
        <f ca="1">IF(ISBLANK(OFFSET(B1257,0,'Field labels'!$Q$1)),C1257,OFFSET(B1257,0,'Field labels'!$Q$1))</f>
        <v>Plant operation  (731630-LE001467)</v>
      </c>
      <c r="C1257" t="s">
        <v>6852</v>
      </c>
    </row>
    <row r="1258" spans="1:3">
      <c r="A1258" t="s">
        <v>7473</v>
      </c>
      <c r="B1258" t="str">
        <f ca="1">IF(ISBLANK(OFFSET(B1258,0,'Field labels'!$Q$1)),C1258,OFFSET(B1258,0,'Field labels'!$Q$1))</f>
        <v>Project Dravid (550403-LE001467)</v>
      </c>
      <c r="C1258" t="s">
        <v>6950</v>
      </c>
    </row>
    <row r="1259" spans="1:3">
      <c r="A1259" t="s">
        <v>7473</v>
      </c>
      <c r="B1259" t="str">
        <f ca="1">IF(ISBLANK(OFFSET(B1259,0,'Field labels'!$Q$1)),C1259,OFFSET(B1259,0,'Field labels'!$Q$1))</f>
        <v>Salary - Admin (986200-LE001467)</v>
      </c>
      <c r="C1259" t="s">
        <v>7059</v>
      </c>
    </row>
    <row r="1260" spans="1:3">
      <c r="A1260" t="s">
        <v>7473</v>
      </c>
      <c r="B1260" t="str">
        <f ca="1">IF(ISBLANK(OFFSET(B1260,0,'Field labels'!$Q$1)),C1260,OFFSET(B1260,0,'Field labels'!$Q$1))</f>
        <v>Salary - FO (986150-LE001467)</v>
      </c>
      <c r="C1260" t="s">
        <v>7060</v>
      </c>
    </row>
    <row r="1261" spans="1:3">
      <c r="A1261" t="s">
        <v>7473</v>
      </c>
      <c r="B1261" t="str">
        <f ca="1">IF(ISBLANK(OFFSET(B1261,0,'Field labels'!$Q$1)),C1261,OFFSET(B1261,0,'Field labels'!$Q$1))</f>
        <v>Sales &amp; Marketing Expenses (536009-LE001467)</v>
      </c>
      <c r="C1261" t="s">
        <v>7064</v>
      </c>
    </row>
    <row r="1262" spans="1:3">
      <c r="A1262" t="s">
        <v>7473</v>
      </c>
      <c r="B1262" t="str">
        <f ca="1">IF(ISBLANK(OFFSET(B1262,0,'Field labels'!$Q$1)),C1262,OFFSET(B1262,0,'Field labels'!$Q$1))</f>
        <v>Sales (619009-LE001467)</v>
      </c>
      <c r="C1262" t="s">
        <v>7062</v>
      </c>
    </row>
    <row r="1263" spans="1:3">
      <c r="A1263" t="s">
        <v>7473</v>
      </c>
      <c r="B1263" t="str">
        <f ca="1">IF(ISBLANK(OFFSET(B1263,0,'Field labels'!$Q$1)),C1263,OFFSET(B1263,0,'Field labels'!$Q$1))</f>
        <v>Sales East Fixed (628951-LE001467)</v>
      </c>
      <c r="C1263" t="s">
        <v>7066</v>
      </c>
    </row>
    <row r="1264" spans="1:3">
      <c r="A1264" t="s">
        <v>7473</v>
      </c>
      <c r="B1264" t="str">
        <f ca="1">IF(ISBLANK(OFFSET(B1264,0,'Field labels'!$Q$1)),C1264,OFFSET(B1264,0,'Field labels'!$Q$1))</f>
        <v>Sales Expenses (618009-LE001467)</v>
      </c>
      <c r="C1264" t="s">
        <v>7067</v>
      </c>
    </row>
    <row r="1265" spans="1:3">
      <c r="A1265" t="s">
        <v>7473</v>
      </c>
      <c r="B1265" t="str">
        <f ca="1">IF(ISBLANK(OFFSET(B1265,0,'Field labels'!$Q$1)),C1265,OFFSET(B1265,0,'Field labels'!$Q$1))</f>
        <v>SALES PROCESS EXCELLENCE (114101812-LE001467)</v>
      </c>
      <c r="C1265" t="s">
        <v>7068</v>
      </c>
    </row>
    <row r="1266" spans="1:3">
      <c r="A1266" t="s">
        <v>7473</v>
      </c>
      <c r="B1266" t="str">
        <f ca="1">IF(ISBLANK(OFFSET(B1266,0,'Field labels'!$Q$1)),C1266,OFFSET(B1266,0,'Field labels'!$Q$1))</f>
        <v>SFA (114101810-LE001467)</v>
      </c>
      <c r="C1266" t="s">
        <v>7120</v>
      </c>
    </row>
    <row r="1267" spans="1:3">
      <c r="A1267" t="s">
        <v>7473</v>
      </c>
      <c r="B1267" t="str">
        <f ca="1">IF(ISBLANK(OFFSET(B1267,0,'Field labels'!$Q$1)),C1267,OFFSET(B1267,0,'Field labels'!$Q$1))</f>
        <v>SSI Plant operation (550402-LE001467)</v>
      </c>
      <c r="C1267" t="s">
        <v>7188</v>
      </c>
    </row>
    <row r="1268" spans="1:3">
      <c r="A1268" t="s">
        <v>7473</v>
      </c>
      <c r="B1268" t="str">
        <f ca="1">IF(ISBLANK(OFFSET(B1268,0,'Field labels'!$Q$1)),C1268,OFFSET(B1268,0,'Field labels'!$Q$1))</f>
        <v>TAX (731240-LE001467)</v>
      </c>
      <c r="C1268" t="s">
        <v>7361</v>
      </c>
    </row>
    <row r="1269" spans="1:3">
      <c r="A1269" t="s">
        <v>7559</v>
      </c>
      <c r="B1269" t="str">
        <f ca="1">IF(ISBLANK(OFFSET(B1269,0,'Field labels'!$Q$1)),C1269,OFFSET(B1269,0,'Field labels'!$Q$1))</f>
        <v>TSF Trader Cost (568000-LE001675)</v>
      </c>
      <c r="C1269" t="s">
        <v>7383</v>
      </c>
    </row>
    <row r="1270" spans="1:3">
      <c r="A1270" t="s">
        <v>7539</v>
      </c>
      <c r="B1270" t="str">
        <f ca="1">IF(ISBLANK(OFFSET(B1270,0,'Field labels'!$Q$1)),C1270,OFFSET(B1270,0,'Field labels'!$Q$1))</f>
        <v>Functional - CFN Fushun (825812-LE001680)</v>
      </c>
      <c r="C1270" t="s">
        <v>6389</v>
      </c>
    </row>
    <row r="1271" spans="1:3">
      <c r="A1271" t="s">
        <v>7539</v>
      </c>
      <c r="B1271" t="str">
        <f ca="1">IF(ISBLANK(OFFSET(B1271,0,'Field labels'!$Q$1)),C1271,OFFSET(B1271,0,'Field labels'!$Q$1))</f>
        <v>Fushun Hog (825109-LE001680)</v>
      </c>
      <c r="C1271" t="s">
        <v>6414</v>
      </c>
    </row>
    <row r="1272" spans="1:3">
      <c r="A1272" t="s">
        <v>7539</v>
      </c>
      <c r="B1272" t="str">
        <f ca="1">IF(ISBLANK(OFFSET(B1272,0,'Field labels'!$Q$1)),C1272,OFFSET(B1272,0,'Field labels'!$Q$1))</f>
        <v>Fushun Plant (825007-LE001680)</v>
      </c>
      <c r="C1272" t="s">
        <v>6415</v>
      </c>
    </row>
    <row r="1273" spans="1:3">
      <c r="A1273" t="s">
        <v>7539</v>
      </c>
      <c r="B1273" t="str">
        <f ca="1">IF(ISBLANK(OFFSET(B1273,0,'Field labels'!$Q$1)),C1273,OFFSET(B1273,0,'Field labels'!$Q$1))</f>
        <v>Fushun poultry (825409-LE001680)</v>
      </c>
      <c r="C1273" t="s">
        <v>6416</v>
      </c>
    </row>
    <row r="1274" spans="1:3">
      <c r="A1274" t="s">
        <v>7539</v>
      </c>
      <c r="B1274" t="str">
        <f ca="1">IF(ISBLANK(OFFSET(B1274,0,'Field labels'!$Q$1)),C1274,OFFSET(B1274,0,'Field labels'!$Q$1))</f>
        <v>Fushun Ruminant (825209-LE001680)</v>
      </c>
      <c r="C1274" t="s">
        <v>6417</v>
      </c>
    </row>
    <row r="1275" spans="1:3">
      <c r="A1275" t="s">
        <v>7545</v>
      </c>
      <c r="B1275" t="str">
        <f ca="1">IF(ISBLANK(OFFSET(B1275,0,'Field labels'!$Q$1)),C1275,OFFSET(B1275,0,'Field labels'!$Q$1))</f>
        <v>Functional CPN Lianyung (6589812-LE001733)</v>
      </c>
      <c r="C1275" t="s">
        <v>6401</v>
      </c>
    </row>
    <row r="1276" spans="1:3">
      <c r="A1276" t="s">
        <v>7545</v>
      </c>
      <c r="B1276" t="str">
        <f ca="1">IF(ISBLANK(OFFSET(B1276,0,'Field labels'!$Q$1)),C1276,OFFSET(B1276,0,'Field labels'!$Q$1))</f>
        <v>Lianyungang Management (6589012-LE001733)</v>
      </c>
      <c r="C1276" t="s">
        <v>6659</v>
      </c>
    </row>
    <row r="1277" spans="1:3">
      <c r="A1277" t="s">
        <v>7545</v>
      </c>
      <c r="B1277" t="str">
        <f ca="1">IF(ISBLANK(OFFSET(B1277,0,'Field labels'!$Q$1)),C1277,OFFSET(B1277,0,'Field labels'!$Q$1))</f>
        <v>Lianyungang Production (6589007-LE001733)</v>
      </c>
      <c r="C1277" t="s">
        <v>6660</v>
      </c>
    </row>
    <row r="1278" spans="1:3">
      <c r="A1278" t="s">
        <v>7545</v>
      </c>
      <c r="B1278" t="str">
        <f ca="1">IF(ISBLANK(OFFSET(B1278,0,'Field labels'!$Q$1)),C1278,OFFSET(B1278,0,'Field labels'!$Q$1))</f>
        <v>Lianyungang Sales (6589009-LE001733)</v>
      </c>
      <c r="C1278" t="s">
        <v>6661</v>
      </c>
    </row>
    <row r="1279" spans="1:3">
      <c r="A1279" t="s">
        <v>7545</v>
      </c>
      <c r="B1279" t="str">
        <f ca="1">IF(ISBLANK(OFFSET(B1279,0,'Field labels'!$Q$1)),C1279,OFFSET(B1279,0,'Field labels'!$Q$1))</f>
        <v>Supply Chain- CPN-LYG (6589826-LE001733)</v>
      </c>
      <c r="C1279" t="s">
        <v>7204</v>
      </c>
    </row>
    <row r="1280" spans="1:3">
      <c r="A1280" t="s">
        <v>7470</v>
      </c>
      <c r="B1280" t="str">
        <f ca="1">IF(ISBLANK(OFFSET(B1280,0,'Field labels'!$Q$1)),C1280,OFFSET(B1280,0,'Field labels'!$Q$1))</f>
        <v> CVL_Bien Hoa_Logistics (765867-LE001758)</v>
      </c>
      <c r="C1280" t="s">
        <v>5330</v>
      </c>
    </row>
    <row r="1281" spans="1:3">
      <c r="A1281" t="s">
        <v>7470</v>
      </c>
      <c r="B1281" t="str">
        <f ca="1">IF(ISBLANK(OFFSET(B1281,0,'Field labels'!$Q$1)),C1281,OFFSET(B1281,0,'Field labels'!$Q$1))</f>
        <v> CVL_Binh Dinh_Logistics (942867-LE001758)</v>
      </c>
      <c r="C1281" t="s">
        <v>5331</v>
      </c>
    </row>
    <row r="1282" spans="1:3">
      <c r="A1282" t="s">
        <v>7470</v>
      </c>
      <c r="B1282" t="str">
        <f ca="1">IF(ISBLANK(OFFSET(B1282,0,'Field labels'!$Q$1)),C1282,OFFSET(B1282,0,'Field labels'!$Q$1))</f>
        <v> CVL_Can Tho_Logistics (943867-LE001758)</v>
      </c>
      <c r="C1282" t="s">
        <v>5332</v>
      </c>
    </row>
    <row r="1283" spans="1:3">
      <c r="A1283" t="s">
        <v>7470</v>
      </c>
      <c r="B1283" t="str">
        <f ca="1">IF(ISBLANK(OFFSET(B1283,0,'Field labels'!$Q$1)),C1283,OFFSET(B1283,0,'Field labels'!$Q$1))</f>
        <v>A&amp;F Decision Support (768877-LE001758)</v>
      </c>
      <c r="C1283" t="s">
        <v>5421</v>
      </c>
    </row>
    <row r="1284" spans="1:3">
      <c r="A1284" t="s">
        <v>7470</v>
      </c>
      <c r="B1284" t="str">
        <f ca="1">IF(ISBLANK(OFFSET(B1284,0,'Field labels'!$Q$1)),C1284,OFFSET(B1284,0,'Field labels'!$Q$1))</f>
        <v>Ben Cat CSA (937116-LE001758)</v>
      </c>
      <c r="C1284" t="s">
        <v>5581</v>
      </c>
    </row>
    <row r="1285" spans="1:3">
      <c r="A1285" t="s">
        <v>7470</v>
      </c>
      <c r="B1285" t="str">
        <f ca="1">IF(ISBLANK(OFFSET(B1285,0,'Field labels'!$Q$1)),C1285,OFFSET(B1285,0,'Field labels'!$Q$1))</f>
        <v>Ben Cat Plant (937007-LE001758)</v>
      </c>
      <c r="C1285" t="s">
        <v>5582</v>
      </c>
    </row>
    <row r="1286" spans="1:3">
      <c r="A1286" t="s">
        <v>7470</v>
      </c>
      <c r="B1286" t="str">
        <f ca="1">IF(ISBLANK(OFFSET(B1286,0,'Field labels'!$Q$1)),C1286,OFFSET(B1286,0,'Field labels'!$Q$1))</f>
        <v>Bien Hoa CSA (765116-LE001758)</v>
      </c>
      <c r="C1286" t="s">
        <v>5583</v>
      </c>
    </row>
    <row r="1287" spans="1:3">
      <c r="A1287" t="s">
        <v>7470</v>
      </c>
      <c r="B1287" t="str">
        <f ca="1">IF(ISBLANK(OFFSET(B1287,0,'Field labels'!$Q$1)),C1287,OFFSET(B1287,0,'Field labels'!$Q$1))</f>
        <v>Bien Hoa T&amp;L (153109-LE001758)</v>
      </c>
      <c r="C1287" t="s">
        <v>5584</v>
      </c>
    </row>
    <row r="1288" spans="1:3">
      <c r="A1288" t="s">
        <v>7470</v>
      </c>
      <c r="B1288" t="str">
        <f ca="1">IF(ISBLANK(OFFSET(B1288,0,'Field labels'!$Q$1)),C1288,OFFSET(B1288,0,'Field labels'!$Q$1))</f>
        <v>Binh Dinh CSA (942116-LE001758)</v>
      </c>
      <c r="C1288" t="s">
        <v>5590</v>
      </c>
    </row>
    <row r="1289" spans="1:3">
      <c r="A1289" t="s">
        <v>7470</v>
      </c>
      <c r="B1289" t="str">
        <f ca="1">IF(ISBLANK(OFFSET(B1289,0,'Field labels'!$Q$1)),C1289,OFFSET(B1289,0,'Field labels'!$Q$1))</f>
        <v>CAN SMT GAT (947308-LE001758)</v>
      </c>
      <c r="C1289" t="s">
        <v>5656</v>
      </c>
    </row>
    <row r="1290" spans="1:3">
      <c r="A1290" t="s">
        <v>7470</v>
      </c>
      <c r="B1290" t="str">
        <f ca="1">IF(ISBLANK(OFFSET(B1290,0,'Field labels'!$Q$1)),C1290,OFFSET(B1290,0,'Field labels'!$Q$1))</f>
        <v>Can Tho CSA (943116-LE001758)</v>
      </c>
      <c r="C1290" t="s">
        <v>5658</v>
      </c>
    </row>
    <row r="1291" spans="1:3">
      <c r="A1291" t="s">
        <v>7470</v>
      </c>
      <c r="B1291" t="str">
        <f ca="1">IF(ISBLANK(OFFSET(B1291,0,'Field labels'!$Q$1)),C1291,OFFSET(B1291,0,'Field labels'!$Q$1))</f>
        <v>CFN Formulation - HCM (947862-LE001758)</v>
      </c>
      <c r="C1291" t="s">
        <v>5689</v>
      </c>
    </row>
    <row r="1292" spans="1:3">
      <c r="A1292" t="s">
        <v>7470</v>
      </c>
      <c r="B1292" t="str">
        <f ca="1">IF(ISBLANK(OFFSET(B1292,0,'Field labels'!$Q$1)),C1292,OFFSET(B1292,0,'Field labels'!$Q$1))</f>
        <v>CFN QA Lab - Bien Hoa (765118-LE001758)</v>
      </c>
      <c r="C1292" t="s">
        <v>5695</v>
      </c>
    </row>
    <row r="1293" spans="1:3">
      <c r="A1293" t="s">
        <v>7470</v>
      </c>
      <c r="B1293" t="str">
        <f ca="1">IF(ISBLANK(OFFSET(B1293,0,'Field labels'!$Q$1)),C1293,OFFSET(B1293,0,'Field labels'!$Q$1))</f>
        <v>CFN QA Lab - Ha Nam (945118-LE001758)</v>
      </c>
      <c r="C1293" t="s">
        <v>5696</v>
      </c>
    </row>
    <row r="1294" spans="1:3">
      <c r="A1294" t="s">
        <v>7470</v>
      </c>
      <c r="B1294" t="str">
        <f ca="1">IF(ISBLANK(OFFSET(B1294,0,'Field labels'!$Q$1)),C1294,OFFSET(B1294,0,'Field labels'!$Q$1))</f>
        <v>CFN QA Lab - Hung Yen (766118-LE001758)</v>
      </c>
      <c r="C1294" t="s">
        <v>5697</v>
      </c>
    </row>
    <row r="1295" spans="1:3">
      <c r="A1295" t="s">
        <v>7470</v>
      </c>
      <c r="B1295" t="str">
        <f ca="1">IF(ISBLANK(OFFSET(B1295,0,'Field labels'!$Q$1)),C1295,OFFSET(B1295,0,'Field labels'!$Q$1))</f>
        <v>CFN Share Inbound Logistic - Ha Nam (945867-LE001758)</v>
      </c>
      <c r="C1295" t="s">
        <v>5698</v>
      </c>
    </row>
    <row r="1296" spans="1:3">
      <c r="A1296" t="s">
        <v>7470</v>
      </c>
      <c r="B1296" t="str">
        <f ca="1">IF(ISBLANK(OFFSET(B1296,0,'Field labels'!$Q$1)),C1296,OFFSET(B1296,0,'Field labels'!$Q$1))</f>
        <v>CFN Share Inbound Logistic - HCM (947867-LE001758)</v>
      </c>
      <c r="C1296" t="s">
        <v>5699</v>
      </c>
    </row>
    <row r="1297" spans="1:3">
      <c r="A1297" t="s">
        <v>7470</v>
      </c>
      <c r="B1297" t="str">
        <f ca="1">IF(ISBLANK(OFFSET(B1297,0,'Field labels'!$Q$1)),C1297,OFFSET(B1297,0,'Field labels'!$Q$1))</f>
        <v>CFN Share Inbound Logistic - Hung Yen (766867-LE001758)</v>
      </c>
      <c r="C1297" t="s">
        <v>5700</v>
      </c>
    </row>
    <row r="1298" spans="1:3">
      <c r="A1298" t="s">
        <v>7470</v>
      </c>
      <c r="B1298" t="str">
        <f ca="1">IF(ISBLANK(OFFSET(B1298,0,'Field labels'!$Q$1)),C1298,OFFSET(B1298,0,'Field labels'!$Q$1))</f>
        <v>CFN Share Operation - Bien Hoa (765907-LE001758)</v>
      </c>
      <c r="C1298" t="s">
        <v>5701</v>
      </c>
    </row>
    <row r="1299" spans="1:3">
      <c r="A1299" t="s">
        <v>7470</v>
      </c>
      <c r="B1299" t="str">
        <f ca="1">IF(ISBLANK(OFFSET(B1299,0,'Field labels'!$Q$1)),C1299,OFFSET(B1299,0,'Field labels'!$Q$1))</f>
        <v>CFN Share Operation - Ha Nam (945907-LE001758)</v>
      </c>
      <c r="C1299" t="s">
        <v>5702</v>
      </c>
    </row>
    <row r="1300" spans="1:3">
      <c r="A1300" t="s">
        <v>7470</v>
      </c>
      <c r="B1300" t="str">
        <f ca="1">IF(ISBLANK(OFFSET(B1300,0,'Field labels'!$Q$1)),C1300,OFFSET(B1300,0,'Field labels'!$Q$1))</f>
        <v>CFN Share Operation - Hung Yen (766907-LE001758)</v>
      </c>
      <c r="C1300" t="s">
        <v>5703</v>
      </c>
    </row>
    <row r="1301" spans="1:3">
      <c r="A1301" t="s">
        <v>7470</v>
      </c>
      <c r="B1301" t="str">
        <f ca="1">IF(ISBLANK(OFFSET(B1301,0,'Field labels'!$Q$1)),C1301,OFFSET(B1301,0,'Field labels'!$Q$1))</f>
        <v>CFN Share Purchasing - Ha Nam (945117-LE001758)</v>
      </c>
      <c r="C1301" t="s">
        <v>5704</v>
      </c>
    </row>
    <row r="1302" spans="1:3">
      <c r="A1302" t="s">
        <v>7470</v>
      </c>
      <c r="B1302" t="str">
        <f ca="1">IF(ISBLANK(OFFSET(B1302,0,'Field labels'!$Q$1)),C1302,OFFSET(B1302,0,'Field labels'!$Q$1))</f>
        <v>CFN Share Purchasing - HCM (947117-LE001758)</v>
      </c>
      <c r="C1302" t="s">
        <v>5705</v>
      </c>
    </row>
    <row r="1303" spans="1:3">
      <c r="A1303" t="s">
        <v>7470</v>
      </c>
      <c r="B1303" t="str">
        <f ca="1">IF(ISBLANK(OFFSET(B1303,0,'Field labels'!$Q$1)),C1303,OFFSET(B1303,0,'Field labels'!$Q$1))</f>
        <v>CFN Share Purchasing - Hung Yen (766117-LE001758)</v>
      </c>
      <c r="C1303" t="s">
        <v>5706</v>
      </c>
    </row>
    <row r="1304" spans="1:3">
      <c r="A1304" t="s">
        <v>7470</v>
      </c>
      <c r="B1304" t="str">
        <f ca="1">IF(ISBLANK(OFFSET(B1304,0,'Field labels'!$Q$1)),C1304,OFFSET(B1304,0,'Field labels'!$Q$1))</f>
        <v>CFN Share SMT - HCM (947409-LE001758)</v>
      </c>
      <c r="C1304" t="s">
        <v>5707</v>
      </c>
    </row>
    <row r="1305" spans="1:3">
      <c r="A1305" t="s">
        <v>7470</v>
      </c>
      <c r="B1305" t="str">
        <f ca="1">IF(ISBLANK(OFFSET(B1305,0,'Field labels'!$Q$1)),C1305,OFFSET(B1305,0,'Field labels'!$Q$1))</f>
        <v>CFN Share Supply Chain - HCM (947126-LE001758)</v>
      </c>
      <c r="C1305" t="s">
        <v>5708</v>
      </c>
    </row>
    <row r="1306" spans="1:3">
      <c r="A1306" t="s">
        <v>7470</v>
      </c>
      <c r="B1306" t="str">
        <f ca="1">IF(ISBLANK(OFFSET(B1306,0,'Field labels'!$Q$1)),C1306,OFFSET(B1306,0,'Field labels'!$Q$1))</f>
        <v>CQN Formulation - HCM (159862-LE001758)</v>
      </c>
      <c r="C1306" t="s">
        <v>5984</v>
      </c>
    </row>
    <row r="1307" spans="1:3">
      <c r="A1307" t="s">
        <v>7470</v>
      </c>
      <c r="B1307" t="str">
        <f ca="1">IF(ISBLANK(OFFSET(B1307,0,'Field labels'!$Q$1)),C1307,OFFSET(B1307,0,'Field labels'!$Q$1))</f>
        <v>CQN Operation - Bien Hoa (153007-LE001758)</v>
      </c>
      <c r="C1307" t="s">
        <v>5985</v>
      </c>
    </row>
    <row r="1308" spans="1:3">
      <c r="A1308" t="s">
        <v>7470</v>
      </c>
      <c r="B1308" t="str">
        <f ca="1">IF(ISBLANK(OFFSET(B1308,0,'Field labels'!$Q$1)),C1308,OFFSET(B1308,0,'Field labels'!$Q$1))</f>
        <v>CQN Operation - Ha Nam (158007-LE001758)</v>
      </c>
      <c r="C1308" t="s">
        <v>5986</v>
      </c>
    </row>
    <row r="1309" spans="1:3">
      <c r="A1309" t="s">
        <v>7470</v>
      </c>
      <c r="B1309" t="str">
        <f ca="1">IF(ISBLANK(OFFSET(B1309,0,'Field labels'!$Q$1)),C1309,OFFSET(B1309,0,'Field labels'!$Q$1))</f>
        <v>CQN Operation - Hung Yen (154007-LE001758)</v>
      </c>
      <c r="C1309" t="s">
        <v>5987</v>
      </c>
    </row>
    <row r="1310" spans="1:3">
      <c r="A1310" t="s">
        <v>7470</v>
      </c>
      <c r="B1310" t="str">
        <f ca="1">IF(ISBLANK(OFFSET(B1310,0,'Field labels'!$Q$1)),C1310,OFFSET(B1310,0,'Field labels'!$Q$1))</f>
        <v>CQN SMT - HCM (159309-LE001758)</v>
      </c>
      <c r="C1310" t="s">
        <v>5991</v>
      </c>
    </row>
    <row r="1311" spans="1:3">
      <c r="A1311" t="s">
        <v>7470</v>
      </c>
      <c r="B1311" t="str">
        <f ca="1">IF(ISBLANK(OFFSET(B1311,0,'Field labels'!$Q$1)),C1311,OFFSET(B1311,0,'Field labels'!$Q$1))</f>
        <v>CVL CTS Admin (146012-LE001758)</v>
      </c>
      <c r="C1311" t="s">
        <v>6033</v>
      </c>
    </row>
    <row r="1312" spans="1:3">
      <c r="A1312" t="s">
        <v>7470</v>
      </c>
      <c r="B1312" t="str">
        <f ca="1">IF(ISBLANK(OFFSET(B1312,0,'Field labels'!$Q$1)),C1312,OFFSET(B1312,0,'Field labels'!$Q$1))</f>
        <v>CVL Metals Admin (147012-LE001758)</v>
      </c>
      <c r="C1312" t="s">
        <v>6034</v>
      </c>
    </row>
    <row r="1313" spans="1:3">
      <c r="A1313" t="s">
        <v>7470</v>
      </c>
      <c r="B1313" t="str">
        <f ca="1">IF(ISBLANK(OFFSET(B1313,0,'Field labels'!$Q$1)),C1313,OFFSET(B1313,0,'Field labels'!$Q$1))</f>
        <v>CVL Procurement (768023-LE001758)</v>
      </c>
      <c r="C1313" t="s">
        <v>6035</v>
      </c>
    </row>
    <row r="1314" spans="1:3">
      <c r="A1314" t="s">
        <v>7470</v>
      </c>
      <c r="B1314" t="str">
        <f ca="1">IF(ISBLANK(OFFSET(B1314,0,'Field labels'!$Q$1)),C1314,OFFSET(B1314,0,'Field labels'!$Q$1))</f>
        <v>CVL_Bien Hoa_Admin (765012-LE001758)</v>
      </c>
      <c r="C1314" t="s">
        <v>6036</v>
      </c>
    </row>
    <row r="1315" spans="1:3">
      <c r="A1315" t="s">
        <v>7470</v>
      </c>
      <c r="B1315" t="str">
        <f ca="1">IF(ISBLANK(OFFSET(B1315,0,'Field labels'!$Q$1)),C1315,OFFSET(B1315,0,'Field labels'!$Q$1))</f>
        <v>CVL_Bien Hoa_Livestock (765009-LE001758)</v>
      </c>
      <c r="C1315" t="s">
        <v>6037</v>
      </c>
    </row>
    <row r="1316" spans="1:3">
      <c r="A1316" t="s">
        <v>7470</v>
      </c>
      <c r="B1316" t="str">
        <f ca="1">IF(ISBLANK(OFFSET(B1316,0,'Field labels'!$Q$1)),C1316,OFFSET(B1316,0,'Field labels'!$Q$1))</f>
        <v>CVL_Bien Hoa_Plant (765007-LE001758)</v>
      </c>
      <c r="C1316" t="s">
        <v>6038</v>
      </c>
    </row>
    <row r="1317" spans="1:3">
      <c r="A1317" t="s">
        <v>7470</v>
      </c>
      <c r="B1317" t="str">
        <f ca="1">IF(ISBLANK(OFFSET(B1317,0,'Field labels'!$Q$1)),C1317,OFFSET(B1317,0,'Field labels'!$Q$1))</f>
        <v>CVL_Binh Dinh_Admin (942012-LE001758)</v>
      </c>
      <c r="C1317" t="s">
        <v>6039</v>
      </c>
    </row>
    <row r="1318" spans="1:3">
      <c r="A1318" t="s">
        <v>7470</v>
      </c>
      <c r="B1318" t="str">
        <f ca="1">IF(ISBLANK(OFFSET(B1318,0,'Field labels'!$Q$1)),C1318,OFFSET(B1318,0,'Field labels'!$Q$1))</f>
        <v>CVL_Binh Dinh_Livestock (942009-LE001758)</v>
      </c>
      <c r="C1318" t="s">
        <v>6040</v>
      </c>
    </row>
    <row r="1319" spans="1:3">
      <c r="A1319" t="s">
        <v>7470</v>
      </c>
      <c r="B1319" t="str">
        <f ca="1">IF(ISBLANK(OFFSET(B1319,0,'Field labels'!$Q$1)),C1319,OFFSET(B1319,0,'Field labels'!$Q$1))</f>
        <v>CVL_Binh Dinh_Plant (942007-LE001758)</v>
      </c>
      <c r="C1319" t="s">
        <v>6041</v>
      </c>
    </row>
    <row r="1320" spans="1:3">
      <c r="A1320" t="s">
        <v>7470</v>
      </c>
      <c r="B1320" t="str">
        <f ca="1">IF(ISBLANK(OFFSET(B1320,0,'Field labels'!$Q$1)),C1320,OFFSET(B1320,0,'Field labels'!$Q$1))</f>
        <v>CVL_Can Tho_Admin (943012-LE001758)</v>
      </c>
      <c r="C1320" t="s">
        <v>6042</v>
      </c>
    </row>
    <row r="1321" spans="1:3">
      <c r="A1321" t="s">
        <v>7470</v>
      </c>
      <c r="B1321" t="str">
        <f ca="1">IF(ISBLANK(OFFSET(B1321,0,'Field labels'!$Q$1)),C1321,OFFSET(B1321,0,'Field labels'!$Q$1))</f>
        <v>CVL_Can Tho_Livestock (943009-LE001758)</v>
      </c>
      <c r="C1321" t="s">
        <v>6043</v>
      </c>
    </row>
    <row r="1322" spans="1:3">
      <c r="A1322" t="s">
        <v>7470</v>
      </c>
      <c r="B1322" t="str">
        <f ca="1">IF(ISBLANK(OFFSET(B1322,0,'Field labels'!$Q$1)),C1322,OFFSET(B1322,0,'Field labels'!$Q$1))</f>
        <v>CVL_Can Tho_Plant (943007-LE001758)</v>
      </c>
      <c r="C1322" t="s">
        <v>6044</v>
      </c>
    </row>
    <row r="1323" spans="1:3">
      <c r="A1323" t="s">
        <v>7470</v>
      </c>
      <c r="B1323" t="str">
        <f ca="1">IF(ISBLANK(OFFSET(B1323,0,'Field labels'!$Q$1)),C1323,OFFSET(B1323,0,'Field labels'!$Q$1))</f>
        <v>CVL_Dong Thap_Admin (764012-LE001758)</v>
      </c>
      <c r="C1323" t="s">
        <v>6045</v>
      </c>
    </row>
    <row r="1324" spans="1:3">
      <c r="A1324" t="s">
        <v>7470</v>
      </c>
      <c r="B1324" t="str">
        <f ca="1">IF(ISBLANK(OFFSET(B1324,0,'Field labels'!$Q$1)),C1324,OFFSET(B1324,0,'Field labels'!$Q$1))</f>
        <v>CVL_Dong Thap_Plant (764007-LE001758)</v>
      </c>
      <c r="C1324" t="s">
        <v>6046</v>
      </c>
    </row>
    <row r="1325" spans="1:3">
      <c r="A1325" t="s">
        <v>7470</v>
      </c>
      <c r="B1325" t="str">
        <f ca="1">IF(ISBLANK(OFFSET(B1325,0,'Field labels'!$Q$1)),C1325,OFFSET(B1325,0,'Field labels'!$Q$1))</f>
        <v>CVL_GO_Admin (947012-LE001758)</v>
      </c>
      <c r="C1325" t="s">
        <v>6047</v>
      </c>
    </row>
    <row r="1326" spans="1:3">
      <c r="A1326" t="s">
        <v>7470</v>
      </c>
      <c r="B1326" t="str">
        <f ca="1">IF(ISBLANK(OFFSET(B1326,0,'Field labels'!$Q$1)),C1326,OFFSET(B1326,0,'Field labels'!$Q$1))</f>
        <v>CVL_GO_Branding (947309-LE001758)</v>
      </c>
      <c r="C1326" t="s">
        <v>6048</v>
      </c>
    </row>
    <row r="1327" spans="1:3">
      <c r="A1327" t="s">
        <v>7470</v>
      </c>
      <c r="B1327" t="str">
        <f ca="1">IF(ISBLANK(OFFSET(B1327,0,'Field labels'!$Q$1)),C1327,OFFSET(B1327,0,'Field labels'!$Q$1))</f>
        <v>CVL_Ha Nam_Admin (945012-LE001758)</v>
      </c>
      <c r="C1327" t="s">
        <v>6049</v>
      </c>
    </row>
    <row r="1328" spans="1:3">
      <c r="A1328" t="s">
        <v>7470</v>
      </c>
      <c r="B1328" t="str">
        <f ca="1">IF(ISBLANK(OFFSET(B1328,0,'Field labels'!$Q$1)),C1328,OFFSET(B1328,0,'Field labels'!$Q$1))</f>
        <v>CVL_Ha Nam_Livestock (945009-LE001758)</v>
      </c>
      <c r="C1328" t="s">
        <v>6050</v>
      </c>
    </row>
    <row r="1329" spans="1:3">
      <c r="A1329" t="s">
        <v>7470</v>
      </c>
      <c r="B1329" t="str">
        <f ca="1">IF(ISBLANK(OFFSET(B1329,0,'Field labels'!$Q$1)),C1329,OFFSET(B1329,0,'Field labels'!$Q$1))</f>
        <v>CVL_Ha Nam_Plant (945007-LE001758)</v>
      </c>
      <c r="C1329" t="s">
        <v>6051</v>
      </c>
    </row>
    <row r="1330" spans="1:3">
      <c r="A1330" t="s">
        <v>7470</v>
      </c>
      <c r="B1330" t="str">
        <f ca="1">IF(ISBLANK(OFFSET(B1330,0,'Field labels'!$Q$1)),C1330,OFFSET(B1330,0,'Field labels'!$Q$1))</f>
        <v>CVL_Hung Yen_Admin (766012-LE001758)</v>
      </c>
      <c r="C1330" t="s">
        <v>6052</v>
      </c>
    </row>
    <row r="1331" spans="1:3">
      <c r="A1331" t="s">
        <v>7470</v>
      </c>
      <c r="B1331" t="str">
        <f ca="1">IF(ISBLANK(OFFSET(B1331,0,'Field labels'!$Q$1)),C1331,OFFSET(B1331,0,'Field labels'!$Q$1))</f>
        <v>CVL_Hung Yen_Livestock (766009-LE001758)</v>
      </c>
      <c r="C1331" t="s">
        <v>6053</v>
      </c>
    </row>
    <row r="1332" spans="1:3">
      <c r="A1332" t="s">
        <v>7470</v>
      </c>
      <c r="B1332" t="str">
        <f ca="1">IF(ISBLANK(OFFSET(B1332,0,'Field labels'!$Q$1)),C1332,OFFSET(B1332,0,'Field labels'!$Q$1))</f>
        <v>CVL_Hung Yen_Plant (766007-LE001758)</v>
      </c>
      <c r="C1332" t="s">
        <v>6054</v>
      </c>
    </row>
    <row r="1333" spans="1:3">
      <c r="A1333" t="s">
        <v>7470</v>
      </c>
      <c r="B1333" t="str">
        <f ca="1">IF(ISBLANK(OFFSET(B1333,0,'Field labels'!$Q$1)),C1333,OFFSET(B1333,0,'Field labels'!$Q$1))</f>
        <v>CVL_Long An_Admin (941012-LE001758)</v>
      </c>
      <c r="C1333" t="s">
        <v>6055</v>
      </c>
    </row>
    <row r="1334" spans="1:3">
      <c r="A1334" t="s">
        <v>7470</v>
      </c>
      <c r="B1334" t="str">
        <f ca="1">IF(ISBLANK(OFFSET(B1334,0,'Field labels'!$Q$1)),C1334,OFFSET(B1334,0,'Field labels'!$Q$1))</f>
        <v>CVL_Long An_Livestock (941009-LE001758)</v>
      </c>
      <c r="C1334" t="s">
        <v>6056</v>
      </c>
    </row>
    <row r="1335" spans="1:3">
      <c r="A1335" t="s">
        <v>7470</v>
      </c>
      <c r="B1335" t="str">
        <f ca="1">IF(ISBLANK(OFFSET(B1335,0,'Field labels'!$Q$1)),C1335,OFFSET(B1335,0,'Field labels'!$Q$1))</f>
        <v>CVL_Long An_Logistics (941867-LE001758)</v>
      </c>
      <c r="C1335" t="s">
        <v>6057</v>
      </c>
    </row>
    <row r="1336" spans="1:3">
      <c r="A1336" t="s">
        <v>7470</v>
      </c>
      <c r="B1336" t="str">
        <f ca="1">IF(ISBLANK(OFFSET(B1336,0,'Field labels'!$Q$1)),C1336,OFFSET(B1336,0,'Field labels'!$Q$1))</f>
        <v>CVL_Long An_Plant (941007-LE001758)</v>
      </c>
      <c r="C1336" t="s">
        <v>6058</v>
      </c>
    </row>
    <row r="1337" spans="1:3">
      <c r="A1337" t="s">
        <v>7470</v>
      </c>
      <c r="B1337" t="str">
        <f ca="1">IF(ISBLANK(OFFSET(B1337,0,'Field labels'!$Q$1)),C1337,OFFSET(B1337,0,'Field labels'!$Q$1))</f>
        <v>CVL_Rep Admin (768012-LE001758)</v>
      </c>
      <c r="C1337" t="s">
        <v>6059</v>
      </c>
    </row>
    <row r="1338" spans="1:3">
      <c r="A1338" t="s">
        <v>7470</v>
      </c>
      <c r="B1338" t="str">
        <f ca="1">IF(ISBLANK(OFFSET(B1338,0,'Field labels'!$Q$1)),C1338,OFFSET(B1338,0,'Field labels'!$Q$1))</f>
        <v>CVL_Tien Giang_Logistic (948867-LE001758)</v>
      </c>
      <c r="C1338" t="s">
        <v>6060</v>
      </c>
    </row>
    <row r="1339" spans="1:3">
      <c r="A1339" t="s">
        <v>7470</v>
      </c>
      <c r="B1339" t="str">
        <f ca="1">IF(ISBLANK(OFFSET(B1339,0,'Field labels'!$Q$1)),C1339,OFFSET(B1339,0,'Field labels'!$Q$1))</f>
        <v>CVL_Tien Giang_Plant (948007-LE001758)</v>
      </c>
      <c r="C1339" t="s">
        <v>6061</v>
      </c>
    </row>
    <row r="1340" spans="1:3">
      <c r="A1340" t="s">
        <v>7470</v>
      </c>
      <c r="B1340" t="str">
        <f ca="1">IF(ISBLANK(OFFSET(B1340,0,'Field labels'!$Q$1)),C1340,OFFSET(B1340,0,'Field labels'!$Q$1))</f>
        <v>CVL_Training Center (650409-LE001758)</v>
      </c>
      <c r="C1340" t="s">
        <v>6062</v>
      </c>
    </row>
    <row r="1341" spans="1:3">
      <c r="A1341" t="s">
        <v>7470</v>
      </c>
      <c r="B1341" t="str">
        <f ca="1">IF(ISBLANK(OFFSET(B1341,0,'Field labels'!$Q$1)),C1341,OFFSET(B1341,0,'Field labels'!$Q$1))</f>
        <v>CVL-Corporate Affairs (768020-LE001758)</v>
      </c>
      <c r="C1341" t="s">
        <v>6063</v>
      </c>
    </row>
    <row r="1342" spans="1:3">
      <c r="A1342" t="s">
        <v>7470</v>
      </c>
      <c r="B1342" t="str">
        <f ca="1">IF(ISBLANK(OFFSET(B1342,0,'Field labels'!$Q$1)),C1342,OFFSET(B1342,0,'Field labels'!$Q$1))</f>
        <v>CVL-CSSNA-ADMIN (164012-LE001758)</v>
      </c>
      <c r="C1342" t="s">
        <v>6064</v>
      </c>
    </row>
    <row r="1343" spans="1:3">
      <c r="A1343" t="s">
        <v>7470</v>
      </c>
      <c r="B1343" t="str">
        <f ca="1">IF(ISBLANK(OFFSET(B1343,0,'Field labels'!$Q$1)),C1343,OFFSET(B1343,0,'Field labels'!$Q$1))</f>
        <v>CVL-Global Human resource Opertions-GHRO (768021-LE001758)</v>
      </c>
      <c r="C1343" t="s">
        <v>6065</v>
      </c>
    </row>
    <row r="1344" spans="1:3">
      <c r="A1344" t="s">
        <v>7470</v>
      </c>
      <c r="B1344" t="str">
        <f ca="1">IF(ISBLANK(OFFSET(B1344,0,'Field labels'!$Q$1)),C1344,OFFSET(B1344,0,'Field labels'!$Q$1))</f>
        <v>CVL-Treasury ADM (768018-LE001758)</v>
      </c>
      <c r="C1344" t="s">
        <v>6066</v>
      </c>
    </row>
    <row r="1345" spans="1:3">
      <c r="A1345" t="s">
        <v>7470</v>
      </c>
      <c r="B1345" t="str">
        <f ca="1">IF(ISBLANK(OFFSET(B1345,0,'Field labels'!$Q$1)),C1345,OFFSET(B1345,0,'Field labels'!$Q$1))</f>
        <v>Dong Thap CSA (764116-LE001758)</v>
      </c>
      <c r="C1345" t="s">
        <v>6126</v>
      </c>
    </row>
    <row r="1346" spans="1:3">
      <c r="A1346" t="s">
        <v>7470</v>
      </c>
      <c r="B1346" t="str">
        <f ca="1">IF(ISBLANK(OFFSET(B1346,0,'Field labels'!$Q$1)),C1346,OFFSET(B1346,0,'Field labels'!$Q$1))</f>
        <v>Dong Thap T&amp;L (764109-LE001758)</v>
      </c>
      <c r="C1346" t="s">
        <v>6127</v>
      </c>
    </row>
    <row r="1347" spans="1:3">
      <c r="A1347" t="s">
        <v>7470</v>
      </c>
      <c r="B1347" t="str">
        <f ca="1">IF(ISBLANK(OFFSET(B1347,0,'Field labels'!$Q$1)),C1347,OFFSET(B1347,0,'Field labels'!$Q$1))</f>
        <v>Finance OTSC (768873-LE001758)</v>
      </c>
      <c r="C1347" t="s">
        <v>6211</v>
      </c>
    </row>
    <row r="1348" spans="1:3">
      <c r="A1348" t="s">
        <v>7470</v>
      </c>
      <c r="B1348" t="str">
        <f ca="1">IF(ISBLANK(OFFSET(B1348,0,'Field labels'!$Q$1)),C1348,OFFSET(B1348,0,'Field labels'!$Q$1))</f>
        <v>Finance PRTP (768874-LE001758)</v>
      </c>
      <c r="C1348" t="s">
        <v>6214</v>
      </c>
    </row>
    <row r="1349" spans="1:3">
      <c r="A1349" t="s">
        <v>7470</v>
      </c>
      <c r="B1349" t="str">
        <f ca="1">IF(ISBLANK(OFFSET(B1349,0,'Field labels'!$Q$1)),C1349,OFFSET(B1349,0,'Field labels'!$Q$1))</f>
        <v>Finance Risk Management (768890-LE001758)</v>
      </c>
      <c r="C1349" t="s">
        <v>6215</v>
      </c>
    </row>
    <row r="1350" spans="1:3">
      <c r="A1350" t="s">
        <v>7470</v>
      </c>
      <c r="B1350" t="str">
        <f ca="1">IF(ISBLANK(OFFSET(B1350,0,'Field labels'!$Q$1)),C1350,OFFSET(B1350,0,'Field labels'!$Q$1))</f>
        <v>Finance RTR (768812-LE001758)</v>
      </c>
      <c r="C1350" t="s">
        <v>6216</v>
      </c>
    </row>
    <row r="1351" spans="1:3">
      <c r="A1351" t="s">
        <v>7470</v>
      </c>
      <c r="B1351" t="str">
        <f ca="1">IF(ISBLANK(OFFSET(B1351,0,'Field labels'!$Q$1)),C1351,OFFSET(B1351,0,'Field labels'!$Q$1))</f>
        <v>FS - VNM (947006-LE001758)</v>
      </c>
      <c r="C1351" t="s">
        <v>6362</v>
      </c>
    </row>
    <row r="1352" spans="1:3">
      <c r="A1352" t="s">
        <v>7470</v>
      </c>
      <c r="B1352" t="str">
        <f ca="1">IF(ISBLANK(OFFSET(B1352,0,'Field labels'!$Q$1)),C1352,OFFSET(B1352,0,'Field labels'!$Q$1))</f>
        <v>Global IT (768022-LE001758)</v>
      </c>
      <c r="C1352" t="s">
        <v>6478</v>
      </c>
    </row>
    <row r="1353" spans="1:3">
      <c r="A1353" t="s">
        <v>7470</v>
      </c>
      <c r="B1353" t="str">
        <f ca="1">IF(ISBLANK(OFFSET(B1353,0,'Field labels'!$Q$1)),C1353,OFFSET(B1353,0,'Field labels'!$Q$1))</f>
        <v>Global Tax &amp; Customs (768809-LE001758)</v>
      </c>
      <c r="C1353" t="s">
        <v>6484</v>
      </c>
    </row>
    <row r="1354" spans="1:3">
      <c r="A1354" t="s">
        <v>7470</v>
      </c>
      <c r="B1354" t="str">
        <f ca="1">IF(ISBLANK(OFFSET(B1354,0,'Field labels'!$Q$1)),C1354,OFFSET(B1354,0,'Field labels'!$Q$1))</f>
        <v>GO - HR-Business HR (947805-LE001758)</v>
      </c>
      <c r="C1354" t="s">
        <v>6490</v>
      </c>
    </row>
    <row r="1355" spans="1:3">
      <c r="A1355" t="s">
        <v>7470</v>
      </c>
      <c r="B1355" t="str">
        <f ca="1">IF(ISBLANK(OFFSET(B1355,0,'Field labels'!$Q$1)),C1355,OFFSET(B1355,0,'Field labels'!$Q$1))</f>
        <v>GO-EHS (947831-LE001758)</v>
      </c>
      <c r="C1355" t="s">
        <v>6498</v>
      </c>
    </row>
    <row r="1356" spans="1:3">
      <c r="A1356" t="s">
        <v>7470</v>
      </c>
      <c r="B1356" t="str">
        <f ca="1">IF(ISBLANK(OFFSET(B1356,0,'Field labels'!$Q$1)),C1356,OFFSET(B1356,0,'Field labels'!$Q$1))</f>
        <v>GO-FSQR (947834-LE001758)</v>
      </c>
      <c r="C1356" t="s">
        <v>6499</v>
      </c>
    </row>
    <row r="1357" spans="1:3">
      <c r="A1357" t="s">
        <v>7470</v>
      </c>
      <c r="B1357" t="str">
        <f ca="1">IF(ISBLANK(OFFSET(B1357,0,'Field labels'!$Q$1)),C1357,OFFSET(B1357,0,'Field labels'!$Q$1))</f>
        <v>GOSC Admin (944012-LE001758)</v>
      </c>
      <c r="C1357" t="s">
        <v>6501</v>
      </c>
    </row>
    <row r="1358" spans="1:3">
      <c r="A1358" t="s">
        <v>7470</v>
      </c>
      <c r="B1358" t="str">
        <f ca="1">IF(ISBLANK(OFFSET(B1358,0,'Field labels'!$Q$1)),C1358,OFFSET(B1358,0,'Field labels'!$Q$1))</f>
        <v>GOSC BRVTAdmin (148012-LE001758)</v>
      </c>
      <c r="C1358" t="s">
        <v>6502</v>
      </c>
    </row>
    <row r="1359" spans="1:3">
      <c r="A1359" t="s">
        <v>7470</v>
      </c>
      <c r="B1359" t="str">
        <f ca="1">IF(ISBLANK(OFFSET(B1359,0,'Field labels'!$Q$1)),C1359,OFFSET(B1359,0,'Field labels'!$Q$1))</f>
        <v>GOSC Clerical/Services-SGA (944017-LE001758)</v>
      </c>
      <c r="C1359" t="s">
        <v>6503</v>
      </c>
    </row>
    <row r="1360" spans="1:3">
      <c r="A1360" t="s">
        <v>7470</v>
      </c>
      <c r="B1360" t="str">
        <f ca="1">IF(ISBLANK(OFFSET(B1360,0,'Field labels'!$Q$1)),C1360,OFFSET(B1360,0,'Field labels'!$Q$1))</f>
        <v>GOSC Operations (944018-LE001758)</v>
      </c>
      <c r="C1360" t="s">
        <v>6514</v>
      </c>
    </row>
    <row r="1361" spans="1:3">
      <c r="A1361" t="s">
        <v>7470</v>
      </c>
      <c r="B1361" t="str">
        <f ca="1">IF(ISBLANK(OFFSET(B1361,0,'Field labels'!$Q$1)),C1361,OFFSET(B1361,0,'Field labels'!$Q$1))</f>
        <v>GOSC Trade execution (944016-LE001758)</v>
      </c>
      <c r="C1361" t="s">
        <v>6515</v>
      </c>
    </row>
    <row r="1362" spans="1:3">
      <c r="A1362" t="s">
        <v>7470</v>
      </c>
      <c r="B1362" t="str">
        <f ca="1">IF(ISBLANK(OFFSET(B1362,0,'Field labels'!$Q$1)),C1362,OFFSET(B1362,0,'Field labels'!$Q$1))</f>
        <v>GOSC-Corn Milling North US (944015-LE001758)</v>
      </c>
      <c r="C1362" t="s">
        <v>6521</v>
      </c>
    </row>
    <row r="1363" spans="1:3">
      <c r="A1363" t="s">
        <v>7470</v>
      </c>
      <c r="B1363" t="str">
        <f ca="1">IF(ISBLANK(OFFSET(B1363,0,'Field labels'!$Q$1)),C1363,OFFSET(B1363,0,'Field labels'!$Q$1))</f>
        <v>Ha Nam CSA (945116-LE001758)</v>
      </c>
      <c r="C1363" t="s">
        <v>6544</v>
      </c>
    </row>
    <row r="1364" spans="1:3">
      <c r="A1364" t="s">
        <v>7470</v>
      </c>
      <c r="B1364" t="str">
        <f ca="1">IF(ISBLANK(OFFSET(B1364,0,'Field labels'!$Q$1)),C1364,OFFSET(B1364,0,'Field labels'!$Q$1))</f>
        <v>HCM Aqua Admin (159012-LE001758)</v>
      </c>
      <c r="C1364" t="s">
        <v>6550</v>
      </c>
    </row>
    <row r="1365" spans="1:3">
      <c r="A1365" t="s">
        <v>7470</v>
      </c>
      <c r="B1365" t="str">
        <f ca="1">IF(ISBLANK(OFFSET(B1365,0,'Field labels'!$Q$1)),C1365,OFFSET(B1365,0,'Field labels'!$Q$1))</f>
        <v>HR Recruitment (768882-LE001758)</v>
      </c>
      <c r="C1365" t="s">
        <v>6571</v>
      </c>
    </row>
    <row r="1366" spans="1:3">
      <c r="A1366" t="s">
        <v>7470</v>
      </c>
      <c r="B1366" t="str">
        <f ca="1">IF(ISBLANK(OFFSET(B1366,0,'Field labels'!$Q$1)),C1366,OFFSET(B1366,0,'Field labels'!$Q$1))</f>
        <v>Hung Yen CSA (766116-LE001758)</v>
      </c>
      <c r="C1366" t="s">
        <v>6594</v>
      </c>
    </row>
    <row r="1367" spans="1:3">
      <c r="A1367" t="s">
        <v>7470</v>
      </c>
      <c r="B1367" t="str">
        <f ca="1">IF(ISBLANK(OFFSET(B1367,0,'Field labels'!$Q$1)),C1367,OFFSET(B1367,0,'Field labels'!$Q$1))</f>
        <v>Hung Yen T&amp;L (154109-LE001758)</v>
      </c>
      <c r="C1367" t="s">
        <v>6595</v>
      </c>
    </row>
    <row r="1368" spans="1:3">
      <c r="A1368" t="s">
        <v>7470</v>
      </c>
      <c r="B1368" t="str">
        <f ca="1">IF(ISBLANK(OFFSET(B1368,0,'Field labels'!$Q$1)),C1368,OFFSET(B1368,0,'Field labels'!$Q$1))</f>
        <v>Long An CSA (941116-LE001758)</v>
      </c>
      <c r="C1368" t="s">
        <v>6679</v>
      </c>
    </row>
    <row r="1369" spans="1:3">
      <c r="A1369" t="s">
        <v>7470</v>
      </c>
      <c r="B1369" t="str">
        <f ca="1">IF(ISBLANK(OFFSET(B1369,0,'Field labels'!$Q$1)),C1369,OFFSET(B1369,0,'Field labels'!$Q$1))</f>
        <v>Recharge (947108-LE001758)</v>
      </c>
      <c r="C1369" t="s">
        <v>7014</v>
      </c>
    </row>
    <row r="1370" spans="1:3">
      <c r="A1370" t="s">
        <v>7470</v>
      </c>
      <c r="B1370" t="str">
        <f ca="1">IF(ISBLANK(OFFSET(B1370,0,'Field labels'!$Q$1)),C1370,OFFSET(B1370,0,'Field labels'!$Q$1))</f>
        <v>RMS Lab - QC - Binh Dinh (942118-LE001758)</v>
      </c>
      <c r="C1370" t="s">
        <v>7032</v>
      </c>
    </row>
    <row r="1371" spans="1:3">
      <c r="A1371" t="s">
        <v>7470</v>
      </c>
      <c r="B1371" t="str">
        <f ca="1">IF(ISBLANK(OFFSET(B1371,0,'Field labels'!$Q$1)),C1371,OFFSET(B1371,0,'Field labels'!$Q$1))</f>
        <v>RMS Lab - QC - Can Tho (943118-LE001758)</v>
      </c>
      <c r="C1371" t="s">
        <v>7033</v>
      </c>
    </row>
    <row r="1372" spans="1:3">
      <c r="A1372" t="s">
        <v>7470</v>
      </c>
      <c r="B1372" t="str">
        <f ca="1">IF(ISBLANK(OFFSET(B1372,0,'Field labels'!$Q$1)),C1372,OFFSET(B1372,0,'Field labels'!$Q$1))</f>
        <v>RMS Lab - QC - Dong Thap (764118-LE001758)</v>
      </c>
      <c r="C1372" t="s">
        <v>7034</v>
      </c>
    </row>
    <row r="1373" spans="1:3">
      <c r="A1373" t="s">
        <v>7470</v>
      </c>
      <c r="B1373" t="str">
        <f ca="1">IF(ISBLANK(OFFSET(B1373,0,'Field labels'!$Q$1)),C1373,OFFSET(B1373,0,'Field labels'!$Q$1))</f>
        <v>RMS Lab - QC - Long An (941118-LE001758)</v>
      </c>
      <c r="C1373" t="s">
        <v>7035</v>
      </c>
    </row>
    <row r="1374" spans="1:3">
      <c r="A1374" t="s">
        <v>7470</v>
      </c>
      <c r="B1374" t="str">
        <f ca="1">IF(ISBLANK(OFFSET(B1374,0,'Field labels'!$Q$1)),C1374,OFFSET(B1374,0,'Field labels'!$Q$1))</f>
        <v>RMS Lab - QC - Nghe An (649118-LE001758)</v>
      </c>
      <c r="C1374" t="s">
        <v>7036</v>
      </c>
    </row>
    <row r="1375" spans="1:3">
      <c r="A1375" t="s">
        <v>7470</v>
      </c>
      <c r="B1375" t="str">
        <f ca="1">IF(ISBLANK(OFFSET(B1375,0,'Field labels'!$Q$1)),C1375,OFFSET(B1375,0,'Field labels'!$Q$1))</f>
        <v>RMS Lab - QC - Tien Giang (948118-LE001758)</v>
      </c>
      <c r="C1375" t="s">
        <v>7037</v>
      </c>
    </row>
    <row r="1376" spans="1:3">
      <c r="A1376" t="s">
        <v>7470</v>
      </c>
      <c r="B1376" t="str">
        <f ca="1">IF(ISBLANK(OFFSET(B1376,0,'Field labels'!$Q$1)),C1376,OFFSET(B1376,0,'Field labels'!$Q$1))</f>
        <v>RMS Purchasing - Bien Hoa (765117-LE001758)</v>
      </c>
      <c r="C1376" t="s">
        <v>7038</v>
      </c>
    </row>
    <row r="1377" spans="1:3">
      <c r="A1377" t="s">
        <v>7470</v>
      </c>
      <c r="B1377" t="str">
        <f ca="1">IF(ISBLANK(OFFSET(B1377,0,'Field labels'!$Q$1)),C1377,OFFSET(B1377,0,'Field labels'!$Q$1))</f>
        <v>RMS Purchasing - Binh Dinh (942117-LE001758)</v>
      </c>
      <c r="C1377" t="s">
        <v>7039</v>
      </c>
    </row>
    <row r="1378" spans="1:3">
      <c r="A1378" t="s">
        <v>7470</v>
      </c>
      <c r="B1378" t="str">
        <f ca="1">IF(ISBLANK(OFFSET(B1378,0,'Field labels'!$Q$1)),C1378,OFFSET(B1378,0,'Field labels'!$Q$1))</f>
        <v>RMS Purchasing - Can Tho (943117-LE001758)</v>
      </c>
      <c r="C1378" t="s">
        <v>7040</v>
      </c>
    </row>
    <row r="1379" spans="1:3">
      <c r="A1379" t="s">
        <v>7470</v>
      </c>
      <c r="B1379" t="str">
        <f ca="1">IF(ISBLANK(OFFSET(B1379,0,'Field labels'!$Q$1)),C1379,OFFSET(B1379,0,'Field labels'!$Q$1))</f>
        <v>RMS Purchasing - Nghe An (649117-LE001758)</v>
      </c>
      <c r="C1379" t="s">
        <v>7041</v>
      </c>
    </row>
    <row r="1380" spans="1:3">
      <c r="A1380" t="s">
        <v>7470</v>
      </c>
      <c r="B1380" t="str">
        <f ca="1">IF(ISBLANK(OFFSET(B1380,0,'Field labels'!$Q$1)),C1380,OFFSET(B1380,0,'Field labels'!$Q$1))</f>
        <v>Tien Giang CSA (948116-LE001758)</v>
      </c>
      <c r="C1380" t="s">
        <v>7374</v>
      </c>
    </row>
    <row r="1381" spans="1:3">
      <c r="A1381" t="s">
        <v>7470</v>
      </c>
      <c r="B1381" t="str">
        <f ca="1">IF(ISBLANK(OFFSET(B1381,0,'Field labels'!$Q$1)),C1381,OFFSET(B1381,0,'Field labels'!$Q$1))</f>
        <v>Tien Giang Shrimp (948209-LE001758)</v>
      </c>
      <c r="C1381" t="s">
        <v>7375</v>
      </c>
    </row>
    <row r="1382" spans="1:3">
      <c r="A1382" t="s">
        <v>7470</v>
      </c>
      <c r="B1382" t="str">
        <f ca="1">IF(ISBLANK(OFFSET(B1382,0,'Field labels'!$Q$1)),C1382,OFFSET(B1382,0,'Field labels'!$Q$1))</f>
        <v>Vinh Admin (649012-LE001758)</v>
      </c>
      <c r="C1382" t="s">
        <v>7410</v>
      </c>
    </row>
    <row r="1383" spans="1:3">
      <c r="A1383" t="s">
        <v>7470</v>
      </c>
      <c r="B1383" t="str">
        <f ca="1">IF(ISBLANK(OFFSET(B1383,0,'Field labels'!$Q$1)),C1383,OFFSET(B1383,0,'Field labels'!$Q$1))</f>
        <v>Vinh CSA (649116-LE001758)</v>
      </c>
      <c r="C1383" t="s">
        <v>7411</v>
      </c>
    </row>
    <row r="1384" spans="1:3">
      <c r="A1384" t="s">
        <v>7470</v>
      </c>
      <c r="B1384" t="str">
        <f ca="1">IF(ISBLANK(OFFSET(B1384,0,'Field labels'!$Q$1)),C1384,OFFSET(B1384,0,'Field labels'!$Q$1))</f>
        <v>Vinh Plant (649007-LE001758)</v>
      </c>
      <c r="C1384" t="s">
        <v>7412</v>
      </c>
    </row>
    <row r="1385" spans="1:3">
      <c r="A1385" t="s">
        <v>7470</v>
      </c>
      <c r="B1385" t="str">
        <f ca="1">IF(ISBLANK(OFFSET(B1385,0,'Field labels'!$Q$1)),C1385,OFFSET(B1385,0,'Field labels'!$Q$1))</f>
        <v>Vinh Sale -Livestock (649009-LE001758)</v>
      </c>
      <c r="C1385" t="s">
        <v>7413</v>
      </c>
    </row>
    <row r="1386" spans="1:3">
      <c r="A1386" t="s">
        <v>7555</v>
      </c>
      <c r="B1386" t="str">
        <f ca="1">IF(ISBLANK(OFFSET(B1386,0,'Field labels'!$Q$1)),C1386,OFFSET(B1386,0,'Field labels'!$Q$1))</f>
        <v>PBI1 CC Production - Carrageenan (5123100202-LE001793)</v>
      </c>
      <c r="C1386" t="s">
        <v>6812</v>
      </c>
    </row>
    <row r="1387" spans="1:3">
      <c r="A1387" t="s">
        <v>7555</v>
      </c>
      <c r="B1387" t="str">
        <f ca="1">IF(ISBLANK(OFFSET(B1387,0,'Field labels'!$Q$1)),C1387,OFFSET(B1387,0,'Field labels'!$Q$1))</f>
        <v>PBI2 CC Blends-Functional System (5123100210-LE001793)</v>
      </c>
      <c r="C1387" t="s">
        <v>6813</v>
      </c>
    </row>
    <row r="1388" spans="1:3">
      <c r="A1388" t="s">
        <v>7555</v>
      </c>
      <c r="B1388" t="str">
        <f ca="1">IF(ISBLANK(OFFSET(B1388,0,'Field labels'!$Q$1)),C1388,OFFSET(B1388,0,'Field labels'!$Q$1))</f>
        <v>PBI3 Maintenance &amp; Repair -Carr (5123400202-LE001793)</v>
      </c>
      <c r="C1388" t="s">
        <v>6814</v>
      </c>
    </row>
    <row r="1389" spans="1:3">
      <c r="A1389" t="s">
        <v>7555</v>
      </c>
      <c r="B1389" t="str">
        <f ca="1">IF(ISBLANK(OFFSET(B1389,0,'Field labels'!$Q$1)),C1389,OFFSET(B1389,0,'Field labels'!$Q$1))</f>
        <v>PBI4 Quality Control -Carrageena (5123500202-LE001793)</v>
      </c>
      <c r="C1389" t="s">
        <v>6815</v>
      </c>
    </row>
    <row r="1390" spans="1:3">
      <c r="A1390" t="s">
        <v>7555</v>
      </c>
      <c r="B1390" t="str">
        <f ca="1">IF(ISBLANK(OFFSET(B1390,0,'Field labels'!$Q$1)),C1390,OFFSET(B1390,0,'Field labels'!$Q$1))</f>
        <v>PBI5 HO Mgt -Carrageen (5123800202-LE001793)</v>
      </c>
      <c r="C1390" t="s">
        <v>6816</v>
      </c>
    </row>
    <row r="1391" spans="1:3">
      <c r="A1391" t="s">
        <v>7555</v>
      </c>
      <c r="B1391" t="str">
        <f ca="1">IF(ISBLANK(OFFSET(B1391,0,'Field labels'!$Q$1)),C1391,OFFSET(B1391,0,'Field labels'!$Q$1))</f>
        <v>PBI6 Plant Mgt-Carrageenan (5123810202-LE001793)</v>
      </c>
      <c r="C1391" t="s">
        <v>6817</v>
      </c>
    </row>
    <row r="1392" spans="1:3">
      <c r="A1392" t="s">
        <v>7498</v>
      </c>
      <c r="B1392" t="str">
        <f ca="1">IF(ISBLANK(OFFSET(B1392,0,'Field labels'!$Q$1)),C1392,OFFSET(B1392,0,'Field labels'!$Q$1))</f>
        <v>Amurang SCNO (694118-LE001838)</v>
      </c>
      <c r="C1392" t="s">
        <v>5554</v>
      </c>
    </row>
    <row r="1393" spans="1:3">
      <c r="A1393" t="s">
        <v>7498</v>
      </c>
      <c r="B1393" t="str">
        <f ca="1">IF(ISBLANK(OFFSET(B1393,0,'Field labels'!$Q$1)),C1393,OFFSET(B1393,0,'Field labels'!$Q$1))</f>
        <v>CGF/CAPS (535960-LE001838)</v>
      </c>
      <c r="C1393" t="s">
        <v>5715</v>
      </c>
    </row>
    <row r="1394" spans="1:3">
      <c r="A1394" t="s">
        <v>7498</v>
      </c>
      <c r="B1394" t="str">
        <f ca="1">IF(ISBLANK(OFFSET(B1394,0,'Field labels'!$Q$1)),C1394,OFFSET(B1394,0,'Field labels'!$Q$1))</f>
        <v>CGL Industrial Specialties (535955-LE001838)</v>
      </c>
      <c r="C1394" t="s">
        <v>5716</v>
      </c>
    </row>
    <row r="1395" spans="1:3">
      <c r="A1395" t="s">
        <v>7498</v>
      </c>
      <c r="B1395" t="str">
        <f ca="1">IF(ISBLANK(OFFSET(B1395,0,'Field labels'!$Q$1)),C1395,OFFSET(B1395,0,'Field labels'!$Q$1))</f>
        <v>Cocoa Plant Gresik (663041-LE001838)</v>
      </c>
      <c r="C1395" t="s">
        <v>5895</v>
      </c>
    </row>
    <row r="1396" spans="1:3">
      <c r="A1396" t="s">
        <v>7498</v>
      </c>
      <c r="B1396" t="str">
        <f ca="1">IF(ISBLANK(OFFSET(B1396,0,'Field labels'!$Q$1)),C1396,OFFSET(B1396,0,'Field labels'!$Q$1))</f>
        <v>Commercial Makassar (663535-LE001838)</v>
      </c>
      <c r="C1396" t="s">
        <v>5907</v>
      </c>
    </row>
    <row r="1397" spans="1:3">
      <c r="A1397" t="s">
        <v>7498</v>
      </c>
      <c r="B1397" t="str">
        <f ca="1">IF(ISBLANK(OFFSET(B1397,0,'Field labels'!$Q$1)),C1397,OFFSET(B1397,0,'Field labels'!$Q$1))</f>
        <v>Copra Procurement (694105-LE001838)</v>
      </c>
      <c r="C1397" t="s">
        <v>5938</v>
      </c>
    </row>
    <row r="1398" spans="1:3">
      <c r="A1398" t="s">
        <v>7498</v>
      </c>
      <c r="B1398" t="str">
        <f ca="1">IF(ISBLANK(OFFSET(B1398,0,'Field labels'!$Q$1)),C1398,OFFSET(B1398,0,'Field labels'!$Q$1))</f>
        <v>Copra Terminal Operation (694101-LE001838)</v>
      </c>
      <c r="C1398" t="s">
        <v>5939</v>
      </c>
    </row>
    <row r="1399" spans="1:3">
      <c r="A1399" t="s">
        <v>7498</v>
      </c>
      <c r="B1399" t="str">
        <f ca="1">IF(ISBLANK(OFFSET(B1399,0,'Field labels'!$Q$1)),C1399,OFFSET(B1399,0,'Field labels'!$Q$1))</f>
        <v>Corporate Affair (535700-LE001838)</v>
      </c>
      <c r="C1399" t="s">
        <v>5946</v>
      </c>
    </row>
    <row r="1400" spans="1:3">
      <c r="A1400" t="s">
        <v>7498</v>
      </c>
      <c r="B1400" t="str">
        <f ca="1">IF(ISBLANK(OFFSET(B1400,0,'Field labels'!$Q$1)),C1400,OFFSET(B1400,0,'Field labels'!$Q$1))</f>
        <v>CSS Strategic Sourcing (535940-LE001838)</v>
      </c>
      <c r="C1400" t="s">
        <v>6012</v>
      </c>
    </row>
    <row r="1401" spans="1:3">
      <c r="A1401" t="s">
        <v>7498</v>
      </c>
      <c r="B1401" t="str">
        <f ca="1">IF(ISBLANK(OFFSET(B1401,0,'Field labels'!$Q$1)),C1401,OFFSET(B1401,0,'Field labels'!$Q$1))</f>
        <v>CTL (535942-LE001838)</v>
      </c>
      <c r="C1401" t="s">
        <v>6019</v>
      </c>
    </row>
    <row r="1402" spans="1:3">
      <c r="A1402" t="s">
        <v>7498</v>
      </c>
      <c r="B1402" t="str">
        <f ca="1">IF(ISBLANK(OFFSET(B1402,0,'Field labels'!$Q$1)),C1402,OFFSET(B1402,0,'Field labels'!$Q$1))</f>
        <v>CTS (535920-LE001838)</v>
      </c>
      <c r="C1402" t="s">
        <v>6026</v>
      </c>
    </row>
    <row r="1403" spans="1:3">
      <c r="A1403" t="s">
        <v>7498</v>
      </c>
      <c r="B1403" t="str">
        <f ca="1">IF(ISBLANK(OFFSET(B1403,0,'Field labels'!$Q$1)),C1403,OFFSET(B1403,0,'Field labels'!$Q$1))</f>
        <v>Finance - Record to Report (694110-LE001838)</v>
      </c>
      <c r="C1403" t="s">
        <v>6205</v>
      </c>
    </row>
    <row r="1404" spans="1:3">
      <c r="A1404" t="s">
        <v>7498</v>
      </c>
      <c r="B1404" t="str">
        <f ca="1">IF(ISBLANK(OFFSET(B1404,0,'Field labels'!$Q$1)),C1404,OFFSET(B1404,0,'Field labels'!$Q$1))</f>
        <v>Formulator (700862-LE001838)</v>
      </c>
      <c r="C1404" t="s">
        <v>6243</v>
      </c>
    </row>
    <row r="1405" spans="1:3">
      <c r="A1405" t="s">
        <v>7498</v>
      </c>
      <c r="B1405" t="str">
        <f ca="1">IF(ISBLANK(OFFSET(B1405,0,'Field labels'!$Q$1)),C1405,OFFSET(B1405,0,'Field labels'!$Q$1))</f>
        <v>GPT Admin (701012-LE001838)</v>
      </c>
      <c r="C1405" t="s">
        <v>6523</v>
      </c>
    </row>
    <row r="1406" spans="1:3">
      <c r="A1406" t="s">
        <v>7498</v>
      </c>
      <c r="B1406" t="str">
        <f ca="1">IF(ISBLANK(OFFSET(B1406,0,'Field labels'!$Q$1)),C1406,OFFSET(B1406,0,'Field labels'!$Q$1))</f>
        <v>GPT FSQR (701834-LE001838)</v>
      </c>
      <c r="C1406" t="s">
        <v>6524</v>
      </c>
    </row>
    <row r="1407" spans="1:3">
      <c r="A1407" t="s">
        <v>7498</v>
      </c>
      <c r="B1407" t="str">
        <f ca="1">IF(ISBLANK(OFFSET(B1407,0,'Field labels'!$Q$1)),C1407,OFFSET(B1407,0,'Field labels'!$Q$1))</f>
        <v>GPT Marketing (701009-LE001838)</v>
      </c>
      <c r="C1407" t="s">
        <v>6525</v>
      </c>
    </row>
    <row r="1408" spans="1:3">
      <c r="A1408" t="s">
        <v>7498</v>
      </c>
      <c r="B1408" t="str">
        <f ca="1">IF(ISBLANK(OFFSET(B1408,0,'Field labels'!$Q$1)),C1408,OFFSET(B1408,0,'Field labels'!$Q$1))</f>
        <v>GPT Plant (701007-LE001838)</v>
      </c>
      <c r="C1408" t="s">
        <v>6526</v>
      </c>
    </row>
    <row r="1409" spans="1:3">
      <c r="A1409" t="s">
        <v>7498</v>
      </c>
      <c r="B1409" t="str">
        <f ca="1">IF(ISBLANK(OFFSET(B1409,0,'Field labels'!$Q$1)),C1409,OFFSET(B1409,0,'Field labels'!$Q$1))</f>
        <v>HR - Insustry Relations (694112-LE001838)</v>
      </c>
      <c r="C1409" t="s">
        <v>6565</v>
      </c>
    </row>
    <row r="1410" spans="1:3">
      <c r="A1410" t="s">
        <v>7498</v>
      </c>
      <c r="B1410" t="str">
        <f ca="1">IF(ISBLANK(OFFSET(B1410,0,'Field labels'!$Q$1)),C1410,OFFSET(B1410,0,'Field labels'!$Q$1))</f>
        <v>HR-ADP Payroll Project (535310-LE001838)</v>
      </c>
      <c r="C1410" t="s">
        <v>6580</v>
      </c>
    </row>
    <row r="1411" spans="1:3">
      <c r="A1411" t="s">
        <v>7498</v>
      </c>
      <c r="B1411" t="str">
        <f ca="1">IF(ISBLANK(OFFSET(B1411,0,'Field labels'!$Q$1)),C1411,OFFSET(B1411,0,'Field labels'!$Q$1))</f>
        <v>IT APP ERP ID (535215-LE001838)</v>
      </c>
      <c r="C1411" t="s">
        <v>6604</v>
      </c>
    </row>
    <row r="1412" spans="1:3">
      <c r="A1412" t="s">
        <v>7498</v>
      </c>
      <c r="B1412" t="str">
        <f ca="1">IF(ISBLANK(OFFSET(B1412,0,'Field labels'!$Q$1)),C1412,OFFSET(B1412,0,'Field labels'!$Q$1))</f>
        <v>IT APP MIT ID (535216-LE001838)</v>
      </c>
      <c r="C1412" t="s">
        <v>6608</v>
      </c>
    </row>
    <row r="1413" spans="1:3">
      <c r="A1413" t="s">
        <v>7498</v>
      </c>
      <c r="B1413" t="str">
        <f ca="1">IF(ISBLANK(OFFSET(B1413,0,'Field labels'!$Q$1)),C1413,OFFSET(B1413,0,'Field labels'!$Q$1))</f>
        <v>IT Bus Partner ID (535217-LE001838)</v>
      </c>
      <c r="C1413" t="s">
        <v>6617</v>
      </c>
    </row>
    <row r="1414" spans="1:3">
      <c r="A1414" t="s">
        <v>7498</v>
      </c>
      <c r="B1414" t="str">
        <f ca="1">IF(ISBLANK(OFFSET(B1414,0,'Field labels'!$Q$1)),C1414,OFFSET(B1414,0,'Field labels'!$Q$1))</f>
        <v>Kraton FSQR (533834-LE001838)</v>
      </c>
      <c r="C1414" t="s">
        <v>6635</v>
      </c>
    </row>
    <row r="1415" spans="1:3">
      <c r="A1415" t="s">
        <v>7498</v>
      </c>
      <c r="B1415" t="str">
        <f ca="1">IF(ISBLANK(OFFSET(B1415,0,'Field labels'!$Q$1)),C1415,OFFSET(B1415,0,'Field labels'!$Q$1))</f>
        <v>Kraton Plant (533007-LE001838)</v>
      </c>
      <c r="C1415" t="s">
        <v>6636</v>
      </c>
    </row>
    <row r="1416" spans="1:3">
      <c r="A1416" t="s">
        <v>7498</v>
      </c>
      <c r="B1416" t="str">
        <f ca="1">IF(ISBLANK(OFFSET(B1416,0,'Field labels'!$Q$1)),C1416,OFFSET(B1416,0,'Field labels'!$Q$1))</f>
        <v>Lab Quality Control (694106-LE001838)</v>
      </c>
      <c r="C1416" t="s">
        <v>6645</v>
      </c>
    </row>
    <row r="1417" spans="1:3">
      <c r="A1417" t="s">
        <v>7498</v>
      </c>
      <c r="B1417" t="str">
        <f ca="1">IF(ISBLANK(OFFSET(B1417,0,'Field labels'!$Q$1)),C1417,OFFSET(B1417,0,'Field labels'!$Q$1))</f>
        <v>Law-1 (535750-LE001838)</v>
      </c>
      <c r="C1417" t="s">
        <v>6654</v>
      </c>
    </row>
    <row r="1418" spans="1:3">
      <c r="A1418" t="s">
        <v>7498</v>
      </c>
      <c r="B1418" t="str">
        <f ca="1">IF(ISBLANK(OFFSET(B1418,0,'Field labels'!$Q$1)),C1418,OFFSET(B1418,0,'Field labels'!$Q$1))</f>
        <v>Logistic (663050-LE001838)</v>
      </c>
      <c r="C1418" t="s">
        <v>6672</v>
      </c>
    </row>
    <row r="1419" spans="1:3">
      <c r="A1419" t="s">
        <v>7498</v>
      </c>
      <c r="B1419" t="str">
        <f ca="1">IF(ISBLANK(OFFSET(B1419,0,'Field labels'!$Q$1)),C1419,OFFSET(B1419,0,'Field labels'!$Q$1))</f>
        <v>Logistic (700867-LE001838)</v>
      </c>
      <c r="C1419" t="s">
        <v>6671</v>
      </c>
    </row>
    <row r="1420" spans="1:3">
      <c r="A1420" t="s">
        <v>7498</v>
      </c>
      <c r="B1420" t="str">
        <f ca="1">IF(ISBLANK(OFFSET(B1420,0,'Field labels'!$Q$1)),C1420,OFFSET(B1420,0,'Field labels'!$Q$1))</f>
        <v>Maint. Origination Mks (663555-LE001838)</v>
      </c>
      <c r="C1420" t="s">
        <v>6688</v>
      </c>
    </row>
    <row r="1421" spans="1:3">
      <c r="A1421" t="s">
        <v>7498</v>
      </c>
      <c r="B1421" t="str">
        <f ca="1">IF(ISBLANK(OFFSET(B1421,0,'Field labels'!$Q$1)),C1421,OFFSET(B1421,0,'Field labels'!$Q$1))</f>
        <v>Maintenance (694108-LE001838)</v>
      </c>
      <c r="C1421" t="s">
        <v>6691</v>
      </c>
    </row>
    <row r="1422" spans="1:3">
      <c r="A1422" t="s">
        <v>7498</v>
      </c>
      <c r="B1422" t="str">
        <f ca="1">IF(ISBLANK(OFFSET(B1422,0,'Field labels'!$Q$1)),C1422,OFFSET(B1422,0,'Field labels'!$Q$1))</f>
        <v>Maintenance Gresik Plant (663055-LE001838)</v>
      </c>
      <c r="C1422" t="s">
        <v>6697</v>
      </c>
    </row>
    <row r="1423" spans="1:3">
      <c r="A1423" t="s">
        <v>7498</v>
      </c>
      <c r="B1423" t="str">
        <f ca="1">IF(ISBLANK(OFFSET(B1423,0,'Field labels'!$Q$1)),C1423,OFFSET(B1423,0,'Field labels'!$Q$1))</f>
        <v>Mdn FSQR (705834-LE001838)</v>
      </c>
      <c r="C1423" t="s">
        <v>6724</v>
      </c>
    </row>
    <row r="1424" spans="1:3">
      <c r="A1424" t="s">
        <v>7498</v>
      </c>
      <c r="B1424" t="str">
        <f ca="1">IF(ISBLANK(OFFSET(B1424,0,'Field labels'!$Q$1)),C1424,OFFSET(B1424,0,'Field labels'!$Q$1))</f>
        <v>Medan Admin (705012-LE001838)</v>
      </c>
      <c r="C1424" t="s">
        <v>6725</v>
      </c>
    </row>
    <row r="1425" spans="1:3">
      <c r="A1425" t="s">
        <v>7498</v>
      </c>
      <c r="B1425" t="str">
        <f ca="1">IF(ISBLANK(OFFSET(B1425,0,'Field labels'!$Q$1)),C1425,OFFSET(B1425,0,'Field labels'!$Q$1))</f>
        <v>Medan Marketing (534009-LE001838)</v>
      </c>
      <c r="C1425" t="s">
        <v>6727</v>
      </c>
    </row>
    <row r="1426" spans="1:3">
      <c r="A1426" t="s">
        <v>7498</v>
      </c>
      <c r="B1426" t="str">
        <f ca="1">IF(ISBLANK(OFFSET(B1426,0,'Field labels'!$Q$1)),C1426,OFFSET(B1426,0,'Field labels'!$Q$1))</f>
        <v>Medan Marketing (705009-LE001838)</v>
      </c>
      <c r="C1426" t="s">
        <v>6726</v>
      </c>
    </row>
    <row r="1427" spans="1:3">
      <c r="A1427" t="s">
        <v>7498</v>
      </c>
      <c r="B1427" t="str">
        <f ca="1">IF(ISBLANK(OFFSET(B1427,0,'Field labels'!$Q$1)),C1427,OFFSET(B1427,0,'Field labels'!$Q$1))</f>
        <v>Medan Plant (705007-LE001838)</v>
      </c>
      <c r="C1427" t="s">
        <v>6728</v>
      </c>
    </row>
    <row r="1428" spans="1:3">
      <c r="A1428" t="s">
        <v>7498</v>
      </c>
      <c r="B1428" t="str">
        <f ca="1">IF(ISBLANK(OFFSET(B1428,0,'Field labels'!$Q$1)),C1428,OFFSET(B1428,0,'Field labels'!$Q$1))</f>
        <v>Merchandising (694103-LE001838)</v>
      </c>
      <c r="C1428" t="s">
        <v>6731</v>
      </c>
    </row>
    <row r="1429" spans="1:3">
      <c r="A1429" t="s">
        <v>7498</v>
      </c>
      <c r="B1429" t="str">
        <f ca="1">IF(ISBLANK(OFFSET(B1429,0,'Field labels'!$Q$1)),C1429,OFFSET(B1429,0,'Field labels'!$Q$1))</f>
        <v>Merchant (700117-LE001838)</v>
      </c>
      <c r="C1429" t="s">
        <v>6732</v>
      </c>
    </row>
    <row r="1430" spans="1:3">
      <c r="A1430" t="s">
        <v>7498</v>
      </c>
      <c r="B1430" t="str">
        <f ca="1">IF(ISBLANK(OFFSET(B1430,0,'Field labels'!$Q$1)),C1430,OFFSET(B1430,0,'Field labels'!$Q$1))</f>
        <v>Mks Admin (704012-LE001838)</v>
      </c>
      <c r="C1430" t="s">
        <v>6737</v>
      </c>
    </row>
    <row r="1431" spans="1:3">
      <c r="A1431" t="s">
        <v>7498</v>
      </c>
      <c r="B1431" t="str">
        <f ca="1">IF(ISBLANK(OFFSET(B1431,0,'Field labels'!$Q$1)),C1431,OFFSET(B1431,0,'Field labels'!$Q$1))</f>
        <v>Mks FSQR (704834-LE001838)</v>
      </c>
      <c r="C1431" t="s">
        <v>6738</v>
      </c>
    </row>
    <row r="1432" spans="1:3">
      <c r="A1432" t="s">
        <v>7498</v>
      </c>
      <c r="B1432" t="str">
        <f ca="1">IF(ISBLANK(OFFSET(B1432,0,'Field labels'!$Q$1)),C1432,OFFSET(B1432,0,'Field labels'!$Q$1))</f>
        <v>Mks Marketing (704009-LE001838)</v>
      </c>
      <c r="C1432" t="s">
        <v>6739</v>
      </c>
    </row>
    <row r="1433" spans="1:3">
      <c r="A1433" t="s">
        <v>7498</v>
      </c>
      <c r="B1433" t="str">
        <f ca="1">IF(ISBLANK(OFFSET(B1433,0,'Field labels'!$Q$1)),C1433,OFFSET(B1433,0,'Field labels'!$Q$1))</f>
        <v>Mks Plant (704007-LE001838)</v>
      </c>
      <c r="C1433" t="s">
        <v>6740</v>
      </c>
    </row>
    <row r="1434" spans="1:3">
      <c r="A1434" t="s">
        <v>7498</v>
      </c>
      <c r="B1434" t="str">
        <f ca="1">IF(ISBLANK(OFFSET(B1434,0,'Field labels'!$Q$1)),C1434,OFFSET(B1434,0,'Field labels'!$Q$1))</f>
        <v>New global security (535225-LE001838)</v>
      </c>
      <c r="C1434" t="s">
        <v>6750</v>
      </c>
    </row>
    <row r="1435" spans="1:3">
      <c r="A1435" t="s">
        <v>7498</v>
      </c>
      <c r="B1435" t="str">
        <f ca="1">IF(ISBLANK(OFFSET(B1435,0,'Field labels'!$Q$1)),C1435,OFFSET(B1435,0,'Field labels'!$Q$1))</f>
        <v>Operation (700007-LE001838)</v>
      </c>
      <c r="C1435" t="s">
        <v>6770</v>
      </c>
    </row>
    <row r="1436" spans="1:3">
      <c r="A1436" t="s">
        <v>7498</v>
      </c>
      <c r="B1436" t="str">
        <f ca="1">IF(ISBLANK(OFFSET(B1436,0,'Field labels'!$Q$1)),C1436,OFFSET(B1436,0,'Field labels'!$Q$1))</f>
        <v>Operation Trade Execution (694113-LE001838)</v>
      </c>
      <c r="C1436" t="s">
        <v>6772</v>
      </c>
    </row>
    <row r="1437" spans="1:3">
      <c r="A1437" t="s">
        <v>7498</v>
      </c>
      <c r="B1437" t="str">
        <f ca="1">IF(ISBLANK(OFFSET(B1437,0,'Field labels'!$Q$1)),C1437,OFFSET(B1437,0,'Field labels'!$Q$1))</f>
        <v>Origin. Research Mks (663560-LE001838)</v>
      </c>
      <c r="C1437" t="s">
        <v>6778</v>
      </c>
    </row>
    <row r="1438" spans="1:3">
      <c r="A1438" t="s">
        <v>7498</v>
      </c>
      <c r="B1438" t="str">
        <f ca="1">IF(ISBLANK(OFFSET(B1438,0,'Field labels'!$Q$1)),C1438,OFFSET(B1438,0,'Field labels'!$Q$1))</f>
        <v>Origin. Sustaniable Mks (663565-LE001838)</v>
      </c>
      <c r="C1438" t="s">
        <v>6779</v>
      </c>
    </row>
    <row r="1439" spans="1:3">
      <c r="A1439" t="s">
        <v>7498</v>
      </c>
      <c r="B1439" t="str">
        <f ca="1">IF(ISBLANK(OFFSET(B1439,0,'Field labels'!$Q$1)),C1439,OFFSET(B1439,0,'Field labels'!$Q$1))</f>
        <v>Overhead (700012-LE001838)</v>
      </c>
      <c r="C1439" t="s">
        <v>6793</v>
      </c>
    </row>
    <row r="1440" spans="1:3">
      <c r="A1440" t="s">
        <v>7498</v>
      </c>
      <c r="B1440" t="str">
        <f ca="1">IF(ISBLANK(OFFSET(B1440,0,'Field labels'!$Q$1)),C1440,OFFSET(B1440,0,'Field labels'!$Q$1))</f>
        <v>Overhead Adm/Acct Mks (663540-LE001838)</v>
      </c>
      <c r="C1440" t="s">
        <v>6795</v>
      </c>
    </row>
    <row r="1441" spans="1:3">
      <c r="A1441" t="s">
        <v>7498</v>
      </c>
      <c r="B1441" t="str">
        <f ca="1">IF(ISBLANK(OFFSET(B1441,0,'Field labels'!$Q$1)),C1441,OFFSET(B1441,0,'Field labels'!$Q$1))</f>
        <v>Overhead Admin Accounting (663020-LE001838)</v>
      </c>
      <c r="C1441" t="s">
        <v>6796</v>
      </c>
    </row>
    <row r="1442" spans="1:3">
      <c r="A1442" t="s">
        <v>7498</v>
      </c>
      <c r="B1442" t="str">
        <f ca="1">IF(ISBLANK(OFFSET(B1442,0,'Field labels'!$Q$1)),C1442,OFFSET(B1442,0,'Field labels'!$Q$1))</f>
        <v>Overhead Admin Mks (663530-LE001838)</v>
      </c>
      <c r="C1442" t="s">
        <v>6797</v>
      </c>
    </row>
    <row r="1443" spans="1:3">
      <c r="A1443" t="s">
        <v>7498</v>
      </c>
      <c r="B1443" t="str">
        <f ca="1">IF(ISBLANK(OFFSET(B1443,0,'Field labels'!$Q$1)),C1443,OFFSET(B1443,0,'Field labels'!$Q$1))</f>
        <v>Overhead HR Cocoa Plant Gresik (663023-LE001838)</v>
      </c>
      <c r="C1443" t="s">
        <v>6798</v>
      </c>
    </row>
    <row r="1444" spans="1:3">
      <c r="A1444" t="s">
        <v>7498</v>
      </c>
      <c r="B1444" t="str">
        <f ca="1">IF(ISBLANK(OFFSET(B1444,0,'Field labels'!$Q$1)),C1444,OFFSET(B1444,0,'Field labels'!$Q$1))</f>
        <v>Plant Admin (694116-LE001838)</v>
      </c>
      <c r="C1444" t="s">
        <v>6845</v>
      </c>
    </row>
    <row r="1445" spans="1:3">
      <c r="A1445" t="s">
        <v>7498</v>
      </c>
      <c r="B1445" t="str">
        <f ca="1">IF(ISBLANK(OFFSET(B1445,0,'Field labels'!$Q$1)),C1445,OFFSET(B1445,0,'Field labels'!$Q$1))</f>
        <v>Plant EHS (694117-LE001838)</v>
      </c>
      <c r="C1445" t="s">
        <v>6847</v>
      </c>
    </row>
    <row r="1446" spans="1:3">
      <c r="A1446" t="s">
        <v>7498</v>
      </c>
      <c r="B1446" t="str">
        <f ca="1">IF(ISBLANK(OFFSET(B1446,0,'Field labels'!$Q$1)),C1446,OFFSET(B1446,0,'Field labels'!$Q$1))</f>
        <v>Production (694107-LE001838)</v>
      </c>
      <c r="C1446" t="s">
        <v>6905</v>
      </c>
    </row>
    <row r="1447" spans="1:3">
      <c r="A1447" t="s">
        <v>7498</v>
      </c>
      <c r="B1447" t="str">
        <f ca="1">IF(ISBLANK(OFFSET(B1447,0,'Field labels'!$Q$1)),C1447,OFFSET(B1447,0,'Field labels'!$Q$1))</f>
        <v>Psr Admin (703012-LE001838)</v>
      </c>
      <c r="C1447" t="s">
        <v>6961</v>
      </c>
    </row>
    <row r="1448" spans="1:3">
      <c r="A1448" t="s">
        <v>7498</v>
      </c>
      <c r="B1448" t="str">
        <f ca="1">IF(ISBLANK(OFFSET(B1448,0,'Field labels'!$Q$1)),C1448,OFFSET(B1448,0,'Field labels'!$Q$1))</f>
        <v>Psr FSQR (703834-LE001838)</v>
      </c>
      <c r="C1448" t="s">
        <v>6962</v>
      </c>
    </row>
    <row r="1449" spans="1:3">
      <c r="A1449" t="s">
        <v>7498</v>
      </c>
      <c r="B1449" t="str">
        <f ca="1">IF(ISBLANK(OFFSET(B1449,0,'Field labels'!$Q$1)),C1449,OFFSET(B1449,0,'Field labels'!$Q$1))</f>
        <v>Psr Marketing (703009-LE001838)</v>
      </c>
      <c r="C1449" t="s">
        <v>6963</v>
      </c>
    </row>
    <row r="1450" spans="1:3">
      <c r="A1450" t="s">
        <v>7498</v>
      </c>
      <c r="B1450" t="str">
        <f ca="1">IF(ISBLANK(OFFSET(B1450,0,'Field labels'!$Q$1)),C1450,OFFSET(B1450,0,'Field labels'!$Q$1))</f>
        <v>Psr Plant (703007-LE001838)</v>
      </c>
      <c r="C1450" t="s">
        <v>6964</v>
      </c>
    </row>
    <row r="1451" spans="1:3">
      <c r="A1451" t="s">
        <v>7498</v>
      </c>
      <c r="B1451" t="str">
        <f ca="1">IF(ISBLANK(OFFSET(B1451,0,'Field labels'!$Q$1)),C1451,OFFSET(B1451,0,'Field labels'!$Q$1))</f>
        <v>Purwodadi Admin (659012-LE001838)</v>
      </c>
      <c r="C1451" t="s">
        <v>6992</v>
      </c>
    </row>
    <row r="1452" spans="1:3">
      <c r="A1452" t="s">
        <v>7498</v>
      </c>
      <c r="B1452" t="str">
        <f ca="1">IF(ISBLANK(OFFSET(B1452,0,'Field labels'!$Q$1)),C1452,OFFSET(B1452,0,'Field labels'!$Q$1))</f>
        <v>Purwodadi FSQR (659834-LE001838)</v>
      </c>
      <c r="C1452" t="s">
        <v>6993</v>
      </c>
    </row>
    <row r="1453" spans="1:3">
      <c r="A1453" t="s">
        <v>7498</v>
      </c>
      <c r="B1453" t="str">
        <f ca="1">IF(ISBLANK(OFFSET(B1453,0,'Field labels'!$Q$1)),C1453,OFFSET(B1453,0,'Field labels'!$Q$1))</f>
        <v>Purwodadi Plant (659007-LE001838)</v>
      </c>
      <c r="C1453" t="s">
        <v>6994</v>
      </c>
    </row>
    <row r="1454" spans="1:3">
      <c r="A1454" t="s">
        <v>7498</v>
      </c>
      <c r="B1454" t="str">
        <f ca="1">IF(ISBLANK(OFFSET(B1454,0,'Field labels'!$Q$1)),C1454,OFFSET(B1454,0,'Field labels'!$Q$1))</f>
        <v>Quality Control (663057-LE001838)</v>
      </c>
      <c r="C1454" t="s">
        <v>7001</v>
      </c>
    </row>
    <row r="1455" spans="1:3">
      <c r="A1455" t="s">
        <v>7498</v>
      </c>
      <c r="B1455" t="str">
        <f ca="1">IF(ISBLANK(OFFSET(B1455,0,'Field labels'!$Q$1)),C1455,OFFSET(B1455,0,'Field labels'!$Q$1))</f>
        <v>Share Service Corporate Accounting (535100-LE001838)</v>
      </c>
      <c r="C1455" t="s">
        <v>7136</v>
      </c>
    </row>
    <row r="1456" spans="1:3">
      <c r="A1456" t="s">
        <v>7498</v>
      </c>
      <c r="B1456" t="str">
        <f ca="1">IF(ISBLANK(OFFSET(B1456,0,'Field labels'!$Q$1)),C1456,OFFSET(B1456,0,'Field labels'!$Q$1))</f>
        <v>Share Service HRD (535300-LE001838)</v>
      </c>
      <c r="C1456" t="s">
        <v>7137</v>
      </c>
    </row>
    <row r="1457" spans="1:3">
      <c r="A1457" t="s">
        <v>7498</v>
      </c>
      <c r="B1457" t="str">
        <f ca="1">IF(ISBLANK(OFFSET(B1457,0,'Field labels'!$Q$1)),C1457,OFFSET(B1457,0,'Field labels'!$Q$1))</f>
        <v>Share Service Office Service (535400-LE001838)</v>
      </c>
      <c r="C1457" t="s">
        <v>7138</v>
      </c>
    </row>
    <row r="1458" spans="1:3">
      <c r="A1458" t="s">
        <v>7498</v>
      </c>
      <c r="B1458" t="str">
        <f ca="1">IF(ISBLANK(OFFSET(B1458,0,'Field labels'!$Q$1)),C1458,OFFSET(B1458,0,'Field labels'!$Q$1))</f>
        <v>Smg Admin (702012-LE001838)</v>
      </c>
      <c r="C1458" t="s">
        <v>7145</v>
      </c>
    </row>
    <row r="1459" spans="1:3">
      <c r="A1459" t="s">
        <v>7498</v>
      </c>
      <c r="B1459" t="str">
        <f ca="1">IF(ISBLANK(OFFSET(B1459,0,'Field labels'!$Q$1)),C1459,OFFSET(B1459,0,'Field labels'!$Q$1))</f>
        <v>Smg FSQR (702834-LE001838)</v>
      </c>
      <c r="C1459" t="s">
        <v>7146</v>
      </c>
    </row>
    <row r="1460" spans="1:3">
      <c r="A1460" t="s">
        <v>7498</v>
      </c>
      <c r="B1460" t="str">
        <f ca="1">IF(ISBLANK(OFFSET(B1460,0,'Field labels'!$Q$1)),C1460,OFFSET(B1460,0,'Field labels'!$Q$1))</f>
        <v>Smg Marketing (702009-LE001838)</v>
      </c>
      <c r="C1460" t="s">
        <v>7147</v>
      </c>
    </row>
    <row r="1461" spans="1:3">
      <c r="A1461" t="s">
        <v>7498</v>
      </c>
      <c r="B1461" t="str">
        <f ca="1">IF(ISBLANK(OFFSET(B1461,0,'Field labels'!$Q$1)),C1461,OFFSET(B1461,0,'Field labels'!$Q$1))</f>
        <v>Smg Plant (702007-LE001838)</v>
      </c>
      <c r="C1461" t="s">
        <v>7148</v>
      </c>
    </row>
    <row r="1462" spans="1:3">
      <c r="A1462" t="s">
        <v>7498</v>
      </c>
      <c r="B1462" t="str">
        <f ca="1">IF(ISBLANK(OFFSET(B1462,0,'Field labels'!$Q$1)),C1462,OFFSET(B1462,0,'Field labels'!$Q$1))</f>
        <v>SMT (700909-LE001838)</v>
      </c>
      <c r="C1462" t="s">
        <v>7149</v>
      </c>
    </row>
    <row r="1463" spans="1:3">
      <c r="A1463" t="s">
        <v>7498</v>
      </c>
      <c r="B1463" t="str">
        <f ca="1">IF(ISBLANK(OFFSET(B1463,0,'Field labels'!$Q$1)),C1463,OFFSET(B1463,0,'Field labels'!$Q$1))</f>
        <v>SRG Admin (532012-LE001838)</v>
      </c>
      <c r="C1463" t="s">
        <v>7178</v>
      </c>
    </row>
    <row r="1464" spans="1:3">
      <c r="A1464" t="s">
        <v>7498</v>
      </c>
      <c r="B1464" t="str">
        <f ca="1">IF(ISBLANK(OFFSET(B1464,0,'Field labels'!$Q$1)),C1464,OFFSET(B1464,0,'Field labels'!$Q$1))</f>
        <v>Srg FSQR (532834-LE001838)</v>
      </c>
      <c r="C1464" t="s">
        <v>7179</v>
      </c>
    </row>
    <row r="1465" spans="1:3">
      <c r="A1465" t="s">
        <v>7498</v>
      </c>
      <c r="B1465" t="str">
        <f ca="1">IF(ISBLANK(OFFSET(B1465,0,'Field labels'!$Q$1)),C1465,OFFSET(B1465,0,'Field labels'!$Q$1))</f>
        <v>SRG Marketing (532009-LE001838)</v>
      </c>
      <c r="C1465" t="s">
        <v>7180</v>
      </c>
    </row>
    <row r="1466" spans="1:3">
      <c r="A1466" t="s">
        <v>7498</v>
      </c>
      <c r="B1466" t="str">
        <f ca="1">IF(ISBLANK(OFFSET(B1466,0,'Field labels'!$Q$1)),C1466,OFFSET(B1466,0,'Field labels'!$Q$1))</f>
        <v>SRG Plant (532007-LE001838)</v>
      </c>
      <c r="C1466" t="s">
        <v>7181</v>
      </c>
    </row>
    <row r="1467" spans="1:3">
      <c r="A1467" t="s">
        <v>7498</v>
      </c>
      <c r="B1467" t="str">
        <f ca="1">IF(ISBLANK(OFFSET(B1467,0,'Field labels'!$Q$1)),C1467,OFFSET(B1467,0,'Field labels'!$Q$1))</f>
        <v>Strategic Sourcing CSSSEA (535944-LE001838)</v>
      </c>
      <c r="C1467" t="s">
        <v>7194</v>
      </c>
    </row>
    <row r="1468" spans="1:3">
      <c r="A1468" t="s">
        <v>7498</v>
      </c>
      <c r="B1468" t="str">
        <f ca="1">IF(ISBLANK(OFFSET(B1468,0,'Field labels'!$Q$1)),C1468,OFFSET(B1468,0,'Field labels'!$Q$1))</f>
        <v>Strategic Sourcing CTP (535943-LE001838)</v>
      </c>
      <c r="C1468" t="s">
        <v>7195</v>
      </c>
    </row>
    <row r="1469" spans="1:3">
      <c r="A1469" t="s">
        <v>7498</v>
      </c>
      <c r="B1469" t="str">
        <f ca="1">IF(ISBLANK(OFFSET(B1469,0,'Field labels'!$Q$1)),C1469,OFFSET(B1469,0,'Field labels'!$Q$1))</f>
        <v>TAX (535800-LE001838)</v>
      </c>
      <c r="C1469" t="s">
        <v>7363</v>
      </c>
    </row>
    <row r="1470" spans="1:3">
      <c r="A1470" t="s">
        <v>7498</v>
      </c>
      <c r="B1470" t="str">
        <f ca="1">IF(ISBLANK(OFFSET(B1470,0,'Field labels'!$Q$1)),C1470,OFFSET(B1470,0,'Field labels'!$Q$1))</f>
        <v>Warehouse Beans (663045-LE001838)</v>
      </c>
      <c r="C1470" t="s">
        <v>7420</v>
      </c>
    </row>
    <row r="1471" spans="1:3">
      <c r="A1471" t="s">
        <v>7498</v>
      </c>
      <c r="B1471" t="str">
        <f ca="1">IF(ISBLANK(OFFSET(B1471,0,'Field labels'!$Q$1)),C1471,OFFSET(B1471,0,'Field labels'!$Q$1))</f>
        <v>Warehouse Beans GRS (663725-LE001838)</v>
      </c>
      <c r="C1471" t="s">
        <v>7421</v>
      </c>
    </row>
    <row r="1472" spans="1:3">
      <c r="A1472" t="s">
        <v>7498</v>
      </c>
      <c r="B1472" t="str">
        <f ca="1">IF(ISBLANK(OFFSET(B1472,0,'Field labels'!$Q$1)),C1472,OFFSET(B1472,0,'Field labels'!$Q$1))</f>
        <v>Warehouse Beans KS (663525-LE001838)</v>
      </c>
      <c r="C1472" t="s">
        <v>7422</v>
      </c>
    </row>
    <row r="1473" spans="1:3">
      <c r="A1473" t="s">
        <v>7498</v>
      </c>
      <c r="B1473" t="str">
        <f ca="1">IF(ISBLANK(OFFSET(B1473,0,'Field labels'!$Q$1)),C1473,OFFSET(B1473,0,'Field labels'!$Q$1))</f>
        <v>Warehouse Beans Palu (663625-LE001838)</v>
      </c>
      <c r="C1473" t="s">
        <v>7423</v>
      </c>
    </row>
    <row r="1474" spans="1:3">
      <c r="A1474" t="s">
        <v>7498</v>
      </c>
      <c r="B1474" t="str">
        <f ca="1">IF(ISBLANK(OFFSET(B1474,0,'Field labels'!$Q$1)),C1474,OFFSET(B1474,0,'Field labels'!$Q$1))</f>
        <v>Warehouse Product (663047-LE001838)</v>
      </c>
      <c r="C1474" t="s">
        <v>7426</v>
      </c>
    </row>
    <row r="1475" spans="1:3">
      <c r="A1475" t="s">
        <v>7498</v>
      </c>
      <c r="B1475" t="str">
        <f ca="1">IF(ISBLANK(OFFSET(B1475,0,'Field labels'!$Q$1)),C1475,OFFSET(B1475,0,'Field labels'!$Q$1))</f>
        <v>WTU Oils (695202-LE001838)</v>
      </c>
      <c r="C1475" t="s">
        <v>7443</v>
      </c>
    </row>
    <row r="1476" spans="1:3">
      <c r="A1476" t="s">
        <v>7489</v>
      </c>
      <c r="B1476" t="str">
        <f ca="1">IF(ISBLANK(OFFSET(B1476,0,'Field labels'!$Q$1)),C1476,OFFSET(B1476,0,'Field labels'!$Q$1))</f>
        <v>A224 KL MERCHANDISING NWP (122000075-LE001911)</v>
      </c>
      <c r="C1476" t="s">
        <v>5422</v>
      </c>
    </row>
    <row r="1477" spans="1:3">
      <c r="A1477" t="s">
        <v>7489</v>
      </c>
      <c r="B1477" t="str">
        <f ca="1">IF(ISBLANK(OFFSET(B1477,0,'Field labels'!$Q$1)),C1477,OFFSET(B1477,0,'Field labels'!$Q$1))</f>
        <v>A230 KL BASE REFINING (122000074-LE001911)</v>
      </c>
      <c r="C1477" t="s">
        <v>5423</v>
      </c>
    </row>
    <row r="1478" spans="1:3">
      <c r="A1478" t="s">
        <v>7489</v>
      </c>
      <c r="B1478" t="str">
        <f ca="1">IF(ISBLANK(OFFSET(B1478,0,'Field labels'!$Q$1)),C1478,OFFSET(B1478,0,'Field labels'!$Q$1))</f>
        <v>A230 KL FINANCE (122000069-LE001911)</v>
      </c>
      <c r="C1478" t="s">
        <v>5424</v>
      </c>
    </row>
    <row r="1479" spans="1:3">
      <c r="A1479" t="s">
        <v>7489</v>
      </c>
      <c r="B1479" t="str">
        <f ca="1">IF(ISBLANK(OFFSET(B1479,0,'Field labels'!$Q$1)),C1479,OFFSET(B1479,0,'Field labels'!$Q$1))</f>
        <v>A230 KL GENERAL ADMIN (122000076-LE001911)</v>
      </c>
      <c r="C1479" t="s">
        <v>5425</v>
      </c>
    </row>
    <row r="1480" spans="1:3">
      <c r="A1480" t="s">
        <v>7489</v>
      </c>
      <c r="B1480" t="str">
        <f ca="1">IF(ISBLANK(OFFSET(B1480,0,'Field labels'!$Q$1)),C1480,OFFSET(B1480,0,'Field labels'!$Q$1))</f>
        <v>A230 KL PRODUCT APPLICATION (122000083-LE001911)</v>
      </c>
      <c r="C1480" t="s">
        <v>5426</v>
      </c>
    </row>
    <row r="1481" spans="1:3">
      <c r="A1481" t="s">
        <v>7489</v>
      </c>
      <c r="B1481" t="str">
        <f ca="1">IF(ISBLANK(OFFSET(B1481,0,'Field labels'!$Q$1)),C1481,OFFSET(B1481,0,'Field labels'!$Q$1))</f>
        <v>A230 KL SUPPLY CHAIN OFFICE (122000142-LE001911)</v>
      </c>
      <c r="C1481" t="s">
        <v>5427</v>
      </c>
    </row>
    <row r="1482" spans="1:3">
      <c r="A1482" t="s">
        <v>7489</v>
      </c>
      <c r="B1482" t="str">
        <f ca="1">IF(ISBLANK(OFFSET(B1482,0,'Field labels'!$Q$1)),C1482,OFFSET(B1482,0,'Field labels'!$Q$1))</f>
        <v>A230 KL TRADE EXECUTION (122000079-LE001911)</v>
      </c>
      <c r="C1482" t="s">
        <v>5428</v>
      </c>
    </row>
    <row r="1483" spans="1:3">
      <c r="A1483" t="s">
        <v>7489</v>
      </c>
      <c r="B1483" t="str">
        <f ca="1">IF(ISBLANK(OFFSET(B1483,0,'Field labels'!$Q$1)),C1483,OFFSET(B1483,0,'Field labels'!$Q$1))</f>
        <v>A230 KTN BOILER (122000035-LE001911)</v>
      </c>
      <c r="C1483" t="s">
        <v>5429</v>
      </c>
    </row>
    <row r="1484" spans="1:3">
      <c r="A1484" t="s">
        <v>7489</v>
      </c>
      <c r="B1484" t="str">
        <f ca="1">IF(ISBLANK(OFFSET(B1484,0,'Field labels'!$Q$1)),C1484,OFFSET(B1484,0,'Field labels'!$Q$1))</f>
        <v>A230 KTN LAB (122000037-LE001911)</v>
      </c>
      <c r="C1484" t="s">
        <v>5430</v>
      </c>
    </row>
    <row r="1485" spans="1:3">
      <c r="A1485" t="s">
        <v>7489</v>
      </c>
      <c r="B1485" t="str">
        <f ca="1">IF(ISBLANK(OFFSET(B1485,0,'Field labels'!$Q$1)),C1485,OFFSET(B1485,0,'Field labels'!$Q$1))</f>
        <v>A230 KTN OPERATION LOADING (122000043-LE001911)</v>
      </c>
      <c r="C1485" t="s">
        <v>5431</v>
      </c>
    </row>
    <row r="1486" spans="1:3">
      <c r="A1486" t="s">
        <v>7489</v>
      </c>
      <c r="B1486" t="str">
        <f ca="1">IF(ISBLANK(OFFSET(B1486,0,'Field labels'!$Q$1)),C1486,OFFSET(B1486,0,'Field labels'!$Q$1))</f>
        <v>A230 KTN POF (122000034-LE001911)</v>
      </c>
      <c r="C1486" t="s">
        <v>5432</v>
      </c>
    </row>
    <row r="1487" spans="1:3">
      <c r="A1487" t="s">
        <v>7489</v>
      </c>
      <c r="B1487" t="str">
        <f ca="1">IF(ISBLANK(OFFSET(B1487,0,'Field labels'!$Q$1)),C1487,OFFSET(B1487,0,'Field labels'!$Q$1))</f>
        <v>A230 KTN PRODUCTN OFFICE (PAYROLL) (122000039-LE001911)</v>
      </c>
      <c r="C1487" t="s">
        <v>5433</v>
      </c>
    </row>
    <row r="1488" spans="1:3">
      <c r="A1488" t="s">
        <v>7489</v>
      </c>
      <c r="B1488" t="str">
        <f ca="1">IF(ISBLANK(OFFSET(B1488,0,'Field labels'!$Q$1)),C1488,OFFSET(B1488,0,'Field labels'!$Q$1))</f>
        <v>A230 KTN REFINING (122000033-LE001911)</v>
      </c>
      <c r="C1488" t="s">
        <v>5434</v>
      </c>
    </row>
    <row r="1489" spans="1:3">
      <c r="A1489" t="s">
        <v>7489</v>
      </c>
      <c r="B1489" t="str">
        <f ca="1">IF(ISBLANK(OFFSET(B1489,0,'Field labels'!$Q$1)),C1489,OFFSET(B1489,0,'Field labels'!$Q$1))</f>
        <v>A230 KTN REPAIRED AND MAINTENANCE (122000040-LE001911)</v>
      </c>
      <c r="C1489" t="s">
        <v>5435</v>
      </c>
    </row>
    <row r="1490" spans="1:3">
      <c r="A1490" t="s">
        <v>7489</v>
      </c>
      <c r="B1490" t="str">
        <f ca="1">IF(ISBLANK(OFFSET(B1490,0,'Field labels'!$Q$1)),C1490,OFFSET(B1490,0,'Field labels'!$Q$1))</f>
        <v>A230 KTN TANK FARM (122000068-LE001911)</v>
      </c>
      <c r="C1490" t="s">
        <v>5436</v>
      </c>
    </row>
    <row r="1491" spans="1:3">
      <c r="A1491" t="s">
        <v>7489</v>
      </c>
      <c r="B1491" t="str">
        <f ca="1">IF(ISBLANK(OFFSET(B1491,0,'Field labels'!$Q$1)),C1491,OFFSET(B1491,0,'Field labels'!$Q$1))</f>
        <v>A230 PK BOILER (122000016-LE001911)</v>
      </c>
      <c r="C1491" t="s">
        <v>5437</v>
      </c>
    </row>
    <row r="1492" spans="1:3">
      <c r="A1492" t="s">
        <v>7489</v>
      </c>
      <c r="B1492" t="str">
        <f ca="1">IF(ISBLANK(OFFSET(B1492,0,'Field labels'!$Q$1)),C1492,OFFSET(B1492,0,'Field labels'!$Q$1))</f>
        <v>A230 PK ENVIRONMENT HEALTH &amp; SAFETY (122000026-LE001911)</v>
      </c>
      <c r="C1492" t="s">
        <v>5438</v>
      </c>
    </row>
    <row r="1493" spans="1:3">
      <c r="A1493" t="s">
        <v>7489</v>
      </c>
      <c r="B1493" t="str">
        <f ca="1">IF(ISBLANK(OFFSET(B1493,0,'Field labels'!$Q$1)),C1493,OFFSET(B1493,0,'Field labels'!$Q$1))</f>
        <v>A230 PK LAB (122000018-LE001911)</v>
      </c>
      <c r="C1493" t="s">
        <v>5439</v>
      </c>
    </row>
    <row r="1494" spans="1:3">
      <c r="A1494" t="s">
        <v>7489</v>
      </c>
      <c r="B1494" t="str">
        <f ca="1">IF(ISBLANK(OFFSET(B1494,0,'Field labels'!$Q$1)),C1494,OFFSET(B1494,0,'Field labels'!$Q$1))</f>
        <v>A230 PK LOADING (122000019-LE001911)</v>
      </c>
      <c r="C1494" t="s">
        <v>5440</v>
      </c>
    </row>
    <row r="1495" spans="1:3">
      <c r="A1495" t="s">
        <v>7489</v>
      </c>
      <c r="B1495" t="str">
        <f ca="1">IF(ISBLANK(OFFSET(B1495,0,'Field labels'!$Q$1)),C1495,OFFSET(B1495,0,'Field labels'!$Q$1))</f>
        <v>A230 PK LOGISTICS (122000022-LE001911)</v>
      </c>
      <c r="C1495" t="s">
        <v>5441</v>
      </c>
    </row>
    <row r="1496" spans="1:3">
      <c r="A1496" t="s">
        <v>7489</v>
      </c>
      <c r="B1496" t="str">
        <f ca="1">IF(ISBLANK(OFFSET(B1496,0,'Field labels'!$Q$1)),C1496,OFFSET(B1496,0,'Field labels'!$Q$1))</f>
        <v>A230 PK LURGI (122000001-LE001911)</v>
      </c>
      <c r="C1496" t="s">
        <v>5442</v>
      </c>
    </row>
    <row r="1497" spans="1:3">
      <c r="A1497" t="s">
        <v>7489</v>
      </c>
      <c r="B1497" t="str">
        <f ca="1">IF(ISBLANK(OFFSET(B1497,0,'Field labels'!$Q$1)),C1497,OFFSET(B1497,0,'Field labels'!$Q$1))</f>
        <v>A230 PK NEUTRALISATION PLANT (122000005-LE001911)</v>
      </c>
      <c r="C1497" t="s">
        <v>5443</v>
      </c>
    </row>
    <row r="1498" spans="1:3">
      <c r="A1498" t="s">
        <v>7489</v>
      </c>
      <c r="B1498" t="str">
        <f ca="1">IF(ISBLANK(OFFSET(B1498,0,'Field labels'!$Q$1)),C1498,OFFSET(B1498,0,'Field labels'!$Q$1))</f>
        <v>A230 PK OFFICE ADMIN (122000140-LE001911)</v>
      </c>
      <c r="C1498" t="s">
        <v>5444</v>
      </c>
    </row>
    <row r="1499" spans="1:3">
      <c r="A1499" t="s">
        <v>7489</v>
      </c>
      <c r="B1499" t="str">
        <f ca="1">IF(ISBLANK(OFFSET(B1499,0,'Field labels'!$Q$1)),C1499,OFFSET(B1499,0,'Field labels'!$Q$1))</f>
        <v>A230 PK PACKAGING OFFICE (122000138-LE001911)</v>
      </c>
      <c r="C1499" t="s">
        <v>5445</v>
      </c>
    </row>
    <row r="1500" spans="1:3">
      <c r="A1500" t="s">
        <v>7489</v>
      </c>
      <c r="B1500" t="str">
        <f ca="1">IF(ISBLANK(OFFSET(B1500,0,'Field labels'!$Q$1)),C1500,OFFSET(B1500,0,'Field labels'!$Q$1))</f>
        <v>A230 PK POF (122000002-LE001911)</v>
      </c>
      <c r="C1500" t="s">
        <v>5446</v>
      </c>
    </row>
    <row r="1501" spans="1:3">
      <c r="A1501" t="s">
        <v>7489</v>
      </c>
      <c r="B1501" t="str">
        <f ca="1">IF(ISBLANK(OFFSET(B1501,0,'Field labels'!$Q$1)),C1501,OFFSET(B1501,0,'Field labels'!$Q$1))</f>
        <v>A230 PK PRODUCTION OFFICE (PAYROLL) (122000020-LE001911)</v>
      </c>
      <c r="C1501" t="s">
        <v>5447</v>
      </c>
    </row>
    <row r="1502" spans="1:3">
      <c r="A1502" t="s">
        <v>7489</v>
      </c>
      <c r="B1502" t="str">
        <f ca="1">IF(ISBLANK(OFFSET(B1502,0,'Field labels'!$Q$1)),C1502,OFFSET(B1502,0,'Field labels'!$Q$1))</f>
        <v>A230 PK PROJECT (122000031-LE001911)</v>
      </c>
      <c r="C1502" t="s">
        <v>5448</v>
      </c>
    </row>
    <row r="1503" spans="1:3">
      <c r="A1503" t="s">
        <v>7489</v>
      </c>
      <c r="B1503" t="str">
        <f ca="1">IF(ISBLANK(OFFSET(B1503,0,'Field labels'!$Q$1)),C1503,OFFSET(B1503,0,'Field labels'!$Q$1))</f>
        <v>A230 PK REPAIRED AND MAINTENANCE (122000024-LE001911)</v>
      </c>
      <c r="C1503" t="s">
        <v>5449</v>
      </c>
    </row>
    <row r="1504" spans="1:3">
      <c r="A1504" t="s">
        <v>7489</v>
      </c>
      <c r="B1504" t="str">
        <f ca="1">IF(ISBLANK(OFFSET(B1504,0,'Field labels'!$Q$1)),C1504,OFFSET(B1504,0,'Field labels'!$Q$1))</f>
        <v>A230 PK WAREHOUSE (122000021-LE001911)</v>
      </c>
      <c r="C1504" t="s">
        <v>5450</v>
      </c>
    </row>
    <row r="1505" spans="1:3">
      <c r="A1505" t="s">
        <v>7489</v>
      </c>
      <c r="B1505" t="str">
        <f ca="1">IF(ISBLANK(OFFSET(B1505,0,'Field labels'!$Q$1)),C1505,OFFSET(B1505,0,'Field labels'!$Q$1))</f>
        <v>A230 PK WEIGHBRIDGE (122000025-LE001911)</v>
      </c>
      <c r="C1505" t="s">
        <v>5451</v>
      </c>
    </row>
    <row r="1506" spans="1:3">
      <c r="A1506" t="s">
        <v>7489</v>
      </c>
      <c r="B1506" t="str">
        <f ca="1">IF(ISBLANK(OFFSET(B1506,0,'Field labels'!$Q$1)),C1506,OFFSET(B1506,0,'Field labels'!$Q$1))</f>
        <v>A230 WP WEIGHBRIDGE (122000065-LE001911)</v>
      </c>
      <c r="C1506" t="s">
        <v>5452</v>
      </c>
    </row>
    <row r="1507" spans="1:3">
      <c r="A1507" t="s">
        <v>7489</v>
      </c>
      <c r="B1507" t="str">
        <f ca="1">IF(ISBLANK(OFFSET(B1507,0,'Field labels'!$Q$1)),C1507,OFFSET(B1507,0,'Field labels'!$Q$1))</f>
        <v>A231 KL DEMAND PLANNING (122000141-LE001911)</v>
      </c>
      <c r="C1507" t="s">
        <v>5453</v>
      </c>
    </row>
    <row r="1508" spans="1:3">
      <c r="A1508" t="s">
        <v>7489</v>
      </c>
      <c r="B1508" t="str">
        <f ca="1">IF(ISBLANK(OFFSET(B1508,0,'Field labels'!$Q$1)),C1508,OFFSET(B1508,0,'Field labels'!$Q$1))</f>
        <v>A231 KL SALES &amp; MARKETING NWP (122000073-LE001911)</v>
      </c>
      <c r="C1508" t="s">
        <v>5454</v>
      </c>
    </row>
    <row r="1509" spans="1:3">
      <c r="A1509" t="s">
        <v>7489</v>
      </c>
      <c r="B1509" t="str">
        <f ca="1">IF(ISBLANK(OFFSET(B1509,0,'Field labels'!$Q$1)),C1509,OFFSET(B1509,0,'Field labels'!$Q$1))</f>
        <v>A231 KL SALES &amp; MARKETING WP (122000112-LE001911)</v>
      </c>
      <c r="C1509" t="s">
        <v>5455</v>
      </c>
    </row>
    <row r="1510" spans="1:3">
      <c r="A1510" t="s">
        <v>7489</v>
      </c>
      <c r="B1510" t="str">
        <f ca="1">IF(ISBLANK(OFFSET(B1510,0,'Field labels'!$Q$1)),C1510,OFFSET(B1510,0,'Field labels'!$Q$1))</f>
        <v>A231 PK HYDRO (122000006-LE001911)</v>
      </c>
      <c r="C1510" t="s">
        <v>5456</v>
      </c>
    </row>
    <row r="1511" spans="1:3">
      <c r="A1511" t="s">
        <v>7489</v>
      </c>
      <c r="B1511" t="str">
        <f ca="1">IF(ISBLANK(OFFSET(B1511,0,'Field labels'!$Q$1)),C1511,OFFSET(B1511,0,'Field labels'!$Q$1))</f>
        <v>A231 PK LINE 1A (122000007-LE001911)</v>
      </c>
      <c r="C1511" t="s">
        <v>5457</v>
      </c>
    </row>
    <row r="1512" spans="1:3">
      <c r="A1512" t="s">
        <v>7489</v>
      </c>
      <c r="B1512" t="str">
        <f ca="1">IF(ISBLANK(OFFSET(B1512,0,'Field labels'!$Q$1)),C1512,OFFSET(B1512,0,'Field labels'!$Q$1))</f>
        <v>A231 PK LINE 1B (122000008-LE001911)</v>
      </c>
      <c r="C1512" t="s">
        <v>5458</v>
      </c>
    </row>
    <row r="1513" spans="1:3">
      <c r="A1513" t="s">
        <v>7489</v>
      </c>
      <c r="B1513" t="str">
        <f ca="1">IF(ISBLANK(OFFSET(B1513,0,'Field labels'!$Q$1)),C1513,OFFSET(B1513,0,'Field labels'!$Q$1))</f>
        <v>A231 PK LINE 1C CARTON PACKING (122000009-LE001911)</v>
      </c>
      <c r="C1513" t="s">
        <v>5459</v>
      </c>
    </row>
    <row r="1514" spans="1:3">
      <c r="A1514" t="s">
        <v>7489</v>
      </c>
      <c r="B1514" t="str">
        <f ca="1">IF(ISBLANK(OFFSET(B1514,0,'Field labels'!$Q$1)),C1514,OFFSET(B1514,0,'Field labels'!$Q$1))</f>
        <v>A231 PK LINE 1E  VOTATORISEDPACKING (122000010-LE001911)</v>
      </c>
      <c r="C1514" t="s">
        <v>5460</v>
      </c>
    </row>
    <row r="1515" spans="1:3">
      <c r="A1515" t="s">
        <v>7489</v>
      </c>
      <c r="B1515" t="str">
        <f ca="1">IF(ISBLANK(OFFSET(B1515,0,'Field labels'!$Q$1)),C1515,OFFSET(B1515,0,'Field labels'!$Q$1))</f>
        <v>A231 PK LINE 2B (122000011-LE001911)</v>
      </c>
      <c r="C1515" t="s">
        <v>5461</v>
      </c>
    </row>
    <row r="1516" spans="1:3">
      <c r="A1516" t="s">
        <v>7489</v>
      </c>
      <c r="B1516" t="str">
        <f ca="1">IF(ISBLANK(OFFSET(B1516,0,'Field labels'!$Q$1)),C1516,OFFSET(B1516,0,'Field labels'!$Q$1))</f>
        <v>A231 PK LINE 3A (122000012-LE001911)</v>
      </c>
      <c r="C1516" t="s">
        <v>5462</v>
      </c>
    </row>
    <row r="1517" spans="1:3">
      <c r="A1517" t="s">
        <v>7489</v>
      </c>
      <c r="B1517" t="str">
        <f ca="1">IF(ISBLANK(OFFSET(B1517,0,'Field labels'!$Q$1)),C1517,OFFSET(B1517,0,'Field labels'!$Q$1))</f>
        <v>A231 PK LINE 3B (122000013-LE001911)</v>
      </c>
      <c r="C1517" t="s">
        <v>5463</v>
      </c>
    </row>
    <row r="1518" spans="1:3">
      <c r="A1518" t="s">
        <v>7489</v>
      </c>
      <c r="B1518" t="str">
        <f ca="1">IF(ISBLANK(OFFSET(B1518,0,'Field labels'!$Q$1)),C1518,OFFSET(B1518,0,'Field labels'!$Q$1))</f>
        <v>A231 PK LINE 3C (122000014-LE001911)</v>
      </c>
      <c r="C1518" t="s">
        <v>5464</v>
      </c>
    </row>
    <row r="1519" spans="1:3">
      <c r="A1519" t="s">
        <v>7489</v>
      </c>
      <c r="B1519" t="str">
        <f ca="1">IF(ISBLANK(OFFSET(B1519,0,'Field labels'!$Q$1)),C1519,OFFSET(B1519,0,'Field labels'!$Q$1))</f>
        <v>A231 PK MULTI STOCK (122000004-LE001911)</v>
      </c>
      <c r="C1519" t="s">
        <v>5465</v>
      </c>
    </row>
    <row r="1520" spans="1:3">
      <c r="A1520" t="s">
        <v>7489</v>
      </c>
      <c r="B1520" t="str">
        <f ca="1">IF(ISBLANK(OFFSET(B1520,0,'Field labels'!$Q$1)),C1520,OFFSET(B1520,0,'Field labels'!$Q$1))</f>
        <v>A231 WP BOILER (122000056-LE001911)</v>
      </c>
      <c r="C1520" t="s">
        <v>5466</v>
      </c>
    </row>
    <row r="1521" spans="1:3">
      <c r="A1521" t="s">
        <v>7489</v>
      </c>
      <c r="B1521" t="str">
        <f ca="1">IF(ISBLANK(OFFSET(B1521,0,'Field labels'!$Q$1)),C1521,OFFSET(B1521,0,'Field labels'!$Q$1))</f>
        <v>A231 WP HYDRO (122000049-LE001911)</v>
      </c>
      <c r="C1521" t="s">
        <v>5467</v>
      </c>
    </row>
    <row r="1522" spans="1:3">
      <c r="A1522" t="s">
        <v>7489</v>
      </c>
      <c r="B1522" t="str">
        <f ca="1">IF(ISBLANK(OFFSET(B1522,0,'Field labels'!$Q$1)),C1522,OFFSET(B1522,0,'Field labels'!$Q$1))</f>
        <v>A231 WP LAB (122000058-LE001911)</v>
      </c>
      <c r="C1522" t="s">
        <v>5468</v>
      </c>
    </row>
    <row r="1523" spans="1:3">
      <c r="A1523" t="s">
        <v>7489</v>
      </c>
      <c r="B1523" t="str">
        <f ca="1">IF(ISBLANK(OFFSET(B1523,0,'Field labels'!$Q$1)),C1523,OFFSET(B1523,0,'Field labels'!$Q$1))</f>
        <v>A231 WP LINE 1F (122000053-LE001911)</v>
      </c>
      <c r="C1523" t="s">
        <v>5469</v>
      </c>
    </row>
    <row r="1524" spans="1:3">
      <c r="A1524" t="s">
        <v>7489</v>
      </c>
      <c r="B1524" t="str">
        <f ca="1">IF(ISBLANK(OFFSET(B1524,0,'Field labels'!$Q$1)),C1524,OFFSET(B1524,0,'Field labels'!$Q$1))</f>
        <v>A231 WP Line 1G (BIB) (122000055-LE001911)</v>
      </c>
      <c r="C1524" t="s">
        <v>5470</v>
      </c>
    </row>
    <row r="1525" spans="1:3">
      <c r="A1525" t="s">
        <v>7489</v>
      </c>
      <c r="B1525" t="str">
        <f ca="1">IF(ISBLANK(OFFSET(B1525,0,'Field labels'!$Q$1)),C1525,OFFSET(B1525,0,'Field labels'!$Q$1))</f>
        <v>A231 WP Line 5 (IBC/DRUM) (122000054-LE001911)</v>
      </c>
      <c r="C1525" t="s">
        <v>5471</v>
      </c>
    </row>
    <row r="1526" spans="1:3">
      <c r="A1526" t="s">
        <v>7489</v>
      </c>
      <c r="B1526" t="str">
        <f ca="1">IF(ISBLANK(OFFSET(B1526,0,'Field labels'!$Q$1)),C1526,OFFSET(B1526,0,'Field labels'!$Q$1))</f>
        <v>A231 WP LOADING (122000059-LE001911)</v>
      </c>
      <c r="C1526" t="s">
        <v>5472</v>
      </c>
    </row>
    <row r="1527" spans="1:3">
      <c r="A1527" t="s">
        <v>7489</v>
      </c>
      <c r="B1527" t="str">
        <f ca="1">IF(ISBLANK(OFFSET(B1527,0,'Field labels'!$Q$1)),C1527,OFFSET(B1527,0,'Field labels'!$Q$1))</f>
        <v>A231 WP MULTI STOCK (122000048-LE001911)</v>
      </c>
      <c r="C1527" t="s">
        <v>5473</v>
      </c>
    </row>
    <row r="1528" spans="1:3">
      <c r="A1528" t="s">
        <v>7489</v>
      </c>
      <c r="B1528" t="str">
        <f ca="1">IF(ISBLANK(OFFSET(B1528,0,'Field labels'!$Q$1)),C1528,OFFSET(B1528,0,'Field labels'!$Q$1))</f>
        <v>A231 WP NEUTRALISATION PLANT (122000050-LE001911)</v>
      </c>
      <c r="C1528" t="s">
        <v>5474</v>
      </c>
    </row>
    <row r="1529" spans="1:3">
      <c r="A1529" t="s">
        <v>7489</v>
      </c>
      <c r="B1529" t="str">
        <f ca="1">IF(ISBLANK(OFFSET(B1529,0,'Field labels'!$Q$1)),C1529,OFFSET(B1529,0,'Field labels'!$Q$1))</f>
        <v>A231 WP OFFICE ADMIN (122000139-LE001911)</v>
      </c>
      <c r="C1529" t="s">
        <v>5475</v>
      </c>
    </row>
    <row r="1530" spans="1:3">
      <c r="A1530" t="s">
        <v>7489</v>
      </c>
      <c r="B1530" t="str">
        <f ca="1">IF(ISBLANK(OFFSET(B1530,0,'Field labels'!$Q$1)),C1530,OFFSET(B1530,0,'Field labels'!$Q$1))</f>
        <v>A231 WP PKOF (122000047-LE001911)</v>
      </c>
      <c r="C1530" t="s">
        <v>5476</v>
      </c>
    </row>
    <row r="1531" spans="1:3">
      <c r="A1531" t="s">
        <v>7489</v>
      </c>
      <c r="B1531" t="str">
        <f ca="1">IF(ISBLANK(OFFSET(B1531,0,'Field labels'!$Q$1)),C1531,OFFSET(B1531,0,'Field labels'!$Q$1))</f>
        <v>A231 WP PRODUCTN OFFICE (PAYROLL) (122000060-LE001911)</v>
      </c>
      <c r="C1531" t="s">
        <v>5477</v>
      </c>
    </row>
    <row r="1532" spans="1:3">
      <c r="A1532" t="s">
        <v>7489</v>
      </c>
      <c r="B1532" t="str">
        <f ca="1">IF(ISBLANK(OFFSET(B1532,0,'Field labels'!$Q$1)),C1532,OFFSET(B1532,0,'Field labels'!$Q$1))</f>
        <v>A231 WP REPAIRED AND MAINTENANCE (122000064-LE001911)</v>
      </c>
      <c r="C1532" t="s">
        <v>5478</v>
      </c>
    </row>
    <row r="1533" spans="1:3">
      <c r="A1533" t="s">
        <v>7489</v>
      </c>
      <c r="B1533" t="str">
        <f ca="1">IF(ISBLANK(OFFSET(B1533,0,'Field labels'!$Q$1)),C1533,OFFSET(B1533,0,'Field labels'!$Q$1))</f>
        <v>A231 WP SCD PLANT (122000051-LE001911)</v>
      </c>
      <c r="C1533" t="s">
        <v>5479</v>
      </c>
    </row>
    <row r="1534" spans="1:3">
      <c r="A1534" t="s">
        <v>7489</v>
      </c>
      <c r="B1534" t="str">
        <f ca="1">IF(ISBLANK(OFFSET(B1534,0,'Field labels'!$Q$1)),C1534,OFFSET(B1534,0,'Field labels'!$Q$1))</f>
        <v>A231 WP SHIPPING (122000062-LE001911)</v>
      </c>
      <c r="C1534" t="s">
        <v>5480</v>
      </c>
    </row>
    <row r="1535" spans="1:3">
      <c r="A1535" t="s">
        <v>7489</v>
      </c>
      <c r="B1535" t="str">
        <f ca="1">IF(ISBLANK(OFFSET(B1535,0,'Field labels'!$Q$1)),C1535,OFFSET(B1535,0,'Field labels'!$Q$1))</f>
        <v>A231 WP WAREHOUSE (122000061-LE001911)</v>
      </c>
      <c r="C1535" t="s">
        <v>5481</v>
      </c>
    </row>
    <row r="1536" spans="1:3">
      <c r="A1536" t="s">
        <v>7489</v>
      </c>
      <c r="B1536" t="str">
        <f ca="1">IF(ISBLANK(OFFSET(B1536,0,'Field labels'!$Q$1)),C1536,OFFSET(B1536,0,'Field labels'!$Q$1))</f>
        <v>A231 WP WINTERIZATION PLANT (122000052-LE001911)</v>
      </c>
      <c r="C1536" t="s">
        <v>5482</v>
      </c>
    </row>
    <row r="1537" spans="1:3">
      <c r="A1537" t="s">
        <v>7489</v>
      </c>
      <c r="B1537" t="str">
        <f ca="1">IF(ISBLANK(OFFSET(B1537,0,'Field labels'!$Q$1)),C1537,OFFSET(B1537,0,'Field labels'!$Q$1))</f>
        <v>KL Trading (122000143-LE001911)</v>
      </c>
      <c r="C1537" t="s">
        <v>6633</v>
      </c>
    </row>
    <row r="1538" spans="1:3">
      <c r="A1538" t="s">
        <v>7527</v>
      </c>
      <c r="B1538" t="str">
        <f ca="1">IF(ISBLANK(OFFSET(B1538,0,'Field labels'!$Q$1)),C1538,OFFSET(B1538,0,'Field labels'!$Q$1))</f>
        <v>CTSL - PNL Animal Protein (790860-LE001913)</v>
      </c>
      <c r="C1538" t="s">
        <v>6029</v>
      </c>
    </row>
    <row r="1539" spans="1:3">
      <c r="A1539" t="s">
        <v>7536</v>
      </c>
      <c r="B1539" t="str">
        <f ca="1">IF(ISBLANK(OFFSET(B1539,0,'Field labels'!$Q$1)),C1539,OFFSET(B1539,0,'Field labels'!$Q$1))</f>
        <v>Foshan Aqua (847309-LE001922)</v>
      </c>
      <c r="C1539" t="s">
        <v>6245</v>
      </c>
    </row>
    <row r="1540" spans="1:3">
      <c r="A1540" t="s">
        <v>7536</v>
      </c>
      <c r="B1540" t="str">
        <f ca="1">IF(ISBLANK(OFFSET(B1540,0,'Field labels'!$Q$1)),C1540,OFFSET(B1540,0,'Field labels'!$Q$1))</f>
        <v>Foshan Hog (845109-LE001922)</v>
      </c>
      <c r="C1540" t="s">
        <v>6246</v>
      </c>
    </row>
    <row r="1541" spans="1:3">
      <c r="A1541" t="s">
        <v>7536</v>
      </c>
      <c r="B1541" t="str">
        <f ca="1">IF(ISBLANK(OFFSET(B1541,0,'Field labels'!$Q$1)),C1541,OFFSET(B1541,0,'Field labels'!$Q$1))</f>
        <v>Foshan Plant (845007-LE001922)</v>
      </c>
      <c r="C1541" t="s">
        <v>6247</v>
      </c>
    </row>
    <row r="1542" spans="1:3">
      <c r="A1542" t="s">
        <v>7536</v>
      </c>
      <c r="B1542" t="str">
        <f ca="1">IF(ISBLANK(OFFSET(B1542,0,'Field labels'!$Q$1)),C1542,OFFSET(B1542,0,'Field labels'!$Q$1))</f>
        <v>Functional-CFN Fosha (845812-LE001922)</v>
      </c>
      <c r="C1542" t="s">
        <v>6404</v>
      </c>
    </row>
    <row r="1543" spans="1:3">
      <c r="A1543" t="s">
        <v>7529</v>
      </c>
      <c r="B1543" t="str">
        <f ca="1">IF(ISBLANK(OFFSET(B1543,0,'Field labels'!$Q$1)),C1543,OFFSET(B1543,0,'Field labels'!$Q$1))</f>
        <v>Estate EHS (690111-LE001929)</v>
      </c>
      <c r="C1543" t="s">
        <v>6146</v>
      </c>
    </row>
    <row r="1544" spans="1:3">
      <c r="A1544" t="s">
        <v>7513</v>
      </c>
      <c r="B1544" t="str">
        <f ca="1">IF(ISBLANK(OFFSET(B1544,0,'Field labels'!$Q$1)),C1544,OFFSET(B1544,0,'Field labels'!$Q$1))</f>
        <v>Chongqing Aqua (467309-LE001937)</v>
      </c>
      <c r="C1544" t="s">
        <v>5729</v>
      </c>
    </row>
    <row r="1545" spans="1:3">
      <c r="A1545" t="s">
        <v>7513</v>
      </c>
      <c r="B1545" t="str">
        <f ca="1">IF(ISBLANK(OFFSET(B1545,0,'Field labels'!$Q$1)),C1545,OFFSET(B1545,0,'Field labels'!$Q$1))</f>
        <v>Chongqing Hog (833109-LE001937)</v>
      </c>
      <c r="C1545" t="s">
        <v>5730</v>
      </c>
    </row>
    <row r="1546" spans="1:3">
      <c r="A1546" t="s">
        <v>7513</v>
      </c>
      <c r="B1546" t="str">
        <f ca="1">IF(ISBLANK(OFFSET(B1546,0,'Field labels'!$Q$1)),C1546,OFFSET(B1546,0,'Field labels'!$Q$1))</f>
        <v>Chongqing Plant (833007-LE001937)</v>
      </c>
      <c r="C1546" t="s">
        <v>5731</v>
      </c>
    </row>
    <row r="1547" spans="1:3">
      <c r="A1547" t="s">
        <v>7513</v>
      </c>
      <c r="B1547" t="str">
        <f ca="1">IF(ISBLANK(OFFSET(B1547,0,'Field labels'!$Q$1)),C1547,OFFSET(B1547,0,'Field labels'!$Q$1))</f>
        <v>Functional – CFN Chongqing (833812-LE001937)</v>
      </c>
      <c r="C1547" t="s">
        <v>6388</v>
      </c>
    </row>
    <row r="1548" spans="1:3">
      <c r="A1548" t="s">
        <v>7548</v>
      </c>
      <c r="B1548" t="str">
        <f ca="1">IF(ISBLANK(OFFSET(B1548,0,'Field labels'!$Q$1)),C1548,OFFSET(B1548,0,'Field labels'!$Q$1))</f>
        <v>Functional-CFN Xinjiang (857812-LE001939)</v>
      </c>
      <c r="C1548" t="s">
        <v>6409</v>
      </c>
    </row>
    <row r="1549" spans="1:3">
      <c r="A1549" t="s">
        <v>7548</v>
      </c>
      <c r="B1549" t="str">
        <f ca="1">IF(ISBLANK(OFFSET(B1549,0,'Field labels'!$Q$1)),C1549,OFFSET(B1549,0,'Field labels'!$Q$1))</f>
        <v>Xin Jiang plant (857007-LE001939)</v>
      </c>
      <c r="C1549" t="s">
        <v>7448</v>
      </c>
    </row>
    <row r="1550" spans="1:3">
      <c r="A1550" t="s">
        <v>7548</v>
      </c>
      <c r="B1550" t="str">
        <f ca="1">IF(ISBLANK(OFFSET(B1550,0,'Field labels'!$Q$1)),C1550,OFFSET(B1550,0,'Field labels'!$Q$1))</f>
        <v>Xinjiang Hog (857109-LE001939)</v>
      </c>
      <c r="C1550" t="s">
        <v>7449</v>
      </c>
    </row>
    <row r="1551" spans="1:3">
      <c r="A1551" t="s">
        <v>7548</v>
      </c>
      <c r="B1551" t="str">
        <f ca="1">IF(ISBLANK(OFFSET(B1551,0,'Field labels'!$Q$1)),C1551,OFFSET(B1551,0,'Field labels'!$Q$1))</f>
        <v>Xinjiang Poultry (857409-LE001939)</v>
      </c>
      <c r="C1551" t="s">
        <v>7450</v>
      </c>
    </row>
    <row r="1552" spans="1:3">
      <c r="A1552" t="s">
        <v>7548</v>
      </c>
      <c r="B1552" t="str">
        <f ca="1">IF(ISBLANK(OFFSET(B1552,0,'Field labels'!$Q$1)),C1552,OFFSET(B1552,0,'Field labels'!$Q$1))</f>
        <v>Xinjiang Ruminant (857209-LE001939)</v>
      </c>
      <c r="C1552" t="s">
        <v>7451</v>
      </c>
    </row>
    <row r="1553" spans="1:3">
      <c r="A1553" t="s">
        <v>7472</v>
      </c>
      <c r="B1553" t="str">
        <f ca="1">IF(ISBLANK(OFFSET(B1553,0,'Field labels'!$Q$1)),C1553,OFFSET(B1553,0,'Field labels'!$Q$1))</f>
        <v>"SCM - BR BLORE (1245115215-LE001949)</v>
      </c>
      <c r="C1553" t="s">
        <v>5334</v>
      </c>
    </row>
    <row r="1554" spans="1:3">
      <c r="A1554" t="s">
        <v>7472</v>
      </c>
      <c r="B1554" t="str">
        <f ca="1">IF(ISBLANK(OFFSET(B1554,0,'Field labels'!$Q$1)),C1554,OFFSET(B1554,0,'Field labels'!$Q$1))</f>
        <v>Administration (1245116723-LE001949)</v>
      </c>
      <c r="C1554" t="s">
        <v>5498</v>
      </c>
    </row>
    <row r="1555" spans="1:3">
      <c r="A1555" t="s">
        <v>7472</v>
      </c>
      <c r="B1555" t="str">
        <f ca="1">IF(ISBLANK(OFFSET(B1555,0,'Field labels'!$Q$1)),C1555,OFFSET(B1555,0,'Field labels'!$Q$1))</f>
        <v>AH Poultry 6, COMMON (1245115492-LE001949)</v>
      </c>
      <c r="C1555" t="s">
        <v>5542</v>
      </c>
    </row>
    <row r="1556" spans="1:3">
      <c r="A1556" t="s">
        <v>7472</v>
      </c>
      <c r="B1556" t="str">
        <f ca="1">IF(ISBLANK(OFFSET(B1556,0,'Field labels'!$Q$1)),C1556,OFFSET(B1556,0,'Field labels'!$Q$1))</f>
        <v>AH Poultry East (1245114022-LE001949)</v>
      </c>
      <c r="C1556" t="s">
        <v>5543</v>
      </c>
    </row>
    <row r="1557" spans="1:3">
      <c r="A1557" t="s">
        <v>7472</v>
      </c>
      <c r="B1557" t="str">
        <f ca="1">IF(ISBLANK(OFFSET(B1557,0,'Field labels'!$Q$1)),C1557,OFFSET(B1557,0,'Field labels'!$Q$1))</f>
        <v>AH Poultry G&amp;R  (Gujrat and Rajastan) (1245114021-LE001949)</v>
      </c>
      <c r="C1557" t="s">
        <v>5544</v>
      </c>
    </row>
    <row r="1558" spans="1:3">
      <c r="A1558" t="s">
        <v>7472</v>
      </c>
      <c r="B1558" t="str">
        <f ca="1">IF(ISBLANK(OFFSET(B1558,0,'Field labels'!$Q$1)),C1558,OFFSET(B1558,0,'Field labels'!$Q$1))</f>
        <v>AH Poultry North (1245114019-LE001949)</v>
      </c>
      <c r="C1558" t="s">
        <v>5545</v>
      </c>
    </row>
    <row r="1559" spans="1:3">
      <c r="A1559" t="s">
        <v>7472</v>
      </c>
      <c r="B1559" t="str">
        <f ca="1">IF(ISBLANK(OFFSET(B1559,0,'Field labels'!$Q$1)),C1559,OFFSET(B1559,0,'Field labels'!$Q$1))</f>
        <v>AH Poultry South (1245114017-LE001949)</v>
      </c>
      <c r="C1559" t="s">
        <v>5546</v>
      </c>
    </row>
    <row r="1560" spans="1:3">
      <c r="A1560" t="s">
        <v>7472</v>
      </c>
      <c r="B1560" t="str">
        <f ca="1">IF(ISBLANK(OFFSET(B1560,0,'Field labels'!$Q$1)),C1560,OFFSET(B1560,0,'Field labels'!$Q$1))</f>
        <v>AH Poultry UP (1245114020-LE001949)</v>
      </c>
      <c r="C1560" t="s">
        <v>5547</v>
      </c>
    </row>
    <row r="1561" spans="1:3">
      <c r="A1561" t="s">
        <v>7472</v>
      </c>
      <c r="B1561" t="str">
        <f ca="1">IF(ISBLANK(OFFSET(B1561,0,'Field labels'!$Q$1)),C1561,OFFSET(B1561,0,'Field labels'!$Q$1))</f>
        <v>AH Poultry West Central (1245114018-LE001949)</v>
      </c>
      <c r="C1561" t="s">
        <v>5548</v>
      </c>
    </row>
    <row r="1562" spans="1:3">
      <c r="A1562" t="s">
        <v>7472</v>
      </c>
      <c r="B1562" t="str">
        <f ca="1">IF(ISBLANK(OFFSET(B1562,0,'Field labels'!$Q$1)),C1562,OFFSET(B1562,0,'Field labels'!$Q$1))</f>
        <v>AN Poultry 6, Dairy Premix (1245114024-LE001949)</v>
      </c>
      <c r="C1562" t="s">
        <v>5555</v>
      </c>
    </row>
    <row r="1563" spans="1:3">
      <c r="A1563" t="s">
        <v>7472</v>
      </c>
      <c r="B1563" t="str">
        <f ca="1">IF(ISBLANK(OFFSET(B1563,0,'Field labels'!$Q$1)),C1563,OFFSET(B1563,0,'Field labels'!$Q$1))</f>
        <v>Animal Health Common (1245115416-LE001949)</v>
      </c>
      <c r="C1563" t="s">
        <v>5556</v>
      </c>
    </row>
    <row r="1564" spans="1:3">
      <c r="A1564" t="s">
        <v>7472</v>
      </c>
      <c r="B1564" t="str">
        <f ca="1">IF(ISBLANK(OFFSET(B1564,0,'Field labels'!$Q$1)),C1564,OFFSET(B1564,0,'Field labels'!$Q$1))</f>
        <v>Customer Service, Common (1245115250-LE001949)</v>
      </c>
      <c r="C1564" t="s">
        <v>6031</v>
      </c>
    </row>
    <row r="1565" spans="1:3">
      <c r="A1565" t="s">
        <v>7472</v>
      </c>
      <c r="B1565" t="str">
        <f ca="1">IF(ISBLANK(OFFSET(B1565,0,'Field labels'!$Q$1)),C1565,OFFSET(B1565,0,'Field labels'!$Q$1))</f>
        <v>Customer Service, Ludhiana (1245115223-LE001949)</v>
      </c>
      <c r="C1565" t="s">
        <v>6032</v>
      </c>
    </row>
    <row r="1566" spans="1:3">
      <c r="A1566" t="s">
        <v>7472</v>
      </c>
      <c r="B1566" t="str">
        <f ca="1">IF(ISBLANK(OFFSET(B1566,0,'Field labels'!$Q$1)),C1566,OFFSET(B1566,0,'Field labels'!$Q$1))</f>
        <v>Dairy Sales - Govt (1245114015-LE001949)</v>
      </c>
      <c r="C1566" t="s">
        <v>6068</v>
      </c>
    </row>
    <row r="1567" spans="1:3">
      <c r="A1567" t="s">
        <v>7472</v>
      </c>
      <c r="B1567" t="str">
        <f ca="1">IF(ISBLANK(OFFSET(B1567,0,'Field labels'!$Q$1)),C1567,OFFSET(B1567,0,'Field labels'!$Q$1))</f>
        <v>Dairy Sales - North (1245114008-LE001949)</v>
      </c>
      <c r="C1567" t="s">
        <v>6069</v>
      </c>
    </row>
    <row r="1568" spans="1:3">
      <c r="A1568" t="s">
        <v>7472</v>
      </c>
      <c r="B1568" t="str">
        <f ca="1">IF(ISBLANK(OFFSET(B1568,0,'Field labels'!$Q$1)),C1568,OFFSET(B1568,0,'Field labels'!$Q$1))</f>
        <v>DAIRY SALES - PHASE 1 (1245114002-LE001949)</v>
      </c>
      <c r="C1568" t="s">
        <v>6070</v>
      </c>
    </row>
    <row r="1569" spans="1:3">
      <c r="A1569" t="s">
        <v>7472</v>
      </c>
      <c r="B1569" t="str">
        <f ca="1">IF(ISBLANK(OFFSET(B1569,0,'Field labels'!$Q$1)),C1569,OFFSET(B1569,0,'Field labels'!$Q$1))</f>
        <v>Dairy Sales - South and East (1245114004-LE001949)</v>
      </c>
      <c r="C1569" t="s">
        <v>6071</v>
      </c>
    </row>
    <row r="1570" spans="1:3">
      <c r="A1570" t="s">
        <v>7472</v>
      </c>
      <c r="B1570" t="str">
        <f ca="1">IF(ISBLANK(OFFSET(B1570,0,'Field labels'!$Q$1)),C1570,OFFSET(B1570,0,'Field labels'!$Q$1))</f>
        <v>DAIRY SALES (1245114083-LE001949)</v>
      </c>
      <c r="C1570" t="s">
        <v>6067</v>
      </c>
    </row>
    <row r="1571" spans="1:3">
      <c r="A1571" t="s">
        <v>7472</v>
      </c>
      <c r="B1571" t="str">
        <f ca="1">IF(ISBLANK(OFFSET(B1571,0,'Field labels'!$Q$1)),C1571,OFFSET(B1571,0,'Field labels'!$Q$1))</f>
        <v>Dairy Tech &amp; General Expenses (1245115483-LE001949)</v>
      </c>
      <c r="C1571" t="s">
        <v>6072</v>
      </c>
    </row>
    <row r="1572" spans="1:3">
      <c r="A1572" t="s">
        <v>7472</v>
      </c>
      <c r="B1572" t="str">
        <f ca="1">IF(ISBLANK(OFFSET(B1572,0,'Field labels'!$Q$1)),C1572,OFFSET(B1572,0,'Field labels'!$Q$1))</f>
        <v>EHS (1245113016-LE001949)</v>
      </c>
      <c r="C1572" t="s">
        <v>6129</v>
      </c>
    </row>
    <row r="1573" spans="1:3">
      <c r="A1573" t="s">
        <v>7472</v>
      </c>
      <c r="B1573" t="str">
        <f ca="1">IF(ISBLANK(OFFSET(B1573,0,'Field labels'!$Q$1)),C1573,OFFSET(B1573,0,'Field labels'!$Q$1))</f>
        <v>EHS (1245116016-LE001949)</v>
      </c>
      <c r="C1573" t="s">
        <v>6130</v>
      </c>
    </row>
    <row r="1574" spans="1:3">
      <c r="A1574" t="s">
        <v>7472</v>
      </c>
      <c r="B1574" t="str">
        <f ca="1">IF(ISBLANK(OFFSET(B1574,0,'Field labels'!$Q$1)),C1574,OFFSET(B1574,0,'Field labels'!$Q$1))</f>
        <v>EXPORTS - SALES (1245114086-LE001949)</v>
      </c>
      <c r="C1574" t="s">
        <v>6158</v>
      </c>
    </row>
    <row r="1575" spans="1:3">
      <c r="A1575" t="s">
        <v>7472</v>
      </c>
      <c r="B1575" t="str">
        <f ca="1">IF(ISBLANK(OFFSET(B1575,0,'Field labels'!$Q$1)),C1575,OFFSET(B1575,0,'Field labels'!$Q$1))</f>
        <v>EXPORTS - SALES (1245114088-LE001949)</v>
      </c>
      <c r="C1575" t="s">
        <v>6159</v>
      </c>
    </row>
    <row r="1576" spans="1:3">
      <c r="A1576" t="s">
        <v>7472</v>
      </c>
      <c r="B1576" t="str">
        <f ca="1">IF(ISBLANK(OFFSET(B1576,0,'Field labels'!$Q$1)),C1576,OFFSET(B1576,0,'Field labels'!$Q$1))</f>
        <v>FINANCE,TAX,LEGAL,CREDIT MGT (1245116115-LE001949)</v>
      </c>
      <c r="C1576" t="s">
        <v>6218</v>
      </c>
    </row>
    <row r="1577" spans="1:3">
      <c r="A1577" t="s">
        <v>7472</v>
      </c>
      <c r="B1577" t="str">
        <f ca="1">IF(ISBLANK(OFFSET(B1577,0,'Field labels'!$Q$1)),C1577,OFFSET(B1577,0,'Field labels'!$Q$1))</f>
        <v>FP&amp;A (1245116721-LE001949)</v>
      </c>
      <c r="C1577" t="s">
        <v>6320</v>
      </c>
    </row>
    <row r="1578" spans="1:3">
      <c r="A1578" t="s">
        <v>7472</v>
      </c>
      <c r="B1578" t="str">
        <f ca="1">IF(ISBLANK(OFFSET(B1578,0,'Field labels'!$Q$1)),C1578,OFFSET(B1578,0,'Field labels'!$Q$1))</f>
        <v>General Management - MD office (1245116015-LE001949)</v>
      </c>
      <c r="C1578" t="s">
        <v>6459</v>
      </c>
    </row>
    <row r="1579" spans="1:3">
      <c r="A1579" t="s">
        <v>7472</v>
      </c>
      <c r="B1579" t="str">
        <f ca="1">IF(ISBLANK(OFFSET(B1579,0,'Field labels'!$Q$1)),C1579,OFFSET(B1579,0,'Field labels'!$Q$1))</f>
        <v>GENERAL PRD SUP ALL PLANTS (1245113015-LE001949)</v>
      </c>
      <c r="C1579" t="s">
        <v>6460</v>
      </c>
    </row>
    <row r="1580" spans="1:3">
      <c r="A1580" t="s">
        <v>7472</v>
      </c>
      <c r="B1580" t="str">
        <f ca="1">IF(ISBLANK(OFFSET(B1580,0,'Field labels'!$Q$1)),C1580,OFFSET(B1580,0,'Field labels'!$Q$1))</f>
        <v>GENERAL PRD SUPPORT SRILANKA (1245112015-LE001949)</v>
      </c>
      <c r="C1580" t="s">
        <v>6461</v>
      </c>
    </row>
    <row r="1581" spans="1:3">
      <c r="A1581" t="s">
        <v>7472</v>
      </c>
      <c r="B1581" t="str">
        <f ca="1">IF(ISBLANK(OFFSET(B1581,0,'Field labels'!$Q$1)),C1581,OFFSET(B1581,0,'Field labels'!$Q$1))</f>
        <v>HUMAN RESOURCES (1245116615-LE001949)</v>
      </c>
      <c r="C1581" t="s">
        <v>6591</v>
      </c>
    </row>
    <row r="1582" spans="1:3">
      <c r="A1582" t="s">
        <v>7472</v>
      </c>
      <c r="B1582" t="str">
        <f ca="1">IF(ISBLANK(OFFSET(B1582,0,'Field labels'!$Q$1)),C1582,OFFSET(B1582,0,'Field labels'!$Q$1))</f>
        <v>PET THEREAPEUTICS - SALES (1245114084-LE001949)</v>
      </c>
      <c r="C1582" t="s">
        <v>6834</v>
      </c>
    </row>
    <row r="1583" spans="1:3">
      <c r="A1583" t="s">
        <v>7472</v>
      </c>
      <c r="B1583" t="str">
        <f ca="1">IF(ISBLANK(OFFSET(B1583,0,'Field labels'!$Q$1)),C1583,OFFSET(B1583,0,'Field labels'!$Q$1))</f>
        <v>Poultry Sales - North (1245114007-LE001949)</v>
      </c>
      <c r="C1583" t="s">
        <v>6863</v>
      </c>
    </row>
    <row r="1584" spans="1:3">
      <c r="A1584" t="s">
        <v>7472</v>
      </c>
      <c r="B1584" t="str">
        <f ca="1">IF(ISBLANK(OFFSET(B1584,0,'Field labels'!$Q$1)),C1584,OFFSET(B1584,0,'Field labels'!$Q$1))</f>
        <v>Poultry Sales - North, East, West &amp; Nepa (1245114009-LE001949)</v>
      </c>
      <c r="C1584" t="s">
        <v>6864</v>
      </c>
    </row>
    <row r="1585" spans="1:3">
      <c r="A1585" t="s">
        <v>7472</v>
      </c>
      <c r="B1585" t="str">
        <f ca="1">IF(ISBLANK(OFFSET(B1585,0,'Field labels'!$Q$1)),C1585,OFFSET(B1585,0,'Field labels'!$Q$1))</f>
        <v>POULTRY SALES - PHASE 1 (1245114001-LE001949)</v>
      </c>
      <c r="C1585" t="s">
        <v>6865</v>
      </c>
    </row>
    <row r="1586" spans="1:3">
      <c r="A1586" t="s">
        <v>7472</v>
      </c>
      <c r="B1586" t="str">
        <f ca="1">IF(ISBLANK(OFFSET(B1586,0,'Field labels'!$Q$1)),C1586,OFFSET(B1586,0,'Field labels'!$Q$1))</f>
        <v>Poultry Sales - South and Srilanka (1245114003-LE001949)</v>
      </c>
      <c r="C1586" t="s">
        <v>6866</v>
      </c>
    </row>
    <row r="1587" spans="1:3">
      <c r="A1587" t="s">
        <v>7472</v>
      </c>
      <c r="B1587" t="str">
        <f ca="1">IF(ISBLANK(OFFSET(B1587,0,'Field labels'!$Q$1)),C1587,OFFSET(B1587,0,'Field labels'!$Q$1))</f>
        <v>Poultry Tech &amp; General Expenses (1245115482-LE001949)</v>
      </c>
      <c r="C1587" t="s">
        <v>6867</v>
      </c>
    </row>
    <row r="1588" spans="1:3">
      <c r="A1588" t="s">
        <v>7472</v>
      </c>
      <c r="B1588" t="str">
        <f ca="1">IF(ISBLANK(OFFSET(B1588,0,'Field labels'!$Q$1)),C1588,OFFSET(B1588,0,'Field labels'!$Q$1))</f>
        <v>PRD MANAGEMENT  - IN12 (1245113312-LE001949)</v>
      </c>
      <c r="C1588" t="s">
        <v>6884</v>
      </c>
    </row>
    <row r="1589" spans="1:3">
      <c r="A1589" t="s">
        <v>7472</v>
      </c>
      <c r="B1589" t="str">
        <f ca="1">IF(ISBLANK(OFFSET(B1589,0,'Field labels'!$Q$1)),C1589,OFFSET(B1589,0,'Field labels'!$Q$1))</f>
        <v>PRD MANAGEMENT  - IN13 (1245113313-LE001949)</v>
      </c>
      <c r="C1589" t="s">
        <v>6885</v>
      </c>
    </row>
    <row r="1590" spans="1:3">
      <c r="A1590" t="s">
        <v>7472</v>
      </c>
      <c r="B1590" t="str">
        <f ca="1">IF(ISBLANK(OFFSET(B1590,0,'Field labels'!$Q$1)),C1590,OFFSET(B1590,0,'Field labels'!$Q$1))</f>
        <v>PRD MANAGEMENT - IN14 (1245113314-LE001949)</v>
      </c>
      <c r="C1590" t="s">
        <v>6886</v>
      </c>
    </row>
    <row r="1591" spans="1:3">
      <c r="A1591" t="s">
        <v>7472</v>
      </c>
      <c r="B1591" t="str">
        <f ca="1">IF(ISBLANK(OFFSET(B1591,0,'Field labels'!$Q$1)),C1591,OFFSET(B1591,0,'Field labels'!$Q$1))</f>
        <v>PRD_PURCHASING (1245113215-LE001949)</v>
      </c>
      <c r="C1591" t="s">
        <v>6887</v>
      </c>
    </row>
    <row r="1592" spans="1:3">
      <c r="A1592" t="s">
        <v>7472</v>
      </c>
      <c r="B1592" t="str">
        <f ca="1">IF(ISBLANK(OFFSET(B1592,0,'Field labels'!$Q$1)),C1592,OFFSET(B1592,0,'Field labels'!$Q$1))</f>
        <v>PRODUCTION  DIRECT - IN 12 (1245112012-LE001949)</v>
      </c>
      <c r="C1592" t="s">
        <v>6906</v>
      </c>
    </row>
    <row r="1593" spans="1:3">
      <c r="A1593" t="s">
        <v>7472</v>
      </c>
      <c r="B1593" t="str">
        <f ca="1">IF(ISBLANK(OFFSET(B1593,0,'Field labels'!$Q$1)),C1593,OFFSET(B1593,0,'Field labels'!$Q$1))</f>
        <v>PRODUCTION  DIRECT - IN13 (1245112013-LE001949)</v>
      </c>
      <c r="C1593" t="s">
        <v>6907</v>
      </c>
    </row>
    <row r="1594" spans="1:3">
      <c r="A1594" t="s">
        <v>7472</v>
      </c>
      <c r="B1594" t="str">
        <f ca="1">IF(ISBLANK(OFFSET(B1594,0,'Field labels'!$Q$1)),C1594,OFFSET(B1594,0,'Field labels'!$Q$1))</f>
        <v>PRODUCTION  DIRECT - IN14 (1245112014-LE001949)</v>
      </c>
      <c r="C1594" t="s">
        <v>6908</v>
      </c>
    </row>
    <row r="1595" spans="1:3">
      <c r="A1595" t="s">
        <v>7472</v>
      </c>
      <c r="B1595" t="str">
        <f ca="1">IF(ISBLANK(OFFSET(B1595,0,'Field labels'!$Q$1)),C1595,OFFSET(B1595,0,'Field labels'!$Q$1))</f>
        <v>PRODUCTION SUPPORT - IN12 (1245112312-LE001949)</v>
      </c>
      <c r="C1595" t="s">
        <v>6922</v>
      </c>
    </row>
    <row r="1596" spans="1:3">
      <c r="A1596" t="s">
        <v>7472</v>
      </c>
      <c r="B1596" t="str">
        <f ca="1">IF(ISBLANK(OFFSET(B1596,0,'Field labels'!$Q$1)),C1596,OFFSET(B1596,0,'Field labels'!$Q$1))</f>
        <v>PRODUCTION SUPPORT - IN12 (1245113012-LE001949)</v>
      </c>
      <c r="C1596" t="s">
        <v>6923</v>
      </c>
    </row>
    <row r="1597" spans="1:3">
      <c r="A1597" t="s">
        <v>7472</v>
      </c>
      <c r="B1597" t="str">
        <f ca="1">IF(ISBLANK(OFFSET(B1597,0,'Field labels'!$Q$1)),C1597,OFFSET(B1597,0,'Field labels'!$Q$1))</f>
        <v>PRODUCTION SUPPORT - IN13 (1245112313-LE001949)</v>
      </c>
      <c r="C1597" t="s">
        <v>6924</v>
      </c>
    </row>
    <row r="1598" spans="1:3">
      <c r="A1598" t="s">
        <v>7472</v>
      </c>
      <c r="B1598" t="str">
        <f ca="1">IF(ISBLANK(OFFSET(B1598,0,'Field labels'!$Q$1)),C1598,OFFSET(B1598,0,'Field labels'!$Q$1))</f>
        <v>PRODUCTION SUPPORT - IN14 (1245112314-LE001949)</v>
      </c>
      <c r="C1598" t="s">
        <v>6925</v>
      </c>
    </row>
    <row r="1599" spans="1:3">
      <c r="A1599" t="s">
        <v>7472</v>
      </c>
      <c r="B1599" t="str">
        <f ca="1">IF(ISBLANK(OFFSET(B1599,0,'Field labels'!$Q$1)),C1599,OFFSET(B1599,0,'Field labels'!$Q$1))</f>
        <v>PRODUCTION SUPPORT - IN14 (1245113014-LE001949)</v>
      </c>
      <c r="C1599" t="s">
        <v>6926</v>
      </c>
    </row>
    <row r="1600" spans="1:3">
      <c r="A1600" t="s">
        <v>7472</v>
      </c>
      <c r="B1600" t="str">
        <f ca="1">IF(ISBLANK(OFFSET(B1600,0,'Field labels'!$Q$1)),C1600,OFFSET(B1600,0,'Field labels'!$Q$1))</f>
        <v>PRODUCTION SUPPORT- IN13 (1245113013-LE001949)</v>
      </c>
      <c r="C1600" t="s">
        <v>6927</v>
      </c>
    </row>
    <row r="1601" spans="1:3">
      <c r="A1601" t="s">
        <v>7472</v>
      </c>
      <c r="B1601" t="str">
        <f ca="1">IF(ISBLANK(OFFSET(B1601,0,'Field labels'!$Q$1)),C1601,OFFSET(B1601,0,'Field labels'!$Q$1))</f>
        <v>QC IN12" (1245113112-LE001949)</v>
      </c>
      <c r="C1601" t="s">
        <v>6997</v>
      </c>
    </row>
    <row r="1602" spans="1:3">
      <c r="A1602" t="s">
        <v>7472</v>
      </c>
      <c r="B1602" t="str">
        <f ca="1">IF(ISBLANK(OFFSET(B1602,0,'Field labels'!$Q$1)),C1602,OFFSET(B1602,0,'Field labels'!$Q$1))</f>
        <v>QC IN13" (1245113113-LE001949)</v>
      </c>
      <c r="C1602" t="s">
        <v>6998</v>
      </c>
    </row>
    <row r="1603" spans="1:3">
      <c r="A1603" t="s">
        <v>7472</v>
      </c>
      <c r="B1603" t="str">
        <f ca="1">IF(ISBLANK(OFFSET(B1603,0,'Field labels'!$Q$1)),C1603,OFFSET(B1603,0,'Field labels'!$Q$1))</f>
        <v>QC IN14" (1245113114-LE001949)</v>
      </c>
      <c r="C1603" t="s">
        <v>6999</v>
      </c>
    </row>
    <row r="1604" spans="1:3">
      <c r="A1604" t="s">
        <v>7472</v>
      </c>
      <c r="B1604" t="str">
        <f ca="1">IF(ISBLANK(OFFSET(B1604,0,'Field labels'!$Q$1)),C1604,OFFSET(B1604,0,'Field labels'!$Q$1))</f>
        <v>RESEARCH &amp; DEV FARM (1245117016-LE001949)</v>
      </c>
      <c r="C1604" t="s">
        <v>7026</v>
      </c>
    </row>
    <row r="1605" spans="1:3">
      <c r="A1605" t="s">
        <v>7472</v>
      </c>
      <c r="B1605" t="str">
        <f ca="1">IF(ISBLANK(OFFSET(B1605,0,'Field labels'!$Q$1)),C1605,OFFSET(B1605,0,'Field labels'!$Q$1))</f>
        <v>RESEARCH &amp; DEV LABORATORY (1245117214-LE001949)</v>
      </c>
      <c r="C1605" t="s">
        <v>7027</v>
      </c>
    </row>
    <row r="1606" spans="1:3">
      <c r="A1606" t="s">
        <v>7472</v>
      </c>
      <c r="B1606" t="str">
        <f ca="1">IF(ISBLANK(OFFSET(B1606,0,'Field labels'!$Q$1)),C1606,OFFSET(B1606,0,'Field labels'!$Q$1))</f>
        <v>RMS (1245116722-LE001949)</v>
      </c>
      <c r="C1606" t="s">
        <v>7029</v>
      </c>
    </row>
    <row r="1607" spans="1:3">
      <c r="A1607" t="s">
        <v>7472</v>
      </c>
      <c r="B1607" t="str">
        <f ca="1">IF(ISBLANK(OFFSET(B1607,0,'Field labels'!$Q$1)),C1607,OFFSET(B1607,0,'Field labels'!$Q$1))</f>
        <v>SALES DAI EAST (1245114016-LE001949)</v>
      </c>
      <c r="C1607" t="s">
        <v>7065</v>
      </c>
    </row>
    <row r="1608" spans="1:3">
      <c r="A1608" t="s">
        <v>7472</v>
      </c>
      <c r="B1608" t="str">
        <f ca="1">IF(ISBLANK(OFFSET(B1608,0,'Field labels'!$Q$1)),C1608,OFFSET(B1608,0,'Field labels'!$Q$1))</f>
        <v>SCM - BRANCH NOIDA (1245115210-LE001949)</v>
      </c>
      <c r="C1608" t="s">
        <v>7100</v>
      </c>
    </row>
    <row r="1609" spans="1:3">
      <c r="A1609" t="s">
        <v>7472</v>
      </c>
      <c r="B1609" t="str">
        <f ca="1">IF(ISBLANK(OFFSET(B1609,0,'Field labels'!$Q$1)),C1609,OFFSET(B1609,0,'Field labels'!$Q$1))</f>
        <v>SCM - BRANCH_KOLKOTTA (1245115220-LE001949)</v>
      </c>
      <c r="C1609" t="s">
        <v>7101</v>
      </c>
    </row>
    <row r="1610" spans="1:3">
      <c r="A1610" t="s">
        <v>7472</v>
      </c>
      <c r="B1610" t="str">
        <f ca="1">IF(ISBLANK(OFFSET(B1610,0,'Field labels'!$Q$1)),C1610,OFFSET(B1610,0,'Field labels'!$Q$1))</f>
        <v>SCM - BRANCH_PUNE (1245115218-LE001949)</v>
      </c>
      <c r="C1610" t="s">
        <v>7102</v>
      </c>
    </row>
    <row r="1611" spans="1:3">
      <c r="A1611" t="s">
        <v>7472</v>
      </c>
      <c r="B1611" t="str">
        <f ca="1">IF(ISBLANK(OFFSET(B1611,0,'Field labels'!$Q$1)),C1611,OFFSET(B1611,0,'Field labels'!$Q$1))</f>
        <v>SCM - CHEENAI OFFICE (1245115236-LE001949)</v>
      </c>
      <c r="C1611" t="s">
        <v>7103</v>
      </c>
    </row>
    <row r="1612" spans="1:3">
      <c r="A1612" t="s">
        <v>7472</v>
      </c>
      <c r="B1612" t="str">
        <f ca="1">IF(ISBLANK(OFFSET(B1612,0,'Field labels'!$Q$1)),C1612,OFFSET(B1612,0,'Field labels'!$Q$1))</f>
        <v>SMT General Exp (1245115415-LE001949)</v>
      </c>
      <c r="C1612" t="s">
        <v>7150</v>
      </c>
    </row>
    <row r="1613" spans="1:3">
      <c r="A1613" t="s">
        <v>7472</v>
      </c>
      <c r="B1613" t="str">
        <f ca="1">IF(ISBLANK(OFFSET(B1613,0,'Field labels'!$Q$1)),C1613,OFFSET(B1613,0,'Field labels'!$Q$1))</f>
        <v>TRADING - SALES (1245114087-LE001949)</v>
      </c>
      <c r="C1613" t="s">
        <v>7380</v>
      </c>
    </row>
    <row r="1614" spans="1:3">
      <c r="A1614" t="s">
        <v>7521</v>
      </c>
      <c r="B1614" t="str">
        <f ca="1">IF(ISBLANK(OFFSET(B1614,0,'Field labels'!$Q$1)),C1614,OFFSET(B1614,0,'Field labels'!$Q$1))</f>
        <v>Corn (662103-LE001952)</v>
      </c>
      <c r="C1614" t="s">
        <v>5940</v>
      </c>
    </row>
    <row r="1615" spans="1:3">
      <c r="A1615" t="s">
        <v>7521</v>
      </c>
      <c r="B1615" t="str">
        <f ca="1">IF(ISBLANK(OFFSET(B1615,0,'Field labels'!$Q$1)),C1615,OFFSET(B1615,0,'Field labels'!$Q$1))</f>
        <v>Finance Trading (660101-LE001952)</v>
      </c>
      <c r="C1615" t="s">
        <v>6217</v>
      </c>
    </row>
    <row r="1616" spans="1:3">
      <c r="A1616" t="s">
        <v>7521</v>
      </c>
      <c r="B1616" t="str">
        <f ca="1">IF(ISBLANK(OFFSET(B1616,0,'Field labels'!$Q$1)),C1616,OFFSET(B1616,0,'Field labels'!$Q$1))</f>
        <v>Grain Soybean-Jkt (660103-LE001952)</v>
      </c>
      <c r="C1616" t="s">
        <v>6529</v>
      </c>
    </row>
    <row r="1617" spans="1:3">
      <c r="A1617" t="s">
        <v>7521</v>
      </c>
      <c r="B1617" t="str">
        <f ca="1">IF(ISBLANK(OFFSET(B1617,0,'Field labels'!$Q$1)),C1617,OFFSET(B1617,0,'Field labels'!$Q$1))</f>
        <v>Grain Warehouse (660107-LE001952)</v>
      </c>
      <c r="C1617" t="s">
        <v>6530</v>
      </c>
    </row>
    <row r="1618" spans="1:3">
      <c r="A1618" t="s">
        <v>7521</v>
      </c>
      <c r="B1618" t="str">
        <f ca="1">IF(ISBLANK(OFFSET(B1618,0,'Field labels'!$Q$1)),C1618,OFFSET(B1618,0,'Field labels'!$Q$1))</f>
        <v>Protein Meal (661103-LE001952)</v>
      </c>
      <c r="C1618" t="s">
        <v>6953</v>
      </c>
    </row>
    <row r="1619" spans="1:3">
      <c r="A1619" t="s">
        <v>7521</v>
      </c>
      <c r="B1619" t="str">
        <f ca="1">IF(ISBLANK(OFFSET(B1619,0,'Field labels'!$Q$1)),C1619,OFFSET(B1619,0,'Field labels'!$Q$1))</f>
        <v>Sales/Marrketing (530190-LE001952)</v>
      </c>
      <c r="C1619" t="s">
        <v>7069</v>
      </c>
    </row>
    <row r="1620" spans="1:3">
      <c r="A1620" t="s">
        <v>7521</v>
      </c>
      <c r="B1620" t="str">
        <f ca="1">IF(ISBLANK(OFFSET(B1620,0,'Field labels'!$Q$1)),C1620,OFFSET(B1620,0,'Field labels'!$Q$1))</f>
        <v>SGA Trade Execution (660102-LE001952)</v>
      </c>
      <c r="C1620" t="s">
        <v>7124</v>
      </c>
    </row>
    <row r="1621" spans="1:3">
      <c r="A1621" t="s">
        <v>7538</v>
      </c>
      <c r="B1621" t="str">
        <f ca="1">IF(ISBLANK(OFFSET(B1621,0,'Field labels'!$Q$1)),C1621,OFFSET(B1621,0,'Field labels'!$Q$1))</f>
        <v>FSQR (953033-LE002001)</v>
      </c>
      <c r="C1621" t="s">
        <v>6368</v>
      </c>
    </row>
    <row r="1622" spans="1:3">
      <c r="A1622" t="s">
        <v>7538</v>
      </c>
      <c r="B1622" t="str">
        <f ca="1">IF(ISBLANK(OFFSET(B1622,0,'Field labels'!$Q$1)),C1622,OFFSET(B1622,0,'Field labels'!$Q$1))</f>
        <v>G&amp;A - Admin (953041-LE002001)</v>
      </c>
      <c r="C1622" t="s">
        <v>6419</v>
      </c>
    </row>
    <row r="1623" spans="1:3">
      <c r="A1623" t="s">
        <v>7538</v>
      </c>
      <c r="B1623" t="str">
        <f ca="1">IF(ISBLANK(OFFSET(B1623,0,'Field labels'!$Q$1)),C1623,OFFSET(B1623,0,'Field labels'!$Q$1))</f>
        <v>G&amp;A - Finance (953070-LE002001)</v>
      </c>
      <c r="C1623" t="s">
        <v>6421</v>
      </c>
    </row>
    <row r="1624" spans="1:3">
      <c r="A1624" t="s">
        <v>7538</v>
      </c>
      <c r="B1624" t="str">
        <f ca="1">IF(ISBLANK(OFFSET(B1624,0,'Field labels'!$Q$1)),C1624,OFFSET(B1624,0,'Field labels'!$Q$1))</f>
        <v>G&amp;A - Safeguard (953071-LE002001)</v>
      </c>
      <c r="C1624" t="s">
        <v>6422</v>
      </c>
    </row>
    <row r="1625" spans="1:3">
      <c r="A1625" t="s">
        <v>7538</v>
      </c>
      <c r="B1625" t="str">
        <f ca="1">IF(ISBLANK(OFFSET(B1625,0,'Field labels'!$Q$1)),C1625,OFFSET(B1625,0,'Field labels'!$Q$1))</f>
        <v>G&amp;A - Weighbridge (953072-LE002001)</v>
      </c>
      <c r="C1625" t="s">
        <v>6423</v>
      </c>
    </row>
    <row r="1626" spans="1:3">
      <c r="A1626" t="s">
        <v>7538</v>
      </c>
      <c r="B1626" t="str">
        <f ca="1">IF(ISBLANK(OFFSET(B1626,0,'Field labels'!$Q$1)),C1626,OFFSET(B1626,0,'Field labels'!$Q$1))</f>
        <v>G&amp;A-Admin (876041-LE002001)</v>
      </c>
      <c r="C1626" t="s">
        <v>6428</v>
      </c>
    </row>
    <row r="1627" spans="1:3">
      <c r="A1627" t="s">
        <v>7538</v>
      </c>
      <c r="B1627" t="str">
        <f ca="1">IF(ISBLANK(OFFSET(B1627,0,'Field labels'!$Q$1)),C1627,OFFSET(B1627,0,'Field labels'!$Q$1))</f>
        <v>G&amp;A-Finance (876070-LE002001)</v>
      </c>
      <c r="C1627" t="s">
        <v>6435</v>
      </c>
    </row>
    <row r="1628" spans="1:3">
      <c r="A1628" t="s">
        <v>7538</v>
      </c>
      <c r="B1628" t="str">
        <f ca="1">IF(ISBLANK(OFFSET(B1628,0,'Field labels'!$Q$1)),C1628,OFFSET(B1628,0,'Field labels'!$Q$1))</f>
        <v>G&amp;A-Safeguard (876071-LE002001)</v>
      </c>
      <c r="C1628" t="s">
        <v>6441</v>
      </c>
    </row>
    <row r="1629" spans="1:3">
      <c r="A1629" t="s">
        <v>7538</v>
      </c>
      <c r="B1629" t="str">
        <f ca="1">IF(ISBLANK(OFFSET(B1629,0,'Field labels'!$Q$1)),C1629,OFFSET(B1629,0,'Field labels'!$Q$1))</f>
        <v>G&amp;A-Selling (876045-LE002001)</v>
      </c>
      <c r="C1629" t="s">
        <v>6443</v>
      </c>
    </row>
    <row r="1630" spans="1:3">
      <c r="A1630" t="s">
        <v>7538</v>
      </c>
      <c r="B1630" t="str">
        <f ca="1">IF(ISBLANK(OFFSET(B1630,0,'Field labels'!$Q$1)),C1630,OFFSET(B1630,0,'Field labels'!$Q$1))</f>
        <v>G&amp;A-Supply Chain (876060-LE002001)</v>
      </c>
      <c r="C1630" t="s">
        <v>6446</v>
      </c>
    </row>
    <row r="1631" spans="1:3">
      <c r="A1631" t="s">
        <v>7538</v>
      </c>
      <c r="B1631" t="str">
        <f ca="1">IF(ISBLANK(OFFSET(B1631,0,'Field labels'!$Q$1)),C1631,OFFSET(B1631,0,'Field labels'!$Q$1))</f>
        <v>G&amp;A-Supply Chain (953060-LE002001)</v>
      </c>
      <c r="C1631" t="s">
        <v>6445</v>
      </c>
    </row>
    <row r="1632" spans="1:3">
      <c r="A1632" t="s">
        <v>7538</v>
      </c>
      <c r="B1632" t="str">
        <f ca="1">IF(ISBLANK(OFFSET(B1632,0,'Field labels'!$Q$1)),C1632,OFFSET(B1632,0,'Field labels'!$Q$1))</f>
        <v>G&amp;A-Weighbridge (876072-LE002001)</v>
      </c>
      <c r="C1632" t="s">
        <v>6449</v>
      </c>
    </row>
    <row r="1633" spans="1:3">
      <c r="A1633" t="s">
        <v>7538</v>
      </c>
      <c r="B1633" t="str">
        <f ca="1">IF(ISBLANK(OFFSET(B1633,0,'Field labels'!$Q$1)),C1633,OFFSET(B1633,0,'Field labels'!$Q$1))</f>
        <v>Loading/unloading (876026-LE002001)</v>
      </c>
      <c r="C1633" t="s">
        <v>6668</v>
      </c>
    </row>
    <row r="1634" spans="1:3">
      <c r="A1634" t="s">
        <v>7538</v>
      </c>
      <c r="B1634" t="str">
        <f ca="1">IF(ISBLANK(OFFSET(B1634,0,'Field labels'!$Q$1)),C1634,OFFSET(B1634,0,'Field labels'!$Q$1))</f>
        <v>P&amp;L-Co Gen (876020-LE002001)</v>
      </c>
      <c r="C1634" t="s">
        <v>6801</v>
      </c>
    </row>
    <row r="1635" spans="1:3">
      <c r="A1635" t="s">
        <v>7538</v>
      </c>
      <c r="B1635" t="str">
        <f ca="1">IF(ISBLANK(OFFSET(B1635,0,'Field labels'!$Q$1)),C1635,OFFSET(B1635,0,'Field labels'!$Q$1))</f>
        <v>P&amp;L-Co Gen (953020-LE002001)</v>
      </c>
      <c r="C1635" t="s">
        <v>6800</v>
      </c>
    </row>
    <row r="1636" spans="1:3">
      <c r="A1636" t="s">
        <v>7538</v>
      </c>
      <c r="B1636" t="str">
        <f ca="1">IF(ISBLANK(OFFSET(B1636,0,'Field labels'!$Q$1)),C1636,OFFSET(B1636,0,'Field labels'!$Q$1))</f>
        <v>Pdn Maintenance (953044-LE002001)</v>
      </c>
      <c r="C1636" t="s">
        <v>6819</v>
      </c>
    </row>
    <row r="1637" spans="1:3">
      <c r="A1637" t="s">
        <v>7538</v>
      </c>
      <c r="B1637" t="str">
        <f ca="1">IF(ISBLANK(OFFSET(B1637,0,'Field labels'!$Q$1)),C1637,OFFSET(B1637,0,'Field labels'!$Q$1))</f>
        <v>Production Crush (876030-LE002001)</v>
      </c>
      <c r="C1637" t="s">
        <v>6912</v>
      </c>
    </row>
    <row r="1638" spans="1:3">
      <c r="A1638" t="s">
        <v>7538</v>
      </c>
      <c r="B1638" t="str">
        <f ca="1">IF(ISBLANK(OFFSET(B1638,0,'Field labels'!$Q$1)),C1638,OFFSET(B1638,0,'Field labels'!$Q$1))</f>
        <v>Production Lab (876033-LE002001)</v>
      </c>
      <c r="C1638" t="s">
        <v>6915</v>
      </c>
    </row>
    <row r="1639" spans="1:3">
      <c r="A1639" t="s">
        <v>7538</v>
      </c>
      <c r="B1639" t="str">
        <f ca="1">IF(ISBLANK(OFFSET(B1639,0,'Field labels'!$Q$1)),C1639,OFFSET(B1639,0,'Field labels'!$Q$1))</f>
        <v>Production Maintenance (876031-LE002001)</v>
      </c>
      <c r="C1639" t="s">
        <v>6917</v>
      </c>
    </row>
    <row r="1640" spans="1:3">
      <c r="A1640" t="s">
        <v>7538</v>
      </c>
      <c r="B1640" t="str">
        <f ca="1">IF(ISBLANK(OFFSET(B1640,0,'Field labels'!$Q$1)),C1640,OFFSET(B1640,0,'Field labels'!$Q$1))</f>
        <v>Production Maintenance (953031-LE002001)</v>
      </c>
      <c r="C1640" t="s">
        <v>6916</v>
      </c>
    </row>
    <row r="1641" spans="1:3">
      <c r="A1641" t="s">
        <v>7538</v>
      </c>
      <c r="B1641" t="str">
        <f ca="1">IF(ISBLANK(OFFSET(B1641,0,'Field labels'!$Q$1)),C1641,OFFSET(B1641,0,'Field labels'!$Q$1))</f>
        <v>Production-EHS (876025-LE002001)</v>
      </c>
      <c r="C1641" t="s">
        <v>6939</v>
      </c>
    </row>
    <row r="1642" spans="1:3">
      <c r="A1642" t="s">
        <v>7538</v>
      </c>
      <c r="B1642" t="str">
        <f ca="1">IF(ISBLANK(OFFSET(B1642,0,'Field labels'!$Q$1)),C1642,OFFSET(B1642,0,'Field labels'!$Q$1))</f>
        <v>Production-EHS (953025-LE002001)</v>
      </c>
      <c r="C1642" t="s">
        <v>6936</v>
      </c>
    </row>
    <row r="1643" spans="1:3">
      <c r="A1643" t="s">
        <v>7538</v>
      </c>
      <c r="B1643" t="str">
        <f ca="1">IF(ISBLANK(OFFSET(B1643,0,'Field labels'!$Q$1)),C1643,OFFSET(B1643,0,'Field labels'!$Q$1))</f>
        <v>Refinery Production (953032-LE002001)</v>
      </c>
      <c r="C1643" t="s">
        <v>7019</v>
      </c>
    </row>
    <row r="1644" spans="1:3">
      <c r="A1644" t="s">
        <v>7538</v>
      </c>
      <c r="B1644" t="str">
        <f ca="1">IF(ISBLANK(OFFSET(B1644,0,'Field labels'!$Q$1)),C1644,OFFSET(B1644,0,'Field labels'!$Q$1))</f>
        <v>Refinery-from GCK (953939-LE002001)</v>
      </c>
      <c r="C1644" t="s">
        <v>7021</v>
      </c>
    </row>
    <row r="1645" spans="1:3">
      <c r="A1645" t="s">
        <v>7538</v>
      </c>
      <c r="B1645" t="str">
        <f ca="1">IF(ISBLANK(OFFSET(B1645,0,'Field labels'!$Q$1)),C1645,OFFSET(B1645,0,'Field labels'!$Q$1))</f>
        <v>Selling-CE (876044-LE002001)</v>
      </c>
      <c r="C1645" t="s">
        <v>7114</v>
      </c>
    </row>
    <row r="1646" spans="1:3">
      <c r="A1646" t="s">
        <v>7538</v>
      </c>
      <c r="B1646" t="str">
        <f ca="1">IF(ISBLANK(OFFSET(B1646,0,'Field labels'!$Q$1)),C1646,OFFSET(B1646,0,'Field labels'!$Q$1))</f>
        <v>Tank Farm (953039-LE002001)</v>
      </c>
      <c r="C1646" t="s">
        <v>7358</v>
      </c>
    </row>
    <row r="1647" spans="1:3">
      <c r="A1647" t="s">
        <v>7538</v>
      </c>
      <c r="B1647" t="str">
        <f ca="1">IF(ISBLANK(OFFSET(B1647,0,'Field labels'!$Q$1)),C1647,OFFSET(B1647,0,'Field labels'!$Q$1))</f>
        <v>WWTP (953037-LE002001)</v>
      </c>
      <c r="C1647" t="s">
        <v>7446</v>
      </c>
    </row>
    <row r="1648" spans="1:3">
      <c r="A1648" t="s">
        <v>7471</v>
      </c>
      <c r="B1648" t="str">
        <f ca="1">IF(ISBLANK(OFFSET(B1648,0,'Field labels'!$Q$1)),C1648,OFFSET(B1648,0,'Field labels'!$Q$1))</f>
        <v>"""CITPL, Singapore""" (639700-LE002006)</v>
      </c>
      <c r="C1648" t="s">
        <v>5333</v>
      </c>
    </row>
    <row r="1649" spans="1:3">
      <c r="A1649" t="s">
        <v>7471</v>
      </c>
      <c r="B1649" t="str">
        <f ca="1">IF(ISBLANK(OFFSET(B1649,0,'Field labels'!$Q$1)),C1649,OFFSET(B1649,0,'Field labels'!$Q$1))</f>
        <v>Admin (639000-LE002006)</v>
      </c>
      <c r="C1649" t="s">
        <v>5484</v>
      </c>
    </row>
    <row r="1650" spans="1:3">
      <c r="A1650" t="s">
        <v>7471</v>
      </c>
      <c r="B1650" t="str">
        <f ca="1">IF(ISBLANK(OFFSET(B1650,0,'Field labels'!$Q$1)),C1650,OFFSET(B1650,0,'Field labels'!$Q$1))</f>
        <v>Alvean cak desk (639912-LE002006)</v>
      </c>
      <c r="C1650" t="s">
        <v>5550</v>
      </c>
    </row>
    <row r="1651" spans="1:3">
      <c r="A1651" t="s">
        <v>7471</v>
      </c>
      <c r="B1651" t="str">
        <f ca="1">IF(ISBLANK(OFFSET(B1651,0,'Field labels'!$Q$1)),C1651,OFFSET(B1651,0,'Field labels'!$Q$1))</f>
        <v>Alvean Risk (639914-LE002006)</v>
      </c>
      <c r="C1651" t="s">
        <v>5551</v>
      </c>
    </row>
    <row r="1652" spans="1:3">
      <c r="A1652" t="s">
        <v>7471</v>
      </c>
      <c r="B1652" t="str">
        <f ca="1">IF(ISBLANK(OFFSET(B1652,0,'Field labels'!$Q$1)),C1652,OFFSET(B1652,0,'Field labels'!$Q$1))</f>
        <v>Alvean TE (639913-LE002006)</v>
      </c>
      <c r="C1652" t="s">
        <v>5552</v>
      </c>
    </row>
    <row r="1653" spans="1:3">
      <c r="A1653" t="s">
        <v>7471</v>
      </c>
      <c r="B1653" t="str">
        <f ca="1">IF(ISBLANK(OFFSET(B1653,0,'Field labels'!$Q$1)),C1653,OFFSET(B1653,0,'Field labels'!$Q$1))</f>
        <v>AWB India Pvt Ltd - Admin (537000-LE002006)</v>
      </c>
      <c r="C1653" t="s">
        <v>5567</v>
      </c>
    </row>
    <row r="1654" spans="1:3">
      <c r="A1654" t="s">
        <v>7471</v>
      </c>
      <c r="B1654" t="str">
        <f ca="1">IF(ISBLANK(OFFSET(B1654,0,'Field labels'!$Q$1)),C1654,OFFSET(B1654,0,'Field labels'!$Q$1))</f>
        <v>BUSINESS APPLICATION - APAC (638319-LE002006)</v>
      </c>
      <c r="C1654" t="s">
        <v>5634</v>
      </c>
    </row>
    <row r="1655" spans="1:3">
      <c r="A1655" t="s">
        <v>7471</v>
      </c>
      <c r="B1655" t="str">
        <f ca="1">IF(ISBLANK(OFFSET(B1655,0,'Field labels'!$Q$1)),C1655,OFFSET(B1655,0,'Field labels'!$Q$1))</f>
        <v>Business Applications (638316-LE002006)</v>
      </c>
      <c r="C1655" t="s">
        <v>5635</v>
      </c>
    </row>
    <row r="1656" spans="1:3">
      <c r="A1656" t="s">
        <v>7471</v>
      </c>
      <c r="B1656" t="str">
        <f ca="1">IF(ISBLANK(OFFSET(B1656,0,'Field labels'!$Q$1)),C1656,OFFSET(B1656,0,'Field labels'!$Q$1))</f>
        <v>capture billable resource cost for CSSP (638501-LE002006)</v>
      </c>
      <c r="C1656" t="s">
        <v>5659</v>
      </c>
    </row>
    <row r="1657" spans="1:3">
      <c r="A1657" t="s">
        <v>7471</v>
      </c>
      <c r="B1657" t="str">
        <f ca="1">IF(ISBLANK(OFFSET(B1657,0,'Field labels'!$Q$1)),C1657,OFFSET(B1657,0,'Field labels'!$Q$1))</f>
        <v>capture cost for the FSS Bench Resources (638203-LE002006)</v>
      </c>
      <c r="C1657" t="s">
        <v>5660</v>
      </c>
    </row>
    <row r="1658" spans="1:3">
      <c r="A1658" t="s">
        <v>7471</v>
      </c>
      <c r="B1658" t="str">
        <f ca="1">IF(ISBLANK(OFFSET(B1658,0,'Field labels'!$Q$1)),C1658,OFFSET(B1658,0,'Field labels'!$Q$1))</f>
        <v>Cargill BV Malt Division (639520-LE002006)</v>
      </c>
      <c r="C1658" t="s">
        <v>5661</v>
      </c>
    </row>
    <row r="1659" spans="1:3">
      <c r="A1659" t="s">
        <v>7471</v>
      </c>
      <c r="B1659" t="str">
        <f ca="1">IF(ISBLANK(OFFSET(B1659,0,'Field labels'!$Q$1)),C1659,OFFSET(B1659,0,'Field labels'!$Q$1))</f>
        <v>Cargill Cotton-US (639400-LE002006)</v>
      </c>
      <c r="C1659" t="s">
        <v>5662</v>
      </c>
    </row>
    <row r="1660" spans="1:3">
      <c r="A1660" t="s">
        <v>7471</v>
      </c>
      <c r="B1660" t="str">
        <f ca="1">IF(ISBLANK(OFFSET(B1660,0,'Field labels'!$Q$1)),C1660,OFFSET(B1660,0,'Field labels'!$Q$1))</f>
        <v>Cargill CRM US (639650-LE002006)</v>
      </c>
      <c r="C1660" t="s">
        <v>5663</v>
      </c>
    </row>
    <row r="1661" spans="1:3">
      <c r="A1661" t="s">
        <v>7471</v>
      </c>
      <c r="B1661" t="str">
        <f ca="1">IF(ISBLANK(OFFSET(B1661,0,'Field labels'!$Q$1)),C1661,OFFSET(B1661,0,'Field labels'!$Q$1))</f>
        <v>Cargill Inc-FSS (639512-LE002006)</v>
      </c>
      <c r="C1661" t="s">
        <v>5664</v>
      </c>
    </row>
    <row r="1662" spans="1:3">
      <c r="A1662" t="s">
        <v>7471</v>
      </c>
      <c r="B1662" t="str">
        <f ca="1">IF(ISBLANK(OFFSET(B1662,0,'Field labels'!$Q$1)),C1662,OFFSET(B1662,0,'Field labels'!$Q$1))</f>
        <v>Cargill L&amp;T Dual Operations (638106-LE002006)</v>
      </c>
      <c r="C1662" t="s">
        <v>5671</v>
      </c>
    </row>
    <row r="1663" spans="1:3">
      <c r="A1663" t="s">
        <v>7471</v>
      </c>
      <c r="B1663" t="str">
        <f ca="1">IF(ISBLANK(OFFSET(B1663,0,'Field labels'!$Q$1)),C1663,OFFSET(B1663,0,'Field labels'!$Q$1))</f>
        <v>CBS Finance Control Dep (638206-LE002006)</v>
      </c>
      <c r="C1663" t="s">
        <v>5674</v>
      </c>
    </row>
    <row r="1664" spans="1:3">
      <c r="A1664" t="s">
        <v>7471</v>
      </c>
      <c r="B1664" t="str">
        <f ca="1">IF(ISBLANK(OFFSET(B1664,0,'Field labels'!$Q$1)),C1664,OFFSET(B1664,0,'Field labels'!$Q$1))</f>
        <v>CBS Function (638100-LE002006)</v>
      </c>
      <c r="C1664" t="s">
        <v>5675</v>
      </c>
    </row>
    <row r="1665" spans="1:3">
      <c r="A1665" t="s">
        <v>7471</v>
      </c>
      <c r="B1665" t="str">
        <f ca="1">IF(ISBLANK(OFFSET(B1665,0,'Field labels'!$Q$1)),C1665,OFFSET(B1665,0,'Field labels'!$Q$1))</f>
        <v>CBS-FFS (638102-LE002006)</v>
      </c>
      <c r="C1665" t="s">
        <v>5679</v>
      </c>
    </row>
    <row r="1666" spans="1:3">
      <c r="A1666" t="s">
        <v>7471</v>
      </c>
      <c r="B1666" t="str">
        <f ca="1">IF(ISBLANK(OFFSET(B1666,0,'Field labels'!$Q$1)),C1666,OFFSET(B1666,0,'Field labels'!$Q$1))</f>
        <v>CCE - IND (638330-LE002006)</v>
      </c>
      <c r="C1666" t="s">
        <v>5680</v>
      </c>
    </row>
    <row r="1667" spans="1:3">
      <c r="A1667" t="s">
        <v>7471</v>
      </c>
      <c r="B1667" t="str">
        <f ca="1">IF(ISBLANK(OFFSET(B1667,0,'Field labels'!$Q$1)),C1667,OFFSET(B1667,0,'Field labels'!$Q$1))</f>
        <v>CISA-WTU (639800-LE002006)</v>
      </c>
      <c r="C1667" t="s">
        <v>5872</v>
      </c>
    </row>
    <row r="1668" spans="1:3">
      <c r="A1668" t="s">
        <v>7471</v>
      </c>
      <c r="B1668" t="str">
        <f ca="1">IF(ISBLANK(OFFSET(B1668,0,'Field labels'!$Q$1)),C1668,OFFSET(B1668,0,'Field labels'!$Q$1))</f>
        <v>CITPL ADMIN GOSCA ASIAL (639701-LE002006)</v>
      </c>
      <c r="C1668" t="s">
        <v>5873</v>
      </c>
    </row>
    <row r="1669" spans="1:3">
      <c r="A1669" t="s">
        <v>7471</v>
      </c>
      <c r="B1669" t="str">
        <f ca="1">IF(ISBLANK(OFFSET(B1669,0,'Field labels'!$Q$1)),C1669,OFFSET(B1669,0,'Field labels'!$Q$1))</f>
        <v>Continuous Improvement (638108-LE002006)</v>
      </c>
      <c r="C1669" t="s">
        <v>5927</v>
      </c>
    </row>
    <row r="1670" spans="1:3">
      <c r="A1670" t="s">
        <v>7471</v>
      </c>
      <c r="B1670" t="str">
        <f ca="1">IF(ISBLANK(OFFSET(B1670,0,'Field labels'!$Q$1)),C1670,OFFSET(B1670,0,'Field labels'!$Q$1))</f>
        <v>Control COE (638205-LE002006)</v>
      </c>
      <c r="C1670" t="s">
        <v>5930</v>
      </c>
    </row>
    <row r="1671" spans="1:3">
      <c r="A1671" t="s">
        <v>7471</v>
      </c>
      <c r="B1671" t="str">
        <f ca="1">IF(ISBLANK(OFFSET(B1671,0,'Field labels'!$Q$1)),C1671,OFFSET(B1671,0,'Field labels'!$Q$1))</f>
        <v>Crgl Inc- IT (639511-LE002006)</v>
      </c>
      <c r="C1671" t="s">
        <v>5998</v>
      </c>
    </row>
    <row r="1672" spans="1:3">
      <c r="A1672" t="s">
        <v>7471</v>
      </c>
      <c r="B1672" t="str">
        <f ca="1">IF(ISBLANK(OFFSET(B1672,0,'Field labels'!$Q$1)),C1672,OFFSET(B1672,0,'Field labels'!$Q$1))</f>
        <v>Crgl-AMG (639513-LE002006)</v>
      </c>
      <c r="C1672" t="s">
        <v>5999</v>
      </c>
    </row>
    <row r="1673" spans="1:3">
      <c r="A1673" t="s">
        <v>7471</v>
      </c>
      <c r="B1673" t="str">
        <f ca="1">IF(ISBLANK(OFFSET(B1673,0,'Field labels'!$Q$1)),C1673,OFFSET(B1673,0,'Field labels'!$Q$1))</f>
        <v>CSSP - Allocated APAC (638502-LE002006)</v>
      </c>
      <c r="C1673" t="s">
        <v>6013</v>
      </c>
    </row>
    <row r="1674" spans="1:3">
      <c r="A1674" t="s">
        <v>7471</v>
      </c>
      <c r="B1674" t="str">
        <f ca="1">IF(ISBLANK(OFFSET(B1674,0,'Field labels'!$Q$1)),C1674,OFFSET(B1674,0,'Field labels'!$Q$1))</f>
        <v>CSSP Maestro (638510-LE002006)</v>
      </c>
      <c r="C1674" t="s">
        <v>6014</v>
      </c>
    </row>
    <row r="1675" spans="1:3">
      <c r="A1675" t="s">
        <v>7471</v>
      </c>
      <c r="B1675" t="str">
        <f ca="1">IF(ISBLANK(OFFSET(B1675,0,'Field labels'!$Q$1)),C1675,OFFSET(B1675,0,'Field labels'!$Q$1))</f>
        <v>CTL-Strategy/Planning_Cont (638602-LE002006)</v>
      </c>
      <c r="C1675" t="s">
        <v>6025</v>
      </c>
    </row>
    <row r="1676" spans="1:3">
      <c r="A1676" t="s">
        <v>7471</v>
      </c>
      <c r="B1676" t="str">
        <f ca="1">IF(ISBLANK(OFFSET(B1676,0,'Field labels'!$Q$1)),C1676,OFFSET(B1676,0,'Field labels'!$Q$1))</f>
        <v>Data &amp; Business Intelligence (638314-LE002006)</v>
      </c>
      <c r="C1676" t="s">
        <v>6073</v>
      </c>
    </row>
    <row r="1677" spans="1:3">
      <c r="A1677" t="s">
        <v>7471</v>
      </c>
      <c r="B1677" t="str">
        <f ca="1">IF(ISBLANK(OFFSET(B1677,0,'Field labels'!$Q$1)),C1677,OFFSET(B1677,0,'Field labels'!$Q$1))</f>
        <v>Enterprise Cloud Applications (638308-LE002006)</v>
      </c>
      <c r="C1677" t="s">
        <v>6143</v>
      </c>
    </row>
    <row r="1678" spans="1:3">
      <c r="A1678" t="s">
        <v>7471</v>
      </c>
      <c r="B1678" t="str">
        <f ca="1">IF(ISBLANK(OFFSET(B1678,0,'Field labels'!$Q$1)),C1678,OFFSET(B1678,0,'Field labels'!$Q$1))</f>
        <v>ERP Maintenance &amp; Support (638313-LE002006)</v>
      </c>
      <c r="C1678" t="s">
        <v>6144</v>
      </c>
    </row>
    <row r="1679" spans="1:3">
      <c r="A1679" t="s">
        <v>7471</v>
      </c>
      <c r="B1679" t="str">
        <f ca="1">IF(ISBLANK(OFFSET(B1679,0,'Field labels'!$Q$1)),C1679,OFFSET(B1679,0,'Field labels'!$Q$1))</f>
        <v>ERP Technology Services (638312-LE002006)</v>
      </c>
      <c r="C1679" t="s">
        <v>6145</v>
      </c>
    </row>
    <row r="1680" spans="1:3">
      <c r="A1680" t="s">
        <v>7471</v>
      </c>
      <c r="B1680" t="str">
        <f ca="1">IF(ISBLANK(OFFSET(B1680,0,'Field labels'!$Q$1)),C1680,OFFSET(B1680,0,'Field labels'!$Q$1))</f>
        <v>FFS-Management (638200-LE002006)</v>
      </c>
      <c r="C1680" t="s">
        <v>6189</v>
      </c>
    </row>
    <row r="1681" spans="1:3">
      <c r="A1681" t="s">
        <v>7471</v>
      </c>
      <c r="B1681" t="str">
        <f ca="1">IF(ISBLANK(OFFSET(B1681,0,'Field labels'!$Q$1)),C1681,OFFSET(B1681,0,'Field labels'!$Q$1))</f>
        <v>Finance Credit to Cash (639003-LE002006)</v>
      </c>
      <c r="C1681" t="s">
        <v>6209</v>
      </c>
    </row>
    <row r="1682" spans="1:3">
      <c r="A1682" t="s">
        <v>7471</v>
      </c>
      <c r="B1682" t="str">
        <f ca="1">IF(ISBLANK(OFFSET(B1682,0,'Field labels'!$Q$1)),C1682,OFFSET(B1682,0,'Field labels'!$Q$1))</f>
        <v>FSS – OTSC - Maintain OTSC data (638271-LE002006)</v>
      </c>
      <c r="C1682" t="s">
        <v>6377</v>
      </c>
    </row>
    <row r="1683" spans="1:3">
      <c r="A1683" t="s">
        <v>7471</v>
      </c>
      <c r="B1683" t="str">
        <f ca="1">IF(ISBLANK(OFFSET(B1683,0,'Field labels'!$Q$1)),C1683,OFFSET(B1683,0,'Field labels'!$Q$1))</f>
        <v>FSS – OTSC - Manage customer credit (638272-LE002006)</v>
      </c>
      <c r="C1683" t="s">
        <v>6378</v>
      </c>
    </row>
    <row r="1684" spans="1:3">
      <c r="A1684" t="s">
        <v>7471</v>
      </c>
      <c r="B1684" t="str">
        <f ca="1">IF(ISBLANK(OFFSET(B1684,0,'Field labels'!$Q$1)),C1684,OFFSET(B1684,0,'Field labels'!$Q$1))</f>
        <v>FSS – OTSC - Process collections (638275-LE002006)</v>
      </c>
      <c r="C1684" t="s">
        <v>6379</v>
      </c>
    </row>
    <row r="1685" spans="1:3">
      <c r="A1685" t="s">
        <v>7471</v>
      </c>
      <c r="B1685" t="str">
        <f ca="1">IF(ISBLANK(OFFSET(B1685,0,'Field labels'!$Q$1)),C1685,OFFSET(B1685,0,'Field labels'!$Q$1))</f>
        <v>FSS – PTP - Maintain PTP data (638241-LE002006)</v>
      </c>
      <c r="C1685" t="s">
        <v>6380</v>
      </c>
    </row>
    <row r="1686" spans="1:3">
      <c r="A1686" t="s">
        <v>7471</v>
      </c>
      <c r="B1686" t="str">
        <f ca="1">IF(ISBLANK(OFFSET(B1686,0,'Field labels'!$Q$1)),C1686,OFFSET(B1686,0,'Field labels'!$Q$1))</f>
        <v>FSS – PTP - Perform travel and expense a (638246-LE002006)</v>
      </c>
      <c r="C1686" t="s">
        <v>6381</v>
      </c>
    </row>
    <row r="1687" spans="1:3">
      <c r="A1687" t="s">
        <v>7471</v>
      </c>
      <c r="B1687" t="str">
        <f ca="1">IF(ISBLANK(OFFSET(B1687,0,'Field labels'!$Q$1)),C1687,OFFSET(B1687,0,'Field labels'!$Q$1))</f>
        <v>FSS – PTP - Process travel and expense r (638247-LE002006)</v>
      </c>
      <c r="C1687" t="s">
        <v>6382</v>
      </c>
    </row>
    <row r="1688" spans="1:3">
      <c r="A1688" t="s">
        <v>7471</v>
      </c>
      <c r="B1688" t="str">
        <f ca="1">IF(ISBLANK(OFFSET(B1688,0,'Field labels'!$Q$1)),C1688,OFFSET(B1688,0,'Field labels'!$Q$1))</f>
        <v>FSS – PTP - Provide supplier support ser (638245-LE002006)</v>
      </c>
      <c r="C1688" t="s">
        <v>6383</v>
      </c>
    </row>
    <row r="1689" spans="1:3">
      <c r="A1689" t="s">
        <v>7471</v>
      </c>
      <c r="B1689" t="str">
        <f ca="1">IF(ISBLANK(OFFSET(B1689,0,'Field labels'!$Q$1)),C1689,OFFSET(B1689,0,'Field labels'!$Q$1))</f>
        <v>FSS billable Cost (RTR) (638211-LE002006)</v>
      </c>
      <c r="C1689" t="s">
        <v>6384</v>
      </c>
    </row>
    <row r="1690" spans="1:3">
      <c r="A1690" t="s">
        <v>7471</v>
      </c>
      <c r="B1690" t="str">
        <f ca="1">IF(ISBLANK(OFFSET(B1690,0,'Field labels'!$Q$1)),C1690,OFFSET(B1690,0,'Field labels'!$Q$1))</f>
        <v>FSS Management allocable cost to BUs (638201-LE002006)</v>
      </c>
      <c r="C1690" t="s">
        <v>6385</v>
      </c>
    </row>
    <row r="1691" spans="1:3">
      <c r="A1691" t="s">
        <v>7471</v>
      </c>
      <c r="B1691" t="str">
        <f ca="1">IF(ISBLANK(OFFSET(B1691,0,'Field labels'!$Q$1)),C1691,OFFSET(B1691,0,'Field labels'!$Q$1))</f>
        <v>FSS Migration Cost (638202-LE002006)</v>
      </c>
      <c r="C1691" t="s">
        <v>6386</v>
      </c>
    </row>
    <row r="1692" spans="1:3">
      <c r="A1692" t="s">
        <v>7471</v>
      </c>
      <c r="B1692" t="str">
        <f ca="1">IF(ISBLANK(OFFSET(B1692,0,'Field labels'!$Q$1)),C1692,OFFSET(B1692,0,'Field labels'!$Q$1))</f>
        <v>GHRS - EE SOUTH (638420-LE002006)</v>
      </c>
      <c r="C1692" t="s">
        <v>6467</v>
      </c>
    </row>
    <row r="1693" spans="1:3">
      <c r="A1693" t="s">
        <v>7471</v>
      </c>
      <c r="B1693" t="str">
        <f ca="1">IF(ISBLANK(OFFSET(B1693,0,'Field labels'!$Q$1)),C1693,OFFSET(B1693,0,'Field labels'!$Q$1))</f>
        <v>GIC - Analy, Data, Mgmt (638305-LE002006)</v>
      </c>
      <c r="C1693" t="s">
        <v>6470</v>
      </c>
    </row>
    <row r="1694" spans="1:3">
      <c r="A1694" t="s">
        <v>7471</v>
      </c>
      <c r="B1694" t="str">
        <f ca="1">IF(ISBLANK(OFFSET(B1694,0,'Field labels'!$Q$1)),C1694,OFFSET(B1694,0,'Field labels'!$Q$1))</f>
        <v>GIC - App, Maintenance (638302-LE002006)</v>
      </c>
      <c r="C1694" t="s">
        <v>6471</v>
      </c>
    </row>
    <row r="1695" spans="1:3">
      <c r="A1695" t="s">
        <v>7471</v>
      </c>
      <c r="B1695" t="str">
        <f ca="1">IF(ISBLANK(OFFSET(B1695,0,'Field labels'!$Q$1)),C1695,OFFSET(B1695,0,'Field labels'!$Q$1))</f>
        <v>GIC - Delivery Service (638309-LE002006)</v>
      </c>
      <c r="C1695" t="s">
        <v>6472</v>
      </c>
    </row>
    <row r="1696" spans="1:3">
      <c r="A1696" t="s">
        <v>7471</v>
      </c>
      <c r="B1696" t="str">
        <f ca="1">IF(ISBLANK(OFFSET(B1696,0,'Field labels'!$Q$1)),C1696,OFFSET(B1696,0,'Field labels'!$Q$1))</f>
        <v>GIC - Design, Development (638301-LE002006)</v>
      </c>
      <c r="C1696" t="s">
        <v>6473</v>
      </c>
    </row>
    <row r="1697" spans="1:3">
      <c r="A1697" t="s">
        <v>7471</v>
      </c>
      <c r="B1697" t="str">
        <f ca="1">IF(ISBLANK(OFFSET(B1697,0,'Field labels'!$Q$1)),C1697,OFFSET(B1697,0,'Field labels'!$Q$1))</f>
        <v>GIC - ERP Solutions (638303-LE002006)</v>
      </c>
      <c r="C1697" t="s">
        <v>6474</v>
      </c>
    </row>
    <row r="1698" spans="1:3">
      <c r="A1698" t="s">
        <v>7471</v>
      </c>
      <c r="B1698" t="str">
        <f ca="1">IF(ISBLANK(OFFSET(B1698,0,'Field labels'!$Q$1)),C1698,OFFSET(B1698,0,'Field labels'!$Q$1))</f>
        <v>GIC - Mobility COE (638306-LE002006)</v>
      </c>
      <c r="C1698" t="s">
        <v>6475</v>
      </c>
    </row>
    <row r="1699" spans="1:3">
      <c r="A1699" t="s">
        <v>7471</v>
      </c>
      <c r="B1699" t="str">
        <f ca="1">IF(ISBLANK(OFFSET(B1699,0,'Field labels'!$Q$1)),C1699,OFFSET(B1699,0,'Field labels'!$Q$1))</f>
        <v>Global Ethics &amp; Compliance (638710-LE002006)</v>
      </c>
      <c r="C1699" t="s">
        <v>6477</v>
      </c>
    </row>
    <row r="1700" spans="1:3">
      <c r="A1700" t="s">
        <v>7471</v>
      </c>
      <c r="B1700" t="str">
        <f ca="1">IF(ISBLANK(OFFSET(B1700,0,'Field labels'!$Q$1)),C1700,OFFSET(B1700,0,'Field labels'!$Q$1))</f>
        <v>Global IT ERP CAN (638324-LE002006)</v>
      </c>
      <c r="C1700" t="s">
        <v>6479</v>
      </c>
    </row>
    <row r="1701" spans="1:3">
      <c r="A1701" t="s">
        <v>7471</v>
      </c>
      <c r="B1701" t="str">
        <f ca="1">IF(ISBLANK(OFFSET(B1701,0,'Field labels'!$Q$1)),C1701,OFFSET(B1701,0,'Field labels'!$Q$1))</f>
        <v>Global IT ERP CASC &amp; ETM (638321-LE002006)</v>
      </c>
      <c r="C1701" t="s">
        <v>6480</v>
      </c>
    </row>
    <row r="1702" spans="1:3">
      <c r="A1702" t="s">
        <v>7471</v>
      </c>
      <c r="B1702" t="str">
        <f ca="1">IF(ISBLANK(OFFSET(B1702,0,'Field labels'!$Q$1)),C1702,OFFSET(B1702,0,'Field labels'!$Q$1))</f>
        <v>Global IT ERP FIBI &amp; CPS (638323-LE002006)</v>
      </c>
      <c r="C1702" t="s">
        <v>6481</v>
      </c>
    </row>
    <row r="1703" spans="1:3">
      <c r="A1703" t="s">
        <v>7471</v>
      </c>
      <c r="B1703" t="str">
        <f ca="1">IF(ISBLANK(OFFSET(B1703,0,'Field labels'!$Q$1)),C1703,OFFSET(B1703,0,'Field labels'!$Q$1))</f>
        <v>Global IT ERP Group Functions (638322-LE002006)</v>
      </c>
      <c r="C1703" t="s">
        <v>6482</v>
      </c>
    </row>
    <row r="1704" spans="1:3">
      <c r="A1704" t="s">
        <v>7471</v>
      </c>
      <c r="B1704" t="str">
        <f ca="1">IF(ISBLANK(OFFSET(B1704,0,'Field labels'!$Q$1)),C1704,OFFSET(B1704,0,'Field labels'!$Q$1))</f>
        <v>GOSC India (639802-LE002006)</v>
      </c>
      <c r="C1704" t="s">
        <v>6512</v>
      </c>
    </row>
    <row r="1705" spans="1:3">
      <c r="A1705" t="s">
        <v>7471</v>
      </c>
      <c r="B1705" t="str">
        <f ca="1">IF(ISBLANK(OFFSET(B1705,0,'Field labels'!$Q$1)),C1705,OFFSET(B1705,0,'Field labels'!$Q$1))</f>
        <v>GPO_CFR (638204-LE002006)</v>
      </c>
      <c r="C1705" t="s">
        <v>6522</v>
      </c>
    </row>
    <row r="1706" spans="1:3">
      <c r="A1706" t="s">
        <v>7471</v>
      </c>
      <c r="B1706" t="str">
        <f ca="1">IF(ISBLANK(OFFSET(B1706,0,'Field labels'!$Q$1)),C1706,OFFSET(B1706,0,'Field labels'!$Q$1))</f>
        <v>HR and Treasury - IND (638331-LE002006)</v>
      </c>
      <c r="C1706" t="s">
        <v>6566</v>
      </c>
    </row>
    <row r="1707" spans="1:3">
      <c r="A1707" t="s">
        <v>7471</v>
      </c>
      <c r="B1707" t="str">
        <f ca="1">IF(ISBLANK(OFFSET(B1707,0,'Field labels'!$Q$1)),C1707,OFFSET(B1707,0,'Field labels'!$Q$1))</f>
        <v>HR Dual Operations (638103-LE002006)</v>
      </c>
      <c r="C1707" t="s">
        <v>6568</v>
      </c>
    </row>
    <row r="1708" spans="1:3">
      <c r="A1708" t="s">
        <v>7471</v>
      </c>
      <c r="B1708" t="str">
        <f ca="1">IF(ISBLANK(OFFSET(B1708,0,'Field labels'!$Q$1)),C1708,OFFSET(B1708,0,'Field labels'!$Q$1))</f>
        <v>HR Global Training (638411-LE002006)</v>
      </c>
      <c r="C1708" t="s">
        <v>6570</v>
      </c>
    </row>
    <row r="1709" spans="1:3">
      <c r="A1709" t="s">
        <v>7471</v>
      </c>
      <c r="B1709" t="str">
        <f ca="1">IF(ISBLANK(OFFSET(B1709,0,'Field labels'!$Q$1)),C1709,OFFSET(B1709,0,'Field labels'!$Q$1))</f>
        <v>HR Shared Service - Allocated (638401-LE002006)</v>
      </c>
      <c r="C1709" t="s">
        <v>6572</v>
      </c>
    </row>
    <row r="1710" spans="1:3">
      <c r="A1710" t="s">
        <v>7471</v>
      </c>
      <c r="B1710" t="str">
        <f ca="1">IF(ISBLANK(OFFSET(B1710,0,'Field labels'!$Q$1)),C1710,OFFSET(B1710,0,'Field labels'!$Q$1))</f>
        <v>HRIT Regional Cost (638310-LE002006)</v>
      </c>
      <c r="C1710" t="s">
        <v>6584</v>
      </c>
    </row>
    <row r="1711" spans="1:3">
      <c r="A1711" t="s">
        <v>7471</v>
      </c>
      <c r="B1711" t="str">
        <f ca="1">IF(ISBLANK(OFFSET(B1711,0,'Field labels'!$Q$1)),C1711,OFFSET(B1711,0,'Field labels'!$Q$1))</f>
        <v>HRIT Regional Cost (638610-LE002006)</v>
      </c>
      <c r="C1711" t="s">
        <v>6583</v>
      </c>
    </row>
    <row r="1712" spans="1:3">
      <c r="A1712" t="s">
        <v>7471</v>
      </c>
      <c r="B1712" t="str">
        <f ca="1">IF(ISBLANK(OFFSET(B1712,0,'Field labels'!$Q$1)),C1712,OFFSET(B1712,0,'Field labels'!$Q$1))</f>
        <v>Human Resource (638400-LE002006)</v>
      </c>
      <c r="C1712" t="s">
        <v>6588</v>
      </c>
    </row>
    <row r="1713" spans="1:3">
      <c r="A1713" t="s">
        <v>7471</v>
      </c>
      <c r="B1713" t="str">
        <f ca="1">IF(ISBLANK(OFFSET(B1713,0,'Field labels'!$Q$1)),C1713,OFFSET(B1713,0,'Field labels'!$Q$1))</f>
        <v>ILC Bangalore (638333-LE002006)</v>
      </c>
      <c r="C1713" t="s">
        <v>6596</v>
      </c>
    </row>
    <row r="1714" spans="1:3">
      <c r="A1714" t="s">
        <v>7471</v>
      </c>
      <c r="B1714" t="str">
        <f ca="1">IF(ISBLANK(OFFSET(B1714,0,'Field labels'!$Q$1)),C1714,OFFSET(B1714,0,'Field labels'!$Q$1))</f>
        <v>Information Technology (638300-LE002006)</v>
      </c>
      <c r="C1714" t="s">
        <v>6598</v>
      </c>
    </row>
    <row r="1715" spans="1:3">
      <c r="A1715" t="s">
        <v>7471</v>
      </c>
      <c r="B1715" t="str">
        <f ca="1">IF(ISBLANK(OFFSET(B1715,0,'Field labels'!$Q$1)),C1715,OFFSET(B1715,0,'Field labels'!$Q$1))</f>
        <v>Manage asset accounting (638216-LE002006)</v>
      </c>
      <c r="C1715" t="s">
        <v>6700</v>
      </c>
    </row>
    <row r="1716" spans="1:3">
      <c r="A1716" t="s">
        <v>7471</v>
      </c>
      <c r="B1716" t="str">
        <f ca="1">IF(ISBLANK(OFFSET(B1716,0,'Field labels'!$Q$1)),C1716,OFFSET(B1716,0,'Field labels'!$Q$1))</f>
        <v>Manage invoicing and billing (638273-LE002006)</v>
      </c>
      <c r="C1716" t="s">
        <v>6703</v>
      </c>
    </row>
    <row r="1717" spans="1:3">
      <c r="A1717" t="s">
        <v>7471</v>
      </c>
      <c r="B1717" t="str">
        <f ca="1">IF(ISBLANK(OFFSET(B1717,0,'Field labels'!$Q$1)),C1717,OFFSET(B1717,0,'Field labels'!$Q$1))</f>
        <v>Ocean Transportation (638701-LE002006)</v>
      </c>
      <c r="C1717" t="s">
        <v>6756</v>
      </c>
    </row>
    <row r="1718" spans="1:3">
      <c r="A1718" t="s">
        <v>7471</v>
      </c>
      <c r="B1718" t="str">
        <f ca="1">IF(ISBLANK(OFFSET(B1718,0,'Field labels'!$Q$1)),C1718,OFFSET(B1718,0,'Field labels'!$Q$1))</f>
        <v>Ocean Transportation Admin (638702-LE002006)</v>
      </c>
      <c r="C1718" t="s">
        <v>6757</v>
      </c>
    </row>
    <row r="1719" spans="1:3">
      <c r="A1719" t="s">
        <v>7471</v>
      </c>
      <c r="B1719" t="str">
        <f ca="1">IF(ISBLANK(OFFSET(B1719,0,'Field labels'!$Q$1)),C1719,OFFSET(B1719,0,'Field labels'!$Q$1))</f>
        <v>OTSC - Perform cash application (638274-LE002006)</v>
      </c>
      <c r="C1719" t="s">
        <v>6785</v>
      </c>
    </row>
    <row r="1720" spans="1:3">
      <c r="A1720" t="s">
        <v>7471</v>
      </c>
      <c r="B1720" t="str">
        <f ca="1">IF(ISBLANK(OFFSET(B1720,0,'Field labels'!$Q$1)),C1720,OFFSET(B1720,0,'Field labels'!$Q$1))</f>
        <v>OTSC - Perform dispute management (638276-LE002006)</v>
      </c>
      <c r="C1720" t="s">
        <v>6786</v>
      </c>
    </row>
    <row r="1721" spans="1:3">
      <c r="A1721" t="s">
        <v>7471</v>
      </c>
      <c r="B1721" t="str">
        <f ca="1">IF(ISBLANK(OFFSET(B1721,0,'Field labels'!$Q$1)),C1721,OFFSET(B1721,0,'Field labels'!$Q$1))</f>
        <v>OTSC-Post journal entries &amp;perform perio (638277-LE002006)</v>
      </c>
      <c r="C1721" t="s">
        <v>6792</v>
      </c>
    </row>
    <row r="1722" spans="1:3">
      <c r="A1722" t="s">
        <v>7471</v>
      </c>
      <c r="B1722" t="str">
        <f ca="1">IF(ISBLANK(OFFSET(B1722,0,'Field labels'!$Q$1)),C1722,OFFSET(B1722,0,'Field labels'!$Q$1))</f>
        <v>Perform close process (638213-LE002006)</v>
      </c>
      <c r="C1722" t="s">
        <v>6824</v>
      </c>
    </row>
    <row r="1723" spans="1:3">
      <c r="A1723" t="s">
        <v>7471</v>
      </c>
      <c r="B1723" t="str">
        <f ca="1">IF(ISBLANK(OFFSET(B1723,0,'Field labels'!$Q$1)),C1723,OFFSET(B1723,0,'Field labels'!$Q$1))</f>
        <v>Perform general ledger accounting (638212-LE002006)</v>
      </c>
      <c r="C1723" t="s">
        <v>6826</v>
      </c>
    </row>
    <row r="1724" spans="1:3">
      <c r="A1724" t="s">
        <v>7471</v>
      </c>
      <c r="B1724" t="str">
        <f ca="1">IF(ISBLANK(OFFSET(B1724,0,'Field labels'!$Q$1)),C1724,OFFSET(B1724,0,'Field labels'!$Q$1))</f>
        <v>PMO - IND (638329-LE002006)</v>
      </c>
      <c r="C1724" t="s">
        <v>6858</v>
      </c>
    </row>
    <row r="1725" spans="1:3">
      <c r="A1725" t="s">
        <v>7471</v>
      </c>
      <c r="B1725" t="str">
        <f ca="1">IF(ISBLANK(OFFSET(B1725,0,'Field labels'!$Q$1)),C1725,OFFSET(B1725,0,'Field labels'!$Q$1))</f>
        <v>Process intercompany  transactions (638214-LE002006)</v>
      </c>
      <c r="C1725" t="s">
        <v>6891</v>
      </c>
    </row>
    <row r="1726" spans="1:3">
      <c r="A1726" t="s">
        <v>7471</v>
      </c>
      <c r="B1726" t="str">
        <f ca="1">IF(ISBLANK(OFFSET(B1726,0,'Field labels'!$Q$1)),C1726,OFFSET(B1726,0,'Field labels'!$Q$1))</f>
        <v>Process vendor invoices (638242-LE002006)</v>
      </c>
      <c r="C1726" t="s">
        <v>6894</v>
      </c>
    </row>
    <row r="1727" spans="1:3">
      <c r="A1727" t="s">
        <v>7471</v>
      </c>
      <c r="B1727" t="str">
        <f ca="1">IF(ISBLANK(OFFSET(B1727,0,'Field labels'!$Q$1)),C1727,OFFSET(B1727,0,'Field labels'!$Q$1))</f>
        <v>Project Management Office team cost (638107-LE002006)</v>
      </c>
      <c r="C1727" t="s">
        <v>6951</v>
      </c>
    </row>
    <row r="1728" spans="1:3">
      <c r="A1728" t="s">
        <v>7471</v>
      </c>
      <c r="B1728" t="str">
        <f ca="1">IF(ISBLANK(OFFSET(B1728,0,'Field labels'!$Q$1)),C1728,OFFSET(B1728,0,'Field labels'!$Q$1))</f>
        <v>PTP - Process payments (638243-LE002006)</v>
      </c>
      <c r="C1728" t="s">
        <v>6971</v>
      </c>
    </row>
    <row r="1729" spans="1:3">
      <c r="A1729" t="s">
        <v>7471</v>
      </c>
      <c r="B1729" t="str">
        <f ca="1">IF(ISBLANK(OFFSET(B1729,0,'Field labels'!$Q$1)),C1729,OFFSET(B1729,0,'Field labels'!$Q$1))</f>
        <v>PTP-Post journal entries and perform per (638244-LE002006)</v>
      </c>
      <c r="C1729" t="s">
        <v>6972</v>
      </c>
    </row>
    <row r="1730" spans="1:3">
      <c r="A1730" t="s">
        <v>7471</v>
      </c>
      <c r="B1730" t="str">
        <f ca="1">IF(ISBLANK(OFFSET(B1730,0,'Field labels'!$Q$1)),C1730,OFFSET(B1730,0,'Field labels'!$Q$1))</f>
        <v>RTR - Perform Cash Management (638215-LE002006)</v>
      </c>
      <c r="C1730" t="s">
        <v>7050</v>
      </c>
    </row>
    <row r="1731" spans="1:3">
      <c r="A1731" t="s">
        <v>7471</v>
      </c>
      <c r="B1731" t="str">
        <f ca="1">IF(ISBLANK(OFFSET(B1731,0,'Field labels'!$Q$1)),C1731,OFFSET(B1731,0,'Field labels'!$Q$1))</f>
        <v>Sharepoint and Decommission - IND (638326-LE002006)</v>
      </c>
      <c r="C1731" t="s">
        <v>7139</v>
      </c>
    </row>
    <row r="1732" spans="1:3">
      <c r="A1732" t="s">
        <v>7471</v>
      </c>
      <c r="B1732" t="str">
        <f ca="1">IF(ISBLANK(OFFSET(B1732,0,'Field labels'!$Q$1)),C1732,OFFSET(B1732,0,'Field labels'!$Q$1))</f>
        <v>Singapore Palm Oils (639910-LE002006)</v>
      </c>
      <c r="C1732" t="s">
        <v>7143</v>
      </c>
    </row>
    <row r="1733" spans="1:3">
      <c r="A1733" t="s">
        <v>7471</v>
      </c>
      <c r="B1733" t="str">
        <f ca="1">IF(ISBLANK(OFFSET(B1733,0,'Field labels'!$Q$1)),C1733,OFFSET(B1733,0,'Field labels'!$Q$1))</f>
        <v>Strategic Sourcing&amp;Procurement Dual Opr (638105-LE002006)</v>
      </c>
      <c r="C1733" t="s">
        <v>7196</v>
      </c>
    </row>
    <row r="1734" spans="1:3">
      <c r="A1734" t="s">
        <v>7471</v>
      </c>
      <c r="B1734" t="str">
        <f ca="1">IF(ISBLANK(OFFSET(B1734,0,'Field labels'!$Q$1)),C1734,OFFSET(B1734,0,'Field labels'!$Q$1))</f>
        <v>TAT (639101-LE002006)</v>
      </c>
      <c r="C1734" t="s">
        <v>7360</v>
      </c>
    </row>
    <row r="1735" spans="1:3">
      <c r="A1735" t="s">
        <v>7471</v>
      </c>
      <c r="B1735" t="str">
        <f ca="1">IF(ISBLANK(OFFSET(B1735,0,'Field labels'!$Q$1)),C1735,OFFSET(B1735,0,'Field labels'!$Q$1))</f>
        <v>Tech Services Middleware AMS - IND (638327-LE002006)</v>
      </c>
      <c r="C1735" t="s">
        <v>7364</v>
      </c>
    </row>
    <row r="1736" spans="1:3">
      <c r="A1736" t="s">
        <v>7471</v>
      </c>
      <c r="B1736" t="str">
        <f ca="1">IF(ISBLANK(OFFSET(B1736,0,'Field labels'!$Q$1)),C1736,OFFSET(B1736,0,'Field labels'!$Q$1))</f>
        <v>Tech Services Saas - IND (638328-LE002006)</v>
      </c>
      <c r="C1736" t="s">
        <v>7365</v>
      </c>
    </row>
    <row r="1737" spans="1:3">
      <c r="A1737" t="s">
        <v>7471</v>
      </c>
      <c r="B1737" t="str">
        <f ca="1">IF(ISBLANK(OFFSET(B1737,0,'Field labels'!$Q$1)),C1737,OFFSET(B1737,0,'Field labels'!$Q$1))</f>
        <v>Tech Services Testing - IND (638325-LE002006)</v>
      </c>
      <c r="C1737" t="s">
        <v>7366</v>
      </c>
    </row>
    <row r="1738" spans="1:3">
      <c r="A1738" t="s">
        <v>7471</v>
      </c>
      <c r="B1738" t="str">
        <f ca="1">IF(ISBLANK(OFFSET(B1738,0,'Field labels'!$Q$1)),C1738,OFFSET(B1738,0,'Field labels'!$Q$1))</f>
        <v>Transportation &amp; Logistics (638601-LE002006)</v>
      </c>
      <c r="C1738" t="s">
        <v>7381</v>
      </c>
    </row>
    <row r="1739" spans="1:3">
      <c r="A1739" t="s">
        <v>7471</v>
      </c>
      <c r="B1739" t="str">
        <f ca="1">IF(ISBLANK(OFFSET(B1739,0,'Field labels'!$Q$1)),C1739,OFFSET(B1739,0,'Field labels'!$Q$1))</f>
        <v>WTU Geneva cak desk (639801-LE002006)</v>
      </c>
      <c r="C1739" t="s">
        <v>7442</v>
      </c>
    </row>
    <row r="1740" spans="1:3">
      <c r="A1740" t="s">
        <v>7501</v>
      </c>
      <c r="B1740" t="str">
        <f ca="1">IF(ISBLANK(OFFSET(B1740,0,'Field labels'!$Q$1)),C1740,OFFSET(B1740,0,'Field labels'!$Q$1))</f>
        <v>Aqua-CTL (285207-LE002115)</v>
      </c>
      <c r="C1740" t="s">
        <v>5564</v>
      </c>
    </row>
    <row r="1741" spans="1:3">
      <c r="A1741" t="s">
        <v>7501</v>
      </c>
      <c r="B1741" t="str">
        <f ca="1">IF(ISBLANK(OFFSET(B1741,0,'Field labels'!$Q$1)),C1741,OFFSET(B1741,0,'Field labels'!$Q$1))</f>
        <v>Baliuag Lab (296117-LE002115)</v>
      </c>
      <c r="C1741" t="s">
        <v>5568</v>
      </c>
    </row>
    <row r="1742" spans="1:3">
      <c r="A1742" t="s">
        <v>7501</v>
      </c>
      <c r="B1742" t="str">
        <f ca="1">IF(ISBLANK(OFFSET(B1742,0,'Field labels'!$Q$1)),C1742,OFFSET(B1742,0,'Field labels'!$Q$1))</f>
        <v>Baliuag-CTL (296207-LE002115)</v>
      </c>
      <c r="C1742" t="s">
        <v>5569</v>
      </c>
    </row>
    <row r="1743" spans="1:3">
      <c r="A1743" t="s">
        <v>7501</v>
      </c>
      <c r="B1743" t="str">
        <f ca="1">IF(ISBLANK(OFFSET(B1743,0,'Field labels'!$Q$1)),C1743,OFFSET(B1743,0,'Field labels'!$Q$1))</f>
        <v>Baliuag-Production (296007-LE002115)</v>
      </c>
      <c r="C1743" t="s">
        <v>5570</v>
      </c>
    </row>
    <row r="1744" spans="1:3">
      <c r="A1744" t="s">
        <v>7501</v>
      </c>
      <c r="B1744" t="str">
        <f ca="1">IF(ISBLANK(OFFSET(B1744,0,'Field labels'!$Q$1)),C1744,OFFSET(B1744,0,'Field labels'!$Q$1))</f>
        <v>CDO - Production (303007-LE002115)</v>
      </c>
      <c r="C1744" t="s">
        <v>5683</v>
      </c>
    </row>
    <row r="1745" spans="1:3">
      <c r="A1745" t="s">
        <v>7501</v>
      </c>
      <c r="B1745" t="str">
        <f ca="1">IF(ISBLANK(OFFSET(B1745,0,'Field labels'!$Q$1)),C1745,OFFSET(B1745,0,'Field labels'!$Q$1))</f>
        <v>CFN Aqua-Sales (288009-LE002115)</v>
      </c>
      <c r="C1745" t="s">
        <v>5687</v>
      </c>
    </row>
    <row r="1746" spans="1:3">
      <c r="A1746" t="s">
        <v>7501</v>
      </c>
      <c r="B1746" t="str">
        <f ca="1">IF(ISBLANK(OFFSET(B1746,0,'Field labels'!$Q$1)),C1746,OFFSET(B1746,0,'Field labels'!$Q$1))</f>
        <v>CFR Finance (290011500-LE002115)</v>
      </c>
      <c r="C1746" t="s">
        <v>5714</v>
      </c>
    </row>
    <row r="1747" spans="1:3">
      <c r="A1747" t="s">
        <v>7501</v>
      </c>
      <c r="B1747" t="str">
        <f ca="1">IF(ISBLANK(OFFSET(B1747,0,'Field labels'!$Q$1)),C1747,OFFSET(B1747,0,'Field labels'!$Q$1))</f>
        <v>Country Representative (290013000-LE002115)</v>
      </c>
      <c r="C1747" t="s">
        <v>5949</v>
      </c>
    </row>
    <row r="1748" spans="1:3">
      <c r="A1748" t="s">
        <v>7501</v>
      </c>
      <c r="B1748" t="str">
        <f ca="1">IF(ISBLANK(OFFSET(B1748,0,'Field labels'!$Q$1)),C1748,OFFSET(B1748,0,'Field labels'!$Q$1))</f>
        <v>CPI - Corp Affairs (290010600-LE002115)</v>
      </c>
      <c r="C1748" t="s">
        <v>5950</v>
      </c>
    </row>
    <row r="1749" spans="1:3">
      <c r="A1749" t="s">
        <v>7501</v>
      </c>
      <c r="B1749" t="str">
        <f ca="1">IF(ISBLANK(OFFSET(B1749,0,'Field labels'!$Q$1)),C1749,OFFSET(B1749,0,'Field labels'!$Q$1))</f>
        <v>CPI - HR (290011700-LE002115)</v>
      </c>
      <c r="C1749" t="s">
        <v>5951</v>
      </c>
    </row>
    <row r="1750" spans="1:3">
      <c r="A1750" t="s">
        <v>7501</v>
      </c>
      <c r="B1750" t="str">
        <f ca="1">IF(ISBLANK(OFFSET(B1750,0,'Field labels'!$Q$1)),C1750,OFFSET(B1750,0,'Field labels'!$Q$1))</f>
        <v>CPI - TAX (290012600-LE002115)</v>
      </c>
      <c r="C1750" t="s">
        <v>5952</v>
      </c>
    </row>
    <row r="1751" spans="1:3">
      <c r="A1751" t="s">
        <v>7501</v>
      </c>
      <c r="B1751" t="str">
        <f ca="1">IF(ISBLANK(OFFSET(B1751,0,'Field labels'!$Q$1)),C1751,OFFSET(B1751,0,'Field labels'!$Q$1))</f>
        <v>CPI-CSSP (290012900-LE002115)</v>
      </c>
      <c r="C1751" t="s">
        <v>5953</v>
      </c>
    </row>
    <row r="1752" spans="1:3">
      <c r="A1752" t="s">
        <v>7501</v>
      </c>
      <c r="B1752" t="str">
        <f ca="1">IF(ISBLANK(OFFSET(B1752,0,'Field labels'!$Q$1)),C1752,OFFSET(B1752,0,'Field labels'!$Q$1))</f>
        <v>CPN Finance &amp; Admin (502012-LE002115)</v>
      </c>
      <c r="C1752" t="s">
        <v>5956</v>
      </c>
    </row>
    <row r="1753" spans="1:3">
      <c r="A1753" t="s">
        <v>7501</v>
      </c>
      <c r="B1753" t="str">
        <f ca="1">IF(ISBLANK(OFFSET(B1753,0,'Field labels'!$Q$1)),C1753,OFFSET(B1753,0,'Field labels'!$Q$1))</f>
        <v>CPN Operations (502007-LE002115)</v>
      </c>
      <c r="C1753" t="s">
        <v>5961</v>
      </c>
    </row>
    <row r="1754" spans="1:3">
      <c r="A1754" t="s">
        <v>7501</v>
      </c>
      <c r="B1754" t="str">
        <f ca="1">IF(ISBLANK(OFFSET(B1754,0,'Field labels'!$Q$1)),C1754,OFFSET(B1754,0,'Field labels'!$Q$1))</f>
        <v>CPN Sales (502009-LE002115)</v>
      </c>
      <c r="C1754" t="s">
        <v>5962</v>
      </c>
    </row>
    <row r="1755" spans="1:3">
      <c r="A1755" t="s">
        <v>7501</v>
      </c>
      <c r="B1755" t="str">
        <f ca="1">IF(ISBLANK(OFFSET(B1755,0,'Field labels'!$Q$1)),C1755,OFFSET(B1755,0,'Field labels'!$Q$1))</f>
        <v>Data Business Intelligence Project - PH (290011603-LE002115)</v>
      </c>
      <c r="C1755" t="s">
        <v>6075</v>
      </c>
    </row>
    <row r="1756" spans="1:3">
      <c r="A1756" t="s">
        <v>7501</v>
      </c>
      <c r="B1756" t="str">
        <f ca="1">IF(ISBLANK(OFFSET(B1756,0,'Field labels'!$Q$1)),C1756,OFFSET(B1756,0,'Field labels'!$Q$1))</f>
        <v>Davao Lab (285117-LE002115)</v>
      </c>
      <c r="C1756" t="s">
        <v>6077</v>
      </c>
    </row>
    <row r="1757" spans="1:3">
      <c r="A1757" t="s">
        <v>7501</v>
      </c>
      <c r="B1757" t="str">
        <f ca="1">IF(ISBLANK(OFFSET(B1757,0,'Field labels'!$Q$1)),C1757,OFFSET(B1757,0,'Field labels'!$Q$1))</f>
        <v>Davao Production (285007-LE002115)</v>
      </c>
      <c r="C1757" t="s">
        <v>6078</v>
      </c>
    </row>
    <row r="1758" spans="1:3">
      <c r="A1758" t="s">
        <v>7501</v>
      </c>
      <c r="B1758" t="str">
        <f ca="1">IF(ISBLANK(OFFSET(B1758,0,'Field labels'!$Q$1)),C1758,OFFSET(B1758,0,'Field labels'!$Q$1))</f>
        <v>GO-CTL (506207-LE002115)</v>
      </c>
      <c r="C1758" t="s">
        <v>6496</v>
      </c>
    </row>
    <row r="1759" spans="1:3">
      <c r="A1759" t="s">
        <v>7501</v>
      </c>
      <c r="B1759" t="str">
        <f ca="1">IF(ISBLANK(OFFSET(B1759,0,'Field labels'!$Q$1)),C1759,OFFSET(B1759,0,'Field labels'!$Q$1))</f>
        <v>GO-EHS (506831-LE002115)</v>
      </c>
      <c r="C1759" t="s">
        <v>6497</v>
      </c>
    </row>
    <row r="1760" spans="1:3">
      <c r="A1760" t="s">
        <v>7501</v>
      </c>
      <c r="B1760" t="str">
        <f ca="1">IF(ISBLANK(OFFSET(B1760,0,'Field labels'!$Q$1)),C1760,OFFSET(B1760,0,'Field labels'!$Q$1))</f>
        <v>GO-Operation ( Shared) (506907-LE002115)</v>
      </c>
      <c r="C1760" t="s">
        <v>6500</v>
      </c>
    </row>
    <row r="1761" spans="1:3">
      <c r="A1761" t="s">
        <v>7501</v>
      </c>
      <c r="B1761" t="str">
        <f ca="1">IF(ISBLANK(OFFSET(B1761,0,'Field labels'!$Q$1)),C1761,OFFSET(B1761,0,'Field labels'!$Q$1))</f>
        <v>GOSCA - Forwarding (Phil) (294010102-LE002115)</v>
      </c>
      <c r="C1761" t="s">
        <v>6516</v>
      </c>
    </row>
    <row r="1762" spans="1:3">
      <c r="A1762" t="s">
        <v>7501</v>
      </c>
      <c r="B1762" t="str">
        <f ca="1">IF(ISBLANK(OFFSET(B1762,0,'Field labels'!$Q$1)),C1762,OFFSET(B1762,0,'Field labels'!$Q$1))</f>
        <v>GOSCA - Merchandising (Phil) (293010200-LE002115)</v>
      </c>
      <c r="C1762" t="s">
        <v>6517</v>
      </c>
    </row>
    <row r="1763" spans="1:3">
      <c r="A1763" t="s">
        <v>7501</v>
      </c>
      <c r="B1763" t="str">
        <f ca="1">IF(ISBLANK(OFFSET(B1763,0,'Field labels'!$Q$1)),C1763,OFFSET(B1763,0,'Field labels'!$Q$1))</f>
        <v>GOSCA - Operations (Phil) (294010201-LE002115)</v>
      </c>
      <c r="C1763" t="s">
        <v>6518</v>
      </c>
    </row>
    <row r="1764" spans="1:3">
      <c r="A1764" t="s">
        <v>7501</v>
      </c>
      <c r="B1764" t="str">
        <f ca="1">IF(ISBLANK(OFFSET(B1764,0,'Field labels'!$Q$1)),C1764,OFFSET(B1764,0,'Field labels'!$Q$1))</f>
        <v>HR Talent Acquisition (290011704-LE002115)</v>
      </c>
      <c r="C1764" t="s">
        <v>6574</v>
      </c>
    </row>
    <row r="1765" spans="1:3">
      <c r="A1765" t="s">
        <v>7501</v>
      </c>
      <c r="B1765" t="str">
        <f ca="1">IF(ISBLANK(OFFSET(B1765,0,'Field labels'!$Q$1)),C1765,OFFSET(B1765,0,'Field labels'!$Q$1))</f>
        <v>IT APP Trading PH (290011604-LE002115)</v>
      </c>
      <c r="C1765" t="s">
        <v>6613</v>
      </c>
    </row>
    <row r="1766" spans="1:3">
      <c r="A1766" t="s">
        <v>7501</v>
      </c>
      <c r="B1766" t="str">
        <f ca="1">IF(ISBLANK(OFFSET(B1766,0,'Field labels'!$Q$1)),C1766,OFFSET(B1766,0,'Field labels'!$Q$1))</f>
        <v>IT Bus Partner PH (290011605-LE002115)</v>
      </c>
      <c r="C1766" t="s">
        <v>6621</v>
      </c>
    </row>
    <row r="1767" spans="1:3">
      <c r="A1767" t="s">
        <v>7501</v>
      </c>
      <c r="B1767" t="str">
        <f ca="1">IF(ISBLANK(OFFSET(B1767,0,'Field labels'!$Q$1)),C1767,OFFSET(B1767,0,'Field labels'!$Q$1))</f>
        <v>Luzon Sales (304009-LE002115)</v>
      </c>
      <c r="C1767" t="s">
        <v>6685</v>
      </c>
    </row>
    <row r="1768" spans="1:3">
      <c r="A1768" t="s">
        <v>7501</v>
      </c>
      <c r="B1768" t="str">
        <f ca="1">IF(ISBLANK(OFFSET(B1768,0,'Field labels'!$Q$1)),C1768,OFFSET(B1768,0,'Field labels'!$Q$1))</f>
        <v>Non CFR Finance (290010400-LE002115)</v>
      </c>
      <c r="C1768" t="s">
        <v>6751</v>
      </c>
    </row>
    <row r="1769" spans="1:3">
      <c r="A1769" t="s">
        <v>7501</v>
      </c>
      <c r="B1769" t="str">
        <f ca="1">IF(ISBLANK(OFFSET(B1769,0,'Field labels'!$Q$1)),C1769,OFFSET(B1769,0,'Field labels'!$Q$1))</f>
        <v>Office Services (290011800-LE002115)</v>
      </c>
      <c r="C1769" t="s">
        <v>6765</v>
      </c>
    </row>
    <row r="1770" spans="1:3">
      <c r="A1770" t="s">
        <v>7501</v>
      </c>
      <c r="B1770" t="str">
        <f ca="1">IF(ISBLANK(OFFSET(B1770,0,'Field labels'!$Q$1)),C1770,OFFSET(B1770,0,'Field labels'!$Q$1))</f>
        <v>OTSC_Customer Serv (506122-LE002115)</v>
      </c>
      <c r="C1770" t="s">
        <v>6791</v>
      </c>
    </row>
    <row r="1771" spans="1:3">
      <c r="A1771" t="s">
        <v>7501</v>
      </c>
      <c r="B1771" t="str">
        <f ca="1">IF(ISBLANK(OFFSET(B1771,0,'Field labels'!$Q$1)),C1771,OFFSET(B1771,0,'Field labels'!$Q$1))</f>
        <v>Philippines A&amp;F Org (290015000-LE002115)</v>
      </c>
      <c r="C1771" t="s">
        <v>6839</v>
      </c>
    </row>
    <row r="1772" spans="1:3">
      <c r="A1772" t="s">
        <v>7501</v>
      </c>
      <c r="B1772" t="str">
        <f ca="1">IF(ISBLANK(OFFSET(B1772,0,'Field labels'!$Q$1)),C1772,OFFSET(B1772,0,'Field labels'!$Q$1))</f>
        <v>Poultry Focus (296009-LE002115)</v>
      </c>
      <c r="C1772" t="s">
        <v>6862</v>
      </c>
    </row>
    <row r="1773" spans="1:3">
      <c r="A1773" t="s">
        <v>7501</v>
      </c>
      <c r="B1773" t="str">
        <f ca="1">IF(ISBLANK(OFFSET(B1773,0,'Field labels'!$Q$1)),C1773,OFFSET(B1773,0,'Field labels'!$Q$1))</f>
        <v>Pulilan Admin (305012-LE002115)</v>
      </c>
      <c r="C1773" t="s">
        <v>6975</v>
      </c>
    </row>
    <row r="1774" spans="1:3">
      <c r="A1774" t="s">
        <v>7501</v>
      </c>
      <c r="B1774" t="str">
        <f ca="1">IF(ISBLANK(OFFSET(B1774,0,'Field labels'!$Q$1)),C1774,OFFSET(B1774,0,'Field labels'!$Q$1))</f>
        <v>Pulilan Lab (305070-LE002115)</v>
      </c>
      <c r="C1774" t="s">
        <v>6976</v>
      </c>
    </row>
    <row r="1775" spans="1:3">
      <c r="A1775" t="s">
        <v>7501</v>
      </c>
      <c r="B1775" t="str">
        <f ca="1">IF(ISBLANK(OFFSET(B1775,0,'Field labels'!$Q$1)),C1775,OFFSET(B1775,0,'Field labels'!$Q$1))</f>
        <v>Pulilan Lab (305117-LE002115)</v>
      </c>
      <c r="C1775" t="s">
        <v>6977</v>
      </c>
    </row>
    <row r="1776" spans="1:3">
      <c r="A1776" t="s">
        <v>7501</v>
      </c>
      <c r="B1776" t="str">
        <f ca="1">IF(ISBLANK(OFFSET(B1776,0,'Field labels'!$Q$1)),C1776,OFFSET(B1776,0,'Field labels'!$Q$1))</f>
        <v>Pulilan -RMS (305132-LE002115)</v>
      </c>
      <c r="C1776" t="s">
        <v>6978</v>
      </c>
    </row>
    <row r="1777" spans="1:3">
      <c r="A1777" t="s">
        <v>7501</v>
      </c>
      <c r="B1777" t="str">
        <f ca="1">IF(ISBLANK(OFFSET(B1777,0,'Field labels'!$Q$1)),C1777,OFFSET(B1777,0,'Field labels'!$Q$1))</f>
        <v>Pulilan -SMT Shared (305909-LE002115)</v>
      </c>
      <c r="C1777" t="s">
        <v>6979</v>
      </c>
    </row>
    <row r="1778" spans="1:3">
      <c r="A1778" t="s">
        <v>7501</v>
      </c>
      <c r="B1778" t="str">
        <f ca="1">IF(ISBLANK(OFFSET(B1778,0,'Field labels'!$Q$1)),C1778,OFFSET(B1778,0,'Field labels'!$Q$1))</f>
        <v>Pulilan-Admin/Mgt/Shared (305142-LE002115)</v>
      </c>
      <c r="C1778" t="s">
        <v>6980</v>
      </c>
    </row>
    <row r="1779" spans="1:3">
      <c r="A1779" t="s">
        <v>7501</v>
      </c>
      <c r="B1779" t="str">
        <f ca="1">IF(ISBLANK(OFFSET(B1779,0,'Field labels'!$Q$1)),C1779,OFFSET(B1779,0,'Field labels'!$Q$1))</f>
        <v>Pulilan-Credit Team (305162-LE002115)</v>
      </c>
      <c r="C1779" t="s">
        <v>6981</v>
      </c>
    </row>
    <row r="1780" spans="1:3">
      <c r="A1780" t="s">
        <v>7501</v>
      </c>
      <c r="B1780" t="str">
        <f ca="1">IF(ISBLANK(OFFSET(B1780,0,'Field labels'!$Q$1)),C1780,OFFSET(B1780,0,'Field labels'!$Q$1))</f>
        <v>Pulilan-CTL (305207-LE002115)</v>
      </c>
      <c r="C1780" t="s">
        <v>6982</v>
      </c>
    </row>
    <row r="1781" spans="1:3">
      <c r="A1781" t="s">
        <v>7501</v>
      </c>
      <c r="B1781" t="str">
        <f ca="1">IF(ISBLANK(OFFSET(B1781,0,'Field labels'!$Q$1)),C1781,OFFSET(B1781,0,'Field labels'!$Q$1))</f>
        <v>Pulilan-Formulator (305152-LE002115)</v>
      </c>
      <c r="C1781" t="s">
        <v>6983</v>
      </c>
    </row>
    <row r="1782" spans="1:3">
      <c r="A1782" t="s">
        <v>7501</v>
      </c>
      <c r="B1782" t="str">
        <f ca="1">IF(ISBLANK(OFFSET(B1782,0,'Field labels'!$Q$1)),C1782,OFFSET(B1782,0,'Field labels'!$Q$1))</f>
        <v>Pulilan-Operation Shared (305907-LE002115)</v>
      </c>
      <c r="C1782" t="s">
        <v>6984</v>
      </c>
    </row>
    <row r="1783" spans="1:3">
      <c r="A1783" t="s">
        <v>7501</v>
      </c>
      <c r="B1783" t="str">
        <f ca="1">IF(ISBLANK(OFFSET(B1783,0,'Field labels'!$Q$1)),C1783,OFFSET(B1783,0,'Field labels'!$Q$1))</f>
        <v>Pulilan-Production (305007-LE002115)</v>
      </c>
      <c r="C1783" t="s">
        <v>6985</v>
      </c>
    </row>
    <row r="1784" spans="1:3">
      <c r="A1784" t="s">
        <v>7501</v>
      </c>
      <c r="B1784" t="str">
        <f ca="1">IF(ISBLANK(OFFSET(B1784,0,'Field labels'!$Q$1)),C1784,OFFSET(B1784,0,'Field labels'!$Q$1))</f>
        <v>Pulilan-SMT (305009-LE002115)</v>
      </c>
      <c r="C1784" t="s">
        <v>6986</v>
      </c>
    </row>
    <row r="1785" spans="1:3">
      <c r="A1785" t="s">
        <v>7501</v>
      </c>
      <c r="B1785" t="str">
        <f ca="1">IF(ISBLANK(OFFSET(B1785,0,'Field labels'!$Q$1)),C1785,OFFSET(B1785,0,'Field labels'!$Q$1))</f>
        <v>Pulilan-Technical Services (305109-LE002115)</v>
      </c>
      <c r="C1785" t="s">
        <v>6987</v>
      </c>
    </row>
    <row r="1786" spans="1:3">
      <c r="A1786" t="s">
        <v>7501</v>
      </c>
      <c r="B1786" t="str">
        <f ca="1">IF(ISBLANK(OFFSET(B1786,0,'Field labels'!$Q$1)),C1786,OFFSET(B1786,0,'Field labels'!$Q$1))</f>
        <v>SFC-Sales (285009-LE002115)</v>
      </c>
      <c r="C1786" t="s">
        <v>7121</v>
      </c>
    </row>
    <row r="1787" spans="1:3">
      <c r="A1787" t="s">
        <v>7501</v>
      </c>
      <c r="B1787" t="str">
        <f ca="1">IF(ISBLANK(OFFSET(B1787,0,'Field labels'!$Q$1)),C1787,OFFSET(B1787,0,'Field labels'!$Q$1))</f>
        <v>Villanueva Lab (303117-LE002115)</v>
      </c>
      <c r="C1787" t="s">
        <v>7405</v>
      </c>
    </row>
    <row r="1788" spans="1:3">
      <c r="A1788" t="s">
        <v>7501</v>
      </c>
      <c r="B1788" t="str">
        <f ca="1">IF(ISBLANK(OFFSET(B1788,0,'Field labels'!$Q$1)),C1788,OFFSET(B1788,0,'Field labels'!$Q$1))</f>
        <v>Villanueva-CTL (303207-LE002115)</v>
      </c>
      <c r="C1788" t="s">
        <v>7406</v>
      </c>
    </row>
    <row r="1789" spans="1:3">
      <c r="A1789" t="s">
        <v>7501</v>
      </c>
      <c r="B1789" t="str">
        <f ca="1">IF(ISBLANK(OFFSET(B1789,0,'Field labels'!$Q$1)),C1789,OFFSET(B1789,0,'Field labels'!$Q$1))</f>
        <v>Villasis Lab (304117-LE002115)</v>
      </c>
      <c r="C1789" t="s">
        <v>7407</v>
      </c>
    </row>
    <row r="1790" spans="1:3">
      <c r="A1790" t="s">
        <v>7501</v>
      </c>
      <c r="B1790" t="str">
        <f ca="1">IF(ISBLANK(OFFSET(B1790,0,'Field labels'!$Q$1)),C1790,OFFSET(B1790,0,'Field labels'!$Q$1))</f>
        <v>Villasis-CTL (304207-LE002115)</v>
      </c>
      <c r="C1790" t="s">
        <v>7408</v>
      </c>
    </row>
    <row r="1791" spans="1:3">
      <c r="A1791" t="s">
        <v>7501</v>
      </c>
      <c r="B1791" t="str">
        <f ca="1">IF(ISBLANK(OFFSET(B1791,0,'Field labels'!$Q$1)),C1791,OFFSET(B1791,0,'Field labels'!$Q$1))</f>
        <v>Villasis-Operation Shared (304907-LE002115)</v>
      </c>
      <c r="C1791" t="s">
        <v>7409</v>
      </c>
    </row>
    <row r="1792" spans="1:3">
      <c r="A1792" t="s">
        <v>7501</v>
      </c>
      <c r="B1792" t="str">
        <f ca="1">IF(ISBLANK(OFFSET(B1792,0,'Field labels'!$Q$1)),C1792,OFFSET(B1792,0,'Field labels'!$Q$1))</f>
        <v>Visayas/Mindanao Sales (303009-LE002115)</v>
      </c>
      <c r="C1792" t="s">
        <v>7414</v>
      </c>
    </row>
    <row r="1793" spans="1:3">
      <c r="A1793" t="s">
        <v>7501</v>
      </c>
      <c r="B1793" t="str">
        <f ca="1">IF(ISBLANK(OFFSET(B1793,0,'Field labels'!$Q$1)),C1793,OFFSET(B1793,0,'Field labels'!$Q$1))</f>
        <v>WMT - Finance &amp; Admin (Phil) (294010100-LE002115)</v>
      </c>
      <c r="C1793" t="s">
        <v>7440</v>
      </c>
    </row>
    <row r="1794" spans="1:3">
      <c r="A1794" t="s">
        <v>7501</v>
      </c>
      <c r="B1794" t="str">
        <f ca="1">IF(ISBLANK(OFFSET(B1794,0,'Field labels'!$Q$1)),C1794,OFFSET(B1794,0,'Field labels'!$Q$1))</f>
        <v>WMT (Phil) (294010200-LE002115)</v>
      </c>
      <c r="C1794" t="s">
        <v>7441</v>
      </c>
    </row>
    <row r="1795" spans="1:3">
      <c r="A1795" t="s">
        <v>7554</v>
      </c>
      <c r="B1795" t="str">
        <f ca="1">IF(ISBLANK(OFFSET(B1795,0,'Field labels'!$Q$1)),C1795,OFFSET(B1795,0,'Field labels'!$Q$1))</f>
        <v>Manufacturing Expense (969007-LE002134)</v>
      </c>
      <c r="C1795" t="s">
        <v>6708</v>
      </c>
    </row>
    <row r="1796" spans="1:3">
      <c r="A1796" t="s">
        <v>7554</v>
      </c>
      <c r="B1796" t="str">
        <f ca="1">IF(ISBLANK(OFFSET(B1796,0,'Field labels'!$Q$1)),C1796,OFFSET(B1796,0,'Field labels'!$Q$1))</f>
        <v>Manufactury Expense (866007-LE002134)</v>
      </c>
      <c r="C1796" t="s">
        <v>6710</v>
      </c>
    </row>
    <row r="1797" spans="1:3">
      <c r="A1797" t="s">
        <v>7554</v>
      </c>
      <c r="B1797" t="str">
        <f ca="1">IF(ISBLANK(OFFSET(B1797,0,'Field labels'!$Q$1)),C1797,OFFSET(B1797,0,'Field labels'!$Q$1))</f>
        <v>Shandong Finance (866812-LE002134)</v>
      </c>
      <c r="C1797" t="s">
        <v>7132</v>
      </c>
    </row>
    <row r="1798" spans="1:3">
      <c r="A1798" t="s">
        <v>7554</v>
      </c>
      <c r="B1798" t="str">
        <f ca="1">IF(ISBLANK(OFFSET(B1798,0,'Field labels'!$Q$1)),C1798,OFFSET(B1798,0,'Field labels'!$Q$1))</f>
        <v>Taian Hog (866109-LE002134)</v>
      </c>
      <c r="C1798" t="s">
        <v>7354</v>
      </c>
    </row>
    <row r="1799" spans="1:3">
      <c r="A1799" t="s">
        <v>7554</v>
      </c>
      <c r="B1799" t="str">
        <f ca="1">IF(ISBLANK(OFFSET(B1799,0,'Field labels'!$Q$1)),C1799,OFFSET(B1799,0,'Field labels'!$Q$1))</f>
        <v>Taian Poultry (866409-LE002134)</v>
      </c>
      <c r="C1799" t="s">
        <v>7355</v>
      </c>
    </row>
    <row r="1800" spans="1:3">
      <c r="A1800" t="s">
        <v>7554</v>
      </c>
      <c r="B1800" t="str">
        <f ca="1">IF(ISBLANK(OFFSET(B1800,0,'Field labels'!$Q$1)),C1800,OFFSET(B1800,0,'Field labels'!$Q$1))</f>
        <v>Weifang Finance (969812-LE002134)</v>
      </c>
      <c r="C1800" t="s">
        <v>7428</v>
      </c>
    </row>
    <row r="1801" spans="1:3">
      <c r="A1801" t="s">
        <v>7550</v>
      </c>
      <c r="B1801" t="str">
        <f ca="1">IF(ISBLANK(OFFSET(B1801,0,'Field labels'!$Q$1)),C1801,OFFSET(B1801,0,'Field labels'!$Q$1))</f>
        <v>Functional-CFN Zhengzhou (858812-LE002141)</v>
      </c>
      <c r="C1801" t="s">
        <v>6411</v>
      </c>
    </row>
    <row r="1802" spans="1:3">
      <c r="A1802" t="s">
        <v>7550</v>
      </c>
      <c r="B1802" t="str">
        <f ca="1">IF(ISBLANK(OFFSET(B1802,0,'Field labels'!$Q$1)),C1802,OFFSET(B1802,0,'Field labels'!$Q$1))</f>
        <v>Zhengzhou Plant (858007-LE002141)</v>
      </c>
      <c r="C1802" t="s">
        <v>7464</v>
      </c>
    </row>
    <row r="1803" spans="1:3">
      <c r="A1803" t="s">
        <v>7550</v>
      </c>
      <c r="B1803" t="str">
        <f ca="1">IF(ISBLANK(OFFSET(B1803,0,'Field labels'!$Q$1)),C1803,OFFSET(B1803,0,'Field labels'!$Q$1))</f>
        <v>Zhengzhou Ruminant (858209-LE002141)</v>
      </c>
      <c r="C1803" t="s">
        <v>7465</v>
      </c>
    </row>
    <row r="1804" spans="1:3">
      <c r="A1804" t="s">
        <v>7533</v>
      </c>
      <c r="B1804" t="str">
        <f ca="1">IF(ISBLANK(OFFSET(B1804,0,'Field labels'!$Q$1)),C1804,OFFSET(B1804,0,'Field labels'!$Q$1))</f>
        <v>FEED ZHANGZHOU-PLANT (477007-LE002157)</v>
      </c>
      <c r="C1804" t="s">
        <v>6176</v>
      </c>
    </row>
    <row r="1805" spans="1:3">
      <c r="A1805" t="s">
        <v>7533</v>
      </c>
      <c r="B1805" t="str">
        <f ca="1">IF(ISBLANK(OFFSET(B1805,0,'Field labels'!$Q$1)),C1805,OFFSET(B1805,0,'Field labels'!$Q$1))</f>
        <v>Functional CFN Zhangzhou (477812-LE002157)</v>
      </c>
      <c r="C1805" t="s">
        <v>6399</v>
      </c>
    </row>
    <row r="1806" spans="1:3">
      <c r="A1806" t="s">
        <v>7533</v>
      </c>
      <c r="B1806" t="str">
        <f ca="1">IF(ISBLANK(OFFSET(B1806,0,'Field labels'!$Q$1)),C1806,OFFSET(B1806,0,'Field labels'!$Q$1))</f>
        <v>Zhangzhou Hog (477109-LE002157)</v>
      </c>
      <c r="C1806" t="s">
        <v>7463</v>
      </c>
    </row>
    <row r="1807" spans="1:3">
      <c r="A1807" t="s">
        <v>7517</v>
      </c>
      <c r="B1807" t="str">
        <f ca="1">IF(ISBLANK(OFFSET(B1807,0,'Field labels'!$Q$1)),C1807,OFFSET(B1807,0,'Field labels'!$Q$1))</f>
        <v>Collect data of FP&amp;A (489035-LE002163)</v>
      </c>
      <c r="C1807" t="s">
        <v>5902</v>
      </c>
    </row>
    <row r="1808" spans="1:3">
      <c r="A1808" t="s">
        <v>7517</v>
      </c>
      <c r="B1808" t="str">
        <f ca="1">IF(ISBLANK(OFFSET(B1808,0,'Field labels'!$Q$1)),C1808,OFFSET(B1808,0,'Field labels'!$Q$1))</f>
        <v>Finance- Procure to Pay (48903302-LE002163)</v>
      </c>
      <c r="C1808" t="s">
        <v>6213</v>
      </c>
    </row>
    <row r="1809" spans="1:3">
      <c r="A1809" t="s">
        <v>7517</v>
      </c>
      <c r="B1809" t="str">
        <f ca="1">IF(ISBLANK(OFFSET(B1809,0,'Field labels'!$Q$1)),C1809,OFFSET(B1809,0,'Field labels'!$Q$1))</f>
        <v>Finance-OTSC (48903301-LE002163)</v>
      </c>
      <c r="C1809" t="s">
        <v>6221</v>
      </c>
    </row>
    <row r="1810" spans="1:3">
      <c r="A1810" t="s">
        <v>7517</v>
      </c>
      <c r="B1810" t="str">
        <f ca="1">IF(ISBLANK(OFFSET(B1810,0,'Field labels'!$Q$1)),C1810,OFFSET(B1810,0,'Field labels'!$Q$1))</f>
        <v>Finance-Record to Report (489033-LE002163)</v>
      </c>
      <c r="C1810" t="s">
        <v>6223</v>
      </c>
    </row>
    <row r="1811" spans="1:3">
      <c r="A1811" t="s">
        <v>7517</v>
      </c>
      <c r="B1811" t="str">
        <f ca="1">IF(ISBLANK(OFFSET(B1811,0,'Field labels'!$Q$1)),C1811,OFFSET(B1811,0,'Field labels'!$Q$1))</f>
        <v>Fk Marketing (489020-LE002163)</v>
      </c>
      <c r="C1811" t="s">
        <v>6229</v>
      </c>
    </row>
    <row r="1812" spans="1:3">
      <c r="A1812" t="s">
        <v>7517</v>
      </c>
      <c r="B1812" t="str">
        <f ca="1">IF(ISBLANK(OFFSET(B1812,0,'Field labels'!$Q$1)),C1812,OFFSET(B1812,0,'Field labels'!$Q$1))</f>
        <v>FM Refinery -EHS (489041-LE002163)</v>
      </c>
      <c r="C1812" t="s">
        <v>6233</v>
      </c>
    </row>
    <row r="1813" spans="1:3">
      <c r="A1813" t="s">
        <v>7517</v>
      </c>
      <c r="B1813" t="str">
        <f ca="1">IF(ISBLANK(OFFSET(B1813,0,'Field labels'!$Q$1)),C1813,OFFSET(B1813,0,'Field labels'!$Q$1))</f>
        <v>Fm Refinery Lab (489042-LE002163)</v>
      </c>
      <c r="C1813" t="s">
        <v>6234</v>
      </c>
    </row>
    <row r="1814" spans="1:3">
      <c r="A1814" t="s">
        <v>7517</v>
      </c>
      <c r="B1814" t="str">
        <f ca="1">IF(ISBLANK(OFFSET(B1814,0,'Field labels'!$Q$1)),C1814,OFFSET(B1814,0,'Field labels'!$Q$1))</f>
        <v>FM Refinery-MEIA (489043-LE002163)</v>
      </c>
      <c r="C1814" t="s">
        <v>6237</v>
      </c>
    </row>
    <row r="1815" spans="1:3">
      <c r="A1815" t="s">
        <v>7517</v>
      </c>
      <c r="B1815" t="str">
        <f ca="1">IF(ISBLANK(OFFSET(B1815,0,'Field labels'!$Q$1)),C1815,OFFSET(B1815,0,'Field labels'!$Q$1))</f>
        <v>Freight Management (489044-LE002163)</v>
      </c>
      <c r="C1815" t="s">
        <v>6361</v>
      </c>
    </row>
    <row r="1816" spans="1:3">
      <c r="A1816" t="s">
        <v>7517</v>
      </c>
      <c r="B1816" t="str">
        <f ca="1">IF(ISBLANK(OFFSET(B1816,0,'Field labels'!$Q$1)),C1816,OFFSET(B1816,0,'Field labels'!$Q$1))</f>
        <v>HR-Admin (489032-LE002163)</v>
      </c>
      <c r="C1816" t="s">
        <v>6579</v>
      </c>
    </row>
    <row r="1817" spans="1:3">
      <c r="A1817" t="s">
        <v>7517</v>
      </c>
      <c r="B1817" t="str">
        <f ca="1">IF(ISBLANK(OFFSET(B1817,0,'Field labels'!$Q$1)),C1817,OFFSET(B1817,0,'Field labels'!$Q$1))</f>
        <v>HR-Business HR (48903201-LE002163)</v>
      </c>
      <c r="C1817" t="s">
        <v>6581</v>
      </c>
    </row>
    <row r="1818" spans="1:3">
      <c r="A1818" t="s">
        <v>7517</v>
      </c>
      <c r="B1818" t="str">
        <f ca="1">IF(ISBLANK(OFFSET(B1818,0,'Field labels'!$Q$1)),C1818,OFFSET(B1818,0,'Field labels'!$Q$1))</f>
        <v>Shipment (48904401-LE002163)</v>
      </c>
      <c r="C1818" t="s">
        <v>7142</v>
      </c>
    </row>
    <row r="1819" spans="1:3">
      <c r="A1819" t="s">
        <v>7517</v>
      </c>
      <c r="B1819" t="str">
        <f ca="1">IF(ISBLANK(OFFSET(B1819,0,'Field labels'!$Q$1)),C1819,OFFSET(B1819,0,'Field labels'!$Q$1))</f>
        <v>SSC LH- HR&amp; Admin. (489031-LE002163)</v>
      </c>
      <c r="C1819" t="s">
        <v>7182</v>
      </c>
    </row>
    <row r="1820" spans="1:3">
      <c r="A1820" t="s">
        <v>7517</v>
      </c>
      <c r="B1820" t="str">
        <f ca="1">IF(ISBLANK(OFFSET(B1820,0,'Field labels'!$Q$1)),C1820,OFFSET(B1820,0,'Field labels'!$Q$1))</f>
        <v>SSC LH- Sales (489021-LE002163)</v>
      </c>
      <c r="C1820" t="s">
        <v>7183</v>
      </c>
    </row>
    <row r="1821" spans="1:3">
      <c r="A1821" t="s">
        <v>7517</v>
      </c>
      <c r="B1821" t="str">
        <f ca="1">IF(ISBLANK(OFFSET(B1821,0,'Field labels'!$Q$1)),C1821,OFFSET(B1821,0,'Field labels'!$Q$1))</f>
        <v>Starches &amp; Sweeteners China - EHS (489040-LE002163)</v>
      </c>
      <c r="C1821" t="s">
        <v>7189</v>
      </c>
    </row>
    <row r="1822" spans="1:3">
      <c r="A1822" t="s">
        <v>7523</v>
      </c>
      <c r="B1822" t="str">
        <f ca="1">IF(ISBLANK(OFFSET(B1822,0,'Field labels'!$Q$1)),C1822,OFFSET(B1822,0,'Field labels'!$Q$1))</f>
        <v>CPN Nanning Admin (486012-LE002228)</v>
      </c>
      <c r="C1822" t="s">
        <v>5959</v>
      </c>
    </row>
    <row r="1823" spans="1:3">
      <c r="A1823" t="s">
        <v>7523</v>
      </c>
      <c r="B1823" t="str">
        <f ca="1">IF(ISBLANK(OFFSET(B1823,0,'Field labels'!$Q$1)),C1823,OFFSET(B1823,0,'Field labels'!$Q$1))</f>
        <v>CPN Nanning Plant (486007-LE002228)</v>
      </c>
      <c r="C1823" t="s">
        <v>5960</v>
      </c>
    </row>
    <row r="1824" spans="1:3">
      <c r="A1824" t="s">
        <v>7523</v>
      </c>
      <c r="B1824" t="str">
        <f ca="1">IF(ISBLANK(OFFSET(B1824,0,'Field labels'!$Q$1)),C1824,OFFSET(B1824,0,'Field labels'!$Q$1))</f>
        <v>CPN-Nanning-CS (486826-LE002228)</v>
      </c>
      <c r="C1824" t="s">
        <v>5967</v>
      </c>
    </row>
    <row r="1825" spans="1:3">
      <c r="A1825" t="s">
        <v>7523</v>
      </c>
      <c r="B1825" t="str">
        <f ca="1">IF(ISBLANK(OFFSET(B1825,0,'Field labels'!$Q$1)),C1825,OFFSET(B1825,0,'Field labels'!$Q$1))</f>
        <v>CPN-SMT-NanNing (486312-LE002228)</v>
      </c>
      <c r="C1825" t="s">
        <v>5975</v>
      </c>
    </row>
    <row r="1826" spans="1:3">
      <c r="A1826" t="s">
        <v>7523</v>
      </c>
      <c r="B1826" t="str">
        <f ca="1">IF(ISBLANK(OFFSET(B1826,0,'Field labels'!$Q$1)),C1826,OFFSET(B1826,0,'Field labels'!$Q$1))</f>
        <v>Functional-CPN Nanning (486812-LE002228)</v>
      </c>
      <c r="C1826" t="s">
        <v>6413</v>
      </c>
    </row>
    <row r="1827" spans="1:3">
      <c r="A1827" t="s">
        <v>7523</v>
      </c>
      <c r="B1827" t="str">
        <f ca="1">IF(ISBLANK(OFFSET(B1827,0,'Field labels'!$Q$1)),C1827,OFFSET(B1827,0,'Field labels'!$Q$1))</f>
        <v>Provimi GX Sales (486009-LE002228)</v>
      </c>
      <c r="C1827" t="s">
        <v>6955</v>
      </c>
    </row>
    <row r="1828" spans="1:3">
      <c r="A1828" t="s">
        <v>7499</v>
      </c>
      <c r="B1828" t="str">
        <f ca="1">IF(ISBLANK(OFFSET(B1828,0,'Field labels'!$Q$1)),C1828,OFFSET(B1828,0,'Field labels'!$Q$1))</f>
        <v>AP Packaging (278600-LE002253)</v>
      </c>
      <c r="C1828" t="s">
        <v>5557</v>
      </c>
    </row>
    <row r="1829" spans="1:3">
      <c r="A1829" t="s">
        <v>7499</v>
      </c>
      <c r="B1829" t="str">
        <f ca="1">IF(ISBLANK(OFFSET(B1829,0,'Field labels'!$Q$1)),C1829,OFFSET(B1829,0,'Field labels'!$Q$1))</f>
        <v>BOSC CFN SEA (278410-LE002253)</v>
      </c>
      <c r="C1829" t="s">
        <v>5617</v>
      </c>
    </row>
    <row r="1830" spans="1:3">
      <c r="A1830" t="s">
        <v>7499</v>
      </c>
      <c r="B1830" t="str">
        <f ca="1">IF(ISBLANK(OFFSET(B1830,0,'Field labels'!$Q$1)),C1830,OFFSET(B1830,0,'Field labels'!$Q$1))</f>
        <v>CAN Global Buyer (278011-LE002253)</v>
      </c>
      <c r="C1830" t="s">
        <v>5651</v>
      </c>
    </row>
    <row r="1831" spans="1:3">
      <c r="A1831" t="s">
        <v>7499</v>
      </c>
      <c r="B1831" t="str">
        <f ca="1">IF(ISBLANK(OFFSET(B1831,0,'Field labels'!$Q$1)),C1831,OFFSET(B1831,0,'Field labels'!$Q$1))</f>
        <v>CAN R&amp;D Data Analyst (278015-LE002253)</v>
      </c>
      <c r="C1831" t="s">
        <v>5655</v>
      </c>
    </row>
    <row r="1832" spans="1:3">
      <c r="A1832" t="s">
        <v>7499</v>
      </c>
      <c r="B1832" t="str">
        <f ca="1">IF(ISBLANK(OFFSET(B1832,0,'Field labels'!$Q$1)),C1832,OFFSET(B1832,0,'Field labels'!$Q$1))</f>
        <v>CFN HR (278400-LE002253)</v>
      </c>
      <c r="C1832" t="s">
        <v>5691</v>
      </c>
    </row>
    <row r="1833" spans="1:3">
      <c r="A1833" t="s">
        <v>7499</v>
      </c>
      <c r="B1833" t="str">
        <f ca="1">IF(ISBLANK(OFFSET(B1833,0,'Field labels'!$Q$1)),C1833,OFFSET(B1833,0,'Field labels'!$Q$1))</f>
        <v>Corporate Accounting (CFR) (278880-LE002253)</v>
      </c>
      <c r="C1833" t="s">
        <v>5944</v>
      </c>
    </row>
    <row r="1834" spans="1:3">
      <c r="A1834" t="s">
        <v>7499</v>
      </c>
      <c r="B1834" t="str">
        <f ca="1">IF(ISBLANK(OFFSET(B1834,0,'Field labels'!$Q$1)),C1834,OFFSET(B1834,0,'Field labels'!$Q$1))</f>
        <v>Data &amp; Business Intelligence MYS (278173-LE002253)</v>
      </c>
      <c r="C1834" t="s">
        <v>6074</v>
      </c>
    </row>
    <row r="1835" spans="1:3">
      <c r="A1835" t="s">
        <v>7499</v>
      </c>
      <c r="B1835" t="str">
        <f ca="1">IF(ISBLANK(OFFSET(B1835,0,'Field labels'!$Q$1)),C1835,OFFSET(B1835,0,'Field labels'!$Q$1))</f>
        <v>Data Management Team (278500-LE002253)</v>
      </c>
      <c r="C1835" t="s">
        <v>6076</v>
      </c>
    </row>
    <row r="1836" spans="1:3">
      <c r="A1836" t="s">
        <v>7499</v>
      </c>
      <c r="B1836" t="str">
        <f ca="1">IF(ISBLANK(OFFSET(B1836,0,'Field labels'!$Q$1)),C1836,OFFSET(B1836,0,'Field labels'!$Q$1))</f>
        <v>EHS CTP (278042-LE002253)</v>
      </c>
      <c r="C1836" t="s">
        <v>6135</v>
      </c>
    </row>
    <row r="1837" spans="1:3">
      <c r="A1837" t="s">
        <v>7499</v>
      </c>
      <c r="B1837" t="str">
        <f ca="1">IF(ISBLANK(OFFSET(B1837,0,'Field labels'!$Q$1)),C1837,OFFSET(B1837,0,'Field labels'!$Q$1))</f>
        <v>FIS CE (278822-LE002253)</v>
      </c>
      <c r="C1837" t="s">
        <v>6227</v>
      </c>
    </row>
    <row r="1838" spans="1:3">
      <c r="A1838" t="s">
        <v>7499</v>
      </c>
      <c r="B1838" t="str">
        <f ca="1">IF(ISBLANK(OFFSET(B1838,0,'Field labels'!$Q$1)),C1838,OFFSET(B1838,0,'Field labels'!$Q$1))</f>
        <v>FSQR (278815-LE002253)</v>
      </c>
      <c r="C1838" t="s">
        <v>6366</v>
      </c>
    </row>
    <row r="1839" spans="1:3">
      <c r="A1839" t="s">
        <v>7499</v>
      </c>
      <c r="B1839" t="str">
        <f ca="1">IF(ISBLANK(OFFSET(B1839,0,'Field labels'!$Q$1)),C1839,OFFSET(B1839,0,'Field labels'!$Q$1))</f>
        <v>Global CAN POE (278010-LE002253)</v>
      </c>
      <c r="C1839" t="s">
        <v>6476</v>
      </c>
    </row>
    <row r="1840" spans="1:3">
      <c r="A1840" t="s">
        <v>7499</v>
      </c>
      <c r="B1840" t="str">
        <f ca="1">IF(ISBLANK(OFFSET(B1840,0,'Field labels'!$Q$1)),C1840,OFFSET(B1840,0,'Field labels'!$Q$1))</f>
        <v>HR Talent Acquisition (278230-LE002253)</v>
      </c>
      <c r="C1840" t="s">
        <v>6575</v>
      </c>
    </row>
    <row r="1841" spans="1:3">
      <c r="A1841" t="s">
        <v>7499</v>
      </c>
      <c r="B1841" t="str">
        <f ca="1">IF(ISBLANK(OFFSET(B1841,0,'Field labels'!$Q$1)),C1841,OFFSET(B1841,0,'Field labels'!$Q$1))</f>
        <v>HR Talent Performance (278210-LE002253)</v>
      </c>
      <c r="C1841" t="s">
        <v>6577</v>
      </c>
    </row>
    <row r="1842" spans="1:3">
      <c r="A1842" t="s">
        <v>7499</v>
      </c>
      <c r="B1842" t="str">
        <f ca="1">IF(ISBLANK(OFFSET(B1842,0,'Field labels'!$Q$1)),C1842,OFFSET(B1842,0,'Field labels'!$Q$1))</f>
        <v>Human Resources (278200-LE002253)</v>
      </c>
      <c r="C1842" t="s">
        <v>6592</v>
      </c>
    </row>
    <row r="1843" spans="1:3">
      <c r="A1843" t="s">
        <v>7499</v>
      </c>
      <c r="B1843" t="str">
        <f ca="1">IF(ISBLANK(OFFSET(B1843,0,'Field labels'!$Q$1)),C1843,OFFSET(B1843,0,'Field labels'!$Q$1))</f>
        <v>IT App Cust Facing (278189-LE002253)</v>
      </c>
      <c r="C1843" t="s">
        <v>6600</v>
      </c>
    </row>
    <row r="1844" spans="1:3">
      <c r="A1844" t="s">
        <v>7499</v>
      </c>
      <c r="B1844" t="str">
        <f ca="1">IF(ISBLANK(OFFSET(B1844,0,'Field labels'!$Q$1)),C1844,OFFSET(B1844,0,'Field labels'!$Q$1))</f>
        <v>IT App Enablement (278186-LE002253)</v>
      </c>
      <c r="C1844" t="s">
        <v>6601</v>
      </c>
    </row>
    <row r="1845" spans="1:3">
      <c r="A1845" t="s">
        <v>7499</v>
      </c>
      <c r="B1845" t="str">
        <f ca="1">IF(ISBLANK(OFFSET(B1845,0,'Field labels'!$Q$1)),C1845,OFFSET(B1845,0,'Field labels'!$Q$1))</f>
        <v>IT APP ERP MY (278178-LE002253)</v>
      </c>
      <c r="C1845" t="s">
        <v>6605</v>
      </c>
    </row>
    <row r="1846" spans="1:3">
      <c r="A1846" t="s">
        <v>7499</v>
      </c>
      <c r="B1846" t="str">
        <f ca="1">IF(ISBLANK(OFFSET(B1846,0,'Field labels'!$Q$1)),C1846,OFFSET(B1846,0,'Field labels'!$Q$1))</f>
        <v>IT APP MIT MY (278181-LE002253)</v>
      </c>
      <c r="C1846" t="s">
        <v>6610</v>
      </c>
    </row>
    <row r="1847" spans="1:3">
      <c r="A1847" t="s">
        <v>7499</v>
      </c>
      <c r="B1847" t="str">
        <f ca="1">IF(ISBLANK(OFFSET(B1847,0,'Field labels'!$Q$1)),C1847,OFFSET(B1847,0,'Field labels'!$Q$1))</f>
        <v>IT App-Functions (278185-LE002253)</v>
      </c>
      <c r="C1847" t="s">
        <v>6615</v>
      </c>
    </row>
    <row r="1848" spans="1:3">
      <c r="A1848" t="s">
        <v>7499</v>
      </c>
      <c r="B1848" t="str">
        <f ca="1">IF(ISBLANK(OFFSET(B1848,0,'Field labels'!$Q$1)),C1848,OFFSET(B1848,0,'Field labels'!$Q$1))</f>
        <v>IT Bus Partner MY (278182-LE002253)</v>
      </c>
      <c r="C1848" t="s">
        <v>6620</v>
      </c>
    </row>
    <row r="1849" spans="1:3">
      <c r="A1849" t="s">
        <v>7499</v>
      </c>
      <c r="B1849" t="str">
        <f ca="1">IF(ISBLANK(OFFSET(B1849,0,'Field labels'!$Q$1)),C1849,OFFSET(B1849,0,'Field labels'!$Q$1))</f>
        <v>IT SAP TC1 (278184-LE002253)</v>
      </c>
      <c r="C1849" t="s">
        <v>6623</v>
      </c>
    </row>
    <row r="1850" spans="1:3">
      <c r="A1850" t="s">
        <v>7499</v>
      </c>
      <c r="B1850" t="str">
        <f ca="1">IF(ISBLANK(OFFSET(B1850,0,'Field labels'!$Q$1)),C1850,OFFSET(B1850,0,'Field labels'!$Q$1))</f>
        <v>MSIA TAX (278027-LE002253)</v>
      </c>
      <c r="C1850" t="s">
        <v>6744</v>
      </c>
    </row>
    <row r="1851" spans="1:3">
      <c r="A1851" t="s">
        <v>7499</v>
      </c>
      <c r="B1851" t="str">
        <f ca="1">IF(ISBLANK(OFFSET(B1851,0,'Field labels'!$Q$1)),C1851,OFFSET(B1851,0,'Field labels'!$Q$1))</f>
        <v>Office Admin (278165-LE002253)</v>
      </c>
      <c r="C1851" t="s">
        <v>6764</v>
      </c>
    </row>
    <row r="1852" spans="1:3">
      <c r="A1852" t="s">
        <v>7499</v>
      </c>
      <c r="B1852" t="str">
        <f ca="1">IF(ISBLANK(OFFSET(B1852,0,'Field labels'!$Q$1)),C1852,OFFSET(B1852,0,'Field labels'!$Q$1))</f>
        <v>Process Safety Risk Mngt (278045-LE002253)</v>
      </c>
      <c r="C1852" t="s">
        <v>6893</v>
      </c>
    </row>
    <row r="1853" spans="1:3">
      <c r="A1853" t="s">
        <v>7499</v>
      </c>
      <c r="B1853" t="str">
        <f ca="1">IF(ISBLANK(OFFSET(B1853,0,'Field labels'!$Q$1)),C1853,OFFSET(B1853,0,'Field labels'!$Q$1))</f>
        <v>Procurement CSSP (278810-LE002253)</v>
      </c>
      <c r="C1853" t="s">
        <v>6897</v>
      </c>
    </row>
    <row r="1854" spans="1:3">
      <c r="A1854" t="s">
        <v>7499</v>
      </c>
      <c r="B1854" t="str">
        <f ca="1">IF(ISBLANK(OFFSET(B1854,0,'Field labels'!$Q$1)),C1854,OFFSET(B1854,0,'Field labels'!$Q$1))</f>
        <v>Public Affairs (278910-LE002253)</v>
      </c>
      <c r="C1854" t="s">
        <v>6973</v>
      </c>
    </row>
    <row r="1855" spans="1:3">
      <c r="A1855" t="s">
        <v>7499</v>
      </c>
      <c r="B1855" t="str">
        <f ca="1">IF(ISBLANK(OFFSET(B1855,0,'Field labels'!$Q$1)),C1855,OFFSET(B1855,0,'Field labels'!$Q$1))</f>
        <v>Risk Mgmt Director China (278080-LE002253)</v>
      </c>
      <c r="C1855" t="s">
        <v>7028</v>
      </c>
    </row>
    <row r="1856" spans="1:3">
      <c r="A1856" t="s">
        <v>7499</v>
      </c>
      <c r="B1856" t="str">
        <f ca="1">IF(ISBLANK(OFFSET(B1856,0,'Field labels'!$Q$1)),C1856,OFFSET(B1856,0,'Field labels'!$Q$1))</f>
        <v>SD PMO MYS (278060-LE002253)</v>
      </c>
      <c r="C1856" t="s">
        <v>7104</v>
      </c>
    </row>
    <row r="1857" spans="1:3">
      <c r="A1857" t="s">
        <v>7499</v>
      </c>
      <c r="B1857" t="str">
        <f ca="1">IF(ISBLANK(OFFSET(B1857,0,'Field labels'!$Q$1)),C1857,OFFSET(B1857,0,'Field labels'!$Q$1))</f>
        <v>Strategic Sourcing (278820-LE002253)</v>
      </c>
      <c r="C1857" t="s">
        <v>7193</v>
      </c>
    </row>
    <row r="1858" spans="1:3">
      <c r="A1858" t="s">
        <v>7530</v>
      </c>
      <c r="B1858" t="str">
        <f ca="1">IF(ISBLANK(OFFSET(B1858,0,'Field labels'!$Q$1)),C1858,OFFSET(B1858,0,'Field labels'!$Q$1))</f>
        <v>F&amp;I Starch WB Dir Prod (121500038-LE002281)</v>
      </c>
      <c r="C1858" t="s">
        <v>6160</v>
      </c>
    </row>
    <row r="1859" spans="1:3">
      <c r="A1859" t="s">
        <v>7530</v>
      </c>
      <c r="B1859" t="str">
        <f ca="1">IF(ISBLANK(OFFSET(B1859,0,'Field labels'!$Q$1)),C1859,OFFSET(B1859,0,'Field labels'!$Q$1))</f>
        <v>F&amp;I Starch WB General Admin (121500043-LE002281)</v>
      </c>
      <c r="C1859" t="s">
        <v>6161</v>
      </c>
    </row>
    <row r="1860" spans="1:3">
      <c r="A1860" t="s">
        <v>7530</v>
      </c>
      <c r="B1860" t="str">
        <f ca="1">IF(ISBLANK(OFFSET(B1860,0,'Field labels'!$Q$1)),C1860,OFFSET(B1860,0,'Field labels'!$Q$1))</f>
        <v>F&amp;I Starches Way Bungur Prod Warehouse (121500036-LE002281)</v>
      </c>
      <c r="C1860" t="s">
        <v>6162</v>
      </c>
    </row>
    <row r="1861" spans="1:3">
      <c r="A1861" t="s">
        <v>7530</v>
      </c>
      <c r="B1861" t="str">
        <f ca="1">IF(ISBLANK(OFFSET(B1861,0,'Field labels'!$Q$1)),C1861,OFFSET(B1861,0,'Field labels'!$Q$1))</f>
        <v>F&amp;I Starches WB Fin&amp;Admin (121500044-LE002281)</v>
      </c>
      <c r="C1861" t="s">
        <v>6163</v>
      </c>
    </row>
    <row r="1862" spans="1:3">
      <c r="A1862" t="s">
        <v>7530</v>
      </c>
      <c r="B1862" t="str">
        <f ca="1">IF(ISBLANK(OFFSET(B1862,0,'Field labels'!$Q$1)),C1862,OFFSET(B1862,0,'Field labels'!$Q$1))</f>
        <v>F&amp;I Starches WB HR (121500045-LE002281)</v>
      </c>
      <c r="C1862" t="s">
        <v>6164</v>
      </c>
    </row>
    <row r="1863" spans="1:3">
      <c r="A1863" t="s">
        <v>7530</v>
      </c>
      <c r="B1863" t="str">
        <f ca="1">IF(ISBLANK(OFFSET(B1863,0,'Field labels'!$Q$1)),C1863,OFFSET(B1863,0,'Field labels'!$Q$1))</f>
        <v>F&amp;I Starches WB Plant Maint (121500035-LE002281)</v>
      </c>
      <c r="C1863" t="s">
        <v>6165</v>
      </c>
    </row>
    <row r="1864" spans="1:3">
      <c r="A1864" t="s">
        <v>7530</v>
      </c>
      <c r="B1864" t="str">
        <f ca="1">IF(ISBLANK(OFFSET(B1864,0,'Field labels'!$Q$1)),C1864,OFFSET(B1864,0,'Field labels'!$Q$1))</f>
        <v>F&amp;I Starches WB QA (121500034-LE002281)</v>
      </c>
      <c r="C1864" t="s">
        <v>6166</v>
      </c>
    </row>
    <row r="1865" spans="1:3">
      <c r="A1865" t="s">
        <v>7530</v>
      </c>
      <c r="B1865" t="str">
        <f ca="1">IF(ISBLANK(OFFSET(B1865,0,'Field labels'!$Q$1)),C1865,OFFSET(B1865,0,'Field labels'!$Q$1))</f>
        <v>F&amp;I Starches WB Root Buyer (121500037-LE002281)</v>
      </c>
      <c r="C1865" t="s">
        <v>6167</v>
      </c>
    </row>
    <row r="1866" spans="1:3">
      <c r="A1866" t="s">
        <v>7530</v>
      </c>
      <c r="B1866" t="str">
        <f ca="1">IF(ISBLANK(OFFSET(B1866,0,'Field labels'!$Q$1)),C1866,OFFSET(B1866,0,'Field labels'!$Q$1))</f>
        <v>Sweet Ckd Finance (121500103-LE002281)</v>
      </c>
      <c r="C1866" t="s">
        <v>7313</v>
      </c>
    </row>
    <row r="1867" spans="1:3">
      <c r="A1867" t="s">
        <v>7530</v>
      </c>
      <c r="B1867" t="str">
        <f ca="1">IF(ISBLANK(OFFSET(B1867,0,'Field labels'!$Q$1)),C1867,OFFSET(B1867,0,'Field labels'!$Q$1))</f>
        <v>Sweet Ckd General Admin (121500107-LE002281)</v>
      </c>
      <c r="C1867" t="s">
        <v>7314</v>
      </c>
    </row>
    <row r="1868" spans="1:3">
      <c r="A1868" t="s">
        <v>7530</v>
      </c>
      <c r="B1868" t="str">
        <f ca="1">IF(ISBLANK(OFFSET(B1868,0,'Field labels'!$Q$1)),C1868,OFFSET(B1868,0,'Field labels'!$Q$1))</f>
        <v>Sweet Ckd HR (121500105-LE002281)</v>
      </c>
      <c r="C1868" t="s">
        <v>7315</v>
      </c>
    </row>
    <row r="1869" spans="1:3">
      <c r="A1869" t="s">
        <v>7530</v>
      </c>
      <c r="B1869" t="str">
        <f ca="1">IF(ISBLANK(OFFSET(B1869,0,'Field labels'!$Q$1)),C1869,OFFSET(B1869,0,'Field labels'!$Q$1))</f>
        <v>Sweet Ckd Trans &amp; Log (121500132-LE002281)</v>
      </c>
      <c r="C1869" t="s">
        <v>7316</v>
      </c>
    </row>
    <row r="1870" spans="1:3">
      <c r="A1870" t="s">
        <v>7530</v>
      </c>
      <c r="B1870" t="str">
        <f ca="1">IF(ISBLANK(OFFSET(B1870,0,'Field labels'!$Q$1)),C1870,OFFSET(B1870,0,'Field labels'!$Q$1))</f>
        <v>Sweet Jkt BD (121500083-LE002281)</v>
      </c>
      <c r="C1870" t="s">
        <v>7317</v>
      </c>
    </row>
    <row r="1871" spans="1:3">
      <c r="A1871" t="s">
        <v>7530</v>
      </c>
      <c r="B1871" t="str">
        <f ca="1">IF(ISBLANK(OFFSET(B1871,0,'Field labels'!$Q$1)),C1871,OFFSET(B1871,0,'Field labels'!$Q$1))</f>
        <v>Sweet Jkt Finance (121500113-LE002281)</v>
      </c>
      <c r="C1871" t="s">
        <v>7318</v>
      </c>
    </row>
    <row r="1872" spans="1:3">
      <c r="A1872" t="s">
        <v>7530</v>
      </c>
      <c r="B1872" t="str">
        <f ca="1">IF(ISBLANK(OFFSET(B1872,0,'Field labels'!$Q$1)),C1872,OFFSET(B1872,0,'Field labels'!$Q$1))</f>
        <v>Sweet Jkt General Admin (121500081-LE002281)</v>
      </c>
      <c r="C1872" t="s">
        <v>7319</v>
      </c>
    </row>
    <row r="1873" spans="1:3">
      <c r="A1873" t="s">
        <v>7530</v>
      </c>
      <c r="B1873" t="str">
        <f ca="1">IF(ISBLANK(OFFSET(B1873,0,'Field labels'!$Q$1)),C1873,OFFSET(B1873,0,'Field labels'!$Q$1))</f>
        <v>Sweet Jkt Project Resources (121500112-LE002281)</v>
      </c>
      <c r="C1873" t="s">
        <v>7320</v>
      </c>
    </row>
    <row r="1874" spans="1:3">
      <c r="A1874" t="s">
        <v>7530</v>
      </c>
      <c r="B1874" t="str">
        <f ca="1">IF(ISBLANK(OFFSET(B1874,0,'Field labels'!$Q$1)),C1874,OFFSET(B1874,0,'Field labels'!$Q$1))</f>
        <v>Sweet Jkt Sls &amp; Mark (121500080-LE002281)</v>
      </c>
      <c r="C1874" t="s">
        <v>7321</v>
      </c>
    </row>
    <row r="1875" spans="1:3">
      <c r="A1875" t="s">
        <v>7530</v>
      </c>
      <c r="B1875" t="str">
        <f ca="1">IF(ISBLANK(OFFSET(B1875,0,'Field labels'!$Q$1)),C1875,OFFSET(B1875,0,'Field labels'!$Q$1))</f>
        <v>Sweet Pdn DMH (121500007-LE002281)</v>
      </c>
      <c r="C1875" t="s">
        <v>7322</v>
      </c>
    </row>
    <row r="1876" spans="1:3">
      <c r="A1876" t="s">
        <v>7530</v>
      </c>
      <c r="B1876" t="str">
        <f ca="1">IF(ISBLANK(OFFSET(B1876,0,'Field labels'!$Q$1)),C1876,OFFSET(B1876,0,'Field labels'!$Q$1))</f>
        <v>Sweet Pdn Finance (121500027-LE002281)</v>
      </c>
      <c r="C1876" t="s">
        <v>7323</v>
      </c>
    </row>
    <row r="1877" spans="1:3">
      <c r="A1877" t="s">
        <v>7530</v>
      </c>
      <c r="B1877" t="str">
        <f ca="1">IF(ISBLANK(OFFSET(B1877,0,'Field labels'!$Q$1)),C1877,OFFSET(B1877,0,'Field labels'!$Q$1))</f>
        <v>Sweet Pdn General Admin (121500031-LE002281)</v>
      </c>
      <c r="C1877" t="s">
        <v>7324</v>
      </c>
    </row>
    <row r="1878" spans="1:3">
      <c r="A1878" t="s">
        <v>7530</v>
      </c>
      <c r="B1878" t="str">
        <f ca="1">IF(ISBLANK(OFFSET(B1878,0,'Field labels'!$Q$1)),C1878,OFFSET(B1878,0,'Field labels'!$Q$1))</f>
        <v>Sweet Pdn Glucose (121500005-LE002281)</v>
      </c>
      <c r="C1878" t="s">
        <v>7325</v>
      </c>
    </row>
    <row r="1879" spans="1:3">
      <c r="A1879" t="s">
        <v>7530</v>
      </c>
      <c r="B1879" t="str">
        <f ca="1">IF(ISBLANK(OFFSET(B1879,0,'Field labels'!$Q$1)),C1879,OFFSET(B1879,0,'Field labels'!$Q$1))</f>
        <v>Sweet Pdn HR (121500029-LE002281)</v>
      </c>
      <c r="C1879" t="s">
        <v>7326</v>
      </c>
    </row>
    <row r="1880" spans="1:3">
      <c r="A1880" t="s">
        <v>7530</v>
      </c>
      <c r="B1880" t="str">
        <f ca="1">IF(ISBLANK(OFFSET(B1880,0,'Field labels'!$Q$1)),C1880,OFFSET(B1880,0,'Field labels'!$Q$1))</f>
        <v>Sweet Pdn Maltitol (121500011-LE002281)</v>
      </c>
      <c r="C1880" t="s">
        <v>7327</v>
      </c>
    </row>
    <row r="1881" spans="1:3">
      <c r="A1881" t="s">
        <v>7530</v>
      </c>
      <c r="B1881" t="str">
        <f ca="1">IF(ISBLANK(OFFSET(B1881,0,'Field labels'!$Q$1)),C1881,OFFSET(B1881,0,'Field labels'!$Q$1))</f>
        <v>Sweet Pdn Maltodextrine (121500008-LE002281)</v>
      </c>
      <c r="C1881" t="s">
        <v>7328</v>
      </c>
    </row>
    <row r="1882" spans="1:3">
      <c r="A1882" t="s">
        <v>7530</v>
      </c>
      <c r="B1882" t="str">
        <f ca="1">IF(ISBLANK(OFFSET(B1882,0,'Field labels'!$Q$1)),C1882,OFFSET(B1882,0,'Field labels'!$Q$1))</f>
        <v>Sweet Pdn Merchand (121500025-LE002281)</v>
      </c>
      <c r="C1882" t="s">
        <v>7329</v>
      </c>
    </row>
    <row r="1883" spans="1:3">
      <c r="A1883" t="s">
        <v>7530</v>
      </c>
      <c r="B1883" t="str">
        <f ca="1">IF(ISBLANK(OFFSET(B1883,0,'Field labels'!$Q$1)),C1883,OFFSET(B1883,0,'Field labels'!$Q$1))</f>
        <v>Sweet Pdn Packing (121500009-LE002281)</v>
      </c>
      <c r="C1883" t="s">
        <v>7330</v>
      </c>
    </row>
    <row r="1884" spans="1:3">
      <c r="A1884" t="s">
        <v>7530</v>
      </c>
      <c r="B1884" t="str">
        <f ca="1">IF(ISBLANK(OFFSET(B1884,0,'Field labels'!$Q$1)),C1884,OFFSET(B1884,0,'Field labels'!$Q$1))</f>
        <v>Sweet Pdn Plant General G&amp;A (121500019-LE002281)</v>
      </c>
      <c r="C1884" t="s">
        <v>7331</v>
      </c>
    </row>
    <row r="1885" spans="1:3">
      <c r="A1885" t="s">
        <v>7530</v>
      </c>
      <c r="B1885" t="str">
        <f ca="1">IF(ISBLANK(OFFSET(B1885,0,'Field labels'!$Q$1)),C1885,OFFSET(B1885,0,'Field labels'!$Q$1))</f>
        <v>Sweet Pdn Plant Maint (121500014-LE002281)</v>
      </c>
      <c r="C1885" t="s">
        <v>7332</v>
      </c>
    </row>
    <row r="1886" spans="1:3">
      <c r="A1886" t="s">
        <v>7530</v>
      </c>
      <c r="B1886" t="str">
        <f ca="1">IF(ISBLANK(OFFSET(B1886,0,'Field labels'!$Q$1)),C1886,OFFSET(B1886,0,'Field labels'!$Q$1))</f>
        <v>Sweet Pdn Prod WH (121500017-LE002281)</v>
      </c>
      <c r="C1886" t="s">
        <v>7333</v>
      </c>
    </row>
    <row r="1887" spans="1:3">
      <c r="A1887" t="s">
        <v>7530</v>
      </c>
      <c r="B1887" t="str">
        <f ca="1">IF(ISBLANK(OFFSET(B1887,0,'Field labels'!$Q$1)),C1887,OFFSET(B1887,0,'Field labels'!$Q$1))</f>
        <v>Sweet Pdn Prod WH FG PDA (121500020-LE002281)</v>
      </c>
      <c r="C1887" t="s">
        <v>7334</v>
      </c>
    </row>
    <row r="1888" spans="1:3">
      <c r="A1888" t="s">
        <v>7530</v>
      </c>
      <c r="B1888" t="str">
        <f ca="1">IF(ISBLANK(OFFSET(B1888,0,'Field labels'!$Q$1)),C1888,OFFSET(B1888,0,'Field labels'!$Q$1))</f>
        <v>Sweet Pdn Proj - Engineering (121500024-LE002281)</v>
      </c>
      <c r="C1888" t="s">
        <v>7335</v>
      </c>
    </row>
    <row r="1889" spans="1:3">
      <c r="A1889" t="s">
        <v>7530</v>
      </c>
      <c r="B1889" t="str">
        <f ca="1">IF(ISBLANK(OFFSET(B1889,0,'Field labels'!$Q$1)),C1889,OFFSET(B1889,0,'Field labels'!$Q$1))</f>
        <v>Sweet Pdn QA (121500013-LE002281)</v>
      </c>
      <c r="C1889" t="s">
        <v>7336</v>
      </c>
    </row>
    <row r="1890" spans="1:3">
      <c r="A1890" t="s">
        <v>7530</v>
      </c>
      <c r="B1890" t="str">
        <f ca="1">IF(ISBLANK(OFFSET(B1890,0,'Field labels'!$Q$1)),C1890,OFFSET(B1890,0,'Field labels'!$Q$1))</f>
        <v>Sweet Pdn Slury (121500120-LE002281)</v>
      </c>
      <c r="C1890" t="s">
        <v>7337</v>
      </c>
    </row>
    <row r="1891" spans="1:3">
      <c r="A1891" t="s">
        <v>7530</v>
      </c>
      <c r="B1891" t="str">
        <f ca="1">IF(ISBLANK(OFFSET(B1891,0,'Field labels'!$Q$1)),C1891,OFFSET(B1891,0,'Field labels'!$Q$1))</f>
        <v>Sweet Pdn Sorbitol (121500004-LE002281)</v>
      </c>
      <c r="C1891" t="s">
        <v>7338</v>
      </c>
    </row>
    <row r="1892" spans="1:3">
      <c r="A1892" t="s">
        <v>7530</v>
      </c>
      <c r="B1892" t="str">
        <f ca="1">IF(ISBLANK(OFFSET(B1892,0,'Field labels'!$Q$1)),C1892,OFFSET(B1892,0,'Field labels'!$Q$1))</f>
        <v>Sweet Pdn Ut Water&amp;WWT (121500015-LE002281)</v>
      </c>
      <c r="C1892" t="s">
        <v>7339</v>
      </c>
    </row>
    <row r="1893" spans="1:3">
      <c r="A1893" t="s">
        <v>7530</v>
      </c>
      <c r="B1893" t="str">
        <f ca="1">IF(ISBLANK(OFFSET(B1893,0,'Field labels'!$Q$1)),C1893,OFFSET(B1893,0,'Field labels'!$Q$1))</f>
        <v>Sweet Pdn Utilities H2 (121500016-LE002281)</v>
      </c>
      <c r="C1893" t="s">
        <v>7340</v>
      </c>
    </row>
    <row r="1894" spans="1:3">
      <c r="A1894" t="s">
        <v>7530</v>
      </c>
      <c r="B1894" t="str">
        <f ca="1">IF(ISBLANK(OFFSET(B1894,0,'Field labels'!$Q$1)),C1894,OFFSET(B1894,0,'Field labels'!$Q$1))</f>
        <v>Sweeteners Cikande Glucose Refining (121500087-LE002281)</v>
      </c>
      <c r="C1894" t="s">
        <v>7341</v>
      </c>
    </row>
    <row r="1895" spans="1:3">
      <c r="A1895" t="s">
        <v>7530</v>
      </c>
      <c r="B1895" t="str">
        <f ca="1">IF(ISBLANK(OFFSET(B1895,0,'Field labels'!$Q$1)),C1895,OFFSET(B1895,0,'Field labels'!$Q$1))</f>
        <v>Sweeteners Cikande Maltodextr. Spray Dry (121500088-LE002281)</v>
      </c>
      <c r="C1895" t="s">
        <v>7342</v>
      </c>
    </row>
    <row r="1896" spans="1:3">
      <c r="A1896" t="s">
        <v>7530</v>
      </c>
      <c r="B1896" t="str">
        <f ca="1">IF(ISBLANK(OFFSET(B1896,0,'Field labels'!$Q$1)),C1896,OFFSET(B1896,0,'Field labels'!$Q$1))</f>
        <v>Sweeteners Cikande Packing (121500089-LE002281)</v>
      </c>
      <c r="C1896" t="s">
        <v>7343</v>
      </c>
    </row>
    <row r="1897" spans="1:3">
      <c r="A1897" t="s">
        <v>7530</v>
      </c>
      <c r="B1897" t="str">
        <f ca="1">IF(ISBLANK(OFFSET(B1897,0,'Field labels'!$Q$1)),C1897,OFFSET(B1897,0,'Field labels'!$Q$1))</f>
        <v>Sweeteners Cikande Plant General COGS (121500099-LE002281)</v>
      </c>
      <c r="C1897" t="s">
        <v>7344</v>
      </c>
    </row>
    <row r="1898" spans="1:3">
      <c r="A1898" t="s">
        <v>7530</v>
      </c>
      <c r="B1898" t="str">
        <f ca="1">IF(ISBLANK(OFFSET(B1898,0,'Field labels'!$Q$1)),C1898,OFFSET(B1898,0,'Field labels'!$Q$1))</f>
        <v>Sweeteners Cikande Plant Maintenance (121500095-LE002281)</v>
      </c>
      <c r="C1898" t="s">
        <v>7345</v>
      </c>
    </row>
    <row r="1899" spans="1:3">
      <c r="A1899" t="s">
        <v>7530</v>
      </c>
      <c r="B1899" t="str">
        <f ca="1">IF(ISBLANK(OFFSET(B1899,0,'Field labels'!$Q$1)),C1899,OFFSET(B1899,0,'Field labels'!$Q$1))</f>
        <v>Sweeteners Cikande Prod Whse FG (121500101-LE002281)</v>
      </c>
      <c r="C1899" t="s">
        <v>7346</v>
      </c>
    </row>
    <row r="1900" spans="1:3">
      <c r="A1900" t="s">
        <v>7530</v>
      </c>
      <c r="B1900" t="str">
        <f ca="1">IF(ISBLANK(OFFSET(B1900,0,'Field labels'!$Q$1)),C1900,OFFSET(B1900,0,'Field labels'!$Q$1))</f>
        <v>Sweeteners Cikande Production Warehouse (121500098-LE002281)</v>
      </c>
      <c r="C1900" t="s">
        <v>7347</v>
      </c>
    </row>
    <row r="1901" spans="1:3">
      <c r="A1901" t="s">
        <v>7530</v>
      </c>
      <c r="B1901" t="str">
        <f ca="1">IF(ISBLANK(OFFSET(B1901,0,'Field labels'!$Q$1)),C1901,OFFSET(B1901,0,'Field labels'!$Q$1))</f>
        <v>Sweeteners Cikande Quality Assurance (121500094-LE002281)</v>
      </c>
      <c r="C1901" t="s">
        <v>7348</v>
      </c>
    </row>
    <row r="1902" spans="1:3">
      <c r="A1902" t="s">
        <v>7530</v>
      </c>
      <c r="B1902" t="str">
        <f ca="1">IF(ISBLANK(OFFSET(B1902,0,'Field labels'!$Q$1)),C1902,OFFSET(B1902,0,'Field labels'!$Q$1))</f>
        <v>Sweeteners Cikande Utilities Water &amp; WWT (121500096-LE002281)</v>
      </c>
      <c r="C1902" t="s">
        <v>7349</v>
      </c>
    </row>
    <row r="1903" spans="1:3">
      <c r="A1903" t="s">
        <v>7530</v>
      </c>
      <c r="B1903" t="str">
        <f ca="1">IF(ISBLANK(OFFSET(B1903,0,'Field labels'!$Q$1)),C1903,OFFSET(B1903,0,'Field labels'!$Q$1))</f>
        <v>SweetPdn EHS (121500131-LE002281)</v>
      </c>
      <c r="C1903" t="s">
        <v>7351</v>
      </c>
    </row>
    <row r="1904" spans="1:3">
      <c r="A1904" t="s">
        <v>7530</v>
      </c>
      <c r="B1904" t="str">
        <f ca="1">IF(ISBLANK(OFFSET(B1904,0,'Field labels'!$Q$1)),C1904,OFFSET(B1904,0,'Field labels'!$Q$1))</f>
        <v>SweetPdn Trans &amp; Log (121500023-LE002281)</v>
      </c>
      <c r="C1904" t="s">
        <v>7352</v>
      </c>
    </row>
    <row r="1905" spans="1:3">
      <c r="A1905" t="s">
        <v>7532</v>
      </c>
      <c r="B1905" t="str">
        <f ca="1">IF(ISBLANK(OFFSET(B1905,0,'Field labels'!$Q$1)),C1905,OFFSET(B1905,0,'Field labels'!$Q$1))</f>
        <v>Feed Jiaxing - hog -An Hui (811129-LE002378)</v>
      </c>
      <c r="C1905" t="s">
        <v>6171</v>
      </c>
    </row>
    <row r="1906" spans="1:3">
      <c r="A1906" t="s">
        <v>7532</v>
      </c>
      <c r="B1906" t="str">
        <f ca="1">IF(ISBLANK(OFFSET(B1906,0,'Field labels'!$Q$1)),C1906,OFFSET(B1906,0,'Field labels'!$Q$1))</f>
        <v>Feed Jiaxing - hog -Jiang Su (811119-LE002378)</v>
      </c>
      <c r="C1906" t="s">
        <v>6172</v>
      </c>
    </row>
    <row r="1907" spans="1:3">
      <c r="A1907" t="s">
        <v>7532</v>
      </c>
      <c r="B1907" t="str">
        <f ca="1">IF(ISBLANK(OFFSET(B1907,0,'Field labels'!$Q$1)),C1907,OFFSET(B1907,0,'Field labels'!$Q$1))</f>
        <v>Feed Jiaxing - hog -Jiang Xi (811139-LE002378)</v>
      </c>
      <c r="C1907" t="s">
        <v>6173</v>
      </c>
    </row>
    <row r="1908" spans="1:3">
      <c r="A1908" t="s">
        <v>7532</v>
      </c>
      <c r="B1908" t="str">
        <f ca="1">IF(ISBLANK(OFFSET(B1908,0,'Field labels'!$Q$1)),C1908,OFFSET(B1908,0,'Field labels'!$Q$1))</f>
        <v>Feed Jiaxing-Plant (811007-LE002378)</v>
      </c>
      <c r="C1908" t="s">
        <v>6174</v>
      </c>
    </row>
    <row r="1909" spans="1:3">
      <c r="A1909" t="s">
        <v>7532</v>
      </c>
      <c r="B1909" t="str">
        <f ca="1">IF(ISBLANK(OFFSET(B1909,0,'Field labels'!$Q$1)),C1909,OFFSET(B1909,0,'Field labels'!$Q$1))</f>
        <v>Functional CFN Jiaxing (811812-LE002378)</v>
      </c>
      <c r="C1909" t="s">
        <v>6395</v>
      </c>
    </row>
    <row r="1910" spans="1:3">
      <c r="A1910" t="s">
        <v>7532</v>
      </c>
      <c r="B1910" t="str">
        <f ca="1">IF(ISBLANK(OFFSET(B1910,0,'Field labels'!$Q$1)),C1910,OFFSET(B1910,0,'Field labels'!$Q$1))</f>
        <v>Jiaxing Hog (811109-LE002378)</v>
      </c>
      <c r="C1910" t="s">
        <v>6625</v>
      </c>
    </row>
    <row r="1911" spans="1:3">
      <c r="A1911" t="s">
        <v>7528</v>
      </c>
      <c r="B1911" t="str">
        <f ca="1">IF(ISBLANK(OFFSET(B1911,0,'Field labels'!$Q$1)),C1911,OFFSET(B1911,0,'Field labels'!$Q$1))</f>
        <v>DESA FSQR (264412-LE002380)</v>
      </c>
      <c r="C1911" t="s">
        <v>6116</v>
      </c>
    </row>
    <row r="1912" spans="1:3">
      <c r="A1912" t="s">
        <v>7528</v>
      </c>
      <c r="B1912" t="str">
        <f ca="1">IF(ISBLANK(OFFSET(B1912,0,'Field labels'!$Q$1)),C1912,OFFSET(B1912,0,'Field labels'!$Q$1))</f>
        <v>DESA Plant (264007-LE002380)</v>
      </c>
      <c r="C1912" t="s">
        <v>6117</v>
      </c>
    </row>
    <row r="1913" spans="1:3">
      <c r="A1913" t="s">
        <v>7528</v>
      </c>
      <c r="B1913" t="str">
        <f ca="1">IF(ISBLANK(OFFSET(B1913,0,'Field labels'!$Q$1)),C1913,OFFSET(B1913,0,'Field labels'!$Q$1))</f>
        <v>Sabah Admin (264312-LE002380)</v>
      </c>
      <c r="C1913" t="s">
        <v>7051</v>
      </c>
    </row>
    <row r="1914" spans="1:3">
      <c r="A1914" t="s">
        <v>7528</v>
      </c>
      <c r="B1914" t="str">
        <f ca="1">IF(ISBLANK(OFFSET(B1914,0,'Field labels'!$Q$1)),C1914,OFFSET(B1914,0,'Field labels'!$Q$1))</f>
        <v>Sabah Finance (264112-LE002380)</v>
      </c>
      <c r="C1914" t="s">
        <v>7052</v>
      </c>
    </row>
    <row r="1915" spans="1:3">
      <c r="A1915" t="s">
        <v>7528</v>
      </c>
      <c r="B1915" t="str">
        <f ca="1">IF(ISBLANK(OFFSET(B1915,0,'Field labels'!$Q$1)),C1915,OFFSET(B1915,0,'Field labels'!$Q$1))</f>
        <v>Sabah Marketing (264109-LE002380)</v>
      </c>
      <c r="C1915" t="s">
        <v>7053</v>
      </c>
    </row>
    <row r="1916" spans="1:3">
      <c r="A1916" t="s">
        <v>7528</v>
      </c>
      <c r="B1916" t="str">
        <f ca="1">IF(ISBLANK(OFFSET(B1916,0,'Field labels'!$Q$1)),C1916,OFFSET(B1916,0,'Field labels'!$Q$1))</f>
        <v>Sabah-Tradico (264212-LE002380)</v>
      </c>
      <c r="C1916" t="s">
        <v>7054</v>
      </c>
    </row>
    <row r="1917" spans="1:3">
      <c r="A1917" t="s">
        <v>7495</v>
      </c>
      <c r="B1917" t="str">
        <f ca="1">IF(ISBLANK(OFFSET(B1917,0,'Field labels'!$Q$1)),C1917,OFFSET(B1917,0,'Field labels'!$Q$1))</f>
        <v>Affiliate's Administration: General (7000-LE002394)</v>
      </c>
      <c r="C1917" t="s">
        <v>5500</v>
      </c>
    </row>
    <row r="1918" spans="1:3">
      <c r="A1918" t="s">
        <v>7495</v>
      </c>
      <c r="B1918" t="str">
        <f ca="1">IF(ISBLANK(OFFSET(B1918,0,'Field labels'!$Q$1)),C1918,OFFSET(B1918,0,'Field labels'!$Q$1))</f>
        <v>Applications (12715300-LE002394)</v>
      </c>
      <c r="C1918" t="s">
        <v>5561</v>
      </c>
    </row>
    <row r="1919" spans="1:3">
      <c r="A1919" t="s">
        <v>7495</v>
      </c>
      <c r="B1919" t="str">
        <f ca="1">IF(ISBLANK(OFFSET(B1919,0,'Field labels'!$Q$1)),C1919,OFFSET(B1919,0,'Field labels'!$Q$1))</f>
        <v>Applications (5300-LE002394)</v>
      </c>
      <c r="C1919" t="s">
        <v>5562</v>
      </c>
    </row>
    <row r="1920" spans="1:3">
      <c r="A1920" t="s">
        <v>7495</v>
      </c>
      <c r="B1920" t="str">
        <f ca="1">IF(ISBLANK(OFFSET(B1920,0,'Field labels'!$Q$1)),C1920,OFFSET(B1920,0,'Field labels'!$Q$1))</f>
        <v>Channel: Dir Labor (3100-LE002394)</v>
      </c>
      <c r="C1920" t="s">
        <v>5719</v>
      </c>
    </row>
    <row r="1921" spans="1:3">
      <c r="A1921" t="s">
        <v>7495</v>
      </c>
      <c r="B1921" t="str">
        <f ca="1">IF(ISBLANK(OFFSET(B1921,0,'Field labels'!$Q$1)),C1921,OFFSET(B1921,0,'Field labels'!$Q$1))</f>
        <v>Commercial/Sales Force (12715000-LE002394)</v>
      </c>
      <c r="C1921" t="s">
        <v>5908</v>
      </c>
    </row>
    <row r="1922" spans="1:3">
      <c r="A1922" t="s">
        <v>7495</v>
      </c>
      <c r="B1922" t="str">
        <f ca="1">IF(ISBLANK(OFFSET(B1922,0,'Field labels'!$Q$1)),C1922,OFFSET(B1922,0,'Field labels'!$Q$1))</f>
        <v>Commercial/Sales Force (5000-LE002394)</v>
      </c>
      <c r="C1922" t="s">
        <v>5909</v>
      </c>
    </row>
    <row r="1923" spans="1:3">
      <c r="A1923" t="s">
        <v>7495</v>
      </c>
      <c r="B1923" t="str">
        <f ca="1">IF(ISBLANK(OFFSET(B1923,0,'Field labels'!$Q$1)),C1923,OFFSET(B1923,0,'Field labels'!$Q$1))</f>
        <v>Development (12716200-LE002394)</v>
      </c>
      <c r="C1923" t="s">
        <v>6118</v>
      </c>
    </row>
    <row r="1924" spans="1:3">
      <c r="A1924" t="s">
        <v>7495</v>
      </c>
      <c r="B1924" t="str">
        <f ca="1">IF(ISBLANK(OFFSET(B1924,0,'Field labels'!$Q$1)),C1924,OFFSET(B1924,0,'Field labels'!$Q$1))</f>
        <v>Development (6200-LE002394)</v>
      </c>
      <c r="C1924" t="s">
        <v>6119</v>
      </c>
    </row>
    <row r="1925" spans="1:3">
      <c r="A1925" t="s">
        <v>7495</v>
      </c>
      <c r="B1925" t="str">
        <f ca="1">IF(ISBLANK(OFFSET(B1925,0,'Field labels'!$Q$1)),C1925,OFFSET(B1925,0,'Field labels'!$Q$1))</f>
        <v>Finance &amp; Accounting (12717200-LE002394)</v>
      </c>
      <c r="C1925" t="s">
        <v>6207</v>
      </c>
    </row>
    <row r="1926" spans="1:3">
      <c r="A1926" t="s">
        <v>7495</v>
      </c>
      <c r="B1926" t="str">
        <f ca="1">IF(ISBLANK(OFFSET(B1926,0,'Field labels'!$Q$1)),C1926,OFFSET(B1926,0,'Field labels'!$Q$1))</f>
        <v>Finance &amp; Accounting (7200-LE002394)</v>
      </c>
      <c r="C1926" t="s">
        <v>6206</v>
      </c>
    </row>
    <row r="1927" spans="1:3">
      <c r="A1927" t="s">
        <v>7495</v>
      </c>
      <c r="B1927" t="str">
        <f ca="1">IF(ISBLANK(OFFSET(B1927,0,'Field labels'!$Q$1)),C1927,OFFSET(B1927,0,'Field labels'!$Q$1))</f>
        <v>FSQR (3510-LE002394)</v>
      </c>
      <c r="C1927" t="s">
        <v>6365</v>
      </c>
    </row>
    <row r="1928" spans="1:3">
      <c r="A1928" t="s">
        <v>7495</v>
      </c>
      <c r="B1928" t="str">
        <f ca="1">IF(ISBLANK(OFFSET(B1928,0,'Field labels'!$Q$1)),C1928,OFFSET(B1928,0,'Field labels'!$Q$1))</f>
        <v>GFR (12716100-LE002394)</v>
      </c>
      <c r="C1928" t="s">
        <v>6464</v>
      </c>
    </row>
    <row r="1929" spans="1:3">
      <c r="A1929" t="s">
        <v>7495</v>
      </c>
      <c r="B1929" t="str">
        <f ca="1">IF(ISBLANK(OFFSET(B1929,0,'Field labels'!$Q$1)),C1929,OFFSET(B1929,0,'Field labels'!$Q$1))</f>
        <v>GFR (6100-LE002394)</v>
      </c>
      <c r="C1929" t="s">
        <v>6465</v>
      </c>
    </row>
    <row r="1930" spans="1:3">
      <c r="A1930" t="s">
        <v>7495</v>
      </c>
      <c r="B1930" t="str">
        <f ca="1">IF(ISBLANK(OFFSET(B1930,0,'Field labels'!$Q$1)),C1930,OFFSET(B1930,0,'Field labels'!$Q$1))</f>
        <v>Go to market (12715600-LE002394)</v>
      </c>
      <c r="C1930" t="s">
        <v>6494</v>
      </c>
    </row>
    <row r="1931" spans="1:3">
      <c r="A1931" t="s">
        <v>7495</v>
      </c>
      <c r="B1931" t="str">
        <f ca="1">IF(ISBLANK(OFFSET(B1931,0,'Field labels'!$Q$1)),C1931,OFFSET(B1931,0,'Field labels'!$Q$1))</f>
        <v>Go to market (5600-LE002394)</v>
      </c>
      <c r="C1931" t="s">
        <v>6495</v>
      </c>
    </row>
    <row r="1932" spans="1:3">
      <c r="A1932" t="s">
        <v>7495</v>
      </c>
      <c r="B1932" t="str">
        <f ca="1">IF(ISBLANK(OFFSET(B1932,0,'Field labels'!$Q$1)),C1932,OFFSET(B1932,0,'Field labels'!$Q$1))</f>
        <v>Logistics/Warehouse/Oth Distri (3300-LE002394)</v>
      </c>
      <c r="C1932" t="s">
        <v>6678</v>
      </c>
    </row>
    <row r="1933" spans="1:3">
      <c r="A1933" t="s">
        <v>7495</v>
      </c>
      <c r="B1933" t="str">
        <f ca="1">IF(ISBLANK(OFFSET(B1933,0,'Field labels'!$Q$1)),C1933,OFFSET(B1933,0,'Field labels'!$Q$1))</f>
        <v>Maint&amp;Rep (9603400-LE002394)</v>
      </c>
      <c r="C1933" t="s">
        <v>6687</v>
      </c>
    </row>
    <row r="1934" spans="1:3">
      <c r="A1934" t="s">
        <v>7495</v>
      </c>
      <c r="B1934" t="str">
        <f ca="1">IF(ISBLANK(OFFSET(B1934,0,'Field labels'!$Q$1)),C1934,OFFSET(B1934,0,'Field labels'!$Q$1))</f>
        <v>Pdn Production Engineering (9605500-LE002394)</v>
      </c>
      <c r="C1934" t="s">
        <v>6820</v>
      </c>
    </row>
    <row r="1935" spans="1:3">
      <c r="A1935" t="s">
        <v>7495</v>
      </c>
      <c r="B1935" t="str">
        <f ca="1">IF(ISBLANK(OFFSET(B1935,0,'Field labels'!$Q$1)),C1935,OFFSET(B1935,0,'Field labels'!$Q$1))</f>
        <v>Prod Ovhd (3800-LE002394)</v>
      </c>
      <c r="C1935" t="s">
        <v>6900</v>
      </c>
    </row>
    <row r="1936" spans="1:3">
      <c r="A1936" t="s">
        <v>7495</v>
      </c>
      <c r="B1936" t="str">
        <f ca="1">IF(ISBLANK(OFFSET(B1936,0,'Field labels'!$Q$1)),C1936,OFFSET(B1936,0,'Field labels'!$Q$1))</f>
        <v>Product Line Management (12714900-LE002394)</v>
      </c>
      <c r="C1936" t="s">
        <v>6903</v>
      </c>
    </row>
    <row r="1937" spans="1:3">
      <c r="A1937" t="s">
        <v>7495</v>
      </c>
      <c r="B1937" t="str">
        <f ca="1">IF(ISBLANK(OFFSET(B1937,0,'Field labels'!$Q$1)),C1937,OFFSET(B1937,0,'Field labels'!$Q$1))</f>
        <v>Product Line Management (4900-LE002394)</v>
      </c>
      <c r="C1937" t="s">
        <v>6902</v>
      </c>
    </row>
    <row r="1938" spans="1:3">
      <c r="A1938" t="s">
        <v>7495</v>
      </c>
      <c r="B1938" t="str">
        <f ca="1">IF(ISBLANK(OFFSET(B1938,0,'Field labels'!$Q$1)),C1938,OFFSET(B1938,0,'Field labels'!$Q$1))</f>
        <v>Public Affairs (9607700-LE002394)</v>
      </c>
      <c r="C1938" t="s">
        <v>6974</v>
      </c>
    </row>
    <row r="1939" spans="1:3">
      <c r="A1939" t="s">
        <v>7495</v>
      </c>
      <c r="B1939" t="str">
        <f ca="1">IF(ISBLANK(OFFSET(B1939,0,'Field labels'!$Q$1)),C1939,OFFSET(B1939,0,'Field labels'!$Q$1))</f>
        <v>QC (3500-LE002394)</v>
      </c>
      <c r="C1939" t="s">
        <v>6996</v>
      </c>
    </row>
    <row r="1940" spans="1:3">
      <c r="A1940" t="s">
        <v>7495</v>
      </c>
      <c r="B1940" t="str">
        <f ca="1">IF(ISBLANK(OFFSET(B1940,0,'Field labels'!$Q$1)),C1940,OFFSET(B1940,0,'Field labels'!$Q$1))</f>
        <v>Safety &amp; Environment (3820-LE002394)</v>
      </c>
      <c r="C1940" t="s">
        <v>7057</v>
      </c>
    </row>
    <row r="1941" spans="1:3">
      <c r="A1941" t="s">
        <v>7495</v>
      </c>
      <c r="B1941" t="str">
        <f ca="1">IF(ISBLANK(OFFSET(B1941,0,'Field labels'!$Q$1)),C1941,OFFSET(B1941,0,'Field labels'!$Q$1))</f>
        <v>Supply Chain (12715500-LE002394)</v>
      </c>
      <c r="C1941" t="s">
        <v>7198</v>
      </c>
    </row>
    <row r="1942" spans="1:3">
      <c r="A1942" t="s">
        <v>7495</v>
      </c>
      <c r="B1942" t="str">
        <f ca="1">IF(ISBLANK(OFFSET(B1942,0,'Field labels'!$Q$1)),C1942,OFFSET(B1942,0,'Field labels'!$Q$1))</f>
        <v>Technical support (12715200-LE002394)</v>
      </c>
      <c r="C1942" t="s">
        <v>7370</v>
      </c>
    </row>
    <row r="1943" spans="1:3">
      <c r="A1943" t="s">
        <v>7495</v>
      </c>
      <c r="B1943" t="str">
        <f ca="1">IF(ISBLANK(OFFSET(B1943,0,'Field labels'!$Q$1)),C1943,OFFSET(B1943,0,'Field labels'!$Q$1))</f>
        <v>Technical support (5200-LE002394)</v>
      </c>
      <c r="C1943" t="s">
        <v>7371</v>
      </c>
    </row>
    <row r="1944" spans="1:3">
      <c r="A1944" t="s">
        <v>7519</v>
      </c>
      <c r="B1944" t="str">
        <f ca="1">IF(ISBLANK(OFFSET(B1944,0,'Field labels'!$Q$1)),C1944,OFFSET(B1944,0,'Field labels'!$Q$1))</f>
        <v>Commercial-Bakery (167058-LE002404)</v>
      </c>
      <c r="C1944" t="s">
        <v>5910</v>
      </c>
    </row>
    <row r="1945" spans="1:3">
      <c r="A1945" t="s">
        <v>7519</v>
      </c>
      <c r="B1945" t="str">
        <f ca="1">IF(ISBLANK(OFFSET(B1945,0,'Field labels'!$Q$1)),C1945,OFFSET(B1945,0,'Field labels'!$Q$1))</f>
        <v>Commercial-BR (965045-LE002404)</v>
      </c>
      <c r="C1945" t="s">
        <v>5915</v>
      </c>
    </row>
    <row r="1946" spans="1:3">
      <c r="A1946" t="s">
        <v>7519</v>
      </c>
      <c r="B1946" t="str">
        <f ca="1">IF(ISBLANK(OFFSET(B1946,0,'Field labels'!$Q$1)),C1946,OFFSET(B1946,0,'Field labels'!$Q$1))</f>
        <v>Commercial-VA-FI (167051-LE002404)</v>
      </c>
      <c r="C1946" t="s">
        <v>5916</v>
      </c>
    </row>
    <row r="1947" spans="1:3">
      <c r="A1947" t="s">
        <v>7519</v>
      </c>
      <c r="B1947" t="str">
        <f ca="1">IF(ISBLANK(OFFSET(B1947,0,'Field labels'!$Q$1)),C1947,OFFSET(B1947,0,'Field labels'!$Q$1))</f>
        <v>Commercial-VA-FS (167055-LE002404)</v>
      </c>
      <c r="C1947" t="s">
        <v>5919</v>
      </c>
    </row>
    <row r="1948" spans="1:3">
      <c r="A1948" t="s">
        <v>7519</v>
      </c>
      <c r="B1948" t="str">
        <f ca="1">IF(ISBLANK(OFFSET(B1948,0,'Field labels'!$Q$1)),C1948,OFFSET(B1948,0,'Field labels'!$Q$1))</f>
        <v>FC-Supply Chain-Warehouse FG (167064-LE002404)</v>
      </c>
      <c r="C1948" t="s">
        <v>6169</v>
      </c>
    </row>
    <row r="1949" spans="1:3">
      <c r="A1949" t="s">
        <v>7519</v>
      </c>
      <c r="B1949" t="str">
        <f ca="1">IF(ISBLANK(OFFSET(B1949,0,'Field labels'!$Q$1)),C1949,OFFSET(B1949,0,'Field labels'!$Q$1))</f>
        <v>FSQR (965036-LE002404)</v>
      </c>
      <c r="C1949" t="s">
        <v>6369</v>
      </c>
    </row>
    <row r="1950" spans="1:3">
      <c r="A1950" t="s">
        <v>7519</v>
      </c>
      <c r="B1950" t="str">
        <f ca="1">IF(ISBLANK(OFFSET(B1950,0,'Field labels'!$Q$1)),C1950,OFFSET(B1950,0,'Field labels'!$Q$1))</f>
        <v>G&amp;A-Admin (886041-LE002404)</v>
      </c>
      <c r="C1950" t="s">
        <v>6429</v>
      </c>
    </row>
    <row r="1951" spans="1:3">
      <c r="A1951" t="s">
        <v>7519</v>
      </c>
      <c r="B1951" t="str">
        <f ca="1">IF(ISBLANK(OFFSET(B1951,0,'Field labels'!$Q$1)),C1951,OFFSET(B1951,0,'Field labels'!$Q$1))</f>
        <v>G&amp;A-ADMIN (965041-LE002404)</v>
      </c>
      <c r="C1951" t="s">
        <v>6427</v>
      </c>
    </row>
    <row r="1952" spans="1:3">
      <c r="A1952" t="s">
        <v>7519</v>
      </c>
      <c r="B1952" t="str">
        <f ca="1">IF(ISBLANK(OFFSET(B1952,0,'Field labels'!$Q$1)),C1952,OFFSET(B1952,0,'Field labels'!$Q$1))</f>
        <v>G&amp;A-Finance (886070-LE002404)</v>
      </c>
      <c r="C1952" t="s">
        <v>6436</v>
      </c>
    </row>
    <row r="1953" spans="1:3">
      <c r="A1953" t="s">
        <v>7519</v>
      </c>
      <c r="B1953" t="str">
        <f ca="1">IF(ISBLANK(OFFSET(B1953,0,'Field labels'!$Q$1)),C1953,OFFSET(B1953,0,'Field labels'!$Q$1))</f>
        <v>G&amp;A-FINANCE (965070-LE002404)</v>
      </c>
      <c r="C1953" t="s">
        <v>6434</v>
      </c>
    </row>
    <row r="1954" spans="1:3">
      <c r="A1954" t="s">
        <v>7519</v>
      </c>
      <c r="B1954" t="str">
        <f ca="1">IF(ISBLANK(OFFSET(B1954,0,'Field labels'!$Q$1)),C1954,OFFSET(B1954,0,'Field labels'!$Q$1))</f>
        <v>G&amp;A-FINANCE HUB (886073-LE002404)</v>
      </c>
      <c r="C1954" t="s">
        <v>6437</v>
      </c>
    </row>
    <row r="1955" spans="1:3">
      <c r="A1955" t="s">
        <v>7519</v>
      </c>
      <c r="B1955" t="str">
        <f ca="1">IF(ISBLANK(OFFSET(B1955,0,'Field labels'!$Q$1)),C1955,OFFSET(B1955,0,'Field labels'!$Q$1))</f>
        <v>G&amp;A-Regional BOSC-China (886052-LE002404)</v>
      </c>
      <c r="C1955" t="s">
        <v>6440</v>
      </c>
    </row>
    <row r="1956" spans="1:3">
      <c r="A1956" t="s">
        <v>7519</v>
      </c>
      <c r="B1956" t="str">
        <f ca="1">IF(ISBLANK(OFFSET(B1956,0,'Field labels'!$Q$1)),C1956,OFFSET(B1956,0,'Field labels'!$Q$1))</f>
        <v>G&amp;A-Weighbridge (886072-LE002404)</v>
      </c>
      <c r="C1956" t="s">
        <v>6450</v>
      </c>
    </row>
    <row r="1957" spans="1:3">
      <c r="A1957" t="s">
        <v>7519</v>
      </c>
      <c r="B1957" t="str">
        <f ca="1">IF(ISBLANK(OFFSET(B1957,0,'Field labels'!$Q$1)),C1957,OFFSET(B1957,0,'Field labels'!$Q$1))</f>
        <v>G&amp;A-WEIGHBRIDGE (965072-LE002404)</v>
      </c>
      <c r="C1957" t="s">
        <v>6448</v>
      </c>
    </row>
    <row r="1958" spans="1:3">
      <c r="A1958" t="s">
        <v>7519</v>
      </c>
      <c r="B1958" t="str">
        <f ca="1">IF(ISBLANK(OFFSET(B1958,0,'Field labels'!$Q$1)),C1958,OFFSET(B1958,0,'Field labels'!$Q$1))</f>
        <v>GCK Sharing for BOSC (965052-LE002404)</v>
      </c>
      <c r="C1958" t="s">
        <v>6452</v>
      </c>
    </row>
    <row r="1959" spans="1:3">
      <c r="A1959" t="s">
        <v>7519</v>
      </c>
      <c r="B1959" t="str">
        <f ca="1">IF(ISBLANK(OFFSET(B1959,0,'Field labels'!$Q$1)),C1959,OFFSET(B1959,0,'Field labels'!$Q$1))</f>
        <v>Loading/unloading (886026-LE002404)</v>
      </c>
      <c r="C1959" t="s">
        <v>6669</v>
      </c>
    </row>
    <row r="1960" spans="1:3">
      <c r="A1960" t="s">
        <v>7519</v>
      </c>
      <c r="B1960" t="str">
        <f ca="1">IF(ISBLANK(OFFSET(B1960,0,'Field labels'!$Q$1)),C1960,OFFSET(B1960,0,'Field labels'!$Q$1))</f>
        <v>plant -Crush (886030-LE002404)</v>
      </c>
      <c r="C1960" t="s">
        <v>6846</v>
      </c>
    </row>
    <row r="1961" spans="1:3">
      <c r="A1961" t="s">
        <v>7519</v>
      </c>
      <c r="B1961" t="str">
        <f ca="1">IF(ISBLANK(OFFSET(B1961,0,'Field labels'!$Q$1)),C1961,OFFSET(B1961,0,'Field labels'!$Q$1))</f>
        <v>Plant-Main (886034-LE002404)</v>
      </c>
      <c r="C1961" t="s">
        <v>6854</v>
      </c>
    </row>
    <row r="1962" spans="1:3">
      <c r="A1962" t="s">
        <v>7519</v>
      </c>
      <c r="B1962" t="str">
        <f ca="1">IF(ISBLANK(OFFSET(B1962,0,'Field labels'!$Q$1)),C1962,OFFSET(B1962,0,'Field labels'!$Q$1))</f>
        <v>PLANT-QA/QC (886036-LE002404)</v>
      </c>
      <c r="C1962" t="s">
        <v>6855</v>
      </c>
    </row>
    <row r="1963" spans="1:3">
      <c r="A1963" t="s">
        <v>7519</v>
      </c>
      <c r="B1963" t="str">
        <f ca="1">IF(ISBLANK(OFFSET(B1963,0,'Field labels'!$Q$1)),C1963,OFFSET(B1963,0,'Field labels'!$Q$1))</f>
        <v>Plant-Security (886071-LE002404)</v>
      </c>
      <c r="C1963" t="s">
        <v>6857</v>
      </c>
    </row>
    <row r="1964" spans="1:3">
      <c r="A1964" t="s">
        <v>7519</v>
      </c>
      <c r="B1964" t="str">
        <f ca="1">IF(ISBLANK(OFFSET(B1964,0,'Field labels'!$Q$1)),C1964,OFFSET(B1964,0,'Field labels'!$Q$1))</f>
        <v>PLANT-SECURITY (965071-LE002404)</v>
      </c>
      <c r="C1964" t="s">
        <v>6856</v>
      </c>
    </row>
    <row r="1965" spans="1:3">
      <c r="A1965" t="s">
        <v>7519</v>
      </c>
      <c r="B1965" t="str">
        <f ca="1">IF(ISBLANK(OFFSET(B1965,0,'Field labels'!$Q$1)),C1965,OFFSET(B1965,0,'Field labels'!$Q$1))</f>
        <v>Production Shared (965139-LE002404)</v>
      </c>
      <c r="C1965" t="s">
        <v>6921</v>
      </c>
    </row>
    <row r="1966" spans="1:3">
      <c r="A1966" t="s">
        <v>7519</v>
      </c>
      <c r="B1966" t="str">
        <f ca="1">IF(ISBLANK(OFFSET(B1966,0,'Field labels'!$Q$1)),C1966,OFFSET(B1966,0,'Field labels'!$Q$1))</f>
        <v>Production-EHS (886029-LE002404)</v>
      </c>
      <c r="C1966" t="s">
        <v>6940</v>
      </c>
    </row>
    <row r="1967" spans="1:3">
      <c r="A1967" t="s">
        <v>7519</v>
      </c>
      <c r="B1967" t="str">
        <f ca="1">IF(ISBLANK(OFFSET(B1967,0,'Field labels'!$Q$1)),C1967,OFFSET(B1967,0,'Field labels'!$Q$1))</f>
        <v>Production-EHS Shared (965029-LE002404)</v>
      </c>
      <c r="C1967" t="s">
        <v>6942</v>
      </c>
    </row>
    <row r="1968" spans="1:3">
      <c r="A1968" t="s">
        <v>7519</v>
      </c>
      <c r="B1968" t="str">
        <f ca="1">IF(ISBLANK(OFFSET(B1968,0,'Field labels'!$Q$1)),C1968,OFFSET(B1968,0,'Field labels'!$Q$1))</f>
        <v>Production-non R&amp;M-from GCK (965939-LE002404)</v>
      </c>
      <c r="C1968" t="s">
        <v>6944</v>
      </c>
    </row>
    <row r="1969" spans="1:3">
      <c r="A1969" t="s">
        <v>7519</v>
      </c>
      <c r="B1969" t="str">
        <f ca="1">IF(ISBLANK(OFFSET(B1969,0,'Field labels'!$Q$1)),C1969,OFFSET(B1969,0,'Field labels'!$Q$1))</f>
        <v>Production-R&amp;M-from GCK (965937-LE002404)</v>
      </c>
      <c r="C1969" t="s">
        <v>6947</v>
      </c>
    </row>
    <row r="1970" spans="1:3">
      <c r="A1970" t="s">
        <v>7519</v>
      </c>
      <c r="B1970" t="str">
        <f ca="1">IF(ISBLANK(OFFSET(B1970,0,'Field labels'!$Q$1)),C1970,OFFSET(B1970,0,'Field labels'!$Q$1))</f>
        <v>R&amp;M (965037-LE002404)</v>
      </c>
      <c r="C1970" t="s">
        <v>7006</v>
      </c>
    </row>
    <row r="1971" spans="1:3">
      <c r="A1971" t="s">
        <v>7519</v>
      </c>
      <c r="B1971" t="str">
        <f ca="1">IF(ISBLANK(OFFSET(B1971,0,'Field labels'!$Q$1)),C1971,OFFSET(B1971,0,'Field labels'!$Q$1))</f>
        <v>Refinery Production (965039-LE002404)</v>
      </c>
      <c r="C1971" t="s">
        <v>7020</v>
      </c>
    </row>
    <row r="1972" spans="1:3">
      <c r="A1972" t="s">
        <v>7519</v>
      </c>
      <c r="B1972" t="str">
        <f ca="1">IF(ISBLANK(OFFSET(B1972,0,'Field labels'!$Q$1)),C1972,OFFSET(B1972,0,'Field labels'!$Q$1))</f>
        <v>Selling-CE (886044-LE002404)</v>
      </c>
      <c r="C1972" t="s">
        <v>7115</v>
      </c>
    </row>
    <row r="1973" spans="1:3">
      <c r="A1973" t="s">
        <v>7519</v>
      </c>
      <c r="B1973" t="str">
        <f ca="1">IF(ISBLANK(OFFSET(B1973,0,'Field labels'!$Q$1)),C1973,OFFSET(B1973,0,'Field labels'!$Q$1))</f>
        <v>Selling-CE (965044-LE002404)</v>
      </c>
      <c r="C1973" t="s">
        <v>7112</v>
      </c>
    </row>
    <row r="1974" spans="1:3">
      <c r="A1974" t="s">
        <v>7519</v>
      </c>
      <c r="B1974" t="str">
        <f ca="1">IF(ISBLANK(OFFSET(B1974,0,'Field labels'!$Q$1)),C1974,OFFSET(B1974,0,'Field labels'!$Q$1))</f>
        <v>Selling-Grains (166880-LE002404)</v>
      </c>
      <c r="C1974" t="s">
        <v>7116</v>
      </c>
    </row>
    <row r="1975" spans="1:3">
      <c r="A1975" t="s">
        <v>7519</v>
      </c>
      <c r="B1975" t="str">
        <f ca="1">IF(ISBLANK(OFFSET(B1975,0,'Field labels'!$Q$1)),C1975,OFFSET(B1975,0,'Field labels'!$Q$1))</f>
        <v>Selling-SBM (886046-LE002404)</v>
      </c>
      <c r="C1975" t="s">
        <v>7117</v>
      </c>
    </row>
    <row r="1976" spans="1:3">
      <c r="A1976" t="s">
        <v>7519</v>
      </c>
      <c r="B1976" t="str">
        <f ca="1">IF(ISBLANK(OFFSET(B1976,0,'Field labels'!$Q$1)),C1976,OFFSET(B1976,0,'Field labels'!$Q$1))</f>
        <v>Selling-Supply Chain (886060-LE002404)</v>
      </c>
      <c r="C1976" t="s">
        <v>7119</v>
      </c>
    </row>
    <row r="1977" spans="1:3">
      <c r="A1977" t="s">
        <v>7519</v>
      </c>
      <c r="B1977" t="str">
        <f ca="1">IF(ISBLANK(OFFSET(B1977,0,'Field labels'!$Q$1)),C1977,OFFSET(B1977,0,'Field labels'!$Q$1))</f>
        <v>SELLING-SUPPLY CHAIN (965060-LE002404)</v>
      </c>
      <c r="C1977" t="s">
        <v>7118</v>
      </c>
    </row>
    <row r="1978" spans="1:3">
      <c r="A1978" t="s">
        <v>7519</v>
      </c>
      <c r="B1978" t="str">
        <f ca="1">IF(ISBLANK(OFFSET(B1978,0,'Field labels'!$Q$1)),C1978,OFFSET(B1978,0,'Field labels'!$Q$1))</f>
        <v>SGA - Finhub (965076-LE002404)</v>
      </c>
      <c r="C1978" t="s">
        <v>7122</v>
      </c>
    </row>
    <row r="1979" spans="1:3">
      <c r="A1979" t="s">
        <v>7519</v>
      </c>
      <c r="B1979" t="str">
        <f ca="1">IF(ISBLANK(OFFSET(B1979,0,'Field labels'!$Q$1)),C1979,OFFSET(B1979,0,'Field labels'!$Q$1))</f>
        <v>SGA-GHRO MC (383042-LE002404)</v>
      </c>
      <c r="C1979" t="s">
        <v>7125</v>
      </c>
    </row>
    <row r="1980" spans="1:3">
      <c r="A1980" t="s">
        <v>7519</v>
      </c>
      <c r="B1980" t="str">
        <f ca="1">IF(ISBLANK(OFFSET(B1980,0,'Field labels'!$Q$1)),C1980,OFFSET(B1980,0,'Field labels'!$Q$1))</f>
        <v>Supply Chain-CE (965061-LE002404)</v>
      </c>
      <c r="C1980" t="s">
        <v>7208</v>
      </c>
    </row>
    <row r="1981" spans="1:3">
      <c r="A1981" t="s">
        <v>7519</v>
      </c>
      <c r="B1981" t="str">
        <f ca="1">IF(ISBLANK(OFFSET(B1981,0,'Field labels'!$Q$1)),C1981,OFFSET(B1981,0,'Field labels'!$Q$1))</f>
        <v>Supply Chain-Planning (965067-LE002404)</v>
      </c>
      <c r="C1981" t="s">
        <v>7211</v>
      </c>
    </row>
    <row r="1982" spans="1:3">
      <c r="A1982" t="s">
        <v>7519</v>
      </c>
      <c r="B1982" t="str">
        <f ca="1">IF(ISBLANK(OFFSET(B1982,0,'Field labels'!$Q$1)),C1982,OFFSET(B1982,0,'Field labels'!$Q$1))</f>
        <v>Supply Chain-T&amp;L (965066-LE002404)</v>
      </c>
      <c r="C1982" t="s">
        <v>7213</v>
      </c>
    </row>
    <row r="1983" spans="1:3">
      <c r="A1983" t="s">
        <v>7519</v>
      </c>
      <c r="B1983" t="str">
        <f ca="1">IF(ISBLANK(OFFSET(B1983,0,'Field labels'!$Q$1)),C1983,OFFSET(B1983,0,'Field labels'!$Q$1))</f>
        <v>Supply Chain-Truck (167016-LE002404)</v>
      </c>
      <c r="C1983" t="s">
        <v>7214</v>
      </c>
    </row>
    <row r="1984" spans="1:3">
      <c r="A1984" t="s">
        <v>7519</v>
      </c>
      <c r="B1984" t="str">
        <f ca="1">IF(ISBLANK(OFFSET(B1984,0,'Field labels'!$Q$1)),C1984,OFFSET(B1984,0,'Field labels'!$Q$1))</f>
        <v>Tank Farm (965035-LE002404)</v>
      </c>
      <c r="C1984" t="s">
        <v>7359</v>
      </c>
    </row>
    <row r="1985" spans="1:3">
      <c r="A1985" t="s">
        <v>7519</v>
      </c>
      <c r="B1985" t="str">
        <f ca="1">IF(ISBLANK(OFFSET(B1985,0,'Field labels'!$Q$1)),C1985,OFFSET(B1985,0,'Field labels'!$Q$1))</f>
        <v>WWTP (965032-LE002404)</v>
      </c>
      <c r="C1985" t="s">
        <v>7447</v>
      </c>
    </row>
    <row r="1986" spans="1:3">
      <c r="A1986" t="s">
        <v>7474</v>
      </c>
      <c r="B1986" t="str">
        <f ca="1">IF(ISBLANK(OFFSET(B1986,0,'Field labels'!$Q$1)),C1986,OFFSET(B1986,0,'Field labels'!$Q$1))</f>
        <v>252006 (Grains-TE) (252006-LE002451)</v>
      </c>
      <c r="C1986" t="s">
        <v>5384</v>
      </c>
    </row>
    <row r="1987" spans="1:3">
      <c r="A1987" t="s">
        <v>7474</v>
      </c>
      <c r="B1987" t="str">
        <f ca="1">IF(ISBLANK(OFFSET(B1987,0,'Field labels'!$Q$1)),C1987,OFFSET(B1987,0,'Field labels'!$Q$1))</f>
        <v>APAC Application Team (2465001000-LE002451)</v>
      </c>
      <c r="C1987" t="s">
        <v>5558</v>
      </c>
    </row>
    <row r="1988" spans="1:3">
      <c r="A1988" t="s">
        <v>7474</v>
      </c>
      <c r="B1988" t="str">
        <f ca="1">IF(ISBLANK(OFFSET(B1988,0,'Field labels'!$Q$1)),C1988,OFFSET(B1988,0,'Field labels'!$Q$1))</f>
        <v>Grains Admin &amp; Finance (252008-LE002451)</v>
      </c>
      <c r="C1988" t="s">
        <v>6531</v>
      </c>
    </row>
    <row r="1989" spans="1:3">
      <c r="A1989" t="s">
        <v>7474</v>
      </c>
      <c r="B1989" t="str">
        <f ca="1">IF(ISBLANK(OFFSET(B1989,0,'Field labels'!$Q$1)),C1989,OFFSET(B1989,0,'Field labels'!$Q$1))</f>
        <v>Grains Mktg &amp; Trade Execution (252005-LE002451)</v>
      </c>
      <c r="C1989" t="s">
        <v>6533</v>
      </c>
    </row>
    <row r="1990" spans="1:3">
      <c r="A1990" t="s">
        <v>7474</v>
      </c>
      <c r="B1990" t="str">
        <f ca="1">IF(ISBLANK(OFFSET(B1990,0,'Field labels'!$Q$1)),C1990,OFFSET(B1990,0,'Field labels'!$Q$1))</f>
        <v>Grains Operation (252007-LE002451)</v>
      </c>
      <c r="C1990" t="s">
        <v>6534</v>
      </c>
    </row>
    <row r="1991" spans="1:3">
      <c r="A1991" t="s">
        <v>7474</v>
      </c>
      <c r="B1991" t="str">
        <f ca="1">IF(ISBLANK(OFFSET(B1991,0,'Field labels'!$Q$1)),C1991,OFFSET(B1991,0,'Field labels'!$Q$1))</f>
        <v>GTM- Marketing (2464100000-LE002451)</v>
      </c>
      <c r="C1991" t="s">
        <v>6543</v>
      </c>
    </row>
    <row r="1992" spans="1:3">
      <c r="A1992" t="s">
        <v>7474</v>
      </c>
      <c r="B1992" t="str">
        <f ca="1">IF(ISBLANK(OFFSET(B1992,0,'Field labels'!$Q$1)),C1992,OFFSET(B1992,0,'Field labels'!$Q$1))</f>
        <v>Regional SMT (242007-LE002451)</v>
      </c>
      <c r="C1992" t="s">
        <v>7025</v>
      </c>
    </row>
    <row r="1993" spans="1:3">
      <c r="A1993" t="s">
        <v>7474</v>
      </c>
      <c r="B1993" t="str">
        <f ca="1">IF(ISBLANK(OFFSET(B1993,0,'Field labels'!$Q$1)),C1993,OFFSET(B1993,0,'Field labels'!$Q$1))</f>
        <v>Specialty Asia Accounts (2467200000-LE002451)</v>
      </c>
      <c r="C1993" t="s">
        <v>7175</v>
      </c>
    </row>
    <row r="1994" spans="1:3">
      <c r="A1994" t="s">
        <v>7474</v>
      </c>
      <c r="B1994" t="str">
        <f ca="1">IF(ISBLANK(OFFSET(B1994,0,'Field labels'!$Q$1)),C1994,OFFSET(B1994,0,'Field labels'!$Q$1))</f>
        <v>Specialty Asia C Trade (2465000000-LE002451)</v>
      </c>
      <c r="C1994" t="s">
        <v>7176</v>
      </c>
    </row>
    <row r="1995" spans="1:3">
      <c r="A1995" t="s">
        <v>7474</v>
      </c>
      <c r="B1995" t="str">
        <f ca="1">IF(ISBLANK(OFFSET(B1995,0,'Field labels'!$Q$1)),C1995,OFFSET(B1995,0,'Field labels'!$Q$1))</f>
        <v>Supply Chain (2465500000-LE002451)</v>
      </c>
      <c r="C1995" t="s">
        <v>7200</v>
      </c>
    </row>
    <row r="1996" spans="1:3">
      <c r="A1996" t="s">
        <v>7474</v>
      </c>
      <c r="B1996" t="str">
        <f ca="1">IF(ISBLANK(OFFSET(B1996,0,'Field labels'!$Q$1)),C1996,OFFSET(B1996,0,'Field labels'!$Q$1))</f>
        <v>Technical Application (242008-LE002451)</v>
      </c>
      <c r="C1996" t="s">
        <v>7367</v>
      </c>
    </row>
    <row r="1997" spans="1:3">
      <c r="A1997" t="s">
        <v>7497</v>
      </c>
      <c r="B1997" t="str">
        <f ca="1">IF(ISBLANK(OFFSET(B1997,0,'Field labels'!$Q$1)),C1997,OFFSET(B1997,0,'Field labels'!$Q$1))</f>
        <v>AM Admin (873030-LE002476)</v>
      </c>
      <c r="C1997" t="s">
        <v>5553</v>
      </c>
    </row>
    <row r="1998" spans="1:3">
      <c r="A1998" t="s">
        <v>7497</v>
      </c>
      <c r="B1998" t="str">
        <f ca="1">IF(ISBLANK(OFFSET(B1998,0,'Field labels'!$Q$1)),C1998,OFFSET(B1998,0,'Field labels'!$Q$1))</f>
        <v>BOSC- EHS (873044-LE002476)</v>
      </c>
      <c r="C1998" t="s">
        <v>5618</v>
      </c>
    </row>
    <row r="1999" spans="1:3">
      <c r="A1999" t="s">
        <v>7497</v>
      </c>
      <c r="B1999" t="str">
        <f ca="1">IF(ISBLANK(OFFSET(B1999,0,'Field labels'!$Q$1)),C1999,OFFSET(B1999,0,'Field labels'!$Q$1))</f>
        <v>BOSC-Manufacturing Tech (873045-LE002476)</v>
      </c>
      <c r="C1999" t="s">
        <v>5619</v>
      </c>
    </row>
    <row r="2000" spans="1:3">
      <c r="A2000" t="s">
        <v>7497</v>
      </c>
      <c r="B2000" t="str">
        <f ca="1">IF(ISBLANK(OFFSET(B2000,0,'Field labels'!$Q$1)),C2000,OFFSET(B2000,0,'Field labels'!$Q$1))</f>
        <v>BOSC-Manufacturing Tech (9723810250-LE002476)</v>
      </c>
      <c r="C2000" t="s">
        <v>5620</v>
      </c>
    </row>
    <row r="2001" spans="1:3">
      <c r="A2001" t="s">
        <v>7497</v>
      </c>
      <c r="B2001" t="str">
        <f ca="1">IF(ISBLANK(OFFSET(B2001,0,'Field labels'!$Q$1)),C2001,OFFSET(B2001,0,'Field labels'!$Q$1))</f>
        <v>Channel Costs-Lecithin (9723100250-LE002476)</v>
      </c>
      <c r="C2001" t="s">
        <v>5718</v>
      </c>
    </row>
    <row r="2002" spans="1:3">
      <c r="A2002" t="s">
        <v>7497</v>
      </c>
      <c r="B2002" t="str">
        <f ca="1">IF(ISBLANK(OFFSET(B2002,0,'Field labels'!$Q$1)),C2002,OFFSET(B2002,0,'Field labels'!$Q$1))</f>
        <v>CTL (873046-LE002476)</v>
      </c>
      <c r="C2002" t="s">
        <v>6020</v>
      </c>
    </row>
    <row r="2003" spans="1:3">
      <c r="A2003" t="s">
        <v>7497</v>
      </c>
      <c r="B2003" t="str">
        <f ca="1">IF(ISBLANK(OFFSET(B2003,0,'Field labels'!$Q$1)),C2003,OFFSET(B2003,0,'Field labels'!$Q$1))</f>
        <v>Expatriate Assignment (873062-LE002476)</v>
      </c>
      <c r="C2003" t="s">
        <v>6157</v>
      </c>
    </row>
    <row r="2004" spans="1:3">
      <c r="A2004" t="s">
        <v>7497</v>
      </c>
      <c r="B2004" t="str">
        <f ca="1">IF(ISBLANK(OFFSET(B2004,0,'Field labels'!$Q$1)),C2004,OFFSET(B2004,0,'Field labels'!$Q$1))</f>
        <v>Fin. &amp; Admin-Lecithin (9727200250-LE002476)</v>
      </c>
      <c r="C2004" t="s">
        <v>6199</v>
      </c>
    </row>
    <row r="2005" spans="1:3">
      <c r="A2005" t="s">
        <v>7497</v>
      </c>
      <c r="B2005" t="str">
        <f ca="1">IF(ISBLANK(OFFSET(B2005,0,'Field labels'!$Q$1)),C2005,OFFSET(B2005,0,'Field labels'!$Q$1))</f>
        <v>Finance (873033-LE002476)</v>
      </c>
      <c r="C2005" t="s">
        <v>6202</v>
      </c>
    </row>
    <row r="2006" spans="1:3">
      <c r="A2006" t="s">
        <v>7497</v>
      </c>
      <c r="B2006" t="str">
        <f ca="1">IF(ISBLANK(OFFSET(B2006,0,'Field labels'!$Q$1)),C2006,OFFSET(B2006,0,'Field labels'!$Q$1))</f>
        <v>FK Logisitic (873021-LE002476)</v>
      </c>
      <c r="C2006" t="s">
        <v>6228</v>
      </c>
    </row>
    <row r="2007" spans="1:3">
      <c r="A2007" t="s">
        <v>7497</v>
      </c>
      <c r="B2007" t="str">
        <f ca="1">IF(ISBLANK(OFFSET(B2007,0,'Field labels'!$Q$1)),C2007,OFFSET(B2007,0,'Field labels'!$Q$1))</f>
        <v>FK Marketing (873020-LE002476)</v>
      </c>
      <c r="C2007" t="s">
        <v>6230</v>
      </c>
    </row>
    <row r="2008" spans="1:3">
      <c r="A2008" t="s">
        <v>7497</v>
      </c>
      <c r="B2008" t="str">
        <f ca="1">IF(ISBLANK(OFFSET(B2008,0,'Field labels'!$Q$1)),C2008,OFFSET(B2008,0,'Field labels'!$Q$1))</f>
        <v>FM Refinery EHS (873043-LE002476)</v>
      </c>
      <c r="C2008" t="s">
        <v>6232</v>
      </c>
    </row>
    <row r="2009" spans="1:3">
      <c r="A2009" t="s">
        <v>7497</v>
      </c>
      <c r="B2009" t="str">
        <f ca="1">IF(ISBLANK(OFFSET(B2009,0,'Field labels'!$Q$1)),C2009,OFFSET(B2009,0,'Field labels'!$Q$1))</f>
        <v>FM Refinery LAB (873042-LE002476)</v>
      </c>
      <c r="C2009" t="s">
        <v>6235</v>
      </c>
    </row>
    <row r="2010" spans="1:3">
      <c r="A2010" t="s">
        <v>7497</v>
      </c>
      <c r="B2010" t="str">
        <f ca="1">IF(ISBLANK(OFFSET(B2010,0,'Field labels'!$Q$1)),C2010,OFFSET(B2010,0,'Field labels'!$Q$1))</f>
        <v>FM Refinery Plant (873040-LE002476)</v>
      </c>
      <c r="C2010" t="s">
        <v>6236</v>
      </c>
    </row>
    <row r="2011" spans="1:3">
      <c r="A2011" t="s">
        <v>7497</v>
      </c>
      <c r="B2011" t="str">
        <f ca="1">IF(ISBLANK(OFFSET(B2011,0,'Field labels'!$Q$1)),C2011,OFFSET(B2011,0,'Field labels'!$Q$1))</f>
        <v>FM Refinery-MEIA (873041-LE002476)</v>
      </c>
      <c r="C2011" t="s">
        <v>6238</v>
      </c>
    </row>
    <row r="2012" spans="1:3">
      <c r="A2012" t="s">
        <v>7497</v>
      </c>
      <c r="B2012" t="str">
        <f ca="1">IF(ISBLANK(OFFSET(B2012,0,'Field labels'!$Q$1)),C2012,OFFSET(B2012,0,'Field labels'!$Q$1))</f>
        <v>GHRO (959031-LE002476)</v>
      </c>
      <c r="C2012" t="s">
        <v>6466</v>
      </c>
    </row>
    <row r="2013" spans="1:3">
      <c r="A2013" t="s">
        <v>7497</v>
      </c>
      <c r="B2013" t="str">
        <f ca="1">IF(ISBLANK(OFFSET(B2013,0,'Field labels'!$Q$1)),C2013,OFFSET(B2013,0,'Field labels'!$Q$1))</f>
        <v>Production Overhead (9723800250-LE002476)</v>
      </c>
      <c r="C2013" t="s">
        <v>6918</v>
      </c>
    </row>
    <row r="2014" spans="1:3">
      <c r="A2014" t="s">
        <v>7497</v>
      </c>
      <c r="B2014" t="str">
        <f ca="1">IF(ISBLANK(OFFSET(B2014,0,'Field labels'!$Q$1)),C2014,OFFSET(B2014,0,'Field labels'!$Q$1))</f>
        <v>project team (873060-LE002476)</v>
      </c>
      <c r="C2014" t="s">
        <v>6952</v>
      </c>
    </row>
    <row r="2015" spans="1:3">
      <c r="A2015" t="s">
        <v>7497</v>
      </c>
      <c r="B2015" t="str">
        <f ca="1">IF(ISBLANK(OFFSET(B2015,0,'Field labels'!$Q$1)),C2015,OFFSET(B2015,0,'Field labels'!$Q$1))</f>
        <v>QC-Lecithin (9723500250-LE002476)</v>
      </c>
      <c r="C2015" t="s">
        <v>7000</v>
      </c>
    </row>
    <row r="2016" spans="1:3">
      <c r="A2016" t="s">
        <v>7497</v>
      </c>
      <c r="B2016" t="str">
        <f ca="1">IF(ISBLANK(OFFSET(B2016,0,'Field labels'!$Q$1)),C2016,OFFSET(B2016,0,'Field labels'!$Q$1))</f>
        <v>Supply chain-Lecithin (9725500250-LE002476)</v>
      </c>
      <c r="C2016" t="s">
        <v>7209</v>
      </c>
    </row>
    <row r="2017" spans="1:3">
      <c r="A2017" t="s">
        <v>7543</v>
      </c>
      <c r="B2017" t="str">
        <f ca="1">IF(ISBLANK(OFFSET(B2017,0,'Field labels'!$Q$1)),C2017,OFFSET(B2017,0,'Field labels'!$Q$1))</f>
        <v>Functional CFN Jilin (837812-LE002478)</v>
      </c>
      <c r="C2017" t="s">
        <v>6396</v>
      </c>
    </row>
    <row r="2018" spans="1:3">
      <c r="A2018" t="s">
        <v>7543</v>
      </c>
      <c r="B2018" t="str">
        <f ca="1">IF(ISBLANK(OFFSET(B2018,0,'Field labels'!$Q$1)),C2018,OFFSET(B2018,0,'Field labels'!$Q$1))</f>
        <v>Jilin Hog (837109-LE002478)</v>
      </c>
      <c r="C2018" t="s">
        <v>6626</v>
      </c>
    </row>
    <row r="2019" spans="1:3">
      <c r="A2019" t="s">
        <v>7543</v>
      </c>
      <c r="B2019" t="str">
        <f ca="1">IF(ISBLANK(OFFSET(B2019,0,'Field labels'!$Q$1)),C2019,OFFSET(B2019,0,'Field labels'!$Q$1))</f>
        <v>JiLin Plant (837007-LE002478)</v>
      </c>
      <c r="C2019" t="s">
        <v>6627</v>
      </c>
    </row>
    <row r="2020" spans="1:3">
      <c r="A2020" t="s">
        <v>7543</v>
      </c>
      <c r="B2020" t="str">
        <f ca="1">IF(ISBLANK(OFFSET(B2020,0,'Field labels'!$Q$1)),C2020,OFFSET(B2020,0,'Field labels'!$Q$1))</f>
        <v>Jilin Ruminant (837209-LE002478)</v>
      </c>
      <c r="C2020" t="s">
        <v>6628</v>
      </c>
    </row>
    <row r="2021" spans="1:3">
      <c r="A2021" t="s">
        <v>7516</v>
      </c>
      <c r="B2021" t="str">
        <f ca="1">IF(ISBLANK(OFFSET(B2021,0,'Field labels'!$Q$1)),C2021,OFFSET(B2021,0,'Field labels'!$Q$1))</f>
        <v>COGS-BOSC (874045-LE002558)</v>
      </c>
      <c r="C2021" t="s">
        <v>5899</v>
      </c>
    </row>
    <row r="2022" spans="1:3">
      <c r="A2022" t="s">
        <v>7516</v>
      </c>
      <c r="B2022" t="str">
        <f ca="1">IF(ISBLANK(OFFSET(B2022,0,'Field labels'!$Q$1)),C2022,OFFSET(B2022,0,'Field labels'!$Q$1))</f>
        <v>CTL-Freight Forwarding (874024-LE002558)</v>
      </c>
      <c r="C2022" t="s">
        <v>6023</v>
      </c>
    </row>
    <row r="2023" spans="1:3">
      <c r="A2023" t="s">
        <v>7516</v>
      </c>
      <c r="B2023" t="str">
        <f ca="1">IF(ISBLANK(OFFSET(B2023,0,'Field labels'!$Q$1)),C2023,OFFSET(B2023,0,'Field labels'!$Q$1))</f>
        <v>CTL-Shipment Execution (874023-LE002558)</v>
      </c>
      <c r="C2023" t="s">
        <v>6024</v>
      </c>
    </row>
    <row r="2024" spans="1:3">
      <c r="A2024" t="s">
        <v>7516</v>
      </c>
      <c r="B2024" t="str">
        <f ca="1">IF(ISBLANK(OFFSET(B2024,0,'Field labels'!$Q$1)),C2024,OFFSET(B2024,0,'Field labels'!$Q$1))</f>
        <v>EHS (874044-LE002558)</v>
      </c>
      <c r="C2024" t="s">
        <v>6132</v>
      </c>
    </row>
    <row r="2025" spans="1:3">
      <c r="A2025" t="s">
        <v>7516</v>
      </c>
      <c r="B2025" t="str">
        <f ca="1">IF(ISBLANK(OFFSET(B2025,0,'Field labels'!$Q$1)),C2025,OFFSET(B2025,0,'Field labels'!$Q$1))</f>
        <v>Finance - OTSC (874034-LE002558)</v>
      </c>
      <c r="C2025" t="s">
        <v>6203</v>
      </c>
    </row>
    <row r="2026" spans="1:3">
      <c r="A2026" t="s">
        <v>7516</v>
      </c>
      <c r="B2026" t="str">
        <f ca="1">IF(ISBLANK(OFFSET(B2026,0,'Field labels'!$Q$1)),C2026,OFFSET(B2026,0,'Field labels'!$Q$1))</f>
        <v>Finance – Procure to pay (874035-LE002558)</v>
      </c>
      <c r="C2026" t="s">
        <v>6204</v>
      </c>
    </row>
    <row r="2027" spans="1:3">
      <c r="A2027" t="s">
        <v>7516</v>
      </c>
      <c r="B2027" t="str">
        <f ca="1">IF(ISBLANK(OFFSET(B2027,0,'Field labels'!$Q$1)),C2027,OFFSET(B2027,0,'Field labels'!$Q$1))</f>
        <v>G&amp;A expenses (874031-LE002558)</v>
      </c>
      <c r="C2027" t="s">
        <v>6425</v>
      </c>
    </row>
    <row r="2028" spans="1:3">
      <c r="A2028" t="s">
        <v>7516</v>
      </c>
      <c r="B2028" t="str">
        <f ca="1">IF(ISBLANK(OFFSET(B2028,0,'Field labels'!$Q$1)),C2028,OFFSET(B2028,0,'Field labels'!$Q$1))</f>
        <v>HR (874032-LE002558)</v>
      </c>
      <c r="C2028" t="s">
        <v>6561</v>
      </c>
    </row>
    <row r="2029" spans="1:3">
      <c r="A2029" t="s">
        <v>7516</v>
      </c>
      <c r="B2029" t="str">
        <f ca="1">IF(ISBLANK(OFFSET(B2029,0,'Field labels'!$Q$1)),C2029,OFFSET(B2029,0,'Field labels'!$Q$1))</f>
        <v>Logistics (874021-LE002558)</v>
      </c>
      <c r="C2029" t="s">
        <v>6677</v>
      </c>
    </row>
    <row r="2030" spans="1:3">
      <c r="A2030" t="s">
        <v>7516</v>
      </c>
      <c r="B2030" t="str">
        <f ca="1">IF(ISBLANK(OFFSET(B2030,0,'Field labels'!$Q$1)),C2030,OFFSET(B2030,0,'Field labels'!$Q$1))</f>
        <v>Maintenance (874041-LE002558)</v>
      </c>
      <c r="C2030" t="s">
        <v>6693</v>
      </c>
    </row>
    <row r="2031" spans="1:3">
      <c r="A2031" t="s">
        <v>7516</v>
      </c>
      <c r="B2031" t="str">
        <f ca="1">IF(ISBLANK(OFFSET(B2031,0,'Field labels'!$Q$1)),C2031,OFFSET(B2031,0,'Field labels'!$Q$1))</f>
        <v>Operator (direct) (874043-LE002558)</v>
      </c>
      <c r="C2031" t="s">
        <v>6777</v>
      </c>
    </row>
    <row r="2032" spans="1:3">
      <c r="A2032" t="s">
        <v>7516</v>
      </c>
      <c r="B2032" t="str">
        <f ca="1">IF(ISBLANK(OFFSET(B2032,0,'Field labels'!$Q$1)),C2032,OFFSET(B2032,0,'Field labels'!$Q$1))</f>
        <v>PH1 - Production (874040-LE002558)</v>
      </c>
      <c r="C2032" t="s">
        <v>6835</v>
      </c>
    </row>
    <row r="2033" spans="1:3">
      <c r="A2033" t="s">
        <v>7516</v>
      </c>
      <c r="B2033" t="str">
        <f ca="1">IF(ISBLANK(OFFSET(B2033,0,'Field labels'!$Q$1)),C2033,OFFSET(B2033,0,'Field labels'!$Q$1))</f>
        <v>PH1 - QA (874042-LE002558)</v>
      </c>
      <c r="C2033" t="s">
        <v>6836</v>
      </c>
    </row>
    <row r="2034" spans="1:3">
      <c r="A2034" t="s">
        <v>7516</v>
      </c>
      <c r="B2034" t="str">
        <f ca="1">IF(ISBLANK(OFFSET(B2034,0,'Field labels'!$Q$1)),C2034,OFFSET(B2034,0,'Field labels'!$Q$1))</f>
        <v>PH1 - Sales &amp; Logistics (874020-LE002558)</v>
      </c>
      <c r="C2034" t="s">
        <v>6837</v>
      </c>
    </row>
    <row r="2035" spans="1:3">
      <c r="A2035" t="s">
        <v>7516</v>
      </c>
      <c r="B2035" t="str">
        <f ca="1">IF(ISBLANK(OFFSET(B2035,0,'Field labels'!$Q$1)),C2035,OFFSET(B2035,0,'Field labels'!$Q$1))</f>
        <v>PH2 - G&amp;A (874030-LE002558)</v>
      </c>
      <c r="C2035" t="s">
        <v>6838</v>
      </c>
    </row>
    <row r="2036" spans="1:3">
      <c r="A2036" t="s">
        <v>7516</v>
      </c>
      <c r="B2036" t="str">
        <f ca="1">IF(ISBLANK(OFFSET(B2036,0,'Field labels'!$Q$1)),C2036,OFFSET(B2036,0,'Field labels'!$Q$1))</f>
        <v>Procurement (874048-LE002558)</v>
      </c>
      <c r="C2036" t="s">
        <v>6896</v>
      </c>
    </row>
    <row r="2037" spans="1:3">
      <c r="A2037" t="s">
        <v>7516</v>
      </c>
      <c r="B2037" t="str">
        <f ca="1">IF(ISBLANK(OFFSET(B2037,0,'Field labels'!$Q$1)),C2037,OFFSET(B2037,0,'Field labels'!$Q$1))</f>
        <v>SSC PH - Selling exp (874029-LE002558)</v>
      </c>
      <c r="C2037" t="s">
        <v>7184</v>
      </c>
    </row>
    <row r="2038" spans="1:3">
      <c r="A2038" t="s">
        <v>7553</v>
      </c>
      <c r="B2038" t="str">
        <f ca="1">IF(ISBLANK(OFFSET(B2038,0,'Field labels'!$Q$1)),C2038,OFFSET(B2038,0,'Field labels'!$Q$1))</f>
        <v>HR/Admin (988040-LE002570)</v>
      </c>
      <c r="C2038" t="s">
        <v>6578</v>
      </c>
    </row>
    <row r="2039" spans="1:3">
      <c r="A2039" t="s">
        <v>7553</v>
      </c>
      <c r="B2039" t="str">
        <f ca="1">IF(ISBLANK(OFFSET(B2039,0,'Field labels'!$Q$1)),C2039,OFFSET(B2039,0,'Field labels'!$Q$1))</f>
        <v>Maintenance (988033-LE002570)</v>
      </c>
      <c r="C2039" t="s">
        <v>6694</v>
      </c>
    </row>
    <row r="2040" spans="1:3">
      <c r="A2040" t="s">
        <v>7553</v>
      </c>
      <c r="B2040" t="str">
        <f ca="1">IF(ISBLANK(OFFSET(B2040,0,'Field labels'!$Q$1)),C2040,OFFSET(B2040,0,'Field labels'!$Q$1))</f>
        <v>Operation (988030-LE002570)</v>
      </c>
      <c r="C2040" t="s">
        <v>6771</v>
      </c>
    </row>
    <row r="2041" spans="1:3">
      <c r="A2041" t="s">
        <v>7553</v>
      </c>
      <c r="B2041" t="str">
        <f ca="1">IF(ISBLANK(OFFSET(B2041,0,'Field labels'!$Q$1)),C2041,OFFSET(B2041,0,'Field labels'!$Q$1))</f>
        <v>Plan (988031-LE002570)</v>
      </c>
      <c r="C2041" t="s">
        <v>6840</v>
      </c>
    </row>
    <row r="2042" spans="1:3">
      <c r="A2042" t="s">
        <v>7553</v>
      </c>
      <c r="B2042" t="str">
        <f ca="1">IF(ISBLANK(OFFSET(B2042,0,'Field labels'!$Q$1)),C2042,OFFSET(B2042,0,'Field labels'!$Q$1))</f>
        <v>Production-EHS (988034-LE002570)</v>
      </c>
      <c r="C2042" t="s">
        <v>6941</v>
      </c>
    </row>
    <row r="2043" spans="1:3">
      <c r="A2043" t="s">
        <v>7553</v>
      </c>
      <c r="B2043" t="str">
        <f ca="1">IF(ISBLANK(OFFSET(B2043,0,'Field labels'!$Q$1)),C2043,OFFSET(B2043,0,'Field labels'!$Q$1))</f>
        <v>Sale (988020-LE002570)</v>
      </c>
      <c r="C2043" t="s">
        <v>7061</v>
      </c>
    </row>
    <row r="2044" spans="1:3">
      <c r="A2044" t="s">
        <v>7553</v>
      </c>
      <c r="B2044" t="str">
        <f ca="1">IF(ISBLANK(OFFSET(B2044,0,'Field labels'!$Q$1)),C2044,OFFSET(B2044,0,'Field labels'!$Q$1))</f>
        <v>Scale (988072-LE002570)</v>
      </c>
      <c r="C2044" t="s">
        <v>7097</v>
      </c>
    </row>
    <row r="2045" spans="1:3">
      <c r="A2045" t="s">
        <v>7553</v>
      </c>
      <c r="B2045" t="str">
        <f ca="1">IF(ISBLANK(OFFSET(B2045,0,'Field labels'!$Q$1)),C2045,OFFSET(B2045,0,'Field labels'!$Q$1))</f>
        <v>Security (988071-LE002570)</v>
      </c>
      <c r="C2045" t="s">
        <v>7109</v>
      </c>
    </row>
    <row r="2046" spans="1:3">
      <c r="A2046" t="s">
        <v>7553</v>
      </c>
      <c r="B2046" t="str">
        <f ca="1">IF(ISBLANK(OFFSET(B2046,0,'Field labels'!$Q$1)),C2046,OFFSET(B2046,0,'Field labels'!$Q$1))</f>
        <v>Storage (988032-LE002570)</v>
      </c>
      <c r="C2046" t="s">
        <v>7190</v>
      </c>
    </row>
    <row r="2047" spans="1:3">
      <c r="A2047" t="s">
        <v>7541</v>
      </c>
      <c r="B2047" t="str">
        <f ca="1">IF(ISBLANK(OFFSET(B2047,0,'Field labels'!$Q$1)),C2047,OFFSET(B2047,0,'Field labels'!$Q$1))</f>
        <v>Functional – CFN LangFang (820812-LE002590)</v>
      </c>
      <c r="C2047" t="s">
        <v>6391</v>
      </c>
    </row>
    <row r="2048" spans="1:3">
      <c r="A2048" t="s">
        <v>7541</v>
      </c>
      <c r="B2048" t="str">
        <f ca="1">IF(ISBLANK(OFFSET(B2048,0,'Field labels'!$Q$1)),C2048,OFFSET(B2048,0,'Field labels'!$Q$1))</f>
        <v>Functional CFN Shanxi (822812-LE002590)</v>
      </c>
      <c r="C2048" t="s">
        <v>6397</v>
      </c>
    </row>
    <row r="2049" spans="1:3">
      <c r="A2049" t="s">
        <v>7541</v>
      </c>
      <c r="B2049" t="str">
        <f ca="1">IF(ISBLANK(OFFSET(B2049,0,'Field labels'!$Q$1)),C2049,OFFSET(B2049,0,'Field labels'!$Q$1))</f>
        <v>Functional CFN ShijiaZhuang (929812-LE002590)</v>
      </c>
      <c r="C2049" t="s">
        <v>6398</v>
      </c>
    </row>
    <row r="2050" spans="1:3">
      <c r="A2050" t="s">
        <v>7541</v>
      </c>
      <c r="B2050" t="str">
        <f ca="1">IF(ISBLANK(OFFSET(B2050,0,'Field labels'!$Q$1)),C2050,OFFSET(B2050,0,'Field labels'!$Q$1))</f>
        <v>Lang Fang central Lab (820107-LE002590)</v>
      </c>
      <c r="C2050" t="s">
        <v>6646</v>
      </c>
    </row>
    <row r="2051" spans="1:3">
      <c r="A2051" t="s">
        <v>7541</v>
      </c>
      <c r="B2051" t="str">
        <f ca="1">IF(ISBLANK(OFFSET(B2051,0,'Field labels'!$Q$1)),C2051,OFFSET(B2051,0,'Field labels'!$Q$1))</f>
        <v>LangFang Hog (820109-LE002590)</v>
      </c>
      <c r="C2051" t="s">
        <v>6647</v>
      </c>
    </row>
    <row r="2052" spans="1:3">
      <c r="A2052" t="s">
        <v>7541</v>
      </c>
      <c r="B2052" t="str">
        <f ca="1">IF(ISBLANK(OFFSET(B2052,0,'Field labels'!$Q$1)),C2052,OFFSET(B2052,0,'Field labels'!$Q$1))</f>
        <v>LangFang Ruminant (820209-LE002590)</v>
      </c>
      <c r="C2052" t="s">
        <v>6648</v>
      </c>
    </row>
    <row r="2053" spans="1:3">
      <c r="A2053" t="s">
        <v>7541</v>
      </c>
      <c r="B2053" t="str">
        <f ca="1">IF(ISBLANK(OFFSET(B2053,0,'Field labels'!$Q$1)),C2053,OFFSET(B2053,0,'Field labels'!$Q$1))</f>
        <v>Production / Engineering (820007-LE002590)</v>
      </c>
      <c r="C2053" t="s">
        <v>6909</v>
      </c>
    </row>
    <row r="2054" spans="1:3">
      <c r="A2054" t="s">
        <v>7541</v>
      </c>
      <c r="B2054" t="str">
        <f ca="1">IF(ISBLANK(OFFSET(B2054,0,'Field labels'!$Q$1)),C2054,OFFSET(B2054,0,'Field labels'!$Q$1))</f>
        <v>Production / Engineering (822007-LE002590)</v>
      </c>
      <c r="C2054" t="s">
        <v>6910</v>
      </c>
    </row>
    <row r="2055" spans="1:3">
      <c r="A2055" t="s">
        <v>7541</v>
      </c>
      <c r="B2055" t="str">
        <f ca="1">IF(ISBLANK(OFFSET(B2055,0,'Field labels'!$Q$1)),C2055,OFFSET(B2055,0,'Field labels'!$Q$1))</f>
        <v>ShanXi Hog (822109-LE002590)</v>
      </c>
      <c r="C2055" t="s">
        <v>7133</v>
      </c>
    </row>
    <row r="2056" spans="1:3">
      <c r="A2056" t="s">
        <v>7541</v>
      </c>
      <c r="B2056" t="str">
        <f ca="1">IF(ISBLANK(OFFSET(B2056,0,'Field labels'!$Q$1)),C2056,OFFSET(B2056,0,'Field labels'!$Q$1))</f>
        <v>ShanXi Ruminant (822209-LE002590)</v>
      </c>
      <c r="C2056" t="s">
        <v>7134</v>
      </c>
    </row>
    <row r="2057" spans="1:3">
      <c r="A2057" t="s">
        <v>7541</v>
      </c>
      <c r="B2057" t="str">
        <f ca="1">IF(ISBLANK(OFFSET(B2057,0,'Field labels'!$Q$1)),C2057,OFFSET(B2057,0,'Field labels'!$Q$1))</f>
        <v>ShiJiaZhuang Hog (929109-LE002590)</v>
      </c>
      <c r="C2057" t="s">
        <v>7140</v>
      </c>
    </row>
    <row r="2058" spans="1:3">
      <c r="A2058" t="s">
        <v>7541</v>
      </c>
      <c r="B2058" t="str">
        <f ca="1">IF(ISBLANK(OFFSET(B2058,0,'Field labels'!$Q$1)),C2058,OFFSET(B2058,0,'Field labels'!$Q$1))</f>
        <v>ShiJiaZhuang Ruminant (929209-LE002590)</v>
      </c>
      <c r="C2058" t="s">
        <v>7141</v>
      </c>
    </row>
    <row r="2059" spans="1:3">
      <c r="A2059" t="s">
        <v>7541</v>
      </c>
      <c r="B2059" t="str">
        <f ca="1">IF(ISBLANK(OFFSET(B2059,0,'Field labels'!$Q$1)),C2059,OFFSET(B2059,0,'Field labels'!$Q$1))</f>
        <v>TAC Project (360011-LE002590)</v>
      </c>
      <c r="C2059" t="s">
        <v>7353</v>
      </c>
    </row>
    <row r="2060" spans="1:3">
      <c r="A2060" t="s">
        <v>7547</v>
      </c>
      <c r="B2060" t="str">
        <f ca="1">IF(ISBLANK(OFFSET(B2060,0,'Field labels'!$Q$1)),C2060,OFFSET(B2060,0,'Field labels'!$Q$1))</f>
        <v>Functional-CFN Shaanxi (990812-LE002641)</v>
      </c>
      <c r="C2060" t="s">
        <v>6408</v>
      </c>
    </row>
    <row r="2061" spans="1:3">
      <c r="A2061" t="s">
        <v>7547</v>
      </c>
      <c r="B2061" t="str">
        <f ca="1">IF(ISBLANK(OFFSET(B2061,0,'Field labels'!$Q$1)),C2061,OFFSET(B2061,0,'Field labels'!$Q$1))</f>
        <v>Shaanxi Hog (990109-LE002641)</v>
      </c>
      <c r="C2061" t="s">
        <v>7129</v>
      </c>
    </row>
    <row r="2062" spans="1:3">
      <c r="A2062" t="s">
        <v>7547</v>
      </c>
      <c r="B2062" t="str">
        <f ca="1">IF(ISBLANK(OFFSET(B2062,0,'Field labels'!$Q$1)),C2062,OFFSET(B2062,0,'Field labels'!$Q$1))</f>
        <v>ShaanXi Plant (990007-LE002641)</v>
      </c>
      <c r="C2062" t="s">
        <v>7130</v>
      </c>
    </row>
    <row r="2063" spans="1:3">
      <c r="A2063" t="s">
        <v>7547</v>
      </c>
      <c r="B2063" t="str">
        <f ca="1">IF(ISBLANK(OFFSET(B2063,0,'Field labels'!$Q$1)),C2063,OFFSET(B2063,0,'Field labels'!$Q$1))</f>
        <v>Shaanxi Ruminant (990209-LE002641)</v>
      </c>
      <c r="C2063" t="s">
        <v>7131</v>
      </c>
    </row>
    <row r="2064" spans="1:3">
      <c r="A2064" t="s">
        <v>7500</v>
      </c>
      <c r="B2064" t="str">
        <f ca="1">IF(ISBLANK(OFFSET(B2064,0,'Field labels'!$Q$1)),C2064,OFFSET(B2064,0,'Field labels'!$Q$1))</f>
        <v>AQUA (507209-LE002648)</v>
      </c>
      <c r="C2064" t="s">
        <v>5563</v>
      </c>
    </row>
    <row r="2065" spans="1:3">
      <c r="A2065" t="s">
        <v>7500</v>
      </c>
      <c r="B2065" t="str">
        <f ca="1">IF(ISBLANK(OFFSET(B2065,0,'Field labels'!$Q$1)),C2065,OFFSET(B2065,0,'Field labels'!$Q$1))</f>
        <v>CAN SMT GAT (507719-LE002648)</v>
      </c>
      <c r="C2065" t="s">
        <v>5657</v>
      </c>
    </row>
    <row r="2066" spans="1:3">
      <c r="A2066" t="s">
        <v>7500</v>
      </c>
      <c r="B2066" t="str">
        <f ca="1">IF(ISBLANK(OFFSET(B2066,0,'Field labels'!$Q$1)),C2066,OFFSET(B2066,0,'Field labels'!$Q$1))</f>
        <v>CPN Admin (507012-LE002648)</v>
      </c>
      <c r="C2066" t="s">
        <v>5954</v>
      </c>
    </row>
    <row r="2067" spans="1:3">
      <c r="A2067" t="s">
        <v>7500</v>
      </c>
      <c r="B2067" t="str">
        <f ca="1">IF(ISBLANK(OFFSET(B2067,0,'Field labels'!$Q$1)),C2067,OFFSET(B2067,0,'Field labels'!$Q$1))</f>
        <v>FEEDMILL 2 (507409-LE002648)</v>
      </c>
      <c r="C2067" t="s">
        <v>6179</v>
      </c>
    </row>
    <row r="2068" spans="1:3">
      <c r="A2068" t="s">
        <v>7500</v>
      </c>
      <c r="B2068" t="str">
        <f ca="1">IF(ISBLANK(OFFSET(B2068,0,'Field labels'!$Q$1)),C2068,OFFSET(B2068,0,'Field labels'!$Q$1))</f>
        <v>Formulation/ Technical (507109-LE002648)</v>
      </c>
      <c r="C2068" t="s">
        <v>6242</v>
      </c>
    </row>
    <row r="2069" spans="1:3">
      <c r="A2069" t="s">
        <v>7500</v>
      </c>
      <c r="B2069" t="str">
        <f ca="1">IF(ISBLANK(OFFSET(B2069,0,'Field labels'!$Q$1)),C2069,OFFSET(B2069,0,'Field labels'!$Q$1))</f>
        <v>HR (507312-LE002648)</v>
      </c>
      <c r="C2069" t="s">
        <v>6564</v>
      </c>
    </row>
    <row r="2070" spans="1:3">
      <c r="A2070" t="s">
        <v>7500</v>
      </c>
      <c r="B2070" t="str">
        <f ca="1">IF(ISBLANK(OFFSET(B2070,0,'Field labels'!$Q$1)),C2070,OFFSET(B2070,0,'Field labels'!$Q$1))</f>
        <v>LAB (507709-LE002648)</v>
      </c>
      <c r="C2070" t="s">
        <v>6644</v>
      </c>
    </row>
    <row r="2071" spans="1:3">
      <c r="A2071" t="s">
        <v>7500</v>
      </c>
      <c r="B2071" t="str">
        <f ca="1">IF(ISBLANK(OFFSET(B2071,0,'Field labels'!$Q$1)),C2071,OFFSET(B2071,0,'Field labels'!$Q$1))</f>
        <v>Maintenance (507307-LE002648)</v>
      </c>
      <c r="C2071" t="s">
        <v>6692</v>
      </c>
    </row>
    <row r="2072" spans="1:3">
      <c r="A2072" t="s">
        <v>7500</v>
      </c>
      <c r="B2072" t="str">
        <f ca="1">IF(ISBLANK(OFFSET(B2072,0,'Field labels'!$Q$1)),C2072,OFFSET(B2072,0,'Field labels'!$Q$1))</f>
        <v>Management (507212-LE002648)</v>
      </c>
      <c r="C2072" t="s">
        <v>6704</v>
      </c>
    </row>
    <row r="2073" spans="1:3">
      <c r="A2073" t="s">
        <v>7500</v>
      </c>
      <c r="B2073" t="str">
        <f ca="1">IF(ISBLANK(OFFSET(B2073,0,'Field labels'!$Q$1)),C2073,OFFSET(B2073,0,'Field labels'!$Q$1))</f>
        <v>Marketing/ Registration (507809-LE002648)</v>
      </c>
      <c r="C2073" t="s">
        <v>6715</v>
      </c>
    </row>
    <row r="2074" spans="1:3">
      <c r="A2074" t="s">
        <v>7500</v>
      </c>
      <c r="B2074" t="str">
        <f ca="1">IF(ISBLANK(OFFSET(B2074,0,'Field labels'!$Q$1)),C2074,OFFSET(B2074,0,'Field labels'!$Q$1))</f>
        <v>Overhead Production (507107-LE002648)</v>
      </c>
      <c r="C2074" t="s">
        <v>6799</v>
      </c>
    </row>
    <row r="2075" spans="1:3">
      <c r="A2075" t="s">
        <v>7500</v>
      </c>
      <c r="B2075" t="str">
        <f ca="1">IF(ISBLANK(OFFSET(B2075,0,'Field labels'!$Q$1)),C2075,OFFSET(B2075,0,'Field labels'!$Q$1))</f>
        <v>Product Registration (507612-LE002648)</v>
      </c>
      <c r="C2075" t="s">
        <v>6904</v>
      </c>
    </row>
    <row r="2076" spans="1:3">
      <c r="A2076" t="s">
        <v>7500</v>
      </c>
      <c r="B2076" t="str">
        <f ca="1">IF(ISBLANK(OFFSET(B2076,0,'Field labels'!$Q$1)),C2076,OFFSET(B2076,0,'Field labels'!$Q$1))</f>
        <v>QA/QC (507207-LE002648)</v>
      </c>
      <c r="C2076" t="s">
        <v>6995</v>
      </c>
    </row>
    <row r="2077" spans="1:3">
      <c r="A2077" t="s">
        <v>7500</v>
      </c>
      <c r="B2077" t="str">
        <f ca="1">IF(ISBLANK(OFFSET(B2077,0,'Field labels'!$Q$1)),C2077,OFFSET(B2077,0,'Field labels'!$Q$1))</f>
        <v>Recharge - Global SMT (507729-LE002648)</v>
      </c>
      <c r="C2077" t="s">
        <v>7015</v>
      </c>
    </row>
    <row r="2078" spans="1:3">
      <c r="A2078" t="s">
        <v>7500</v>
      </c>
      <c r="B2078" t="str">
        <f ca="1">IF(ISBLANK(OFFSET(B2078,0,'Field labels'!$Q$1)),C2078,OFFSET(B2078,0,'Field labels'!$Q$1))</f>
        <v>RMS (507407-LE002648)</v>
      </c>
      <c r="C2078" t="s">
        <v>7030</v>
      </c>
    </row>
    <row r="2079" spans="1:3">
      <c r="A2079" t="s">
        <v>7500</v>
      </c>
      <c r="B2079" t="str">
        <f ca="1">IF(ISBLANK(OFFSET(B2079,0,'Field labels'!$Q$1)),C2079,OFFSET(B2079,0,'Field labels'!$Q$1))</f>
        <v>VETSHOP (507509-LE002648)</v>
      </c>
      <c r="C2079" t="s">
        <v>7404</v>
      </c>
    </row>
    <row r="2080" spans="1:3">
      <c r="A2080" t="s">
        <v>7507</v>
      </c>
      <c r="B2080" t="str">
        <f ca="1">IF(ISBLANK(OFFSET(B2080,0,'Field labels'!$Q$1)),C2080,OFFSET(B2080,0,'Field labels'!$Q$1))</f>
        <v>Butterworth Admin (261312-LE002682)</v>
      </c>
      <c r="C2080" t="s">
        <v>5640</v>
      </c>
    </row>
    <row r="2081" spans="1:3">
      <c r="A2081" t="s">
        <v>7507</v>
      </c>
      <c r="B2081" t="str">
        <f ca="1">IF(ISBLANK(OFFSET(B2081,0,'Field labels'!$Q$1)),C2081,OFFSET(B2081,0,'Field labels'!$Q$1))</f>
        <v>Butterworth Plant (261007-LE002682)</v>
      </c>
      <c r="C2081" t="s">
        <v>5641</v>
      </c>
    </row>
    <row r="2082" spans="1:3">
      <c r="A2082" t="s">
        <v>7507</v>
      </c>
      <c r="B2082" t="str">
        <f ca="1">IF(ISBLANK(OFFSET(B2082,0,'Field labels'!$Q$1)),C2082,OFFSET(B2082,0,'Field labels'!$Q$1))</f>
        <v>Melaka Admin (260312-LE002682)</v>
      </c>
      <c r="C2082" t="s">
        <v>6729</v>
      </c>
    </row>
    <row r="2083" spans="1:3">
      <c r="A2083" t="s">
        <v>7507</v>
      </c>
      <c r="B2083" t="str">
        <f ca="1">IF(ISBLANK(OFFSET(B2083,0,'Field labels'!$Q$1)),C2083,OFFSET(B2083,0,'Field labels'!$Q$1))</f>
        <v>Melaka Plant (260007-LE002682)</v>
      </c>
      <c r="C2083" t="s">
        <v>6730</v>
      </c>
    </row>
    <row r="2084" spans="1:3">
      <c r="A2084" t="s">
        <v>7507</v>
      </c>
      <c r="B2084" t="str">
        <f ca="1">IF(ISBLANK(OFFSET(B2084,0,'Field labels'!$Q$1)),C2084,OFFSET(B2084,0,'Field labels'!$Q$1))</f>
        <v>Mktg - Aqua (241009-LE002682)</v>
      </c>
      <c r="C2084" t="s">
        <v>6741</v>
      </c>
    </row>
    <row r="2085" spans="1:3">
      <c r="A2085" t="s">
        <v>7507</v>
      </c>
      <c r="B2085" t="str">
        <f ca="1">IF(ISBLANK(OFFSET(B2085,0,'Field labels'!$Q$1)),C2085,OFFSET(B2085,0,'Field labels'!$Q$1))</f>
        <v>Total Quality Management (262412-LE002682)</v>
      </c>
      <c r="C2085" t="s">
        <v>7378</v>
      </c>
    </row>
    <row r="2086" spans="1:3">
      <c r="A2086" t="s">
        <v>7507</v>
      </c>
      <c r="B2086" t="str">
        <f ca="1">IF(ISBLANK(OFFSET(B2086,0,'Field labels'!$Q$1)),C2086,OFFSET(B2086,0,'Field labels'!$Q$1))</f>
        <v>Westport Admin (262312-LE002682)</v>
      </c>
      <c r="C2086" t="s">
        <v>7430</v>
      </c>
    </row>
    <row r="2087" spans="1:3">
      <c r="A2087" t="s">
        <v>7507</v>
      </c>
      <c r="B2087" t="str">
        <f ca="1">IF(ISBLANK(OFFSET(B2087,0,'Field labels'!$Q$1)),C2087,OFFSET(B2087,0,'Field labels'!$Q$1))</f>
        <v>Westport Baxter (262509-LE002682)</v>
      </c>
      <c r="C2087" t="s">
        <v>7431</v>
      </c>
    </row>
    <row r="2088" spans="1:3">
      <c r="A2088" t="s">
        <v>7507</v>
      </c>
      <c r="B2088" t="str">
        <f ca="1">IF(ISBLANK(OFFSET(B2088,0,'Field labels'!$Q$1)),C2088,OFFSET(B2088,0,'Field labels'!$Q$1))</f>
        <v>Westport Finance (262112-LE002682)</v>
      </c>
      <c r="C2088" t="s">
        <v>7432</v>
      </c>
    </row>
    <row r="2089" spans="1:3">
      <c r="A2089" t="s">
        <v>7507</v>
      </c>
      <c r="B2089" t="str">
        <f ca="1">IF(ISBLANK(OFFSET(B2089,0,'Field labels'!$Q$1)),C2089,OFFSET(B2089,0,'Field labels'!$Q$1))</f>
        <v>Westport Plant (262007-LE002682)</v>
      </c>
      <c r="C2089" t="s">
        <v>7433</v>
      </c>
    </row>
    <row r="2090" spans="1:3">
      <c r="A2090" t="s">
        <v>7507</v>
      </c>
      <c r="B2090" t="str">
        <f ca="1">IF(ISBLANK(OFFSET(B2090,0,'Field labels'!$Q$1)),C2090,OFFSET(B2090,0,'Field labels'!$Q$1))</f>
        <v>Westport Plant Central (262512-LE002682)</v>
      </c>
      <c r="C2090" t="s">
        <v>7434</v>
      </c>
    </row>
    <row r="2091" spans="1:3">
      <c r="A2091" t="s">
        <v>7507</v>
      </c>
      <c r="B2091" t="str">
        <f ca="1">IF(ISBLANK(OFFSET(B2091,0,'Field labels'!$Q$1)),C2091,OFFSET(B2091,0,'Field labels'!$Q$1))</f>
        <v>Westport Poultry (262109-LE002682)</v>
      </c>
      <c r="C2091" t="s">
        <v>7435</v>
      </c>
    </row>
    <row r="2092" spans="1:3">
      <c r="A2092" t="s">
        <v>7507</v>
      </c>
      <c r="B2092" t="str">
        <f ca="1">IF(ISBLANK(OFFSET(B2092,0,'Field labels'!$Q$1)),C2092,OFFSET(B2092,0,'Field labels'!$Q$1))</f>
        <v>Westport Swine (262209-LE002682)</v>
      </c>
      <c r="C2092" t="s">
        <v>7436</v>
      </c>
    </row>
    <row r="2093" spans="1:3">
      <c r="A2093" t="s">
        <v>7507</v>
      </c>
      <c r="B2093" t="str">
        <f ca="1">IF(ISBLANK(OFFSET(B2093,0,'Field labels'!$Q$1)),C2093,OFFSET(B2093,0,'Field labels'!$Q$1))</f>
        <v>Westport Technology (262609-LE002682)</v>
      </c>
      <c r="C2093" t="s">
        <v>7437</v>
      </c>
    </row>
    <row r="2094" spans="1:3">
      <c r="A2094" t="s">
        <v>7507</v>
      </c>
      <c r="B2094" t="str">
        <f ca="1">IF(ISBLANK(OFFSET(B2094,0,'Field labels'!$Q$1)),C2094,OFFSET(B2094,0,'Field labels'!$Q$1))</f>
        <v>Westport Tradico (262212-LE002682)</v>
      </c>
      <c r="C2094" t="s">
        <v>7438</v>
      </c>
    </row>
    <row r="2095" spans="1:3">
      <c r="A2095" t="s">
        <v>7558</v>
      </c>
      <c r="B2095" t="str">
        <f ca="1">IF(ISBLANK(OFFSET(B2095,0,'Field labels'!$Q$1)),C2095,OFFSET(B2095,0,'Field labels'!$Q$1))</f>
        <v>Toshoku BJ (137700001-LE002734)</v>
      </c>
      <c r="C2095" t="s">
        <v>7376</v>
      </c>
    </row>
    <row r="2096" spans="1:3">
      <c r="A2096" t="s">
        <v>7558</v>
      </c>
      <c r="B2096" t="str">
        <f ca="1">IF(ISBLANK(OFFSET(B2096,0,'Field labels'!$Q$1)),C2096,OFFSET(B2096,0,'Field labels'!$Q$1))</f>
        <v>Toshoku SH (120300001-LE002734)</v>
      </c>
      <c r="C2096" t="s">
        <v>7377</v>
      </c>
    </row>
    <row r="2097" spans="1:3">
      <c r="A2097" t="s">
        <v>7503</v>
      </c>
      <c r="B2097" t="str">
        <f ca="1">IF(ISBLANK(OFFSET(B2097,0,'Field labels'!$Q$1)),C2097,OFFSET(B2097,0,'Field labels'!$Q$1))</f>
        <v>Baotou Hog (853109-LE002772)</v>
      </c>
      <c r="C2097" t="s">
        <v>5571</v>
      </c>
    </row>
    <row r="2098" spans="1:3">
      <c r="A2098" t="s">
        <v>7503</v>
      </c>
      <c r="B2098" t="str">
        <f ca="1">IF(ISBLANK(OFFSET(B2098,0,'Field labels'!$Q$1)),C2098,OFFSET(B2098,0,'Field labels'!$Q$1))</f>
        <v>Baotou Ruminant (853209-LE002772)</v>
      </c>
      <c r="C2098" t="s">
        <v>5572</v>
      </c>
    </row>
    <row r="2099" spans="1:3">
      <c r="A2099" t="s">
        <v>7503</v>
      </c>
      <c r="B2099" t="str">
        <f ca="1">IF(ISBLANK(OFFSET(B2099,0,'Field labels'!$Q$1)),C2099,OFFSET(B2099,0,'Field labels'!$Q$1))</f>
        <v>Functional - CFN Baotou (853812-LE002772)</v>
      </c>
      <c r="C2099" t="s">
        <v>6387</v>
      </c>
    </row>
    <row r="2100" spans="1:3">
      <c r="A2100" t="s">
        <v>7503</v>
      </c>
      <c r="B2100" t="str">
        <f ca="1">IF(ISBLANK(OFFSET(B2100,0,'Field labels'!$Q$1)),C2100,OFFSET(B2100,0,'Field labels'!$Q$1))</f>
        <v>Manufacturing Expense (853007-LE002772)</v>
      </c>
      <c r="C2100" t="s">
        <v>6707</v>
      </c>
    </row>
    <row r="2101" spans="1:3">
      <c r="A2101" t="s">
        <v>7522</v>
      </c>
      <c r="B2101" t="str">
        <f ca="1">IF(ISBLANK(OFFSET(B2101,0,'Field labels'!$Q$1)),C2101,OFFSET(B2101,0,'Field labels'!$Q$1))</f>
        <v>CPN Nanning Adien (219009-LE002781)</v>
      </c>
      <c r="C2101" t="s">
        <v>5958</v>
      </c>
    </row>
    <row r="2102" spans="1:3">
      <c r="A2102" t="s">
        <v>7522</v>
      </c>
      <c r="B2102" t="str">
        <f ca="1">IF(ISBLANK(OFFSET(B2102,0,'Field labels'!$Q$1)),C2102,OFFSET(B2102,0,'Field labels'!$Q$1))</f>
        <v>Functional-CFN Nanning (918812-LE002781)</v>
      </c>
      <c r="C2102" t="s">
        <v>6407</v>
      </c>
    </row>
    <row r="2103" spans="1:3">
      <c r="A2103" t="s">
        <v>7522</v>
      </c>
      <c r="B2103" t="str">
        <f ca="1">IF(ISBLANK(OFFSET(B2103,0,'Field labels'!$Q$1)),C2103,OFFSET(B2103,0,'Field labels'!$Q$1))</f>
        <v>Nanning Hog (918109-LE002781)</v>
      </c>
      <c r="C2103" t="s">
        <v>6748</v>
      </c>
    </row>
    <row r="2104" spans="1:3">
      <c r="A2104" t="s">
        <v>7522</v>
      </c>
      <c r="B2104" t="str">
        <f ca="1">IF(ISBLANK(OFFSET(B2104,0,'Field labels'!$Q$1)),C2104,OFFSET(B2104,0,'Field labels'!$Q$1))</f>
        <v>Nanning Plant (918007-LE002781)</v>
      </c>
      <c r="C2104" t="s">
        <v>6749</v>
      </c>
    </row>
    <row r="2105" spans="1:3">
      <c r="A2105" t="s">
        <v>7525</v>
      </c>
      <c r="B2105" t="str">
        <f ca="1">IF(ISBLANK(OFFSET(B2105,0,'Field labels'!$Q$1)),C2105,OFFSET(B2105,0,'Field labels'!$Q$1))</f>
        <v>CPN-Formulation-NanJing (840207-LE002807)</v>
      </c>
      <c r="C2105" t="s">
        <v>5965</v>
      </c>
    </row>
    <row r="2106" spans="1:3">
      <c r="A2106" t="s">
        <v>7525</v>
      </c>
      <c r="B2106" t="str">
        <f ca="1">IF(ISBLANK(OFFSET(B2106,0,'Field labels'!$Q$1)),C2106,OFFSET(B2106,0,'Field labels'!$Q$1))</f>
        <v>CPN-RMS-NanJing (840107-LE002807)</v>
      </c>
      <c r="C2106" t="s">
        <v>5970</v>
      </c>
    </row>
    <row r="2107" spans="1:3">
      <c r="A2107" t="s">
        <v>7525</v>
      </c>
      <c r="B2107" t="str">
        <f ca="1">IF(ISBLANK(OFFSET(B2107,0,'Field labels'!$Q$1)),C2107,OFFSET(B2107,0,'Field labels'!$Q$1))</f>
        <v>CPN-SMT-NJ (840312-LE002807)</v>
      </c>
      <c r="C2107" t="s">
        <v>5976</v>
      </c>
    </row>
    <row r="2108" spans="1:3">
      <c r="A2108" t="s">
        <v>7525</v>
      </c>
      <c r="B2108" t="str">
        <f ca="1">IF(ISBLANK(OFFSET(B2108,0,'Field labels'!$Q$1)),C2108,OFFSET(B2108,0,'Field labels'!$Q$1))</f>
        <v>Functional-CPN Nanjing (840812-LE002807)</v>
      </c>
      <c r="C2108" t="s">
        <v>6412</v>
      </c>
    </row>
    <row r="2109" spans="1:3">
      <c r="A2109" t="s">
        <v>7525</v>
      </c>
      <c r="B2109" t="str">
        <f ca="1">IF(ISBLANK(OFFSET(B2109,0,'Field labels'!$Q$1)),C2109,OFFSET(B2109,0,'Field labels'!$Q$1))</f>
        <v>Mila-CPN-NJ (239009-LE002807)</v>
      </c>
      <c r="C2109" t="s">
        <v>6735</v>
      </c>
    </row>
    <row r="2110" spans="1:3">
      <c r="A2110" t="s">
        <v>7525</v>
      </c>
      <c r="B2110" t="str">
        <f ca="1">IF(ISBLANK(OFFSET(B2110,0,'Field labels'!$Q$1)),C2110,OFFSET(B2110,0,'Field labels'!$Q$1))</f>
        <v>Milton Pork Sales (982109-LE002807)</v>
      </c>
      <c r="C2110" t="s">
        <v>6736</v>
      </c>
    </row>
    <row r="2111" spans="1:3">
      <c r="A2111" t="s">
        <v>7525</v>
      </c>
      <c r="B2111" t="str">
        <f ca="1">IF(ISBLANK(OFFSET(B2111,0,'Field labels'!$Q$1)),C2111,OFFSET(B2111,0,'Field labels'!$Q$1))</f>
        <v>Nanjing Admin (840012-LE002807)</v>
      </c>
      <c r="C2111" t="s">
        <v>6745</v>
      </c>
    </row>
    <row r="2112" spans="1:3">
      <c r="A2112" t="s">
        <v>7525</v>
      </c>
      <c r="B2112" t="str">
        <f ca="1">IF(ISBLANK(OFFSET(B2112,0,'Field labels'!$Q$1)),C2112,OFFSET(B2112,0,'Field labels'!$Q$1))</f>
        <v>Nanjing Marketing (840009-LE002807)</v>
      </c>
      <c r="C2112" t="s">
        <v>6746</v>
      </c>
    </row>
    <row r="2113" spans="1:3">
      <c r="A2113" t="s">
        <v>7525</v>
      </c>
      <c r="B2113" t="str">
        <f ca="1">IF(ISBLANK(OFFSET(B2113,0,'Field labels'!$Q$1)),C2113,OFFSET(B2113,0,'Field labels'!$Q$1))</f>
        <v>Nanjing Plant (840007-LE002807)</v>
      </c>
      <c r="C2113" t="s">
        <v>6747</v>
      </c>
    </row>
    <row r="2114" spans="1:3">
      <c r="A2114" t="s">
        <v>7525</v>
      </c>
      <c r="B2114" t="str">
        <f ca="1">IF(ISBLANK(OFFSET(B2114,0,'Field labels'!$Q$1)),C2114,OFFSET(B2114,0,'Field labels'!$Q$1))</f>
        <v>Supply Chain- CPN-NJ (840826-LE002807)</v>
      </c>
      <c r="C2114" t="s">
        <v>7205</v>
      </c>
    </row>
    <row r="2115" spans="1:3">
      <c r="A2115" t="s">
        <v>7493</v>
      </c>
      <c r="B2115" t="str">
        <f ca="1">IF(ISBLANK(OFFSET(B2115,0,'Field labels'!$Q$1)),C2115,OFFSET(B2115,0,'Field labels'!$Q$1))</f>
        <v>Admin-CFN SEA (640012-LE002825)</v>
      </c>
      <c r="C2115" t="s">
        <v>5494</v>
      </c>
    </row>
    <row r="2116" spans="1:3">
      <c r="A2116" t="s">
        <v>7493</v>
      </c>
      <c r="B2116" t="str">
        <f ca="1">IF(ISBLANK(OFFSET(B2116,0,'Field labels'!$Q$1)),C2116,OFFSET(B2116,0,'Field labels'!$Q$1))</f>
        <v>Admin-CQN SA (649112-LE002825)</v>
      </c>
      <c r="C2116" t="s">
        <v>5495</v>
      </c>
    </row>
    <row r="2117" spans="1:3">
      <c r="A2117" t="s">
        <v>7493</v>
      </c>
      <c r="B2117" t="str">
        <f ca="1">IF(ISBLANK(OFFSET(B2117,0,'Field labels'!$Q$1)),C2117,OFFSET(B2117,0,'Field labels'!$Q$1))</f>
        <v>C.A.N. - Admin -G.O. - KRT(Thai) (641112-LE002825)</v>
      </c>
      <c r="C2117" t="s">
        <v>5642</v>
      </c>
    </row>
    <row r="2118" spans="1:3">
      <c r="A2118" t="s">
        <v>7493</v>
      </c>
      <c r="B2118" t="str">
        <f ca="1">IF(ISBLANK(OFFSET(B2118,0,'Field labels'!$Q$1)),C2118,OFFSET(B2118,0,'Field labels'!$Q$1))</f>
        <v>C.A.N. - CCS - Plant (Thai) (642007-LE002825)</v>
      </c>
      <c r="C2118" t="s">
        <v>5643</v>
      </c>
    </row>
    <row r="2119" spans="1:3">
      <c r="A2119" t="s">
        <v>7493</v>
      </c>
      <c r="B2119" t="str">
        <f ca="1">IF(ISBLANK(OFFSET(B2119,0,'Field labels'!$Q$1)),C2119,OFFSET(B2119,0,'Field labels'!$Q$1))</f>
        <v>C.A.N. - G.O.-Product Service (Thai) (641212-LE002825)</v>
      </c>
      <c r="C2119" t="s">
        <v>5644</v>
      </c>
    </row>
    <row r="2120" spans="1:3">
      <c r="A2120" t="s">
        <v>7493</v>
      </c>
      <c r="B2120" t="str">
        <f ca="1">IF(ISBLANK(OFFSET(B2120,0,'Field labels'!$Q$1)),C2120,OFFSET(B2120,0,'Field labels'!$Q$1))</f>
        <v>C.A.N. - MKT.- Chacheungsao (Thai) (642009-LE002825)</v>
      </c>
      <c r="C2120" t="s">
        <v>5645</v>
      </c>
    </row>
    <row r="2121" spans="1:3">
      <c r="A2121" t="s">
        <v>7493</v>
      </c>
      <c r="B2121" t="str">
        <f ca="1">IF(ISBLANK(OFFSET(B2121,0,'Field labels'!$Q$1)),C2121,OFFSET(B2121,0,'Field labels'!$Q$1))</f>
        <v>C.A.N. - MKT.- Korat (Thai) (644009-LE002825)</v>
      </c>
      <c r="C2121" t="s">
        <v>5646</v>
      </c>
    </row>
    <row r="2122" spans="1:3">
      <c r="A2122" t="s">
        <v>7493</v>
      </c>
      <c r="B2122" t="str">
        <f ca="1">IF(ISBLANK(OFFSET(B2122,0,'Field labels'!$Q$1)),C2122,OFFSET(B2122,0,'Field labels'!$Q$1))</f>
        <v>C.A.N. - MKT.- Phisanulok (Thai) (645009-LE002825)</v>
      </c>
      <c r="C2122" t="s">
        <v>5647</v>
      </c>
    </row>
    <row r="2123" spans="1:3">
      <c r="A2123" t="s">
        <v>7493</v>
      </c>
      <c r="B2123" t="str">
        <f ca="1">IF(ISBLANK(OFFSET(B2123,0,'Field labels'!$Q$1)),C2123,OFFSET(B2123,0,'Field labels'!$Q$1))</f>
        <v>C.A.N. - MKT.-G.O.-BKK-South(Thai) (643509-LE002825)</v>
      </c>
      <c r="C2123" t="s">
        <v>5648</v>
      </c>
    </row>
    <row r="2124" spans="1:3">
      <c r="A2124" t="s">
        <v>7493</v>
      </c>
      <c r="B2124" t="str">
        <f ca="1">IF(ISBLANK(OFFSET(B2124,0,'Field labels'!$Q$1)),C2124,OFFSET(B2124,0,'Field labels'!$Q$1))</f>
        <v>CAN CCS - Admin (642012-LE002825)</v>
      </c>
      <c r="C2124" t="s">
        <v>5649</v>
      </c>
    </row>
    <row r="2125" spans="1:3">
      <c r="A2125" t="s">
        <v>7493</v>
      </c>
      <c r="B2125" t="str">
        <f ca="1">IF(ISBLANK(OFFSET(B2125,0,'Field labels'!$Q$1)),C2125,OFFSET(B2125,0,'Field labels'!$Q$1))</f>
        <v>CAN KRT - Admin (644012-LE002825)</v>
      </c>
      <c r="C2125" t="s">
        <v>5652</v>
      </c>
    </row>
    <row r="2126" spans="1:3">
      <c r="A2126" t="s">
        <v>7493</v>
      </c>
      <c r="B2126" t="str">
        <f ca="1">IF(ISBLANK(OFFSET(B2126,0,'Field labels'!$Q$1)),C2126,OFFSET(B2126,0,'Field labels'!$Q$1))</f>
        <v>CAN NP - Admin (643012-LE002825)</v>
      </c>
      <c r="C2126" t="s">
        <v>5653</v>
      </c>
    </row>
    <row r="2127" spans="1:3">
      <c r="A2127" t="s">
        <v>7493</v>
      </c>
      <c r="B2127" t="str">
        <f ca="1">IF(ISBLANK(OFFSET(B2127,0,'Field labels'!$Q$1)),C2127,OFFSET(B2127,0,'Field labels'!$Q$1))</f>
        <v>CAN PSK -Admin (645012-LE002825)</v>
      </c>
      <c r="C2127" t="s">
        <v>5654</v>
      </c>
    </row>
    <row r="2128" spans="1:3">
      <c r="A2128" t="s">
        <v>7493</v>
      </c>
      <c r="B2128" t="str">
        <f ca="1">IF(ISBLANK(OFFSET(B2128,0,'Field labels'!$Q$1)),C2128,OFFSET(B2128,0,'Field labels'!$Q$1))</f>
        <v>CCS - FSQR (642027-LE002825)</v>
      </c>
      <c r="C2128" t="s">
        <v>5681</v>
      </c>
    </row>
    <row r="2129" spans="1:3">
      <c r="A2129" t="s">
        <v>7493</v>
      </c>
      <c r="B2129" t="str">
        <f ca="1">IF(ISBLANK(OFFSET(B2129,0,'Field labels'!$Q$1)),C2129,OFFSET(B2129,0,'Field labels'!$Q$1))</f>
        <v>CCS - Supply chain and Demand (642037-LE002825)</v>
      </c>
      <c r="C2129" t="s">
        <v>5682</v>
      </c>
    </row>
    <row r="2130" spans="1:3">
      <c r="A2130" t="s">
        <v>7493</v>
      </c>
      <c r="B2130" t="str">
        <f ca="1">IF(ISBLANK(OFFSET(B2130,0,'Field labels'!$Q$1)),C2130,OFFSET(B2130,0,'Field labels'!$Q$1))</f>
        <v>CFN MKT-SMT (641109-LE002825)</v>
      </c>
      <c r="C2130" t="s">
        <v>5693</v>
      </c>
    </row>
    <row r="2131" spans="1:3">
      <c r="A2131" t="s">
        <v>7493</v>
      </c>
      <c r="B2131" t="str">
        <f ca="1">IF(ISBLANK(OFFSET(B2131,0,'Field labels'!$Q$1)),C2131,OFFSET(B2131,0,'Field labels'!$Q$1))</f>
        <v>CFN Noah Pork - NE/E/N (645109-LE002825)</v>
      </c>
      <c r="C2131" t="s">
        <v>5694</v>
      </c>
    </row>
    <row r="2132" spans="1:3">
      <c r="A2132" t="s">
        <v>7493</v>
      </c>
      <c r="B2132" t="str">
        <f ca="1">IF(ISBLANK(OFFSET(B2132,0,'Field labels'!$Q$1)),C2132,OFFSET(B2132,0,'Field labels'!$Q$1))</f>
        <v>CFN-GO-MGMT Admin General (641312-LE002825)</v>
      </c>
      <c r="C2132" t="s">
        <v>5710</v>
      </c>
    </row>
    <row r="2133" spans="1:3">
      <c r="A2133" t="s">
        <v>7493</v>
      </c>
      <c r="B2133" t="str">
        <f ca="1">IF(ISBLANK(OFFSET(B2133,0,'Field labels'!$Q$1)),C2133,OFFSET(B2133,0,'Field labels'!$Q$1))</f>
        <v>CFN-Regional Office (641412-LE002825)</v>
      </c>
      <c r="C2133" t="s">
        <v>5711</v>
      </c>
    </row>
    <row r="2134" spans="1:3">
      <c r="A2134" t="s">
        <v>7493</v>
      </c>
      <c r="B2134" t="str">
        <f ca="1">IF(ISBLANK(OFFSET(B2134,0,'Field labels'!$Q$1)),C2134,OFFSET(B2134,0,'Field labels'!$Q$1))</f>
        <v>CFN-SEA (641612-LE002825)</v>
      </c>
      <c r="C2134" t="s">
        <v>5712</v>
      </c>
    </row>
    <row r="2135" spans="1:3">
      <c r="A2135" t="s">
        <v>7493</v>
      </c>
      <c r="B2135" t="str">
        <f ca="1">IF(ISBLANK(OFFSET(B2135,0,'Field labels'!$Q$1)),C2135,OFFSET(B2135,0,'Field labels'!$Q$1))</f>
        <v>Comm. Sales Force (6365000000-LE002825)</v>
      </c>
      <c r="C2135" t="s">
        <v>5903</v>
      </c>
    </row>
    <row r="2136" spans="1:3">
      <c r="A2136" t="s">
        <v>7493</v>
      </c>
      <c r="B2136" t="str">
        <f ca="1">IF(ISBLANK(OFFSET(B2136,0,'Field labels'!$Q$1)),C2136,OFFSET(B2136,0,'Field labels'!$Q$1))</f>
        <v>Corporate Finance Reporting (Thai) (623011-LE002825)</v>
      </c>
      <c r="C2136" t="s">
        <v>5948</v>
      </c>
    </row>
    <row r="2137" spans="1:3">
      <c r="A2137" t="s">
        <v>7493</v>
      </c>
      <c r="B2137" t="str">
        <f ca="1">IF(ISBLANK(OFFSET(B2137,0,'Field labels'!$Q$1)),C2137,OFFSET(B2137,0,'Field labels'!$Q$1))</f>
        <v>CPN-MGT Regional (637011-LE002825)</v>
      </c>
      <c r="C2137" t="s">
        <v>5966</v>
      </c>
    </row>
    <row r="2138" spans="1:3">
      <c r="A2138" t="s">
        <v>7493</v>
      </c>
      <c r="B2138" t="str">
        <f ca="1">IF(ISBLANK(OFFSET(B2138,0,'Field labels'!$Q$1)),C2138,OFFSET(B2138,0,'Field labels'!$Q$1))</f>
        <v>CPN-Reg SMT 1 (637209-LE002825)</v>
      </c>
      <c r="C2138" t="s">
        <v>5968</v>
      </c>
    </row>
    <row r="2139" spans="1:3">
      <c r="A2139" t="s">
        <v>7493</v>
      </c>
      <c r="B2139" t="str">
        <f ca="1">IF(ISBLANK(OFFSET(B2139,0,'Field labels'!$Q$1)),C2139,OFFSET(B2139,0,'Field labels'!$Q$1))</f>
        <v>CPN-Reg SMT 2 (637309-LE002825)</v>
      </c>
      <c r="C2139" t="s">
        <v>5969</v>
      </c>
    </row>
    <row r="2140" spans="1:3">
      <c r="A2140" t="s">
        <v>7493</v>
      </c>
      <c r="B2140" t="str">
        <f ca="1">IF(ISBLANK(OFFSET(B2140,0,'Field labels'!$Q$1)),C2140,OFFSET(B2140,0,'Field labels'!$Q$1))</f>
        <v>CPN-Sales (Regional) (637029-LE002825)</v>
      </c>
      <c r="C2140" t="s">
        <v>5972</v>
      </c>
    </row>
    <row r="2141" spans="1:3">
      <c r="A2141" t="s">
        <v>7493</v>
      </c>
      <c r="B2141" t="str">
        <f ca="1">IF(ISBLANK(OFFSET(B2141,0,'Field labels'!$Q$1)),C2141,OFFSET(B2141,0,'Field labels'!$Q$1))</f>
        <v>CPN-Sales AE (637009-LE002825)</v>
      </c>
      <c r="C2141" t="s">
        <v>5973</v>
      </c>
    </row>
    <row r="2142" spans="1:3">
      <c r="A2142" t="s">
        <v>7493</v>
      </c>
      <c r="B2142" t="str">
        <f ca="1">IF(ISBLANK(OFFSET(B2142,0,'Field labels'!$Q$1)),C2142,OFFSET(B2142,0,'Field labels'!$Q$1))</f>
        <v>CPN-SMT/ CS / Regulatory (637409-LE002825)</v>
      </c>
      <c r="C2142" t="s">
        <v>5974</v>
      </c>
    </row>
    <row r="2143" spans="1:3">
      <c r="A2143" t="s">
        <v>7493</v>
      </c>
      <c r="B2143" t="str">
        <f ca="1">IF(ISBLANK(OFFSET(B2143,0,'Field labels'!$Q$1)),C2143,OFFSET(B2143,0,'Field labels'!$Q$1))</f>
        <v>CQN PB - EHS (647232-LE002825)</v>
      </c>
      <c r="C2143" t="s">
        <v>5988</v>
      </c>
    </row>
    <row r="2144" spans="1:3">
      <c r="A2144" t="s">
        <v>7493</v>
      </c>
      <c r="B2144" t="str">
        <f ca="1">IF(ISBLANK(OFFSET(B2144,0,'Field labels'!$Q$1)),C2144,OFFSET(B2144,0,'Field labels'!$Q$1))</f>
        <v>CQN-ADMIN (647012-LE002825)</v>
      </c>
      <c r="C2144" t="s">
        <v>5992</v>
      </c>
    </row>
    <row r="2145" spans="1:3">
      <c r="A2145" t="s">
        <v>7493</v>
      </c>
      <c r="B2145" t="str">
        <f ca="1">IF(ISBLANK(OFFSET(B2145,0,'Field labels'!$Q$1)),C2145,OFFSET(B2145,0,'Field labels'!$Q$1))</f>
        <v>CQN-AQUA (646109-LE002825)</v>
      </c>
      <c r="C2145" t="s">
        <v>5993</v>
      </c>
    </row>
    <row r="2146" spans="1:3">
      <c r="A2146" t="s">
        <v>7493</v>
      </c>
      <c r="B2146" t="str">
        <f ca="1">IF(ISBLANK(OFFSET(B2146,0,'Field labels'!$Q$1)),C2146,OFFSET(B2146,0,'Field labels'!$Q$1))</f>
        <v>CQN-SA (646012-LE002825)</v>
      </c>
      <c r="C2146" t="s">
        <v>5994</v>
      </c>
    </row>
    <row r="2147" spans="1:3">
      <c r="A2147" t="s">
        <v>7493</v>
      </c>
      <c r="B2147" t="str">
        <f ca="1">IF(ISBLANK(OFFSET(B2147,0,'Field labels'!$Q$1)),C2147,OFFSET(B2147,0,'Field labels'!$Q$1))</f>
        <v>CQN-SHRIMP DENNIS (647009-LE002825)</v>
      </c>
      <c r="C2147" t="s">
        <v>5995</v>
      </c>
    </row>
    <row r="2148" spans="1:3">
      <c r="A2148" t="s">
        <v>7493</v>
      </c>
      <c r="B2148" t="str">
        <f ca="1">IF(ISBLANK(OFFSET(B2148,0,'Field labels'!$Q$1)),C2148,OFFSET(B2148,0,'Field labels'!$Q$1))</f>
        <v>CQN-TAM Admin/MKT (646009-LE002825)</v>
      </c>
      <c r="C2148" t="s">
        <v>5996</v>
      </c>
    </row>
    <row r="2149" spans="1:3">
      <c r="A2149" t="s">
        <v>7493</v>
      </c>
      <c r="B2149" t="str">
        <f ca="1">IF(ISBLANK(OFFSET(B2149,0,'Field labels'!$Q$1)),C2149,OFFSET(B2149,0,'Field labels'!$Q$1))</f>
        <v>CQN-WA (647015-LE002825)</v>
      </c>
      <c r="C2149" t="s">
        <v>5997</v>
      </c>
    </row>
    <row r="2150" spans="1:3">
      <c r="A2150" t="s">
        <v>7493</v>
      </c>
      <c r="B2150" t="str">
        <f ca="1">IF(ISBLANK(OFFSET(B2150,0,'Field labels'!$Q$1)),C2150,OFFSET(B2150,0,'Field labels'!$Q$1))</f>
        <v>CSL-Growout Farm-Farm 16 (Thai) (652166-LE002825)</v>
      </c>
      <c r="C2150" t="s">
        <v>6004</v>
      </c>
    </row>
    <row r="2151" spans="1:3">
      <c r="A2151" t="s">
        <v>7493</v>
      </c>
      <c r="B2151" t="str">
        <f ca="1">IF(ISBLANK(OFFSET(B2151,0,'Field labels'!$Q$1)),C2151,OFFSET(B2151,0,'Field labels'!$Q$1))</f>
        <v>CSL-Growout Farm-Farm 17 (Thai) (652167-LE002825)</v>
      </c>
      <c r="C2151" t="s">
        <v>6005</v>
      </c>
    </row>
    <row r="2152" spans="1:3">
      <c r="A2152" t="s">
        <v>7493</v>
      </c>
      <c r="B2152" t="str">
        <f ca="1">IF(ISBLANK(OFFSET(B2152,0,'Field labels'!$Q$1)),C2152,OFFSET(B2152,0,'Field labels'!$Q$1))</f>
        <v>CSL-Growout Farm-Farm 18 (Thai) (652168-LE002825)</v>
      </c>
      <c r="C2152" t="s">
        <v>6006</v>
      </c>
    </row>
    <row r="2153" spans="1:3">
      <c r="A2153" t="s">
        <v>7493</v>
      </c>
      <c r="B2153" t="str">
        <f ca="1">IF(ISBLANK(OFFSET(B2153,0,'Field labels'!$Q$1)),C2153,OFFSET(B2153,0,'Field labels'!$Q$1))</f>
        <v>CSL-Growout Farm-Farm-13 (Thai) (652163-LE002825)</v>
      </c>
      <c r="C2153" t="s">
        <v>6007</v>
      </c>
    </row>
    <row r="2154" spans="1:3">
      <c r="A2154" t="s">
        <v>7493</v>
      </c>
      <c r="B2154" t="str">
        <f ca="1">IF(ISBLANK(OFFSET(B2154,0,'Field labels'!$Q$1)),C2154,OFFSET(B2154,0,'Field labels'!$Q$1))</f>
        <v>CSL-Growout Farm-Farm-14 (Thai) (652164-LE002825)</v>
      </c>
      <c r="C2154" t="s">
        <v>6008</v>
      </c>
    </row>
    <row r="2155" spans="1:3">
      <c r="A2155" t="s">
        <v>7493</v>
      </c>
      <c r="B2155" t="str">
        <f ca="1">IF(ISBLANK(OFFSET(B2155,0,'Field labels'!$Q$1)),C2155,OFFSET(B2155,0,'Field labels'!$Q$1))</f>
        <v>CSL-Growout Farm-Farm-15 (Thai) (652165-LE002825)</v>
      </c>
      <c r="C2155" t="s">
        <v>6009</v>
      </c>
    </row>
    <row r="2156" spans="1:3">
      <c r="A2156" t="s">
        <v>7493</v>
      </c>
      <c r="B2156" t="str">
        <f ca="1">IF(ISBLANK(OFFSET(B2156,0,'Field labels'!$Q$1)),C2156,OFFSET(B2156,0,'Field labels'!$Q$1))</f>
        <v>CSSP-Thailand Procurement (623033-LE002825)</v>
      </c>
      <c r="C2156" t="s">
        <v>6016</v>
      </c>
    </row>
    <row r="2157" spans="1:3">
      <c r="A2157" t="s">
        <v>7493</v>
      </c>
      <c r="B2157" t="str">
        <f ca="1">IF(ISBLANK(OFFSET(B2157,0,'Field labels'!$Q$1)),C2157,OFFSET(B2157,0,'Field labels'!$Q$1))</f>
        <v>CTB ADMIN (611000-LE002825)</v>
      </c>
      <c r="C2157" t="s">
        <v>6017</v>
      </c>
    </row>
    <row r="2158" spans="1:3">
      <c r="A2158" t="s">
        <v>7493</v>
      </c>
      <c r="B2158" t="str">
        <f ca="1">IF(ISBLANK(OFFSET(B2158,0,'Field labels'!$Q$1)),C2158,OFFSET(B2158,0,'Field labels'!$Q$1))</f>
        <v>CTB TRADING (611001-LE002825)</v>
      </c>
      <c r="C2158" t="s">
        <v>6018</v>
      </c>
    </row>
    <row r="2159" spans="1:3">
      <c r="A2159" t="s">
        <v>7493</v>
      </c>
      <c r="B2159" t="str">
        <f ca="1">IF(ISBLANK(OFFSET(B2159,0,'Field labels'!$Q$1)),C2159,OFFSET(B2159,0,'Field labels'!$Q$1))</f>
        <v>CTL Thailand (623038-LE002825)</v>
      </c>
      <c r="C2159" t="s">
        <v>6022</v>
      </c>
    </row>
    <row r="2160" spans="1:3">
      <c r="A2160" t="s">
        <v>7493</v>
      </c>
      <c r="B2160" t="str">
        <f ca="1">IF(ISBLANK(OFFSET(B2160,0,'Field labels'!$Q$1)),C2160,OFFSET(B2160,0,'Field labels'!$Q$1))</f>
        <v>Finance &amp; Admin (6367200000-LE002825)</v>
      </c>
      <c r="C2160" t="s">
        <v>6208</v>
      </c>
    </row>
    <row r="2161" spans="1:3">
      <c r="A2161" t="s">
        <v>7493</v>
      </c>
      <c r="B2161" t="str">
        <f ca="1">IF(ISBLANK(OFFSET(B2161,0,'Field labels'!$Q$1)),C2161,OFFSET(B2161,0,'Field labels'!$Q$1))</f>
        <v>Forwarding (Thai) (623006-LE002825)</v>
      </c>
      <c r="C2161" t="s">
        <v>6244</v>
      </c>
    </row>
    <row r="2162" spans="1:3">
      <c r="A2162" t="s">
        <v>7493</v>
      </c>
      <c r="B2162" t="str">
        <f ca="1">IF(ISBLANK(OFFSET(B2162,0,'Field labels'!$Q$1)),C2162,OFFSET(B2162,0,'Field labels'!$Q$1))</f>
        <v>General Admin (Thai) (623002-LE002825)</v>
      </c>
      <c r="C2162" t="s">
        <v>6456</v>
      </c>
    </row>
    <row r="2163" spans="1:3">
      <c r="A2163" t="s">
        <v>7493</v>
      </c>
      <c r="B2163" t="str">
        <f ca="1">IF(ISBLANK(OFFSET(B2163,0,'Field labels'!$Q$1)),C2163,OFFSET(B2163,0,'Field labels'!$Q$1))</f>
        <v>GO - EHS (641232-LE002825)</v>
      </c>
      <c r="C2163" t="s">
        <v>6487</v>
      </c>
    </row>
    <row r="2164" spans="1:3">
      <c r="A2164" t="s">
        <v>7493</v>
      </c>
      <c r="B2164" t="str">
        <f ca="1">IF(ISBLANK(OFFSET(B2164,0,'Field labels'!$Q$1)),C2164,OFFSET(B2164,0,'Field labels'!$Q$1))</f>
        <v>GO - Finance - P2P (641812-LE002825)</v>
      </c>
      <c r="C2164" t="s">
        <v>6488</v>
      </c>
    </row>
    <row r="2165" spans="1:3">
      <c r="A2165" t="s">
        <v>7493</v>
      </c>
      <c r="B2165" t="str">
        <f ca="1">IF(ISBLANK(OFFSET(B2165,0,'Field labels'!$Q$1)),C2165,OFFSET(B2165,0,'Field labels'!$Q$1))</f>
        <v>GO - Finance RTR (641712-LE002825)</v>
      </c>
      <c r="C2165" t="s">
        <v>6489</v>
      </c>
    </row>
    <row r="2166" spans="1:3">
      <c r="A2166" t="s">
        <v>7493</v>
      </c>
      <c r="B2166" t="str">
        <f ca="1">IF(ISBLANK(OFFSET(B2166,0,'Field labels'!$Q$1)),C2166,OFFSET(B2166,0,'Field labels'!$Q$1))</f>
        <v>GO - RMS Formulation (641222-LE002825)</v>
      </c>
      <c r="C2166" t="s">
        <v>6491</v>
      </c>
    </row>
    <row r="2167" spans="1:3">
      <c r="A2167" t="s">
        <v>7493</v>
      </c>
      <c r="B2167" t="str">
        <f ca="1">IF(ISBLANK(OFFSET(B2167,0,'Field labels'!$Q$1)),C2167,OFFSET(B2167,0,'Field labels'!$Q$1))</f>
        <v>GO - Shared EHS (641017-LE002825)</v>
      </c>
      <c r="C2167" t="s">
        <v>6492</v>
      </c>
    </row>
    <row r="2168" spans="1:3">
      <c r="A2168" t="s">
        <v>7493</v>
      </c>
      <c r="B2168" t="str">
        <f ca="1">IF(ISBLANK(OFFSET(B2168,0,'Field labels'!$Q$1)),C2168,OFFSET(B2168,0,'Field labels'!$Q$1))</f>
        <v>GO - Shared Production (641007-LE002825)</v>
      </c>
      <c r="C2168" t="s">
        <v>6493</v>
      </c>
    </row>
    <row r="2169" spans="1:3">
      <c r="A2169" t="s">
        <v>7493</v>
      </c>
      <c r="B2169" t="str">
        <f ca="1">IF(ISBLANK(OFFSET(B2169,0,'Field labels'!$Q$1)),C2169,OFFSET(B2169,0,'Field labels'!$Q$1))</f>
        <v>GOSCA-Finance (624999-LE002825)</v>
      </c>
      <c r="C2169" t="s">
        <v>6519</v>
      </c>
    </row>
    <row r="2170" spans="1:3">
      <c r="A2170" t="s">
        <v>7493</v>
      </c>
      <c r="B2170" t="str">
        <f ca="1">IF(ISBLANK(OFFSET(B2170,0,'Field labels'!$Q$1)),C2170,OFFSET(B2170,0,'Field labels'!$Q$1))</f>
        <v>GOSCA-Trade Execution (624900-LE002825)</v>
      </c>
      <c r="C2170" t="s">
        <v>6520</v>
      </c>
    </row>
    <row r="2171" spans="1:3">
      <c r="A2171" t="s">
        <v>7493</v>
      </c>
      <c r="B2171" t="str">
        <f ca="1">IF(ISBLANK(OFFSET(B2171,0,'Field labels'!$Q$1)),C2171,OFFSET(B2171,0,'Field labels'!$Q$1))</f>
        <v>Grain &amp; Oilseeds - Tharua - Thai (624000-LE002825)</v>
      </c>
      <c r="C2171" t="s">
        <v>6527</v>
      </c>
    </row>
    <row r="2172" spans="1:3">
      <c r="A2172" t="s">
        <v>7493</v>
      </c>
      <c r="B2172" t="str">
        <f ca="1">IF(ISBLANK(OFFSET(B2172,0,'Field labels'!$Q$1)),C2172,OFFSET(B2172,0,'Field labels'!$Q$1))</f>
        <v>Grain &amp; Oilseeds (Thai) (624001-LE002825)</v>
      </c>
      <c r="C2172" t="s">
        <v>6528</v>
      </c>
    </row>
    <row r="2173" spans="1:3">
      <c r="A2173" t="s">
        <v>7493</v>
      </c>
      <c r="B2173" t="str">
        <f ca="1">IF(ISBLANK(OFFSET(B2173,0,'Field labels'!$Q$1)),C2173,OFFSET(B2173,0,'Field labels'!$Q$1))</f>
        <v>HR Talent Acquisition (623037-LE002825)</v>
      </c>
      <c r="C2173" t="s">
        <v>6573</v>
      </c>
    </row>
    <row r="2174" spans="1:3">
      <c r="A2174" t="s">
        <v>7493</v>
      </c>
      <c r="B2174" t="str">
        <f ca="1">IF(ISBLANK(OFFSET(B2174,0,'Field labels'!$Q$1)),C2174,OFFSET(B2174,0,'Field labels'!$Q$1))</f>
        <v>Human Resource (Thai) (623001-LE002825)</v>
      </c>
      <c r="C2174" t="s">
        <v>6589</v>
      </c>
    </row>
    <row r="2175" spans="1:3">
      <c r="A2175" t="s">
        <v>7493</v>
      </c>
      <c r="B2175" t="str">
        <f ca="1">IF(ISBLANK(OFFSET(B2175,0,'Field labels'!$Q$1)),C2175,OFFSET(B2175,0,'Field labels'!$Q$1))</f>
        <v>IT APP MIT TH (623031-LE002825)</v>
      </c>
      <c r="C2175" t="s">
        <v>6611</v>
      </c>
    </row>
    <row r="2176" spans="1:3">
      <c r="A2176" t="s">
        <v>7493</v>
      </c>
      <c r="B2176" t="str">
        <f ca="1">IF(ISBLANK(OFFSET(B2176,0,'Field labels'!$Q$1)),C2176,OFFSET(B2176,0,'Field labels'!$Q$1))</f>
        <v>IT Bus Partner TH (623032-LE002825)</v>
      </c>
      <c r="C2176" t="s">
        <v>6622</v>
      </c>
    </row>
    <row r="2177" spans="1:3">
      <c r="A2177" t="s">
        <v>7493</v>
      </c>
      <c r="B2177" t="str">
        <f ca="1">IF(ISBLANK(OFFSET(B2177,0,'Field labels'!$Q$1)),C2177,OFFSET(B2177,0,'Field labels'!$Q$1))</f>
        <v>KRT - Production (744007-LE002825)</v>
      </c>
      <c r="C2177" t="s">
        <v>6637</v>
      </c>
    </row>
    <row r="2178" spans="1:3">
      <c r="A2178" t="s">
        <v>7493</v>
      </c>
      <c r="B2178" t="str">
        <f ca="1">IF(ISBLANK(OFFSET(B2178,0,'Field labels'!$Q$1)),C2178,OFFSET(B2178,0,'Field labels'!$Q$1))</f>
        <v>KRT - Shared FSQR (644027-LE002825)</v>
      </c>
      <c r="C2178" t="s">
        <v>6638</v>
      </c>
    </row>
    <row r="2179" spans="1:3">
      <c r="A2179" t="s">
        <v>7493</v>
      </c>
      <c r="B2179" t="str">
        <f ca="1">IF(ISBLANK(OFFSET(B2179,0,'Field labels'!$Q$1)),C2179,OFFSET(B2179,0,'Field labels'!$Q$1))</f>
        <v>KRT - Shared Production (644007-LE002825)</v>
      </c>
      <c r="C2179" t="s">
        <v>6640</v>
      </c>
    </row>
    <row r="2180" spans="1:3">
      <c r="A2180" t="s">
        <v>7493</v>
      </c>
      <c r="B2180" t="str">
        <f ca="1">IF(ISBLANK(OFFSET(B2180,0,'Field labels'!$Q$1)),C2180,OFFSET(B2180,0,'Field labels'!$Q$1))</f>
        <v>KRT - Shared Production (644107-LE002825)</v>
      </c>
      <c r="C2180" t="s">
        <v>6639</v>
      </c>
    </row>
    <row r="2181" spans="1:3">
      <c r="A2181" t="s">
        <v>7493</v>
      </c>
      <c r="B2181" t="str">
        <f ca="1">IF(ISBLANK(OFFSET(B2181,0,'Field labels'!$Q$1)),C2181,OFFSET(B2181,0,'Field labels'!$Q$1))</f>
        <v>KRT - Shared Supply chain and Demand (644037-LE002825)</v>
      </c>
      <c r="C2181" t="s">
        <v>6641</v>
      </c>
    </row>
    <row r="2182" spans="1:3">
      <c r="A2182" t="s">
        <v>7493</v>
      </c>
      <c r="B2182" t="str">
        <f ca="1">IF(ISBLANK(OFFSET(B2182,0,'Field labels'!$Q$1)),C2182,OFFSET(B2182,0,'Field labels'!$Q$1))</f>
        <v>Legal/Law (Thai) (623007-LE002825)</v>
      </c>
      <c r="C2182" t="s">
        <v>6658</v>
      </c>
    </row>
    <row r="2183" spans="1:3">
      <c r="A2183" t="s">
        <v>7493</v>
      </c>
      <c r="B2183" t="str">
        <f ca="1">IF(ISBLANK(OFFSET(B2183,0,'Field labels'!$Q$1)),C2183,OFFSET(B2183,0,'Field labels'!$Q$1))</f>
        <v>Log/Distr (6363300000-LE002825)</v>
      </c>
      <c r="C2183" t="s">
        <v>6670</v>
      </c>
    </row>
    <row r="2184" spans="1:3">
      <c r="A2184" t="s">
        <v>7493</v>
      </c>
      <c r="B2184" t="str">
        <f ca="1">IF(ISBLANK(OFFSET(B2184,0,'Field labels'!$Q$1)),C2184,OFFSET(B2184,0,'Field labels'!$Q$1))</f>
        <v>MKT-GO BKK (641009-LE002825)</v>
      </c>
      <c r="C2184" t="s">
        <v>6742</v>
      </c>
    </row>
    <row r="2185" spans="1:3">
      <c r="A2185" t="s">
        <v>7493</v>
      </c>
      <c r="B2185" t="str">
        <f ca="1">IF(ISBLANK(OFFSET(B2185,0,'Field labels'!$Q$1)),C2185,OFFSET(B2185,0,'Field labels'!$Q$1))</f>
        <v>NP - Shared FSQR (643027-LE002825)</v>
      </c>
      <c r="C2185" t="s">
        <v>6752</v>
      </c>
    </row>
    <row r="2186" spans="1:3">
      <c r="A2186" t="s">
        <v>7493</v>
      </c>
      <c r="B2186" t="str">
        <f ca="1">IF(ISBLANK(OFFSET(B2186,0,'Field labels'!$Q$1)),C2186,OFFSET(B2186,0,'Field labels'!$Q$1))</f>
        <v>NP - Shared Production (643007-LE002825)</v>
      </c>
      <c r="C2186" t="s">
        <v>6753</v>
      </c>
    </row>
    <row r="2187" spans="1:3">
      <c r="A2187" t="s">
        <v>7493</v>
      </c>
      <c r="B2187" t="str">
        <f ca="1">IF(ISBLANK(OFFSET(B2187,0,'Field labels'!$Q$1)),C2187,OFFSET(B2187,0,'Field labels'!$Q$1))</f>
        <v>NP - Shared Production (643107-LE002825)</v>
      </c>
      <c r="C2187" t="s">
        <v>6754</v>
      </c>
    </row>
    <row r="2188" spans="1:3">
      <c r="A2188" t="s">
        <v>7493</v>
      </c>
      <c r="B2188" t="str">
        <f ca="1">IF(ISBLANK(OFFSET(B2188,0,'Field labels'!$Q$1)),C2188,OFFSET(B2188,0,'Field labels'!$Q$1))</f>
        <v>NP - Shared Supply chain and Demand (643037-LE002825)</v>
      </c>
      <c r="C2188" t="s">
        <v>6755</v>
      </c>
    </row>
    <row r="2189" spans="1:3">
      <c r="A2189" t="s">
        <v>7493</v>
      </c>
      <c r="B2189" t="str">
        <f ca="1">IF(ISBLANK(OFFSET(B2189,0,'Field labels'!$Q$1)),C2189,OFFSET(B2189,0,'Field labels'!$Q$1))</f>
        <v>Office Services (Thai) (623005-LE002825)</v>
      </c>
      <c r="C2189" t="s">
        <v>6766</v>
      </c>
    </row>
    <row r="2190" spans="1:3">
      <c r="A2190" t="s">
        <v>7493</v>
      </c>
      <c r="B2190" t="str">
        <f ca="1">IF(ISBLANK(OFFSET(B2190,0,'Field labels'!$Q$1)),C2190,OFFSET(B2190,0,'Field labels'!$Q$1))</f>
        <v>Operations – Regional (637609-LE002825)</v>
      </c>
      <c r="C2190" t="s">
        <v>6776</v>
      </c>
    </row>
    <row r="2191" spans="1:3">
      <c r="A2191" t="s">
        <v>7493</v>
      </c>
      <c r="B2191" t="str">
        <f ca="1">IF(ISBLANK(OFFSET(B2191,0,'Field labels'!$Q$1)),C2191,OFFSET(B2191,0,'Field labels'!$Q$1))</f>
        <v>Operations (637509-LE002825)</v>
      </c>
      <c r="C2191" t="s">
        <v>6773</v>
      </c>
    </row>
    <row r="2192" spans="1:3">
      <c r="A2192" t="s">
        <v>7493</v>
      </c>
      <c r="B2192" t="str">
        <f ca="1">IF(ISBLANK(OFFSET(B2192,0,'Field labels'!$Q$1)),C2192,OFFSET(B2192,0,'Field labels'!$Q$1))</f>
        <v>PB - FSQR (647027-LE002825)</v>
      </c>
      <c r="C2192" t="s">
        <v>6809</v>
      </c>
    </row>
    <row r="2193" spans="1:3">
      <c r="A2193" t="s">
        <v>7493</v>
      </c>
      <c r="B2193" t="str">
        <f ca="1">IF(ISBLANK(OFFSET(B2193,0,'Field labels'!$Q$1)),C2193,OFFSET(B2193,0,'Field labels'!$Q$1))</f>
        <v>PB - Production (647007-LE002825)</v>
      </c>
      <c r="C2193" t="s">
        <v>6810</v>
      </c>
    </row>
    <row r="2194" spans="1:3">
      <c r="A2194" t="s">
        <v>7493</v>
      </c>
      <c r="B2194" t="str">
        <f ca="1">IF(ISBLANK(OFFSET(B2194,0,'Field labels'!$Q$1)),C2194,OFFSET(B2194,0,'Field labels'!$Q$1))</f>
        <v>PB - Supply chain and Demand (647037-LE002825)</v>
      </c>
      <c r="C2194" t="s">
        <v>6811</v>
      </c>
    </row>
    <row r="2195" spans="1:3">
      <c r="A2195" t="s">
        <v>7493</v>
      </c>
      <c r="B2195" t="str">
        <f ca="1">IF(ISBLANK(OFFSET(B2195,0,'Field labels'!$Q$1)),C2195,OFFSET(B2195,0,'Field labels'!$Q$1))</f>
        <v>PSK - Production (745007-LE002825)</v>
      </c>
      <c r="C2195" t="s">
        <v>6956</v>
      </c>
    </row>
    <row r="2196" spans="1:3">
      <c r="A2196" t="s">
        <v>7493</v>
      </c>
      <c r="B2196" t="str">
        <f ca="1">IF(ISBLANK(OFFSET(B2196,0,'Field labels'!$Q$1)),C2196,OFFSET(B2196,0,'Field labels'!$Q$1))</f>
        <v>PSK - Shared FSQR (645027-LE002825)</v>
      </c>
      <c r="C2196" t="s">
        <v>6957</v>
      </c>
    </row>
    <row r="2197" spans="1:3">
      <c r="A2197" t="s">
        <v>7493</v>
      </c>
      <c r="B2197" t="str">
        <f ca="1">IF(ISBLANK(OFFSET(B2197,0,'Field labels'!$Q$1)),C2197,OFFSET(B2197,0,'Field labels'!$Q$1))</f>
        <v>PSK - Shared Production (645007-LE002825)</v>
      </c>
      <c r="C2197" t="s">
        <v>6959</v>
      </c>
    </row>
    <row r="2198" spans="1:3">
      <c r="A2198" t="s">
        <v>7493</v>
      </c>
      <c r="B2198" t="str">
        <f ca="1">IF(ISBLANK(OFFSET(B2198,0,'Field labels'!$Q$1)),C2198,OFFSET(B2198,0,'Field labels'!$Q$1))</f>
        <v>PSK - Shared Production (645107-LE002825)</v>
      </c>
      <c r="C2198" t="s">
        <v>6958</v>
      </c>
    </row>
    <row r="2199" spans="1:3">
      <c r="A2199" t="s">
        <v>7493</v>
      </c>
      <c r="B2199" t="str">
        <f ca="1">IF(ISBLANK(OFFSET(B2199,0,'Field labels'!$Q$1)),C2199,OFFSET(B2199,0,'Field labels'!$Q$1))</f>
        <v>PSK - Shared Supply chain and Demand (645037-LE002825)</v>
      </c>
      <c r="C2199" t="s">
        <v>6960</v>
      </c>
    </row>
    <row r="2200" spans="1:3">
      <c r="A2200" t="s">
        <v>7493</v>
      </c>
      <c r="B2200" t="str">
        <f ca="1">IF(ISBLANK(OFFSET(B2200,0,'Field labels'!$Q$1)),C2200,OFFSET(B2200,0,'Field labels'!$Q$1))</f>
        <v>RMS - CFN SEA (640212-LE002825)</v>
      </c>
      <c r="C2200" t="s">
        <v>7031</v>
      </c>
    </row>
    <row r="2201" spans="1:3">
      <c r="A2201" t="s">
        <v>7493</v>
      </c>
      <c r="B2201" t="str">
        <f ca="1">IF(ISBLANK(OFFSET(B2201,0,'Field labels'!$Q$1)),C2201,OFFSET(B2201,0,'Field labels'!$Q$1))</f>
        <v>Strategic Sourcing-1 (623022-LE002825)</v>
      </c>
      <c r="C2201" t="s">
        <v>7197</v>
      </c>
    </row>
    <row r="2202" spans="1:3">
      <c r="A2202" t="s">
        <v>7493</v>
      </c>
      <c r="B2202" t="str">
        <f ca="1">IF(ISBLANK(OFFSET(B2202,0,'Field labels'!$Q$1)),C2202,OFFSET(B2202,0,'Field labels'!$Q$1))</f>
        <v>Supply Chain (6365500000-LE002825)</v>
      </c>
      <c r="C2202" t="s">
        <v>7199</v>
      </c>
    </row>
    <row r="2203" spans="1:3">
      <c r="A2203" t="s">
        <v>7493</v>
      </c>
      <c r="B2203" t="str">
        <f ca="1">IF(ISBLANK(OFFSET(B2203,0,'Field labels'!$Q$1)),C2203,OFFSET(B2203,0,'Field labels'!$Q$1))</f>
        <v>Tax (623020-LE002825)</v>
      </c>
      <c r="C2203" t="s">
        <v>7362</v>
      </c>
    </row>
    <row r="2204" spans="1:3">
      <c r="A2204" t="s">
        <v>7512</v>
      </c>
      <c r="B2204" t="str">
        <f ca="1">IF(ISBLANK(OFFSET(B2204,0,'Field labels'!$Q$1)),C2204,OFFSET(B2204,0,'Field labels'!$Q$1))</f>
        <v>China-BOSC (860052-LE002834)</v>
      </c>
      <c r="C2204" t="s">
        <v>5728</v>
      </c>
    </row>
    <row r="2205" spans="1:3">
      <c r="A2205" t="s">
        <v>7512</v>
      </c>
      <c r="B2205" t="str">
        <f ca="1">IF(ISBLANK(OFFSET(B2205,0,'Field labels'!$Q$1)),C2205,OFFSET(B2205,0,'Field labels'!$Q$1))</f>
        <v>Commercial-Bakery (366021-LE002834)</v>
      </c>
      <c r="C2205" t="s">
        <v>5911</v>
      </c>
    </row>
    <row r="2206" spans="1:3">
      <c r="A2206" t="s">
        <v>7512</v>
      </c>
      <c r="B2206" t="str">
        <f ca="1">IF(ISBLANK(OFFSET(B2206,0,'Field labels'!$Q$1)),C2206,OFFSET(B2206,0,'Field labels'!$Q$1))</f>
        <v>Commercial-BR (926021-LE002834)</v>
      </c>
      <c r="C2206" t="s">
        <v>5914</v>
      </c>
    </row>
    <row r="2207" spans="1:3">
      <c r="A2207" t="s">
        <v>7512</v>
      </c>
      <c r="B2207" t="str">
        <f ca="1">IF(ISBLANK(OFFSET(B2207,0,'Field labels'!$Q$1)),C2207,OFFSET(B2207,0,'Field labels'!$Q$1))</f>
        <v>Commercial-VA-FI (366020-LE002834)</v>
      </c>
      <c r="C2207" t="s">
        <v>5917</v>
      </c>
    </row>
    <row r="2208" spans="1:3">
      <c r="A2208" t="s">
        <v>7512</v>
      </c>
      <c r="B2208" t="str">
        <f ca="1">IF(ISBLANK(OFFSET(B2208,0,'Field labels'!$Q$1)),C2208,OFFSET(B2208,0,'Field labels'!$Q$1))</f>
        <v>Commercial-VA-FS (366025-LE002834)</v>
      </c>
      <c r="C2208" t="s">
        <v>5920</v>
      </c>
    </row>
    <row r="2209" spans="1:3">
      <c r="A2209" t="s">
        <v>7512</v>
      </c>
      <c r="B2209" t="str">
        <f ca="1">IF(ISBLANK(OFFSET(B2209,0,'Field labels'!$Q$1)),C2209,OFFSET(B2209,0,'Field labels'!$Q$1))</f>
        <v>Commercial-VA-Other (366023-LE002834)</v>
      </c>
      <c r="C2209" t="s">
        <v>5922</v>
      </c>
    </row>
    <row r="2210" spans="1:3">
      <c r="A2210" t="s">
        <v>7512</v>
      </c>
      <c r="B2210" t="str">
        <f ca="1">IF(ISBLANK(OFFSET(B2210,0,'Field labels'!$Q$1)),C2210,OFFSET(B2210,0,'Field labels'!$Q$1))</f>
        <v>Crush Lecithin (860035-LE002834)</v>
      </c>
      <c r="C2210" t="s">
        <v>6001</v>
      </c>
    </row>
    <row r="2211" spans="1:3">
      <c r="A2211" t="s">
        <v>7512</v>
      </c>
      <c r="B2211" t="str">
        <f ca="1">IF(ISBLANK(OFFSET(B2211,0,'Field labels'!$Q$1)),C2211,OFFSET(B2211,0,'Field labels'!$Q$1))</f>
        <v>Financial (926070-LE002834)</v>
      </c>
      <c r="C2211" t="s">
        <v>6224</v>
      </c>
    </row>
    <row r="2212" spans="1:3">
      <c r="A2212" t="s">
        <v>7512</v>
      </c>
      <c r="B2212" t="str">
        <f ca="1">IF(ISBLANK(OFFSET(B2212,0,'Field labels'!$Q$1)),C2212,OFFSET(B2212,0,'Field labels'!$Q$1))</f>
        <v>FSQR (926038-LE002834)</v>
      </c>
      <c r="C2212" t="s">
        <v>6367</v>
      </c>
    </row>
    <row r="2213" spans="1:3">
      <c r="A2213" t="s">
        <v>7512</v>
      </c>
      <c r="B2213" t="str">
        <f ca="1">IF(ISBLANK(OFFSET(B2213,0,'Field labels'!$Q$1)),C2213,OFFSET(B2213,0,'Field labels'!$Q$1))</f>
        <v>G &amp; A-Supply Chain (860060-LE002834)</v>
      </c>
      <c r="C2213" t="s">
        <v>6418</v>
      </c>
    </row>
    <row r="2214" spans="1:3">
      <c r="A2214" t="s">
        <v>7512</v>
      </c>
      <c r="B2214" t="str">
        <f ca="1">IF(ISBLANK(OFFSET(B2214,0,'Field labels'!$Q$1)),C2214,OFFSET(B2214,0,'Field labels'!$Q$1))</f>
        <v>G&amp;A Admin (860040-LE002834)</v>
      </c>
      <c r="C2214" t="s">
        <v>6424</v>
      </c>
    </row>
    <row r="2215" spans="1:3">
      <c r="A2215" t="s">
        <v>7512</v>
      </c>
      <c r="B2215" t="str">
        <f ca="1">IF(ISBLANK(OFFSET(B2215,0,'Field labels'!$Q$1)),C2215,OFFSET(B2215,0,'Field labels'!$Q$1))</f>
        <v>G&amp;A- Finance (860070-LE002834)</v>
      </c>
      <c r="C2215" t="s">
        <v>6426</v>
      </c>
    </row>
    <row r="2216" spans="1:3">
      <c r="A2216" t="s">
        <v>7512</v>
      </c>
      <c r="B2216" t="str">
        <f ca="1">IF(ISBLANK(OFFSET(B2216,0,'Field labels'!$Q$1)),C2216,OFFSET(B2216,0,'Field labels'!$Q$1))</f>
        <v>G&amp;A-Admin from GCK (926940-LE002834)</v>
      </c>
      <c r="C2216" t="s">
        <v>6431</v>
      </c>
    </row>
    <row r="2217" spans="1:3">
      <c r="A2217" t="s">
        <v>7512</v>
      </c>
      <c r="B2217" t="str">
        <f ca="1">IF(ISBLANK(OFFSET(B2217,0,'Field labels'!$Q$1)),C2217,OFFSET(B2217,0,'Field labels'!$Q$1))</f>
        <v>G&amp;A-Customer Focus (860051-LE002834)</v>
      </c>
      <c r="C2217" t="s">
        <v>6432</v>
      </c>
    </row>
    <row r="2218" spans="1:3">
      <c r="A2218" t="s">
        <v>7512</v>
      </c>
      <c r="B2218" t="str">
        <f ca="1">IF(ISBLANK(OFFSET(B2218,0,'Field labels'!$Q$1)),C2218,OFFSET(B2218,0,'Field labels'!$Q$1))</f>
        <v>G&amp;A-Customer focus-from GCK (926951-LE002834)</v>
      </c>
      <c r="C2218" t="s">
        <v>6433</v>
      </c>
    </row>
    <row r="2219" spans="1:3">
      <c r="A2219" t="s">
        <v>7512</v>
      </c>
      <c r="B2219" t="str">
        <f ca="1">IF(ISBLANK(OFFSET(B2219,0,'Field labels'!$Q$1)),C2219,OFFSET(B2219,0,'Field labels'!$Q$1))</f>
        <v>G&amp;A-Finance-from GCK (926970-LE002834)</v>
      </c>
      <c r="C2219" t="s">
        <v>6438</v>
      </c>
    </row>
    <row r="2220" spans="1:3">
      <c r="A2220" t="s">
        <v>7512</v>
      </c>
      <c r="B2220" t="str">
        <f ca="1">IF(ISBLANK(OFFSET(B2220,0,'Field labels'!$Q$1)),C2220,OFFSET(B2220,0,'Field labels'!$Q$1))</f>
        <v>G&amp;A-Supply chain-from crush (926960-LE002834)</v>
      </c>
      <c r="C2220" t="s">
        <v>6447</v>
      </c>
    </row>
    <row r="2221" spans="1:3">
      <c r="A2221" t="s">
        <v>7512</v>
      </c>
      <c r="B2221" t="str">
        <f ca="1">IF(ISBLANK(OFFSET(B2221,0,'Field labels'!$Q$1)),C2221,OFFSET(B2221,0,'Field labels'!$Q$1))</f>
        <v>GCK Sharing for BOSC (926052-LE002834)</v>
      </c>
      <c r="C2221" t="s">
        <v>6451</v>
      </c>
    </row>
    <row r="2222" spans="1:3">
      <c r="A2222" t="s">
        <v>7512</v>
      </c>
      <c r="B2222" t="str">
        <f ca="1">IF(ISBLANK(OFFSET(B2222,0,'Field labels'!$Q$1)),C2222,OFFSET(B2222,0,'Field labels'!$Q$1))</f>
        <v>Loading/unloading (860026-LE002834)</v>
      </c>
      <c r="C2222" t="s">
        <v>6667</v>
      </c>
    </row>
    <row r="2223" spans="1:3">
      <c r="A2223" t="s">
        <v>7512</v>
      </c>
      <c r="B2223" t="str">
        <f ca="1">IF(ISBLANK(OFFSET(B2223,0,'Field labels'!$Q$1)),C2223,OFFSET(B2223,0,'Field labels'!$Q$1))</f>
        <v>Packaging (366036-LE002834)</v>
      </c>
      <c r="C2223" t="s">
        <v>6804</v>
      </c>
    </row>
    <row r="2224" spans="1:3">
      <c r="A2224" t="s">
        <v>7512</v>
      </c>
      <c r="B2224" t="str">
        <f ca="1">IF(ISBLANK(OFFSET(B2224,0,'Field labels'!$Q$1)),C2224,OFFSET(B2224,0,'Field labels'!$Q$1))</f>
        <v>Production Lab (860038-LE002834)</v>
      </c>
      <c r="C2224" t="s">
        <v>6914</v>
      </c>
    </row>
    <row r="2225" spans="1:3">
      <c r="A2225" t="s">
        <v>7512</v>
      </c>
      <c r="B2225" t="str">
        <f ca="1">IF(ISBLANK(OFFSET(B2225,0,'Field labels'!$Q$1)),C2225,OFFSET(B2225,0,'Field labels'!$Q$1))</f>
        <v>Production Shared (926035-LE002834)</v>
      </c>
      <c r="C2225" t="s">
        <v>6920</v>
      </c>
    </row>
    <row r="2226" spans="1:3">
      <c r="A2226" t="s">
        <v>7512</v>
      </c>
      <c r="B2226" t="str">
        <f ca="1">IF(ISBLANK(OFFSET(B2226,0,'Field labels'!$Q$1)),C2226,OFFSET(B2226,0,'Field labels'!$Q$1))</f>
        <v>Production_R&amp;M-from crush (926933-LE002834)</v>
      </c>
      <c r="C2226" t="s">
        <v>6929</v>
      </c>
    </row>
    <row r="2227" spans="1:3">
      <c r="A2227" t="s">
        <v>7512</v>
      </c>
      <c r="B2227" t="str">
        <f ca="1">IF(ISBLANK(OFFSET(B2227,0,'Field labels'!$Q$1)),C2227,OFFSET(B2227,0,'Field labels'!$Q$1))</f>
        <v>Production-Crush (860030-LE002834)</v>
      </c>
      <c r="C2227" t="s">
        <v>6934</v>
      </c>
    </row>
    <row r="2228" spans="1:3">
      <c r="A2228" t="s">
        <v>7512</v>
      </c>
      <c r="B2228" t="str">
        <f ca="1">IF(ISBLANK(OFFSET(B2228,0,'Field labels'!$Q$1)),C2228,OFFSET(B2228,0,'Field labels'!$Q$1))</f>
        <v>Production-EHS (860037-LE002834)</v>
      </c>
      <c r="C2228" t="s">
        <v>6938</v>
      </c>
    </row>
    <row r="2229" spans="1:3">
      <c r="A2229" t="s">
        <v>7512</v>
      </c>
      <c r="B2229" t="str">
        <f ca="1">IF(ISBLANK(OFFSET(B2229,0,'Field labels'!$Q$1)),C2229,OFFSET(B2229,0,'Field labels'!$Q$1))</f>
        <v>Production-EHS (926936-LE002834)</v>
      </c>
      <c r="C2229" t="s">
        <v>6935</v>
      </c>
    </row>
    <row r="2230" spans="1:3">
      <c r="A2230" t="s">
        <v>7512</v>
      </c>
      <c r="B2230" t="str">
        <f ca="1">IF(ISBLANK(OFFSET(B2230,0,'Field labels'!$Q$1)),C2230,OFFSET(B2230,0,'Field labels'!$Q$1))</f>
        <v>Production-non R&amp;M-from GCK (926939-LE002834)</v>
      </c>
      <c r="C2230" t="s">
        <v>6943</v>
      </c>
    </row>
    <row r="2231" spans="1:3">
      <c r="A2231" t="s">
        <v>7512</v>
      </c>
      <c r="B2231" t="str">
        <f ca="1">IF(ISBLANK(OFFSET(B2231,0,'Field labels'!$Q$1)),C2231,OFFSET(B2231,0,'Field labels'!$Q$1))</f>
        <v>Production-R&amp;M (860034-LE002834)</v>
      </c>
      <c r="C2231" t="s">
        <v>6946</v>
      </c>
    </row>
    <row r="2232" spans="1:3">
      <c r="A2232" t="s">
        <v>7512</v>
      </c>
      <c r="B2232" t="str">
        <f ca="1">IF(ISBLANK(OFFSET(B2232,0,'Field labels'!$Q$1)),C2232,OFFSET(B2232,0,'Field labels'!$Q$1))</f>
        <v>Production-Safeguard (860071-LE002834)</v>
      </c>
      <c r="C2232" t="s">
        <v>6948</v>
      </c>
    </row>
    <row r="2233" spans="1:3">
      <c r="A2233" t="s">
        <v>7512</v>
      </c>
      <c r="B2233" t="str">
        <f ca="1">IF(ISBLANK(OFFSET(B2233,0,'Field labels'!$Q$1)),C2233,OFFSET(B2233,0,'Field labels'!$Q$1))</f>
        <v>Production-Weightbridge (860072-LE002834)</v>
      </c>
      <c r="C2233" t="s">
        <v>6949</v>
      </c>
    </row>
    <row r="2234" spans="1:3">
      <c r="A2234" t="s">
        <v>7512</v>
      </c>
      <c r="B2234" t="str">
        <f ca="1">IF(ISBLANK(OFFSET(B2234,0,'Field labels'!$Q$1)),C2234,OFFSET(B2234,0,'Field labels'!$Q$1))</f>
        <v>R&amp;D (366024-LE002834)</v>
      </c>
      <c r="C2234" t="s">
        <v>7003</v>
      </c>
    </row>
    <row r="2235" spans="1:3">
      <c r="A2235" t="s">
        <v>7512</v>
      </c>
      <c r="B2235" t="str">
        <f ca="1">IF(ISBLANK(OFFSET(B2235,0,'Field labels'!$Q$1)),C2235,OFFSET(B2235,0,'Field labels'!$Q$1))</f>
        <v>R&amp;M (926033-LE002834)</v>
      </c>
      <c r="C2235" t="s">
        <v>7005</v>
      </c>
    </row>
    <row r="2236" spans="1:3">
      <c r="A2236" t="s">
        <v>7512</v>
      </c>
      <c r="B2236" t="str">
        <f ca="1">IF(ISBLANK(OFFSET(B2236,0,'Field labels'!$Q$1)),C2236,OFFSET(B2236,0,'Field labels'!$Q$1))</f>
        <v>Refinery Production (926030-LE002834)</v>
      </c>
      <c r="C2236" t="s">
        <v>7018</v>
      </c>
    </row>
    <row r="2237" spans="1:3">
      <c r="A2237" t="s">
        <v>7512</v>
      </c>
      <c r="B2237" t="str">
        <f ca="1">IF(ISBLANK(OFFSET(B2237,0,'Field labels'!$Q$1)),C2237,OFFSET(B2237,0,'Field labels'!$Q$1))</f>
        <v>Safeguard-from crush (926971-LE002834)</v>
      </c>
      <c r="C2237" t="s">
        <v>7056</v>
      </c>
    </row>
    <row r="2238" spans="1:3">
      <c r="A2238" t="s">
        <v>7512</v>
      </c>
      <c r="B2238" t="str">
        <f ca="1">IF(ISBLANK(OFFSET(B2238,0,'Field labels'!$Q$1)),C2238,OFFSET(B2238,0,'Field labels'!$Q$1))</f>
        <v>Selling Department-Meal Team (860020-LE002834)</v>
      </c>
      <c r="C2238" t="s">
        <v>7110</v>
      </c>
    </row>
    <row r="2239" spans="1:3">
      <c r="A2239" t="s">
        <v>7512</v>
      </c>
      <c r="B2239" t="str">
        <f ca="1">IF(ISBLANK(OFFSET(B2239,0,'Field labels'!$Q$1)),C2239,OFFSET(B2239,0,'Field labels'!$Q$1))</f>
        <v>SGA-GHRO NT (382042-LE002834)</v>
      </c>
      <c r="C2239" t="s">
        <v>7126</v>
      </c>
    </row>
    <row r="2240" spans="1:3">
      <c r="A2240" t="s">
        <v>7512</v>
      </c>
      <c r="B2240" t="str">
        <f ca="1">IF(ISBLANK(OFFSET(B2240,0,'Field labels'!$Q$1)),C2240,OFFSET(B2240,0,'Field labels'!$Q$1))</f>
        <v>Share Serv Exp-Project Team (860092-LE002834)</v>
      </c>
      <c r="C2240" t="s">
        <v>7135</v>
      </c>
    </row>
    <row r="2241" spans="1:3">
      <c r="A2241" t="s">
        <v>7512</v>
      </c>
      <c r="B2241" t="str">
        <f ca="1">IF(ISBLANK(OFFSET(B2241,0,'Field labels'!$Q$1)),C2241,OFFSET(B2241,0,'Field labels'!$Q$1))</f>
        <v>Strategic Sourcing (382135-LE002834)</v>
      </c>
      <c r="C2241" t="s">
        <v>7192</v>
      </c>
    </row>
    <row r="2242" spans="1:3">
      <c r="A2242" t="s">
        <v>7512</v>
      </c>
      <c r="B2242" t="str">
        <f ca="1">IF(ISBLANK(OFFSET(B2242,0,'Field labels'!$Q$1)),C2242,OFFSET(B2242,0,'Field labels'!$Q$1))</f>
        <v>Supply Chain - CE (860044-LE002834)</v>
      </c>
      <c r="C2242" t="s">
        <v>7202</v>
      </c>
    </row>
    <row r="2243" spans="1:3">
      <c r="A2243" t="s">
        <v>7512</v>
      </c>
      <c r="B2243" t="str">
        <f ca="1">IF(ISBLANK(OFFSET(B2243,0,'Field labels'!$Q$1)),C2243,OFFSET(B2243,0,'Field labels'!$Q$1))</f>
        <v>Supply Chain - CE from GCK (926961-LE002834)</v>
      </c>
      <c r="C2243" t="s">
        <v>7203</v>
      </c>
    </row>
    <row r="2244" spans="1:3">
      <c r="A2244" t="s">
        <v>7512</v>
      </c>
      <c r="B2244" t="str">
        <f ca="1">IF(ISBLANK(OFFSET(B2244,0,'Field labels'!$Q$1)),C2244,OFFSET(B2244,0,'Field labels'!$Q$1))</f>
        <v>Supply Chain-CE (926061-LE002834)</v>
      </c>
      <c r="C2244" t="s">
        <v>7207</v>
      </c>
    </row>
    <row r="2245" spans="1:3">
      <c r="A2245" t="s">
        <v>7512</v>
      </c>
      <c r="B2245" t="str">
        <f ca="1">IF(ISBLANK(OFFSET(B2245,0,'Field labels'!$Q$1)),C2245,OFFSET(B2245,0,'Field labels'!$Q$1))</f>
        <v>Supply Chain-Planning (926067-LE002834)</v>
      </c>
      <c r="C2245" t="s">
        <v>7210</v>
      </c>
    </row>
    <row r="2246" spans="1:3">
      <c r="A2246" t="s">
        <v>7512</v>
      </c>
      <c r="B2246" t="str">
        <f ca="1">IF(ISBLANK(OFFSET(B2246,0,'Field labels'!$Q$1)),C2246,OFFSET(B2246,0,'Field labels'!$Q$1))</f>
        <v>Supply Chain-T&amp;L (926060-LE002834)</v>
      </c>
      <c r="C2246" t="s">
        <v>7212</v>
      </c>
    </row>
    <row r="2247" spans="1:3">
      <c r="A2247" t="s">
        <v>7512</v>
      </c>
      <c r="B2247" t="str">
        <f ca="1">IF(ISBLANK(OFFSET(B2247,0,'Field labels'!$Q$1)),C2247,OFFSET(B2247,0,'Field labels'!$Q$1))</f>
        <v>Supply Chain-Truck (366016-LE002834)</v>
      </c>
      <c r="C2247" t="s">
        <v>7215</v>
      </c>
    </row>
    <row r="2248" spans="1:3">
      <c r="A2248" t="s">
        <v>7512</v>
      </c>
      <c r="B2248" t="str">
        <f ca="1">IF(ISBLANK(OFFSET(B2248,0,'Field labels'!$Q$1)),C2248,OFFSET(B2248,0,'Field labels'!$Q$1))</f>
        <v>Supply Chain-Warehouse (366037-LE002834)</v>
      </c>
      <c r="C2248" t="s">
        <v>7217</v>
      </c>
    </row>
    <row r="2249" spans="1:3">
      <c r="A2249" t="s">
        <v>7512</v>
      </c>
      <c r="B2249" t="str">
        <f ca="1">IF(ISBLANK(OFFSET(B2249,0,'Field labels'!$Q$1)),C2249,OFFSET(B2249,0,'Field labels'!$Q$1))</f>
        <v>Tank Farm (926039-LE002834)</v>
      </c>
      <c r="C2249" t="s">
        <v>7357</v>
      </c>
    </row>
    <row r="2250" spans="1:3">
      <c r="A2250" t="s">
        <v>7512</v>
      </c>
      <c r="B2250" t="str">
        <f ca="1">IF(ISBLANK(OFFSET(B2250,0,'Field labels'!$Q$1)),C2250,OFFSET(B2250,0,'Field labels'!$Q$1))</f>
        <v>Weightbridge-from crush (926972-LE002834)</v>
      </c>
      <c r="C2250" t="s">
        <v>7429</v>
      </c>
    </row>
    <row r="2251" spans="1:3">
      <c r="A2251" t="s">
        <v>7512</v>
      </c>
      <c r="B2251" t="str">
        <f ca="1">IF(ISBLANK(OFFSET(B2251,0,'Field labels'!$Q$1)),C2251,OFFSET(B2251,0,'Field labels'!$Q$1))</f>
        <v>WWTP (926037-LE002834)</v>
      </c>
      <c r="C2251" t="s">
        <v>7445</v>
      </c>
    </row>
    <row r="2252" spans="1:3">
      <c r="A2252" t="s">
        <v>7511</v>
      </c>
      <c r="B2252" t="str">
        <f ca="1">IF(ISBLANK(OFFSET(B2252,0,'Field labels'!$Q$1)),C2252,OFFSET(B2252,0,'Field labels'!$Q$1))</f>
        <v>Chengdu Plant (830007-LE002893)</v>
      </c>
      <c r="C2252" t="s">
        <v>5720</v>
      </c>
    </row>
    <row r="2253" spans="1:3">
      <c r="A2253" t="s">
        <v>7511</v>
      </c>
      <c r="B2253" t="str">
        <f ca="1">IF(ISBLANK(OFFSET(B2253,0,'Field labels'!$Q$1)),C2253,OFFSET(B2253,0,'Field labels'!$Q$1))</f>
        <v>Chengdu Ruminant (830209-LE002893)</v>
      </c>
      <c r="C2253" t="s">
        <v>5721</v>
      </c>
    </row>
    <row r="2254" spans="1:3">
      <c r="A2254" t="s">
        <v>7511</v>
      </c>
      <c r="B2254" t="str">
        <f ca="1">IF(ISBLANK(OFFSET(B2254,0,'Field labels'!$Q$1)),C2254,OFFSET(B2254,0,'Field labels'!$Q$1))</f>
        <v>Functional –CFN Chengdu (830812-LE002893)</v>
      </c>
      <c r="C2254" t="s">
        <v>6392</v>
      </c>
    </row>
    <row r="2255" spans="1:3">
      <c r="A2255" t="s">
        <v>7520</v>
      </c>
      <c r="B2255" t="str">
        <f ca="1">IF(ISBLANK(OFFSET(B2255,0,'Field labels'!$Q$1)),C2255,OFFSET(B2255,0,'Field labels'!$Q$1))</f>
        <v>COMPI-CCP Storage (514030800-LE002950)</v>
      </c>
      <c r="C2255" t="s">
        <v>5925</v>
      </c>
    </row>
    <row r="2256" spans="1:3">
      <c r="A2256" t="s">
        <v>7520</v>
      </c>
      <c r="B2256" t="str">
        <f ca="1">IF(ISBLANK(OFFSET(B2256,0,'Field labels'!$Q$1)),C2256,OFFSET(B2256,0,'Field labels'!$Q$1))</f>
        <v>COMPI-FSQR Expenses (514010102-LE002950)</v>
      </c>
      <c r="C2256" t="s">
        <v>5926</v>
      </c>
    </row>
    <row r="2257" spans="1:3">
      <c r="A2257" t="s">
        <v>7520</v>
      </c>
      <c r="B2257" t="str">
        <f ca="1">IF(ISBLANK(OFFSET(B2257,0,'Field labels'!$Q$1)),C2257,OFFSET(B2257,0,'Field labels'!$Q$1))</f>
        <v>GSC - Admin (Phil) (514030900-LE002950)</v>
      </c>
      <c r="C2257" t="s">
        <v>6536</v>
      </c>
    </row>
    <row r="2258" spans="1:3">
      <c r="A2258" t="s">
        <v>7520</v>
      </c>
      <c r="B2258" t="str">
        <f ca="1">IF(ISBLANK(OFFSET(B2258,0,'Field labels'!$Q$1)),C2258,OFFSET(B2258,0,'Field labels'!$Q$1))</f>
        <v>GSC - Maintenance (Phil) (514030700-LE002950)</v>
      </c>
      <c r="C2258" t="s">
        <v>6537</v>
      </c>
    </row>
    <row r="2259" spans="1:3">
      <c r="A2259" t="s">
        <v>7520</v>
      </c>
      <c r="B2259" t="str">
        <f ca="1">IF(ISBLANK(OFFSET(B2259,0,'Field labels'!$Q$1)),C2259,OFFSET(B2259,0,'Field labels'!$Q$1))</f>
        <v>GSC - Production (Phil) (514030400-LE002950)</v>
      </c>
      <c r="C2259" t="s">
        <v>6538</v>
      </c>
    </row>
    <row r="2260" spans="1:3">
      <c r="A2260" t="s">
        <v>7520</v>
      </c>
      <c r="B2260" t="str">
        <f ca="1">IF(ISBLANK(OFFSET(B2260,0,'Field labels'!$Q$1)),C2260,OFFSET(B2260,0,'Field labels'!$Q$1))</f>
        <v>GSC - QA (Phil) (514030600-LE002950)</v>
      </c>
      <c r="C2260" t="s">
        <v>6539</v>
      </c>
    </row>
    <row r="2261" spans="1:3">
      <c r="A2261" t="s">
        <v>7520</v>
      </c>
      <c r="B2261" t="str">
        <f ca="1">IF(ISBLANK(OFFSET(B2261,0,'Field labels'!$Q$1)),C2261,OFFSET(B2261,0,'Field labels'!$Q$1))</f>
        <v>GSC - Terminal (Phil) (514030500-LE002950)</v>
      </c>
      <c r="C2261" t="s">
        <v>6540</v>
      </c>
    </row>
    <row r="2262" spans="1:3">
      <c r="A2262" t="s">
        <v>7520</v>
      </c>
      <c r="B2262" t="str">
        <f ca="1">IF(ISBLANK(OFFSET(B2262,0,'Field labels'!$Q$1)),C2262,OFFSET(B2262,0,'Field labels'!$Q$1))</f>
        <v>GSC EHS (514030902-LE002950)</v>
      </c>
      <c r="C2262" t="s">
        <v>6541</v>
      </c>
    </row>
    <row r="2263" spans="1:3">
      <c r="A2263" t="s">
        <v>7520</v>
      </c>
      <c r="B2263" t="str">
        <f ca="1">IF(ISBLANK(OFFSET(B2263,0,'Field labels'!$Q$1)),C2263,OFFSET(B2263,0,'Field labels'!$Q$1))</f>
        <v>GSC HR (514010101-LE002950)</v>
      </c>
      <c r="C2263" t="s">
        <v>6542</v>
      </c>
    </row>
    <row r="2264" spans="1:3">
      <c r="A2264" t="s">
        <v>7520</v>
      </c>
      <c r="B2264" t="str">
        <f ca="1">IF(ISBLANK(OFFSET(B2264,0,'Field labels'!$Q$1)),C2264,OFFSET(B2264,0,'Field labels'!$Q$1))</f>
        <v>SEAGOC - Admin (Phil) (514010100-LE002950)</v>
      </c>
      <c r="C2264" t="s">
        <v>7105</v>
      </c>
    </row>
    <row r="2265" spans="1:3">
      <c r="A2265" t="s">
        <v>7520</v>
      </c>
      <c r="B2265" t="str">
        <f ca="1">IF(ISBLANK(OFFSET(B2265,0,'Field labels'!$Q$1)),C2265,OFFSET(B2265,0,'Field labels'!$Q$1))</f>
        <v>SEAGOC - Buying (Phil) (514020300-LE002950)</v>
      </c>
      <c r="C2265" t="s">
        <v>7106</v>
      </c>
    </row>
    <row r="2266" spans="1:3">
      <c r="A2266" t="s">
        <v>7520</v>
      </c>
      <c r="B2266" t="str">
        <f ca="1">IF(ISBLANK(OFFSET(B2266,0,'Field labels'!$Q$1)),C2266,OFFSET(B2266,0,'Field labels'!$Q$1))</f>
        <v>SEAGOC - Merchandising (Phil) (514010200-LE002950)</v>
      </c>
      <c r="C2266" t="s">
        <v>7107</v>
      </c>
    </row>
    <row r="2267" spans="1:3">
      <c r="A2267" t="s">
        <v>7520</v>
      </c>
      <c r="B2267" t="str">
        <f ca="1">IF(ISBLANK(OFFSET(B2267,0,'Field labels'!$Q$1)),C2267,OFFSET(B2267,0,'Field labels'!$Q$1))</f>
        <v>SEAGOC Trade Execution (514010600-LE002950)</v>
      </c>
      <c r="C2267" t="s">
        <v>7108</v>
      </c>
    </row>
    <row r="2268" spans="1:3">
      <c r="A2268" t="s">
        <v>7544</v>
      </c>
      <c r="B2268" t="str">
        <f ca="1">IF(ISBLANK(OFFSET(B2268,0,'Field labels'!$Q$1)),C2268,OFFSET(B2268,0,'Field labels'!$Q$1))</f>
        <v>Functional CFN Zhenjiang (379812-LE002991)</v>
      </c>
      <c r="C2268" t="s">
        <v>6400</v>
      </c>
    </row>
    <row r="2269" spans="1:3">
      <c r="A2269" t="s">
        <v>7544</v>
      </c>
      <c r="B2269" t="str">
        <f ca="1">IF(ISBLANK(OFFSET(B2269,0,'Field labels'!$Q$1)),C2269,OFFSET(B2269,0,'Field labels'!$Q$1))</f>
        <v>Zhenjiang Aqua (379309-LE002991)</v>
      </c>
      <c r="C2269" t="s">
        <v>7466</v>
      </c>
    </row>
    <row r="2270" spans="1:3">
      <c r="A2270" t="s">
        <v>7544</v>
      </c>
      <c r="B2270" t="str">
        <f ca="1">IF(ISBLANK(OFFSET(B2270,0,'Field labels'!$Q$1)),C2270,OFFSET(B2270,0,'Field labels'!$Q$1))</f>
        <v>Zhenjiang Hog (812109-LE002991)</v>
      </c>
      <c r="C2270" t="s">
        <v>7467</v>
      </c>
    </row>
    <row r="2271" spans="1:3">
      <c r="A2271" t="s">
        <v>7544</v>
      </c>
      <c r="B2271" t="str">
        <f ca="1">IF(ISBLANK(OFFSET(B2271,0,'Field labels'!$Q$1)),C2271,OFFSET(B2271,0,'Field labels'!$Q$1))</f>
        <v>Zhenjiang Pet (998509-LE002991)</v>
      </c>
      <c r="C2271" t="s">
        <v>7468</v>
      </c>
    </row>
    <row r="2272" spans="1:3">
      <c r="A2272" t="s">
        <v>7544</v>
      </c>
      <c r="B2272" t="str">
        <f ca="1">IF(ISBLANK(OFFSET(B2272,0,'Field labels'!$Q$1)),C2272,OFFSET(B2272,0,'Field labels'!$Q$1))</f>
        <v>ZJ Aqua-Plant Exp (379007-LE002991)</v>
      </c>
      <c r="C2272" t="s">
        <v>7469</v>
      </c>
    </row>
    <row r="2273" spans="1:3">
      <c r="A2273" t="s">
        <v>7540</v>
      </c>
      <c r="B2273" t="str">
        <f ca="1">IF(ISBLANK(OFFSET(B2273,0,'Field labels'!$Q$1)),C2273,OFFSET(B2273,0,'Field labels'!$Q$1))</f>
        <v>Functional – CFN Kunming (373812-LE003018)</v>
      </c>
      <c r="C2273" t="s">
        <v>6390</v>
      </c>
    </row>
    <row r="2274" spans="1:3">
      <c r="A2274" t="s">
        <v>7540</v>
      </c>
      <c r="B2274" t="str">
        <f ca="1">IF(ISBLANK(OFFSET(B2274,0,'Field labels'!$Q$1)),C2274,OFFSET(B2274,0,'Field labels'!$Q$1))</f>
        <v>Kunming Hog (373109-LE003018)</v>
      </c>
      <c r="C2274" t="s">
        <v>6642</v>
      </c>
    </row>
    <row r="2275" spans="1:3">
      <c r="A2275" t="s">
        <v>7540</v>
      </c>
      <c r="B2275" t="str">
        <f ca="1">IF(ISBLANK(OFFSET(B2275,0,'Field labels'!$Q$1)),C2275,OFFSET(B2275,0,'Field labels'!$Q$1))</f>
        <v>Kunming Plant (373007-LE003018)</v>
      </c>
      <c r="C2275" t="s">
        <v>6643</v>
      </c>
    </row>
    <row r="2276" spans="1:3">
      <c r="A2276" t="s">
        <v>7556</v>
      </c>
      <c r="B2276" t="str">
        <f ca="1">IF(ISBLANK(OFFSET(B2276,0,'Field labels'!$Q$1)),C2276,OFFSET(B2276,0,'Field labels'!$Q$1))</f>
        <v>Production-Boiler (861030-LE003039)</v>
      </c>
      <c r="C2276" t="s">
        <v>6933</v>
      </c>
    </row>
    <row r="2277" spans="1:3">
      <c r="A2277" t="s">
        <v>7491</v>
      </c>
      <c r="B2277" t="str">
        <f ca="1">IF(ISBLANK(OFFSET(B2277,0,'Field labels'!$Q$1)),C2277,OFFSET(B2277,0,'Field labels'!$Q$1))</f>
        <v>Admin Expense (701-LE003044)</v>
      </c>
      <c r="C2277" t="s">
        <v>5485</v>
      </c>
    </row>
    <row r="2278" spans="1:3">
      <c r="A2278" t="s">
        <v>7491</v>
      </c>
      <c r="B2278" t="str">
        <f ca="1">IF(ISBLANK(OFFSET(B2278,0,'Field labels'!$Q$1)),C2278,OFFSET(B2278,0,'Field labels'!$Q$1))</f>
        <v>BOSC - Capital Effectiveness &amp; Engineeri (713-LE003044)</v>
      </c>
      <c r="C2278" t="s">
        <v>5611</v>
      </c>
    </row>
    <row r="2279" spans="1:3">
      <c r="A2279" t="s">
        <v>7491</v>
      </c>
      <c r="B2279" t="str">
        <f ca="1">IF(ISBLANK(OFFSET(B2279,0,'Field labels'!$Q$1)),C2279,OFFSET(B2279,0,'Field labels'!$Q$1))</f>
        <v>BOSC - Continuous Improvement (714-LE003044)</v>
      </c>
      <c r="C2279" t="s">
        <v>5612</v>
      </c>
    </row>
    <row r="2280" spans="1:3">
      <c r="A2280" t="s">
        <v>7491</v>
      </c>
      <c r="B2280" t="str">
        <f ca="1">IF(ISBLANK(OFFSET(B2280,0,'Field labels'!$Q$1)),C2280,OFFSET(B2280,0,'Field labels'!$Q$1))</f>
        <v>BOSC - EHS (716-LE003044)</v>
      </c>
      <c r="C2280" t="s">
        <v>5613</v>
      </c>
    </row>
    <row r="2281" spans="1:3">
      <c r="A2281" t="s">
        <v>7491</v>
      </c>
      <c r="B2281" t="str">
        <f ca="1">IF(ISBLANK(OFFSET(B2281,0,'Field labels'!$Q$1)),C2281,OFFSET(B2281,0,'Field labels'!$Q$1))</f>
        <v>BOSC - Maintenance &amp; Reliability (715-LE003044)</v>
      </c>
      <c r="C2281" t="s">
        <v>5614</v>
      </c>
    </row>
    <row r="2282" spans="1:3">
      <c r="A2282" t="s">
        <v>7491</v>
      </c>
      <c r="B2282" t="str">
        <f ca="1">IF(ISBLANK(OFFSET(B2282,0,'Field labels'!$Q$1)),C2282,OFFSET(B2282,0,'Field labels'!$Q$1))</f>
        <v>BOSC - Manufacturing Technology (710-LE003044)</v>
      </c>
      <c r="C2282" t="s">
        <v>5615</v>
      </c>
    </row>
    <row r="2283" spans="1:3">
      <c r="A2283" t="s">
        <v>7491</v>
      </c>
      <c r="B2283" t="str">
        <f ca="1">IF(ISBLANK(OFFSET(B2283,0,'Field labels'!$Q$1)),C2283,OFFSET(B2283,0,'Field labels'!$Q$1))</f>
        <v>BOSC - Operation (717-LE003044)</v>
      </c>
      <c r="C2283" t="s">
        <v>5616</v>
      </c>
    </row>
    <row r="2284" spans="1:3">
      <c r="A2284" t="s">
        <v>7491</v>
      </c>
      <c r="B2284" t="str">
        <f ca="1">IF(ISBLANK(OFFSET(B2284,0,'Field labels'!$Q$1)),C2284,OFFSET(B2284,0,'Field labels'!$Q$1))</f>
        <v>Busy- G&amp; A Expense (72101-LE003044)</v>
      </c>
      <c r="C2284" t="s">
        <v>5637</v>
      </c>
    </row>
    <row r="2285" spans="1:3">
      <c r="A2285" t="s">
        <v>7491</v>
      </c>
      <c r="B2285" t="str">
        <f ca="1">IF(ISBLANK(OFFSET(B2285,0,'Field labels'!$Q$1)),C2285,OFFSET(B2285,0,'Field labels'!$Q$1))</f>
        <v>Busy- Manufacturing Expense (72103-LE003044)</v>
      </c>
      <c r="C2285" t="s">
        <v>5638</v>
      </c>
    </row>
    <row r="2286" spans="1:3">
      <c r="A2286" t="s">
        <v>7491</v>
      </c>
      <c r="B2286" t="str">
        <f ca="1">IF(ISBLANK(OFFSET(B2286,0,'Field labels'!$Q$1)),C2286,OFFSET(B2286,0,'Field labels'!$Q$1))</f>
        <v>Busy- Selling Expense (72102-LE003044)</v>
      </c>
      <c r="C2286" t="s">
        <v>5639</v>
      </c>
    </row>
    <row r="2287" spans="1:3">
      <c r="A2287" t="s">
        <v>7491</v>
      </c>
      <c r="B2287" t="str">
        <f ca="1">IF(ISBLANK(OFFSET(B2287,0,'Field labels'!$Q$1)),C2287,OFFSET(B2287,0,'Field labels'!$Q$1))</f>
        <v>Corn Procurement Expense (311-LE003044)</v>
      </c>
      <c r="C2287" t="s">
        <v>5942</v>
      </c>
    </row>
    <row r="2288" spans="1:3">
      <c r="A2288" t="s">
        <v>7491</v>
      </c>
      <c r="B2288" t="str">
        <f ca="1">IF(ISBLANK(OFFSET(B2288,0,'Field labels'!$Q$1)),C2288,OFFSET(B2288,0,'Field labels'!$Q$1))</f>
        <v>Corn Receiving Expense (310-LE003044)</v>
      </c>
      <c r="C2288" t="s">
        <v>5943</v>
      </c>
    </row>
    <row r="2289" spans="1:3">
      <c r="A2289" t="s">
        <v>7491</v>
      </c>
      <c r="B2289" t="str">
        <f ca="1">IF(ISBLANK(OFFSET(B2289,0,'Field labels'!$Q$1)),C2289,OFFSET(B2289,0,'Field labels'!$Q$1))</f>
        <v>Customer Service Expense (602-LE003044)</v>
      </c>
      <c r="C2289" t="s">
        <v>6030</v>
      </c>
    </row>
    <row r="2290" spans="1:3">
      <c r="A2290" t="s">
        <v>7491</v>
      </c>
      <c r="B2290" t="str">
        <f ca="1">IF(ISBLANK(OFFSET(B2290,0,'Field labels'!$Q$1)),C2290,OFFSET(B2290,0,'Field labels'!$Q$1))</f>
        <v>EHS Expense (904-LE003044)</v>
      </c>
      <c r="C2290" t="s">
        <v>6136</v>
      </c>
    </row>
    <row r="2291" spans="1:3">
      <c r="A2291" t="s">
        <v>7491</v>
      </c>
      <c r="B2291" t="str">
        <f ca="1">IF(ISBLANK(OFFSET(B2291,0,'Field labels'!$Q$1)),C2291,OFFSET(B2291,0,'Field labels'!$Q$1))</f>
        <v>Engineer Center Expense (805-LE003044)</v>
      </c>
      <c r="C2291" t="s">
        <v>6140</v>
      </c>
    </row>
    <row r="2292" spans="1:3">
      <c r="A2292" t="s">
        <v>7491</v>
      </c>
      <c r="B2292" t="str">
        <f ca="1">IF(ISBLANK(OFFSET(B2292,0,'Field labels'!$Q$1)),C2292,OFFSET(B2292,0,'Field labels'!$Q$1))</f>
        <v>Finance Expense (201-LE003044)</v>
      </c>
      <c r="C2292" t="s">
        <v>6210</v>
      </c>
    </row>
    <row r="2293" spans="1:3">
      <c r="A2293" t="s">
        <v>7491</v>
      </c>
      <c r="B2293" t="str">
        <f ca="1">IF(ISBLANK(OFFSET(B2293,0,'Field labels'!$Q$1)),C2293,OFFSET(B2293,0,'Field labels'!$Q$1))</f>
        <v>General Manage Expense (1-LE003044)</v>
      </c>
      <c r="C2293" t="s">
        <v>6458</v>
      </c>
    </row>
    <row r="2294" spans="1:3">
      <c r="A2294" t="s">
        <v>7491</v>
      </c>
      <c r="B2294" t="str">
        <f ca="1">IF(ISBLANK(OFFSET(B2294,0,'Field labels'!$Q$1)),C2294,OFFSET(B2294,0,'Field labels'!$Q$1))</f>
        <v>Human Resource Expense (702-LE003044)</v>
      </c>
      <c r="C2294" t="s">
        <v>6590</v>
      </c>
    </row>
    <row r="2295" spans="1:3">
      <c r="A2295" t="s">
        <v>7491</v>
      </c>
      <c r="B2295" t="str">
        <f ca="1">IF(ISBLANK(OFFSET(B2295,0,'Field labels'!$Q$1)),C2295,OFFSET(B2295,0,'Field labels'!$Q$1))</f>
        <v>Liquid Product Expense (303-LE003044)</v>
      </c>
      <c r="C2295" t="s">
        <v>6662</v>
      </c>
    </row>
    <row r="2296" spans="1:3">
      <c r="A2296" t="s">
        <v>7491</v>
      </c>
      <c r="B2296" t="str">
        <f ca="1">IF(ISBLANK(OFFSET(B2296,0,'Field labels'!$Q$1)),C2296,OFFSET(B2296,0,'Field labels'!$Q$1))</f>
        <v>Maintenance Expense (304-LE003044)</v>
      </c>
      <c r="C2296" t="s">
        <v>6695</v>
      </c>
    </row>
    <row r="2297" spans="1:3">
      <c r="A2297" t="s">
        <v>7491</v>
      </c>
      <c r="B2297" t="str">
        <f ca="1">IF(ISBLANK(OFFSET(B2297,0,'Field labels'!$Q$1)),C2297,OFFSET(B2297,0,'Field labels'!$Q$1))</f>
        <v>Mango 2 (CTS) center (6197719100-LE003044)</v>
      </c>
      <c r="C2297" t="s">
        <v>6705</v>
      </c>
    </row>
    <row r="2298" spans="1:3">
      <c r="A2298" t="s">
        <v>7491</v>
      </c>
      <c r="B2298" t="str">
        <f ca="1">IF(ISBLANK(OFFSET(B2298,0,'Field labels'!$Q$1)),C2298,OFFSET(B2298,0,'Field labels'!$Q$1))</f>
        <v>Mango II project (807-LE003044)</v>
      </c>
      <c r="C2298" t="s">
        <v>6706</v>
      </c>
    </row>
    <row r="2299" spans="1:3">
      <c r="A2299" t="s">
        <v>7491</v>
      </c>
      <c r="B2299" t="str">
        <f ca="1">IF(ISBLANK(OFFSET(B2299,0,'Field labels'!$Q$1)),C2299,OFFSET(B2299,0,'Field labels'!$Q$1))</f>
        <v>Modify Starch (9773100260-LE003044)</v>
      </c>
      <c r="C2299" t="s">
        <v>6743</v>
      </c>
    </row>
    <row r="2300" spans="1:3">
      <c r="A2300" t="s">
        <v>7491</v>
      </c>
      <c r="B2300" t="str">
        <f ca="1">IF(ISBLANK(OFFSET(B2300,0,'Field labels'!$Q$1)),C2300,OFFSET(B2300,0,'Field labels'!$Q$1))</f>
        <v>Passion Fruit Project (808-LE003044)</v>
      </c>
      <c r="C2300" t="s">
        <v>6808</v>
      </c>
    </row>
    <row r="2301" spans="1:3">
      <c r="A2301" t="s">
        <v>7491</v>
      </c>
      <c r="B2301" t="str">
        <f ca="1">IF(ISBLANK(OFFSET(B2301,0,'Field labels'!$Q$1)),C2301,OFFSET(B2301,0,'Field labels'!$Q$1))</f>
        <v>PDG Team Expense (305-LE003044)</v>
      </c>
      <c r="C2301" t="s">
        <v>6818</v>
      </c>
    </row>
    <row r="2302" spans="1:3">
      <c r="A2302" t="s">
        <v>7491</v>
      </c>
      <c r="B2302" t="str">
        <f ca="1">IF(ISBLANK(OFFSET(B2302,0,'Field labels'!$Q$1)),C2302,OFFSET(B2302,0,'Field labels'!$Q$1))</f>
        <v>Planning Expense (607-LE003044)</v>
      </c>
      <c r="C2302" t="s">
        <v>6843</v>
      </c>
    </row>
    <row r="2303" spans="1:3">
      <c r="A2303" t="s">
        <v>7491</v>
      </c>
      <c r="B2303" t="str">
        <f ca="1">IF(ISBLANK(OFFSET(B2303,0,'Field labels'!$Q$1)),C2303,OFFSET(B2303,0,'Field labels'!$Q$1))</f>
        <v>Powerstation Expense (307-LE003044)</v>
      </c>
      <c r="C2303" t="s">
        <v>6868</v>
      </c>
    </row>
    <row r="2304" spans="1:3">
      <c r="A2304" t="s">
        <v>7491</v>
      </c>
      <c r="B2304" t="str">
        <f ca="1">IF(ISBLANK(OFFSET(B2304,0,'Field labels'!$Q$1)),C2304,OFFSET(B2304,0,'Field labels'!$Q$1))</f>
        <v>Procurement Expense (501-LE003044)</v>
      </c>
      <c r="C2304" t="s">
        <v>6898</v>
      </c>
    </row>
    <row r="2305" spans="1:3">
      <c r="A2305" t="s">
        <v>7491</v>
      </c>
      <c r="B2305" t="str">
        <f ca="1">IF(ISBLANK(OFFSET(B2305,0,'Field labels'!$Q$1)),C2305,OFFSET(B2305,0,'Field labels'!$Q$1))</f>
        <v>Quality Expense (901-LE003044)</v>
      </c>
      <c r="C2305" t="s">
        <v>7002</v>
      </c>
    </row>
    <row r="2306" spans="1:3">
      <c r="A2306" t="s">
        <v>7491</v>
      </c>
      <c r="B2306" t="str">
        <f ca="1">IF(ISBLANK(OFFSET(B2306,0,'Field labels'!$Q$1)),C2306,OFFSET(B2306,0,'Field labels'!$Q$1))</f>
        <v>SSC SY Manufacturing- SPD (312-LE003044)</v>
      </c>
      <c r="C2306" t="s">
        <v>7185</v>
      </c>
    </row>
    <row r="2307" spans="1:3">
      <c r="A2307" t="s">
        <v>7491</v>
      </c>
      <c r="B2307" t="str">
        <f ca="1">IF(ISBLANK(OFFSET(B2307,0,'Field labels'!$Q$1)),C2307,OFFSET(B2307,0,'Field labels'!$Q$1))</f>
        <v>SSC SY Sales- Main Products (60403-LE003044)</v>
      </c>
      <c r="C2307" t="s">
        <v>7186</v>
      </c>
    </row>
    <row r="2308" spans="1:3">
      <c r="A2308" t="s">
        <v>7491</v>
      </c>
      <c r="B2308" t="str">
        <f ca="1">IF(ISBLANK(OFFSET(B2308,0,'Field labels'!$Q$1)),C2308,OFFSET(B2308,0,'Field labels'!$Q$1))</f>
        <v>SSC SY Sales-CO. Products (60404-LE003044)</v>
      </c>
      <c r="C2308" t="s">
        <v>7187</v>
      </c>
    </row>
    <row r="2309" spans="1:3">
      <c r="A2309" t="s">
        <v>7491</v>
      </c>
      <c r="B2309" t="str">
        <f ca="1">IF(ISBLANK(OFFSET(B2309,0,'Field labels'!$Q$1)),C2309,OFFSET(B2309,0,'Field labels'!$Q$1))</f>
        <v>Support for other project (72106-LE003044)</v>
      </c>
      <c r="C2309" t="s">
        <v>7218</v>
      </c>
    </row>
    <row r="2310" spans="1:3">
      <c r="A2310" t="s">
        <v>7491</v>
      </c>
      <c r="B2310" t="str">
        <f ca="1">IF(ISBLANK(OFFSET(B2310,0,'Field labels'!$Q$1)),C2310,OFFSET(B2310,0,'Field labels'!$Q$1))</f>
        <v>Sweet Bran Expense (708-LE003044)</v>
      </c>
      <c r="C2310" t="s">
        <v>7312</v>
      </c>
    </row>
    <row r="2311" spans="1:3">
      <c r="A2311" t="s">
        <v>7491</v>
      </c>
      <c r="B2311" t="str">
        <f ca="1">IF(ISBLANK(OFFSET(B2311,0,'Field labels'!$Q$1)),C2311,OFFSET(B2311,0,'Field labels'!$Q$1))</f>
        <v>Transportation Expense (608-LE003044)</v>
      </c>
      <c r="C2311" t="s">
        <v>7382</v>
      </c>
    </row>
    <row r="2312" spans="1:3">
      <c r="A2312" t="s">
        <v>7491</v>
      </c>
      <c r="B2312" t="str">
        <f ca="1">IF(ISBLANK(OFFSET(B2312,0,'Field labels'!$Q$1)),C2312,OFFSET(B2312,0,'Field labels'!$Q$1))</f>
        <v>Warehouse Expence (609-LE003044)</v>
      </c>
      <c r="C2312" t="s">
        <v>7425</v>
      </c>
    </row>
    <row r="2313" spans="1:3">
      <c r="A2313" t="s">
        <v>7491</v>
      </c>
      <c r="B2313" t="str">
        <f ca="1">IF(ISBLANK(OFFSET(B2313,0,'Field labels'!$Q$1)),C2313,OFFSET(B2313,0,'Field labels'!$Q$1))</f>
        <v>Water System Expense (308-LE003044)</v>
      </c>
      <c r="C2313" t="s">
        <v>7427</v>
      </c>
    </row>
    <row r="2314" spans="1:3">
      <c r="A2314" t="s">
        <v>7491</v>
      </c>
      <c r="B2314" t="str">
        <f ca="1">IF(ISBLANK(OFFSET(B2314,0,'Field labels'!$Q$1)),C2314,OFFSET(B2314,0,'Field labels'!$Q$1))</f>
        <v>Wet Mill Expense (301-LE003044)</v>
      </c>
      <c r="C2314" t="s">
        <v>7439</v>
      </c>
    </row>
    <row r="2315" spans="1:3">
      <c r="A2315" t="s">
        <v>7542</v>
      </c>
      <c r="B2315" t="str">
        <f ca="1">IF(ISBLANK(OFFSET(B2315,0,'Field labels'!$Q$1)),C2315,OFFSET(B2315,0,'Field labels'!$Q$1))</f>
        <v>Functional CFN Harbin (855812-LE003074)</v>
      </c>
      <c r="C2315" t="s">
        <v>6393</v>
      </c>
    </row>
    <row r="2316" spans="1:3">
      <c r="A2316" t="s">
        <v>7542</v>
      </c>
      <c r="B2316" t="str">
        <f ca="1">IF(ISBLANK(OFFSET(B2316,0,'Field labels'!$Q$1)),C2316,OFFSET(B2316,0,'Field labels'!$Q$1))</f>
        <v>Harbin Plant (855007-LE003074)</v>
      </c>
      <c r="C2316" t="s">
        <v>6547</v>
      </c>
    </row>
    <row r="2317" spans="1:3">
      <c r="A2317" t="s">
        <v>7542</v>
      </c>
      <c r="B2317" t="str">
        <f ca="1">IF(ISBLANK(OFFSET(B2317,0,'Field labels'!$Q$1)),C2317,OFFSET(B2317,0,'Field labels'!$Q$1))</f>
        <v>Harbin Ruminant (855209-LE003074)</v>
      </c>
      <c r="C2317" t="s">
        <v>6548</v>
      </c>
    </row>
    <row r="2318" spans="1:3">
      <c r="A2318" t="s">
        <v>7505</v>
      </c>
      <c r="B2318" t="str">
        <f ca="1">IF(ISBLANK(OFFSET(B2318,0,'Field labels'!$Q$1)),C2318,OFFSET(B2318,0,'Field labels'!$Q$1))</f>
        <v>BJ - Ferrous Brokerage-BOF (910890-LE003203)</v>
      </c>
      <c r="C2318" t="s">
        <v>5592</v>
      </c>
    </row>
    <row r="2319" spans="1:3">
      <c r="A2319" t="s">
        <v>7505</v>
      </c>
      <c r="B2319" t="str">
        <f ca="1">IF(ISBLANK(OFFSET(B2319,0,'Field labels'!$Q$1)),C2319,OFFSET(B2319,0,'Field labels'!$Q$1))</f>
        <v>BJ CAN Finance (471812-LE003203)</v>
      </c>
      <c r="C2319" t="s">
        <v>5593</v>
      </c>
    </row>
    <row r="2320" spans="1:3">
      <c r="A2320" t="s">
        <v>7505</v>
      </c>
      <c r="B2320" t="str">
        <f ca="1">IF(ISBLANK(OFFSET(B2320,0,'Field labels'!$Q$1)),C2320,OFFSET(B2320,0,'Field labels'!$Q$1))</f>
        <v>BJ CAN SSC (471826-LE003203)</v>
      </c>
      <c r="C2320" t="s">
        <v>5594</v>
      </c>
    </row>
    <row r="2321" spans="1:3">
      <c r="A2321" t="s">
        <v>7505</v>
      </c>
      <c r="B2321" t="str">
        <f ca="1">IF(ISBLANK(OFFSET(B2321,0,'Field labels'!$Q$1)),C2321,OFFSET(B2321,0,'Field labels'!$Q$1))</f>
        <v>CAN EHS (471280-LE003203)</v>
      </c>
      <c r="C2321" t="s">
        <v>5650</v>
      </c>
    </row>
    <row r="2322" spans="1:3">
      <c r="A2322" t="s">
        <v>7505</v>
      </c>
      <c r="B2322" t="str">
        <f ca="1">IF(ISBLANK(OFFSET(B2322,0,'Field labels'!$Q$1)),C2322,OFFSET(B2322,0,'Field labels'!$Q$1))</f>
        <v>CBS Finance (230207-LE003203)</v>
      </c>
      <c r="C2322" t="s">
        <v>5673</v>
      </c>
    </row>
    <row r="2323" spans="1:3">
      <c r="A2323" t="s">
        <v>7505</v>
      </c>
      <c r="B2323" t="str">
        <f ca="1">IF(ISBLANK(OFFSET(B2323,0,'Field labels'!$Q$1)),C2323,OFFSET(B2323,0,'Field labels'!$Q$1))</f>
        <v>CBS NJ – CI Team (230010-LE003203)</v>
      </c>
      <c r="C2323" t="s">
        <v>5676</v>
      </c>
    </row>
    <row r="2324" spans="1:3">
      <c r="A2324" t="s">
        <v>7505</v>
      </c>
      <c r="B2324" t="str">
        <f ca="1">IF(ISBLANK(OFFSET(B2324,0,'Field labels'!$Q$1)),C2324,OFFSET(B2324,0,'Field labels'!$Q$1))</f>
        <v>CBS NJ CTL (230610-LE003203)</v>
      </c>
      <c r="C2324" t="s">
        <v>5677</v>
      </c>
    </row>
    <row r="2325" spans="1:3">
      <c r="A2325" t="s">
        <v>7505</v>
      </c>
      <c r="B2325" t="str">
        <f ca="1">IF(ISBLANK(OFFSET(B2325,0,'Field labels'!$Q$1)),C2325,OFFSET(B2325,0,'Field labels'!$Q$1))</f>
        <v>CBS NJ-FSS Maestro Project (230208-LE003203)</v>
      </c>
      <c r="C2325" t="s">
        <v>5678</v>
      </c>
    </row>
    <row r="2326" spans="1:3">
      <c r="A2326" t="s">
        <v>7505</v>
      </c>
      <c r="B2326" t="str">
        <f ca="1">IF(ISBLANK(OFFSET(B2326,0,'Field labels'!$Q$1)),C2326,OFFSET(B2326,0,'Field labels'!$Q$1))</f>
        <v>CFN China Functional Team (470117-LE003203)</v>
      </c>
      <c r="C2326" t="s">
        <v>5688</v>
      </c>
    </row>
    <row r="2327" spans="1:3">
      <c r="A2327" t="s">
        <v>7505</v>
      </c>
      <c r="B2327" t="str">
        <f ca="1">IF(ISBLANK(OFFSET(B2327,0,'Field labels'!$Q$1)),C2327,OFFSET(B2327,0,'Field labels'!$Q$1))</f>
        <v>CFN FP&amp;A Team  (470118-LE003203)</v>
      </c>
      <c r="C2327" t="s">
        <v>5690</v>
      </c>
    </row>
    <row r="2328" spans="1:3">
      <c r="A2328" t="s">
        <v>7505</v>
      </c>
      <c r="B2328" t="str">
        <f ca="1">IF(ISBLANK(OFFSET(B2328,0,'Field labels'!$Q$1)),C2328,OFFSET(B2328,0,'Field labels'!$Q$1))</f>
        <v>CFN HR &amp; Commercial (471805-LE003203)</v>
      </c>
      <c r="C2328" t="s">
        <v>5692</v>
      </c>
    </row>
    <row r="2329" spans="1:3">
      <c r="A2329" t="s">
        <v>7505</v>
      </c>
      <c r="B2329" t="str">
        <f ca="1">IF(ISBLANK(OFFSET(B2329,0,'Field labels'!$Q$1)),C2329,OFFSET(B2329,0,'Field labels'!$Q$1))</f>
        <v>CFN SMT Team (470119-LE003203)</v>
      </c>
      <c r="C2329" t="s">
        <v>5709</v>
      </c>
    </row>
    <row r="2330" spans="1:3">
      <c r="A2330" t="s">
        <v>7505</v>
      </c>
      <c r="B2330" t="str">
        <f ca="1">IF(ISBLANK(OFFSET(B2330,0,'Field labels'!$Q$1)),C2330,OFFSET(B2330,0,'Field labels'!$Q$1))</f>
        <v>CICL -  CAN function (470111-LE003203)</v>
      </c>
      <c r="C2330" t="s">
        <v>5733</v>
      </c>
    </row>
    <row r="2331" spans="1:3">
      <c r="A2331" t="s">
        <v>7505</v>
      </c>
      <c r="B2331" t="str">
        <f ca="1">IF(ISBLANK(OFFSET(B2331,0,'Field labels'!$Q$1)),C2331,OFFSET(B2331,0,'Field labels'!$Q$1))</f>
        <v>CICL -  CAN MYOD (470112-LE003203)</v>
      </c>
      <c r="C2331" t="s">
        <v>5734</v>
      </c>
    </row>
    <row r="2332" spans="1:3">
      <c r="A2332" t="s">
        <v>7505</v>
      </c>
      <c r="B2332" t="str">
        <f ca="1">IF(ISBLANK(OFFSET(B2332,0,'Field labels'!$Q$1)),C2332,OFFSET(B2332,0,'Field labels'!$Q$1))</f>
        <v>CICL -  CAN production (470113-LE003203)</v>
      </c>
      <c r="C2332" t="s">
        <v>5735</v>
      </c>
    </row>
    <row r="2333" spans="1:3">
      <c r="A2333" t="s">
        <v>7505</v>
      </c>
      <c r="B2333" t="str">
        <f ca="1">IF(ISBLANK(OFFSET(B2333,0,'Field labels'!$Q$1)),C2333,OFFSET(B2333,0,'Field labels'!$Q$1))</f>
        <v>Cicl -  Can Provimi (470114-LE003203)</v>
      </c>
      <c r="C2333" t="s">
        <v>5736</v>
      </c>
    </row>
    <row r="2334" spans="1:3">
      <c r="A2334" t="s">
        <v>7505</v>
      </c>
      <c r="B2334" t="str">
        <f ca="1">IF(ISBLANK(OFFSET(B2334,0,'Field labels'!$Q$1)),C2334,OFFSET(B2334,0,'Field labels'!$Q$1))</f>
        <v>CICL - BJ Ferrous Flat (910830-LE003203)</v>
      </c>
      <c r="C2334" t="s">
        <v>5737</v>
      </c>
    </row>
    <row r="2335" spans="1:3">
      <c r="A2335" t="s">
        <v>7505</v>
      </c>
      <c r="B2335" t="str">
        <f ca="1">IF(ISBLANK(OFFSET(B2335,0,'Field labels'!$Q$1)),C2335,OFFSET(B2335,0,'Field labels'!$Q$1))</f>
        <v>CICL - BJ Food Safty (907890-LE003203)</v>
      </c>
      <c r="C2335" t="s">
        <v>5738</v>
      </c>
    </row>
    <row r="2336" spans="1:3">
      <c r="A2336" t="s">
        <v>7505</v>
      </c>
      <c r="B2336" t="str">
        <f ca="1">IF(ISBLANK(OFFSET(B2336,0,'Field labels'!$Q$1)),C2336,OFFSET(B2336,0,'Field labels'!$Q$1))</f>
        <v>CICL - Corporate Audit (797903-LE003203)</v>
      </c>
      <c r="C2336" t="s">
        <v>5739</v>
      </c>
    </row>
    <row r="2337" spans="1:3">
      <c r="A2337" t="s">
        <v>7505</v>
      </c>
      <c r="B2337" t="str">
        <f ca="1">IF(ISBLANK(OFFSET(B2337,0,'Field labels'!$Q$1)),C2337,OFFSET(B2337,0,'Field labels'!$Q$1))</f>
        <v>CICL - Ferrous Brokerage-BOF (809890-LE003203)</v>
      </c>
      <c r="C2337" t="s">
        <v>5740</v>
      </c>
    </row>
    <row r="2338" spans="1:3">
      <c r="A2338" t="s">
        <v>7505</v>
      </c>
      <c r="B2338" t="str">
        <f ca="1">IF(ISBLANK(OFFSET(B2338,0,'Field labels'!$Q$1)),C2338,OFFSET(B2338,0,'Field labels'!$Q$1))</f>
        <v>CICL - Ferrous Flat (809830-LE003203)</v>
      </c>
      <c r="C2338" t="s">
        <v>5741</v>
      </c>
    </row>
    <row r="2339" spans="1:3">
      <c r="A2339" t="s">
        <v>7505</v>
      </c>
      <c r="B2339" t="str">
        <f ca="1">IF(ISBLANK(OFFSET(B2339,0,'Field labels'!$Q$1)),C2339,OFFSET(B2339,0,'Field labels'!$Q$1))</f>
        <v>CICL - Ferrous Future (809870-LE003203)</v>
      </c>
      <c r="C2339" t="s">
        <v>5742</v>
      </c>
    </row>
    <row r="2340" spans="1:3">
      <c r="A2340" t="s">
        <v>7505</v>
      </c>
      <c r="B2340" t="str">
        <f ca="1">IF(ISBLANK(OFFSET(B2340,0,'Field labels'!$Q$1)),C2340,OFFSET(B2340,0,'Field labels'!$Q$1))</f>
        <v>CICL - FIS Share Service (797902-LE003203)</v>
      </c>
      <c r="C2340" t="s">
        <v>5743</v>
      </c>
    </row>
    <row r="2341" spans="1:3">
      <c r="A2341" t="s">
        <v>7505</v>
      </c>
      <c r="B2341" t="str">
        <f ca="1">IF(ISBLANK(OFFSET(B2341,0,'Field labels'!$Q$1)),C2341,OFFSET(B2341,0,'Field labels'!$Q$1))</f>
        <v>CICL - Fund/service back offic (796210-LE003203)</v>
      </c>
      <c r="C2341" t="s">
        <v>5744</v>
      </c>
    </row>
    <row r="2342" spans="1:3">
      <c r="A2342" t="s">
        <v>7505</v>
      </c>
      <c r="B2342" t="str">
        <f ca="1">IF(ISBLANK(OFFSET(B2342,0,'Field labels'!$Q$1)),C2342,OFFSET(B2342,0,'Field labels'!$Q$1))</f>
        <v>CICL - Fund/service front offi (796220-LE003203)</v>
      </c>
      <c r="C2342" t="s">
        <v>5745</v>
      </c>
    </row>
    <row r="2343" spans="1:3">
      <c r="A2343" t="s">
        <v>7505</v>
      </c>
      <c r="B2343" t="str">
        <f ca="1">IF(ISBLANK(OFFSET(B2343,0,'Field labels'!$Q$1)),C2343,OFFSET(B2343,0,'Field labels'!$Q$1))</f>
        <v>CICL - Geneva HR (797161-LE003203)</v>
      </c>
      <c r="C2343" t="s">
        <v>5746</v>
      </c>
    </row>
    <row r="2344" spans="1:3">
      <c r="A2344" t="s">
        <v>7505</v>
      </c>
      <c r="B2344" t="str">
        <f ca="1">IF(ISBLANK(OFFSET(B2344,0,'Field labels'!$Q$1)),C2344,OFFSET(B2344,0,'Field labels'!$Q$1))</f>
        <v>CICL - Global Insurance (797906-LE003203)</v>
      </c>
      <c r="C2344" t="s">
        <v>5747</v>
      </c>
    </row>
    <row r="2345" spans="1:3">
      <c r="A2345" t="s">
        <v>7505</v>
      </c>
      <c r="B2345" t="str">
        <f ca="1">IF(ISBLANK(OFFSET(B2345,0,'Field labels'!$Q$1)),C2345,OFFSET(B2345,0,'Field labels'!$Q$1))</f>
        <v>CICL - GOSC BU Finance (783893-LE003203)</v>
      </c>
      <c r="C2345" t="s">
        <v>5748</v>
      </c>
    </row>
    <row r="2346" spans="1:3">
      <c r="A2346" t="s">
        <v>7505</v>
      </c>
      <c r="B2346" t="str">
        <f ca="1">IF(ISBLANK(OFFSET(B2346,0,'Field labels'!$Q$1)),C2346,OFFSET(B2346,0,'Field labels'!$Q$1))</f>
        <v>CICL - GOSC GTA (783895-LE003203)</v>
      </c>
      <c r="C2346" t="s">
        <v>5749</v>
      </c>
    </row>
    <row r="2347" spans="1:3">
      <c r="A2347" t="s">
        <v>7505</v>
      </c>
      <c r="B2347" t="str">
        <f ca="1">IF(ISBLANK(OFFSET(B2347,0,'Field labels'!$Q$1)),C2347,OFFSET(B2347,0,'Field labels'!$Q$1))</f>
        <v>CICL - GOSC HR (783899-LE003203)</v>
      </c>
      <c r="C2347" t="s">
        <v>5750</v>
      </c>
    </row>
    <row r="2348" spans="1:3">
      <c r="A2348" t="s">
        <v>7505</v>
      </c>
      <c r="B2348" t="str">
        <f ca="1">IF(ISBLANK(OFFSET(B2348,0,'Field labels'!$Q$1)),C2348,OFFSET(B2348,0,'Field labels'!$Q$1))</f>
        <v>CICL - GOSC Risk management (783891-LE003203)</v>
      </c>
      <c r="C2348" t="s">
        <v>5751</v>
      </c>
    </row>
    <row r="2349" spans="1:3">
      <c r="A2349" t="s">
        <v>7505</v>
      </c>
      <c r="B2349" t="str">
        <f ca="1">IF(ISBLANK(OFFSET(B2349,0,'Field labels'!$Q$1)),C2349,OFFSET(B2349,0,'Field labels'!$Q$1))</f>
        <v>CICL - GOSC SHAN Gen.Admin (783860-LE003203)</v>
      </c>
      <c r="C2349" t="s">
        <v>5752</v>
      </c>
    </row>
    <row r="2350" spans="1:3">
      <c r="A2350" t="s">
        <v>7505</v>
      </c>
      <c r="B2350" t="str">
        <f ca="1">IF(ISBLANK(OFFSET(B2350,0,'Field labels'!$Q$1)),C2350,OFFSET(B2350,0,'Field labels'!$Q$1))</f>
        <v>CICL - GOSC Supply chain (783900-LE003203)</v>
      </c>
      <c r="C2350" t="s">
        <v>5753</v>
      </c>
    </row>
    <row r="2351" spans="1:3">
      <c r="A2351" t="s">
        <v>7505</v>
      </c>
      <c r="B2351" t="str">
        <f ca="1">IF(ISBLANK(OFFSET(B2351,0,'Field labels'!$Q$1)),C2351,OFFSET(B2351,0,'Field labels'!$Q$1))</f>
        <v>CICL - IT Bus Partner CN (797149-LE003203)</v>
      </c>
      <c r="C2351" t="s">
        <v>5754</v>
      </c>
    </row>
    <row r="2352" spans="1:3">
      <c r="A2352" t="s">
        <v>7505</v>
      </c>
      <c r="B2352" t="str">
        <f ca="1">IF(ISBLANK(OFFSET(B2352,0,'Field labels'!$Q$1)),C2352,OFFSET(B2352,0,'Field labels'!$Q$1))</f>
        <v>CICL - OTD PNL (864890-LE003203)</v>
      </c>
      <c r="C2352" t="s">
        <v>5755</v>
      </c>
    </row>
    <row r="2353" spans="1:3">
      <c r="A2353" t="s">
        <v>7505</v>
      </c>
      <c r="B2353" t="str">
        <f ca="1">IF(ISBLANK(OFFSET(B2353,0,'Field labels'!$Q$1)),C2353,OFFSET(B2353,0,'Field labels'!$Q$1))</f>
        <v>CICL - PNL BEAN DESK (783896-LE003203)</v>
      </c>
      <c r="C2353" t="s">
        <v>5756</v>
      </c>
    </row>
    <row r="2354" spans="1:3">
      <c r="A2354" t="s">
        <v>7505</v>
      </c>
      <c r="B2354" t="str">
        <f ca="1">IF(ISBLANK(OFFSET(B2354,0,'Field labels'!$Q$1)),C2354,OFFSET(B2354,0,'Field labels'!$Q$1))</f>
        <v>CICL - PNL Cocoa (852820-LE003203)</v>
      </c>
      <c r="C2354" t="s">
        <v>5757</v>
      </c>
    </row>
    <row r="2355" spans="1:3">
      <c r="A2355" t="s">
        <v>7505</v>
      </c>
      <c r="B2355" t="str">
        <f ca="1">IF(ISBLANK(OFFSET(B2355,0,'Field labels'!$Q$1)),C2355,OFFSET(B2355,0,'Field labels'!$Q$1))</f>
        <v>CICL - PNL Commerical (781881-LE003203)</v>
      </c>
      <c r="C2355" t="s">
        <v>5758</v>
      </c>
    </row>
    <row r="2356" spans="1:3">
      <c r="A2356" t="s">
        <v>7505</v>
      </c>
      <c r="B2356" t="str">
        <f ca="1">IF(ISBLANK(OFFSET(B2356,0,'Field labels'!$Q$1)),C2356,OFFSET(B2356,0,'Field labels'!$Q$1))</f>
        <v>CICL - PNL Corp Acctg (797120-LE003203)</v>
      </c>
      <c r="C2356" t="s">
        <v>5759</v>
      </c>
    </row>
    <row r="2357" spans="1:3">
      <c r="A2357" t="s">
        <v>7505</v>
      </c>
      <c r="B2357" t="str">
        <f ca="1">IF(ISBLANK(OFFSET(B2357,0,'Field labels'!$Q$1)),C2357,OFFSET(B2357,0,'Field labels'!$Q$1))</f>
        <v>CICL - PNL Corporate Affairs (797180-LE003203)</v>
      </c>
      <c r="C2357" t="s">
        <v>5760</v>
      </c>
    </row>
    <row r="2358" spans="1:3">
      <c r="A2358" t="s">
        <v>7505</v>
      </c>
      <c r="B2358" t="str">
        <f ca="1">IF(ISBLANK(OFFSET(B2358,0,'Field labels'!$Q$1)),C2358,OFFSET(B2358,0,'Field labels'!$Q$1))</f>
        <v>CICL - PNL CTS Admin (804951-LE003203)</v>
      </c>
      <c r="C2358" t="s">
        <v>5761</v>
      </c>
    </row>
    <row r="2359" spans="1:3">
      <c r="A2359" t="s">
        <v>7505</v>
      </c>
      <c r="B2359" t="str">
        <f ca="1">IF(ISBLANK(OFFSET(B2359,0,'Field labels'!$Q$1)),C2359,OFFSET(B2359,0,'Field labels'!$Q$1))</f>
        <v>CICL - PNL CTS Marketing (804955-LE003203)</v>
      </c>
      <c r="C2359" t="s">
        <v>5762</v>
      </c>
    </row>
    <row r="2360" spans="1:3">
      <c r="A2360" t="s">
        <v>7505</v>
      </c>
      <c r="B2360" t="str">
        <f ca="1">IF(ISBLANK(OFFSET(B2360,0,'Field labels'!$Q$1)),C2360,OFFSET(B2360,0,'Field labels'!$Q$1))</f>
        <v>CICL - PNL EHS (804963-LE003203)</v>
      </c>
      <c r="C2360" t="s">
        <v>5763</v>
      </c>
    </row>
    <row r="2361" spans="1:3">
      <c r="A2361" t="s">
        <v>7505</v>
      </c>
      <c r="B2361" t="str">
        <f ca="1">IF(ISBLANK(OFFSET(B2361,0,'Field labels'!$Q$1)),C2361,OFFSET(B2361,0,'Field labels'!$Q$1))</f>
        <v>CICL - PNL Food Safty (797890-LE003203)</v>
      </c>
      <c r="C2361" t="s">
        <v>5764</v>
      </c>
    </row>
    <row r="2362" spans="1:3">
      <c r="A2362" t="s">
        <v>7505</v>
      </c>
      <c r="B2362" t="str">
        <f ca="1">IF(ISBLANK(OFFSET(B2362,0,'Field labels'!$Q$1)),C2362,OFFSET(B2362,0,'Field labels'!$Q$1))</f>
        <v>CICL - PNL GOSC Oilseed (783870-LE003203)</v>
      </c>
      <c r="C2362" t="s">
        <v>5765</v>
      </c>
    </row>
    <row r="2363" spans="1:3">
      <c r="A2363" t="s">
        <v>7505</v>
      </c>
      <c r="B2363" t="str">
        <f ca="1">IF(ISBLANK(OFFSET(B2363,0,'Field labels'!$Q$1)),C2363,OFFSET(B2363,0,'Field labels'!$Q$1))</f>
        <v>CICL - PNL HR (797160-LE003203)</v>
      </c>
      <c r="C2363" t="s">
        <v>5766</v>
      </c>
    </row>
    <row r="2364" spans="1:3">
      <c r="A2364" t="s">
        <v>7505</v>
      </c>
      <c r="B2364" t="str">
        <f ca="1">IF(ISBLANK(OFFSET(B2364,0,'Field labels'!$Q$1)),C2364,OFFSET(B2364,0,'Field labels'!$Q$1))</f>
        <v>CICL - PNL Legal (797150-LE003203)</v>
      </c>
      <c r="C2364" t="s">
        <v>5767</v>
      </c>
    </row>
    <row r="2365" spans="1:3">
      <c r="A2365" t="s">
        <v>7505</v>
      </c>
      <c r="B2365" t="str">
        <f ca="1">IF(ISBLANK(OFFSET(B2365,0,'Field labels'!$Q$1)),C2365,OFFSET(B2365,0,'Field labels'!$Q$1))</f>
        <v>CICL - PNL Meat FP project (968864-LE003203)</v>
      </c>
      <c r="C2365" t="s">
        <v>5768</v>
      </c>
    </row>
    <row r="2366" spans="1:3">
      <c r="A2366" t="s">
        <v>7505</v>
      </c>
      <c r="B2366" t="str">
        <f ca="1">IF(ISBLANK(OFFSET(B2366,0,'Field labels'!$Q$1)),C2366,OFFSET(B2366,0,'Field labels'!$Q$1))</f>
        <v>CICL - PNL Meat Mgmt (968860-LE003203)</v>
      </c>
      <c r="C2366" t="s">
        <v>5769</v>
      </c>
    </row>
    <row r="2367" spans="1:3">
      <c r="A2367" t="s">
        <v>7505</v>
      </c>
      <c r="B2367" t="str">
        <f ca="1">IF(ISBLANK(OFFSET(B2367,0,'Field labels'!$Q$1)),C2367,OFFSET(B2367,0,'Field labels'!$Q$1))</f>
        <v>CICL - PNL OE &amp; T/D (797820-LE003203)</v>
      </c>
      <c r="C2367" t="s">
        <v>5770</v>
      </c>
    </row>
    <row r="2368" spans="1:3">
      <c r="A2368" t="s">
        <v>7505</v>
      </c>
      <c r="B2368" t="str">
        <f ca="1">IF(ISBLANK(OFFSET(B2368,0,'Field labels'!$Q$1)),C2368,OFFSET(B2368,0,'Field labels'!$Q$1))</f>
        <v>CICL - PNL Office Serv (797130-LE003203)</v>
      </c>
      <c r="C2368" t="s">
        <v>5771</v>
      </c>
    </row>
    <row r="2369" spans="1:3">
      <c r="A2369" t="s">
        <v>7505</v>
      </c>
      <c r="B2369" t="str">
        <f ca="1">IF(ISBLANK(OFFSET(B2369,0,'Field labels'!$Q$1)),C2369,OFFSET(B2369,0,'Field labels'!$Q$1))</f>
        <v>CICL - PNL Petroleum Agency (863890-LE003203)</v>
      </c>
      <c r="C2369" t="s">
        <v>5772</v>
      </c>
    </row>
    <row r="2370" spans="1:3">
      <c r="A2370" t="s">
        <v>7505</v>
      </c>
      <c r="B2370" t="str">
        <f ca="1">IF(ISBLANK(OFFSET(B2370,0,'Field labels'!$Q$1)),C2370,OFFSET(B2370,0,'Field labels'!$Q$1))</f>
        <v>CICL - PNL Procurement (797135-LE003203)</v>
      </c>
      <c r="C2370" t="s">
        <v>5773</v>
      </c>
    </row>
    <row r="2371" spans="1:3">
      <c r="A2371" t="s">
        <v>7505</v>
      </c>
      <c r="B2371" t="str">
        <f ca="1">IF(ISBLANK(OFFSET(B2371,0,'Field labels'!$Q$1)),C2371,OFFSET(B2371,0,'Field labels'!$Q$1))</f>
        <v>CICL - PNL Risk Free (796170-LE003203)</v>
      </c>
      <c r="C2371" t="s">
        <v>5774</v>
      </c>
    </row>
    <row r="2372" spans="1:3">
      <c r="A2372" t="s">
        <v>7505</v>
      </c>
      <c r="B2372" t="str">
        <f ca="1">IF(ISBLANK(OFFSET(B2372,0,'Field labels'!$Q$1)),C2372,OFFSET(B2372,0,'Field labels'!$Q$1))</f>
        <v>CICL - PNL SBD (797125-LE003203)</v>
      </c>
      <c r="C2372" t="s">
        <v>5775</v>
      </c>
    </row>
    <row r="2373" spans="1:3">
      <c r="A2373" t="s">
        <v>7505</v>
      </c>
      <c r="B2373" t="str">
        <f ca="1">IF(ISBLANK(OFFSET(B2373,0,'Field labels'!$Q$1)),C2373,OFFSET(B2373,0,'Field labels'!$Q$1))</f>
        <v>CICL - PNL SSA (781876-LE003203)</v>
      </c>
      <c r="C2373" t="s">
        <v>5776</v>
      </c>
    </row>
    <row r="2374" spans="1:3">
      <c r="A2374" t="s">
        <v>7505</v>
      </c>
      <c r="B2374" t="str">
        <f ca="1">IF(ISBLANK(OFFSET(B2374,0,'Field labels'!$Q$1)),C2374,OFFSET(B2374,0,'Field labels'!$Q$1))</f>
        <v>CICL - PNL SSA (781930-LE003203)</v>
      </c>
      <c r="C2374" t="s">
        <v>5777</v>
      </c>
    </row>
    <row r="2375" spans="1:3">
      <c r="A2375" t="s">
        <v>7505</v>
      </c>
      <c r="B2375" t="str">
        <f ca="1">IF(ISBLANK(OFFSET(B2375,0,'Field labels'!$Q$1)),C2375,OFFSET(B2375,0,'Field labels'!$Q$1))</f>
        <v>CICL - PNL SSA Admin (781920-LE003203)</v>
      </c>
      <c r="C2375" t="s">
        <v>5778</v>
      </c>
    </row>
    <row r="2376" spans="1:3">
      <c r="A2376" t="s">
        <v>7505</v>
      </c>
      <c r="B2376" t="str">
        <f ca="1">IF(ISBLANK(OFFSET(B2376,0,'Field labels'!$Q$1)),C2376,OFFSET(B2376,0,'Field labels'!$Q$1))</f>
        <v>CICL - PNL SSA Finance (781812-LE003203)</v>
      </c>
      <c r="C2376" t="s">
        <v>5779</v>
      </c>
    </row>
    <row r="2377" spans="1:3">
      <c r="A2377" t="s">
        <v>7505</v>
      </c>
      <c r="B2377" t="str">
        <f ca="1">IF(ISBLANK(OFFSET(B2377,0,'Field labels'!$Q$1)),C2377,OFFSET(B2377,0,'Field labels'!$Q$1))</f>
        <v>CICL - PNL SSA HR (781811-LE003203)</v>
      </c>
      <c r="C2377" t="s">
        <v>5780</v>
      </c>
    </row>
    <row r="2378" spans="1:3">
      <c r="A2378" t="s">
        <v>7505</v>
      </c>
      <c r="B2378" t="str">
        <f ca="1">IF(ISBLANK(OFFSET(B2378,0,'Field labels'!$Q$1)),C2378,OFFSET(B2378,0,'Field labels'!$Q$1))</f>
        <v>CICL - PNL SSA Pinghu (781874-LE003203)</v>
      </c>
      <c r="C2378" t="s">
        <v>5781</v>
      </c>
    </row>
    <row r="2379" spans="1:3">
      <c r="A2379" t="s">
        <v>7505</v>
      </c>
      <c r="B2379" t="str">
        <f ca="1">IF(ISBLANK(OFFSET(B2379,0,'Field labels'!$Q$1)),C2379,OFFSET(B2379,0,'Field labels'!$Q$1))</f>
        <v>CICL - PNL SSA ShD Oper/Engin (781933-LE003203)</v>
      </c>
      <c r="C2379" t="s">
        <v>5782</v>
      </c>
    </row>
    <row r="2380" spans="1:3">
      <c r="A2380" t="s">
        <v>7505</v>
      </c>
      <c r="B2380" t="str">
        <f ca="1">IF(ISBLANK(OFFSET(B2380,0,'Field labels'!$Q$1)),C2380,OFFSET(B2380,0,'Field labels'!$Q$1))</f>
        <v>CICL - PNL SSC FSQR (781810-LE003203)</v>
      </c>
      <c r="C2380" t="s">
        <v>5783</v>
      </c>
    </row>
    <row r="2381" spans="1:3">
      <c r="A2381" t="s">
        <v>7505</v>
      </c>
      <c r="B2381" t="str">
        <f ca="1">IF(ISBLANK(OFFSET(B2381,0,'Field labels'!$Q$1)),C2381,OFFSET(B2381,0,'Field labels'!$Q$1))</f>
        <v>CICL - PNL SSC Procurement (781701-LE003203)</v>
      </c>
      <c r="C2381" t="s">
        <v>5784</v>
      </c>
    </row>
    <row r="2382" spans="1:3">
      <c r="A2382" t="s">
        <v>7505</v>
      </c>
      <c r="B2382" t="str">
        <f ca="1">IF(ISBLANK(OFFSET(B2382,0,'Field labels'!$Q$1)),C2382,OFFSET(B2382,0,'Field labels'!$Q$1))</f>
        <v>CICL - PNL SSC  R&amp;D (781900-LE003203)</v>
      </c>
      <c r="C2382" t="s">
        <v>5785</v>
      </c>
    </row>
    <row r="2383" spans="1:3">
      <c r="A2383" t="s">
        <v>7505</v>
      </c>
      <c r="B2383" t="str">
        <f ca="1">IF(ISBLANK(OFFSET(B2383,0,'Field labels'!$Q$1)),C2383,OFFSET(B2383,0,'Field labels'!$Q$1))</f>
        <v>CICL - PNL Tax (797190-LE003203)</v>
      </c>
      <c r="C2383" t="s">
        <v>5786</v>
      </c>
    </row>
    <row r="2384" spans="1:3">
      <c r="A2384" t="s">
        <v>7505</v>
      </c>
      <c r="B2384" t="str">
        <f ca="1">IF(ISBLANK(OFFSET(B2384,0,'Field labels'!$Q$1)),C2384,OFFSET(B2384,0,'Field labels'!$Q$1))</f>
        <v>CICL - PNL Transport &amp; Logistics (797145-LE003203)</v>
      </c>
      <c r="C2384" t="s">
        <v>5787</v>
      </c>
    </row>
    <row r="2385" spans="1:3">
      <c r="A2385" t="s">
        <v>7505</v>
      </c>
      <c r="B2385" t="str">
        <f ca="1">IF(ISBLANK(OFFSET(B2385,0,'Field labels'!$Q$1)),C2385,OFFSET(B2385,0,'Field labels'!$Q$1))</f>
        <v>CICL - SD-PMO - CHN (797142-LE003203)</v>
      </c>
      <c r="C2385" t="s">
        <v>5788</v>
      </c>
    </row>
    <row r="2386" spans="1:3">
      <c r="A2386" t="s">
        <v>7505</v>
      </c>
      <c r="B2386" t="str">
        <f ca="1">IF(ISBLANK(OFFSET(B2386,0,'Field labels'!$Q$1)),C2386,OFFSET(B2386,0,'Field labels'!$Q$1))</f>
        <v>CICL BJ - BOSC -CE (911812-LE003203)</v>
      </c>
      <c r="C2386" t="s">
        <v>5789</v>
      </c>
    </row>
    <row r="2387" spans="1:3">
      <c r="A2387" t="s">
        <v>7505</v>
      </c>
      <c r="B2387" t="str">
        <f ca="1">IF(ISBLANK(OFFSET(B2387,0,'Field labels'!$Q$1)),C2387,OFFSET(B2387,0,'Field labels'!$Q$1))</f>
        <v>CICL BJ - CAN Marketing (471210-LE003203)</v>
      </c>
      <c r="C2387" t="s">
        <v>5790</v>
      </c>
    </row>
    <row r="2388" spans="1:3">
      <c r="A2388" t="s">
        <v>7505</v>
      </c>
      <c r="B2388" t="str">
        <f ca="1">IF(ISBLANK(OFFSET(B2388,0,'Field labels'!$Q$1)),C2388,OFFSET(B2388,0,'Field labels'!$Q$1))</f>
        <v>CICL BJ - CAN MYOD (471250-LE003203)</v>
      </c>
      <c r="C2388" t="s">
        <v>5791</v>
      </c>
    </row>
    <row r="2389" spans="1:3">
      <c r="A2389" t="s">
        <v>7505</v>
      </c>
      <c r="B2389" t="str">
        <f ca="1">IF(ISBLANK(OFFSET(B2389,0,'Field labels'!$Q$1)),C2389,OFFSET(B2389,0,'Field labels'!$Q$1))</f>
        <v>CICL BJ - CAN Production (471230-LE003203)</v>
      </c>
      <c r="C2389" t="s">
        <v>5792</v>
      </c>
    </row>
    <row r="2390" spans="1:3">
      <c r="A2390" t="s">
        <v>7505</v>
      </c>
      <c r="B2390" t="str">
        <f ca="1">IF(ISBLANK(OFFSET(B2390,0,'Field labels'!$Q$1)),C2390,OFFSET(B2390,0,'Field labels'!$Q$1))</f>
        <v>CICL BJ - CAN Tech application (471220-LE003203)</v>
      </c>
      <c r="C2390" t="s">
        <v>5793</v>
      </c>
    </row>
    <row r="2391" spans="1:3">
      <c r="A2391" t="s">
        <v>7505</v>
      </c>
      <c r="B2391" t="str">
        <f ca="1">IF(ISBLANK(OFFSET(B2391,0,'Field labels'!$Q$1)),C2391,OFFSET(B2391,0,'Field labels'!$Q$1))</f>
        <v>CICL BJ - CAN Tradico (471240-LE003203)</v>
      </c>
      <c r="C2391" t="s">
        <v>5794</v>
      </c>
    </row>
    <row r="2392" spans="1:3">
      <c r="A2392" t="s">
        <v>7505</v>
      </c>
      <c r="B2392" t="str">
        <f ca="1">IF(ISBLANK(OFFSET(B2392,0,'Field labels'!$Q$1)),C2392,OFFSET(B2392,0,'Field labels'!$Q$1))</f>
        <v>CICL BJ - Charge to ROA (909892-LE003203)</v>
      </c>
      <c r="C2392" t="s">
        <v>5795</v>
      </c>
    </row>
    <row r="2393" spans="1:3">
      <c r="A2393" t="s">
        <v>7505</v>
      </c>
      <c r="B2393" t="str">
        <f ca="1">IF(ISBLANK(OFFSET(B2393,0,'Field labels'!$Q$1)),C2393,OFFSET(B2393,0,'Field labels'!$Q$1))</f>
        <v>CICL BJ - Corporate Affairs (907180-LE003203)</v>
      </c>
      <c r="C2393" t="s">
        <v>5796</v>
      </c>
    </row>
    <row r="2394" spans="1:3">
      <c r="A2394" t="s">
        <v>7505</v>
      </c>
      <c r="B2394" t="str">
        <f ca="1">IF(ISBLANK(OFFSET(B2394,0,'Field labels'!$Q$1)),C2394,OFFSET(B2394,0,'Field labels'!$Q$1))</f>
        <v>CICL BJ - GHRS Talent acquisti (907602-LE003203)</v>
      </c>
      <c r="C2394" t="s">
        <v>5797</v>
      </c>
    </row>
    <row r="2395" spans="1:3">
      <c r="A2395" t="s">
        <v>7505</v>
      </c>
      <c r="B2395" t="str">
        <f ca="1">IF(ISBLANK(OFFSET(B2395,0,'Field labels'!$Q$1)),C2395,OFFSET(B2395,0,'Field labels'!$Q$1))</f>
        <v>CICL BJ - HR APAC Project Aurora (907165-LE003203)</v>
      </c>
      <c r="C2395" t="s">
        <v>5798</v>
      </c>
    </row>
    <row r="2396" spans="1:3">
      <c r="A2396" t="s">
        <v>7505</v>
      </c>
      <c r="B2396" t="str">
        <f ca="1">IF(ISBLANK(OFFSET(B2396,0,'Field labels'!$Q$1)),C2396,OFFSET(B2396,0,'Field labels'!$Q$1))</f>
        <v>CICL BJ - Legal (907150-LE003203)</v>
      </c>
      <c r="C2396" t="s">
        <v>5799</v>
      </c>
    </row>
    <row r="2397" spans="1:3">
      <c r="A2397" t="s">
        <v>7505</v>
      </c>
      <c r="B2397" t="str">
        <f ca="1">IF(ISBLANK(OFFSET(B2397,0,'Field labels'!$Q$1)),C2397,OFFSET(B2397,0,'Field labels'!$Q$1))</f>
        <v>CICL BJ - PNL Admin (907110-LE003203)</v>
      </c>
      <c r="C2397" t="s">
        <v>5800</v>
      </c>
    </row>
    <row r="2398" spans="1:3">
      <c r="A2398" t="s">
        <v>7505</v>
      </c>
      <c r="B2398" t="str">
        <f ca="1">IF(ISBLANK(OFFSET(B2398,0,'Field labels'!$Q$1)),C2398,OFFSET(B2398,0,'Field labels'!$Q$1))</f>
        <v>CICL BJ - PNL GOSC G&amp;A (909860-LE003203)</v>
      </c>
      <c r="C2398" t="s">
        <v>5801</v>
      </c>
    </row>
    <row r="2399" spans="1:3">
      <c r="A2399" t="s">
        <v>7505</v>
      </c>
      <c r="B2399" t="str">
        <f ca="1">IF(ISBLANK(OFFSET(B2399,0,'Field labels'!$Q$1)),C2399,OFFSET(B2399,0,'Field labels'!$Q$1))</f>
        <v>CICL BJ - PNL GOSC Trade Execu (909891-LE003203)</v>
      </c>
      <c r="C2399" t="s">
        <v>5802</v>
      </c>
    </row>
    <row r="2400" spans="1:3">
      <c r="A2400" t="s">
        <v>7505</v>
      </c>
      <c r="B2400" t="str">
        <f ca="1">IF(ISBLANK(OFFSET(B2400,0,'Field labels'!$Q$1)),C2400,OFFSET(B2400,0,'Field labels'!$Q$1))</f>
        <v>CICL BJ - PNL HR (907160-LE003203)</v>
      </c>
      <c r="C2400" t="s">
        <v>5803</v>
      </c>
    </row>
    <row r="2401" spans="1:3">
      <c r="A2401" t="s">
        <v>7505</v>
      </c>
      <c r="B2401" t="str">
        <f ca="1">IF(ISBLANK(OFFSET(B2401,0,'Field labels'!$Q$1)),C2401,OFFSET(B2401,0,'Field labels'!$Q$1))</f>
        <v>CICL BJ - PNL Procurement (907135-LE003203)</v>
      </c>
      <c r="C2401" t="s">
        <v>5804</v>
      </c>
    </row>
    <row r="2402" spans="1:3">
      <c r="A2402" t="s">
        <v>7505</v>
      </c>
      <c r="B2402" t="str">
        <f ca="1">IF(ISBLANK(OFFSET(B2402,0,'Field labels'!$Q$1)),C2402,OFFSET(B2402,0,'Field labels'!$Q$1))</f>
        <v>CICL BJ - PNL SSC Admin (911920-LE003203)</v>
      </c>
      <c r="C2402" t="s">
        <v>5805</v>
      </c>
    </row>
    <row r="2403" spans="1:3">
      <c r="A2403" t="s">
        <v>7505</v>
      </c>
      <c r="B2403" t="str">
        <f ca="1">IF(ISBLANK(OFFSET(B2403,0,'Field labels'!$Q$1)),C2403,OFFSET(B2403,0,'Field labels'!$Q$1))</f>
        <v>CICL BJ - SSA ShD Oper/Engin (911933-LE003203)</v>
      </c>
      <c r="C2403" t="s">
        <v>5806</v>
      </c>
    </row>
    <row r="2404" spans="1:3">
      <c r="A2404" t="s">
        <v>7505</v>
      </c>
      <c r="B2404" t="str">
        <f ca="1">IF(ISBLANK(OFFSET(B2404,0,'Field labels'!$Q$1)),C2404,OFFSET(B2404,0,'Field labels'!$Q$1))</f>
        <v>CICL BJ- HR Talent Performance (907603-LE003203)</v>
      </c>
      <c r="C2404" t="s">
        <v>5807</v>
      </c>
    </row>
    <row r="2405" spans="1:3">
      <c r="A2405" t="s">
        <v>7505</v>
      </c>
      <c r="B2405" t="str">
        <f ca="1">IF(ISBLANK(OFFSET(B2405,0,'Field labels'!$Q$1)),C2405,OFFSET(B2405,0,'Field labels'!$Q$1))</f>
        <v>CICL BJ SSA - PNL Trading (911930-LE003203)</v>
      </c>
      <c r="C2405" t="s">
        <v>5808</v>
      </c>
    </row>
    <row r="2406" spans="1:3">
      <c r="A2406" t="s">
        <v>7505</v>
      </c>
      <c r="B2406" t="str">
        <f ca="1">IF(ISBLANK(OFFSET(B2406,0,'Field labels'!$Q$1)),C2406,OFFSET(B2406,0,'Field labels'!$Q$1))</f>
        <v>CICL BJ SSA -CSSP (911932-LE003203)</v>
      </c>
      <c r="C2406" t="s">
        <v>5809</v>
      </c>
    </row>
    <row r="2407" spans="1:3">
      <c r="A2407" t="s">
        <v>7505</v>
      </c>
      <c r="B2407" t="str">
        <f ca="1">IF(ISBLANK(OFFSET(B2407,0,'Field labels'!$Q$1)),C2407,OFFSET(B2407,0,'Field labels'!$Q$1))</f>
        <v>CICL BJ SSC BOSC project (911706-LE003203)</v>
      </c>
      <c r="C2407" t="s">
        <v>5810</v>
      </c>
    </row>
    <row r="2408" spans="1:3">
      <c r="A2408" t="s">
        <v>7505</v>
      </c>
      <c r="B2408" t="str">
        <f ca="1">IF(ISBLANK(OFFSET(B2408,0,'Field labels'!$Q$1)),C2408,OFFSET(B2408,0,'Field labels'!$Q$1))</f>
        <v>CICL BJ-Expediting (907137-LE003203)</v>
      </c>
      <c r="C2408" t="s">
        <v>5811</v>
      </c>
    </row>
    <row r="2409" spans="1:3">
      <c r="A2409" t="s">
        <v>7505</v>
      </c>
      <c r="B2409" t="str">
        <f ca="1">IF(ISBLANK(OFFSET(B2409,0,'Field labels'!$Q$1)),C2409,OFFSET(B2409,0,'Field labels'!$Q$1))</f>
        <v>CICL BJ-PNL CTL (907145-LE003203)</v>
      </c>
      <c r="C2409" t="s">
        <v>5812</v>
      </c>
    </row>
    <row r="2410" spans="1:3">
      <c r="A2410" t="s">
        <v>7505</v>
      </c>
      <c r="B2410" t="str">
        <f ca="1">IF(ISBLANK(OFFSET(B2410,0,'Field labels'!$Q$1)),C2410,OFFSET(B2410,0,'Field labels'!$Q$1))</f>
        <v>CICL BJ-PNL SSA CI (911811-LE003203)</v>
      </c>
      <c r="C2410" t="s">
        <v>5813</v>
      </c>
    </row>
    <row r="2411" spans="1:3">
      <c r="A2411" t="s">
        <v>7505</v>
      </c>
      <c r="B2411" t="str">
        <f ca="1">IF(ISBLANK(OFFSET(B2411,0,'Field labels'!$Q$1)),C2411,OFFSET(B2411,0,'Field labels'!$Q$1))</f>
        <v>CICL -CAN HR (470115-LE003203)</v>
      </c>
      <c r="C2411" t="s">
        <v>5814</v>
      </c>
    </row>
    <row r="2412" spans="1:3">
      <c r="A2412" t="s">
        <v>7505</v>
      </c>
      <c r="B2412" t="str">
        <f ca="1">IF(ISBLANK(OFFSET(B2412,0,'Field labels'!$Q$1)),C2412,OFFSET(B2412,0,'Field labels'!$Q$1))</f>
        <v>CICL Centralization project (797136-LE003203)</v>
      </c>
      <c r="C2412" t="s">
        <v>5815</v>
      </c>
    </row>
    <row r="2413" spans="1:3">
      <c r="A2413" t="s">
        <v>7505</v>
      </c>
      <c r="B2413" t="str">
        <f ca="1">IF(ISBLANK(OFFSET(B2413,0,'Field labels'!$Q$1)),C2413,OFFSET(B2413,0,'Field labels'!$Q$1))</f>
        <v>CICL -CSST (797913-LE003203)</v>
      </c>
      <c r="C2413" t="s">
        <v>5816</v>
      </c>
    </row>
    <row r="2414" spans="1:3">
      <c r="A2414" t="s">
        <v>7505</v>
      </c>
      <c r="B2414" t="str">
        <f ca="1">IF(ISBLANK(OFFSET(B2414,0,'Field labels'!$Q$1)),C2414,OFFSET(B2414,0,'Field labels'!$Q$1))</f>
        <v>CICL FP&amp;A (783905-LE003203)</v>
      </c>
      <c r="C2414" t="s">
        <v>5817</v>
      </c>
    </row>
    <row r="2415" spans="1:3">
      <c r="A2415" t="s">
        <v>7505</v>
      </c>
      <c r="B2415" t="str">
        <f ca="1">IF(ISBLANK(OFFSET(B2415,0,'Field labels'!$Q$1)),C2415,OFFSET(B2415,0,'Field labels'!$Q$1))</f>
        <v>CICL GM (797821-LE003203)</v>
      </c>
      <c r="C2415" t="s">
        <v>5818</v>
      </c>
    </row>
    <row r="2416" spans="1:3">
      <c r="A2416" t="s">
        <v>7505</v>
      </c>
      <c r="B2416" t="str">
        <f ca="1">IF(ISBLANK(OFFSET(B2416,0,'Field labels'!$Q$1)),C2416,OFFSET(B2416,0,'Field labels'!$Q$1))</f>
        <v>CICL HR Talent (797603-LE003203)</v>
      </c>
      <c r="C2416" t="s">
        <v>5819</v>
      </c>
    </row>
    <row r="2417" spans="1:3">
      <c r="A2417" t="s">
        <v>7505</v>
      </c>
      <c r="B2417" t="str">
        <f ca="1">IF(ISBLANK(OFFSET(B2417,0,'Field labels'!$Q$1)),C2417,OFFSET(B2417,0,'Field labels'!$Q$1))</f>
        <v>CICL NJ -  CSSP -PMDM (230530-LE003203)</v>
      </c>
      <c r="C2417" t="s">
        <v>5820</v>
      </c>
    </row>
    <row r="2418" spans="1:3">
      <c r="A2418" t="s">
        <v>7505</v>
      </c>
      <c r="B2418" t="str">
        <f ca="1">IF(ISBLANK(OFFSET(B2418,0,'Field labels'!$Q$1)),C2418,OFFSET(B2418,0,'Field labels'!$Q$1))</f>
        <v>CICL NJ -  CSSP -PO (230540-LE003203)</v>
      </c>
      <c r="C2418" t="s">
        <v>5821</v>
      </c>
    </row>
    <row r="2419" spans="1:3">
      <c r="A2419" t="s">
        <v>7505</v>
      </c>
      <c r="B2419" t="str">
        <f ca="1">IF(ISBLANK(OFFSET(B2419,0,'Field labels'!$Q$1)),C2419,OFFSET(B2419,0,'Field labels'!$Q$1))</f>
        <v>CICL NJ -  CSSP -TS (230550-LE003203)</v>
      </c>
      <c r="C2419" t="s">
        <v>5822</v>
      </c>
    </row>
    <row r="2420" spans="1:3">
      <c r="A2420" t="s">
        <v>7505</v>
      </c>
      <c r="B2420" t="str">
        <f ca="1">IF(ISBLANK(OFFSET(B2420,0,'Field labels'!$Q$1)),C2420,OFFSET(B2420,0,'Field labels'!$Q$1))</f>
        <v>CICL NJ - CSSP Maestro (230506-LE003203)</v>
      </c>
      <c r="C2420" t="s">
        <v>5823</v>
      </c>
    </row>
    <row r="2421" spans="1:3">
      <c r="A2421" t="s">
        <v>7505</v>
      </c>
      <c r="B2421" t="str">
        <f ca="1">IF(ISBLANK(OFFSET(B2421,0,'Field labels'!$Q$1)),C2421,OFFSET(B2421,0,'Field labels'!$Q$1))</f>
        <v>CICL NJ - CTL FAP (230630-LE003203)</v>
      </c>
      <c r="C2421" t="s">
        <v>5824</v>
      </c>
    </row>
    <row r="2422" spans="1:3">
      <c r="A2422" t="s">
        <v>7505</v>
      </c>
      <c r="B2422" t="str">
        <f ca="1">IF(ISBLANK(OFFSET(B2422,0,'Field labels'!$Q$1)),C2422,OFFSET(B2422,0,'Field labels'!$Q$1))</f>
        <v>CICL NJ - CTL S&amp;E (230640-LE003203)</v>
      </c>
      <c r="C2422" t="s">
        <v>5825</v>
      </c>
    </row>
    <row r="2423" spans="1:3">
      <c r="A2423" t="s">
        <v>7505</v>
      </c>
      <c r="B2423" t="str">
        <f ca="1">IF(ISBLANK(OFFSET(B2423,0,'Field labels'!$Q$1)),C2423,OFFSET(B2423,0,'Field labels'!$Q$1))</f>
        <v>CICL NJ - FSS Bench (230206-LE003203)</v>
      </c>
      <c r="C2423" t="s">
        <v>5826</v>
      </c>
    </row>
    <row r="2424" spans="1:3">
      <c r="A2424" t="s">
        <v>7505</v>
      </c>
      <c r="B2424" t="str">
        <f ca="1">IF(ISBLANK(OFFSET(B2424,0,'Field labels'!$Q$1)),C2424,OFFSET(B2424,0,'Field labels'!$Q$1))</f>
        <v>CICL NJ - GHRO Unallocated (230305-LE003203)</v>
      </c>
      <c r="C2424" t="s">
        <v>5827</v>
      </c>
    </row>
    <row r="2425" spans="1:3">
      <c r="A2425" t="s">
        <v>7505</v>
      </c>
      <c r="B2425" t="str">
        <f ca="1">IF(ISBLANK(OFFSET(B2425,0,'Field labels'!$Q$1)),C2425,OFFSET(B2425,0,'Field labels'!$Q$1))</f>
        <v>CICL NJ - PNL CBS (230000-LE003203)</v>
      </c>
      <c r="C2425" t="s">
        <v>5828</v>
      </c>
    </row>
    <row r="2426" spans="1:3">
      <c r="A2426" t="s">
        <v>7505</v>
      </c>
      <c r="B2426" t="str">
        <f ca="1">IF(ISBLANK(OFFSET(B2426,0,'Field labels'!$Q$1)),C2426,OFFSET(B2426,0,'Field labels'!$Q$1))</f>
        <v>CICL NJ - PNL CSS (230500-LE003203)</v>
      </c>
      <c r="C2426" t="s">
        <v>5829</v>
      </c>
    </row>
    <row r="2427" spans="1:3">
      <c r="A2427" t="s">
        <v>7505</v>
      </c>
      <c r="B2427" t="str">
        <f ca="1">IF(ISBLANK(OFFSET(B2427,0,'Field labels'!$Q$1)),C2427,OFFSET(B2427,0,'Field labels'!$Q$1))</f>
        <v>CICL NJ - PNL Dual Ops CSS (230005-LE003203)</v>
      </c>
      <c r="C2427" t="s">
        <v>5830</v>
      </c>
    </row>
    <row r="2428" spans="1:3">
      <c r="A2428" t="s">
        <v>7505</v>
      </c>
      <c r="B2428" t="str">
        <f ca="1">IF(ISBLANK(OFFSET(B2428,0,'Field labels'!$Q$1)),C2428,OFFSET(B2428,0,'Field labels'!$Q$1))</f>
        <v>CICL NJ - PNL Dual Ops CTL (230006-LE003203)</v>
      </c>
      <c r="C2428" t="s">
        <v>5831</v>
      </c>
    </row>
    <row r="2429" spans="1:3">
      <c r="A2429" t="s">
        <v>7505</v>
      </c>
      <c r="B2429" t="str">
        <f ca="1">IF(ISBLANK(OFFSET(B2429,0,'Field labels'!$Q$1)),C2429,OFFSET(B2429,0,'Field labels'!$Q$1))</f>
        <v>CICL NJ - PNL Dual Ops FSS (230002-LE003203)</v>
      </c>
      <c r="C2429" t="s">
        <v>5832</v>
      </c>
    </row>
    <row r="2430" spans="1:3">
      <c r="A2430" t="s">
        <v>7505</v>
      </c>
      <c r="B2430" t="str">
        <f ca="1">IF(ISBLANK(OFFSET(B2430,0,'Field labels'!$Q$1)),C2430,OFFSET(B2430,0,'Field labels'!$Q$1))</f>
        <v>CICL NJ - PNL Dual Ops HR (230003-LE003203)</v>
      </c>
      <c r="C2430" t="s">
        <v>5833</v>
      </c>
    </row>
    <row r="2431" spans="1:3">
      <c r="A2431" t="s">
        <v>7505</v>
      </c>
      <c r="B2431" t="str">
        <f ca="1">IF(ISBLANK(OFFSET(B2431,0,'Field labels'!$Q$1)),C2431,OFFSET(B2431,0,'Field labels'!$Q$1))</f>
        <v>CICL NJ - PNL FSS (230200-LE003203)</v>
      </c>
      <c r="C2431" t="s">
        <v>5834</v>
      </c>
    </row>
    <row r="2432" spans="1:3">
      <c r="A2432" t="s">
        <v>7505</v>
      </c>
      <c r="B2432" t="str">
        <f ca="1">IF(ISBLANK(OFFSET(B2432,0,'Field labels'!$Q$1)),C2432,OFFSET(B2432,0,'Field labels'!$Q$1))</f>
        <v>CICL NJ - PNL HR (230300-LE003203)</v>
      </c>
      <c r="C2432" t="s">
        <v>5835</v>
      </c>
    </row>
    <row r="2433" spans="1:3">
      <c r="A2433" t="s">
        <v>7505</v>
      </c>
      <c r="B2433" t="str">
        <f ca="1">IF(ISBLANK(OFFSET(B2433,0,'Field labels'!$Q$1)),C2433,OFFSET(B2433,0,'Field labels'!$Q$1))</f>
        <v>CICL NJ -  FSS Migration (230204-LE003203)</v>
      </c>
      <c r="C2433" t="s">
        <v>5836</v>
      </c>
    </row>
    <row r="2434" spans="1:3">
      <c r="A2434" t="s">
        <v>7505</v>
      </c>
      <c r="B2434" t="str">
        <f ca="1">IF(ISBLANK(OFFSET(B2434,0,'Field labels'!$Q$1)),C2434,OFFSET(B2434,0,'Field labels'!$Q$1))</f>
        <v>CICL NJ -  Global IT (230008-LE003203)</v>
      </c>
      <c r="C2434" t="s">
        <v>5837</v>
      </c>
    </row>
    <row r="2435" spans="1:3">
      <c r="A2435" t="s">
        <v>7505</v>
      </c>
      <c r="B2435" t="str">
        <f ca="1">IF(ISBLANK(OFFSET(B2435,0,'Field labels'!$Q$1)),C2435,OFFSET(B2435,0,'Field labels'!$Q$1))</f>
        <v>CICL NJ-PMO (230007-LE003203)</v>
      </c>
      <c r="C2435" t="s">
        <v>5838</v>
      </c>
    </row>
    <row r="2436" spans="1:3">
      <c r="A2436" t="s">
        <v>7505</v>
      </c>
      <c r="B2436" t="str">
        <f ca="1">IF(ISBLANK(OFFSET(B2436,0,'Field labels'!$Q$1)),C2436,OFFSET(B2436,0,'Field labels'!$Q$1))</f>
        <v>CICL -PNL CSA Tianjin (804952-LE003203)</v>
      </c>
      <c r="C2436" t="s">
        <v>5839</v>
      </c>
    </row>
    <row r="2437" spans="1:3">
      <c r="A2437" t="s">
        <v>7505</v>
      </c>
      <c r="B2437" t="str">
        <f ca="1">IF(ISBLANK(OFFSET(B2437,0,'Field labels'!$Q$1)),C2437,OFFSET(B2437,0,'Field labels'!$Q$1))</f>
        <v>CICL -PNL SSA Tianjin (781873-LE003203)</v>
      </c>
      <c r="C2437" t="s">
        <v>5840</v>
      </c>
    </row>
    <row r="2438" spans="1:3">
      <c r="A2438" t="s">
        <v>7505</v>
      </c>
      <c r="B2438" t="str">
        <f ca="1">IF(ISBLANK(OFFSET(B2438,0,'Field labels'!$Q$1)),C2438,OFFSET(B2438,0,'Field labels'!$Q$1))</f>
        <v>CICL -Reginal Exp Char (470116-LE003203)</v>
      </c>
      <c r="C2438" t="s">
        <v>5841</v>
      </c>
    </row>
    <row r="2439" spans="1:3">
      <c r="A2439" t="s">
        <v>7505</v>
      </c>
      <c r="B2439" t="str">
        <f ca="1">IF(ISBLANK(OFFSET(B2439,0,'Field labels'!$Q$1)),C2439,OFFSET(B2439,0,'Field labels'!$Q$1))</f>
        <v>CICL SH - GHRS Talent acquisti (797602-LE003203)</v>
      </c>
      <c r="C2439" t="s">
        <v>5842</v>
      </c>
    </row>
    <row r="2440" spans="1:3">
      <c r="A2440" t="s">
        <v>7505</v>
      </c>
      <c r="B2440" t="str">
        <f ca="1">IF(ISBLANK(OFFSET(B2440,0,'Field labels'!$Q$1)),C2440,OFFSET(B2440,0,'Field labels'!$Q$1))</f>
        <v>CICL SH - PNL SSC (781702-LE003203)</v>
      </c>
      <c r="C2440" t="s">
        <v>5843</v>
      </c>
    </row>
    <row r="2441" spans="1:3">
      <c r="A2441" t="s">
        <v>7505</v>
      </c>
      <c r="B2441" t="str">
        <f ca="1">IF(ISBLANK(OFFSET(B2441,0,'Field labels'!$Q$1)),C2441,OFFSET(B2441,0,'Field labels'!$Q$1))</f>
        <v>CICL SH - PNL SSC CSSP (781934-LE003203)</v>
      </c>
      <c r="C2441" t="s">
        <v>5844</v>
      </c>
    </row>
    <row r="2442" spans="1:3">
      <c r="A2442" t="s">
        <v>7505</v>
      </c>
      <c r="B2442" t="str">
        <f ca="1">IF(ISBLANK(OFFSET(B2442,0,'Field labels'!$Q$1)),C2442,OFFSET(B2442,0,'Field labels'!$Q$1))</f>
        <v>CICL SH-PNL SSC (781878-LE003203)</v>
      </c>
      <c r="C2442" t="s">
        <v>5845</v>
      </c>
    </row>
    <row r="2443" spans="1:3">
      <c r="A2443" t="s">
        <v>7505</v>
      </c>
      <c r="B2443" t="str">
        <f ca="1">IF(ISBLANK(OFFSET(B2443,0,'Field labels'!$Q$1)),C2443,OFFSET(B2443,0,'Field labels'!$Q$1))</f>
        <v>CICL-Beijing Cotton (909893-LE003203)</v>
      </c>
      <c r="C2443" t="s">
        <v>5846</v>
      </c>
    </row>
    <row r="2444" spans="1:3">
      <c r="A2444" t="s">
        <v>7505</v>
      </c>
      <c r="B2444" t="str">
        <f ca="1">IF(ISBLANK(OFFSET(B2444,0,'Field labels'!$Q$1)),C2444,OFFSET(B2444,0,'Field labels'!$Q$1))</f>
        <v>CICL-BOSC (797911-LE003203)</v>
      </c>
      <c r="C2444" t="s">
        <v>5847</v>
      </c>
    </row>
    <row r="2445" spans="1:3">
      <c r="A2445" t="s">
        <v>7505</v>
      </c>
      <c r="B2445" t="str">
        <f ca="1">IF(ISBLANK(OFFSET(B2445,0,'Field labels'!$Q$1)),C2445,OFFSET(B2445,0,'Field labels'!$Q$1))</f>
        <v>CICL-Com excellence (797914-LE003203)</v>
      </c>
      <c r="C2445" t="s">
        <v>5848</v>
      </c>
    </row>
    <row r="2446" spans="1:3">
      <c r="A2446" t="s">
        <v>7505</v>
      </c>
      <c r="B2446" t="str">
        <f ca="1">IF(ISBLANK(OFFSET(B2446,0,'Field labels'!$Q$1)),C2446,OFFSET(B2446,0,'Field labels'!$Q$1))</f>
        <v>CICL-Commerical-Field S (973960-LE003203)</v>
      </c>
      <c r="C2446" t="s">
        <v>5849</v>
      </c>
    </row>
    <row r="2447" spans="1:3">
      <c r="A2447" t="s">
        <v>7505</v>
      </c>
      <c r="B2447" t="str">
        <f ca="1">IF(ISBLANK(OFFSET(B2447,0,'Field labels'!$Q$1)),C2447,OFFSET(B2447,0,'Field labels'!$Q$1))</f>
        <v>CICL-CSA  BU Operations (804957-LE003203)</v>
      </c>
      <c r="C2447" t="s">
        <v>5850</v>
      </c>
    </row>
    <row r="2448" spans="1:3">
      <c r="A2448" t="s">
        <v>7505</v>
      </c>
      <c r="B2448" t="str">
        <f ca="1">IF(ISBLANK(OFFSET(B2448,0,'Field labels'!$Q$1)),C2448,OFFSET(B2448,0,'Field labels'!$Q$1))</f>
        <v>CICL-CSA-CHHR (804956-LE003203)</v>
      </c>
      <c r="C2448" t="s">
        <v>5851</v>
      </c>
    </row>
    <row r="2449" spans="1:3">
      <c r="A2449" t="s">
        <v>7505</v>
      </c>
      <c r="B2449" t="str">
        <f ca="1">IF(ISBLANK(OFFSET(B2449,0,'Field labels'!$Q$1)),C2449,OFFSET(B2449,0,'Field labels'!$Q$1))</f>
        <v>CICL-CSSP in CBSNJ (230700-LE003203)</v>
      </c>
      <c r="C2449" t="s">
        <v>5852</v>
      </c>
    </row>
    <row r="2450" spans="1:3">
      <c r="A2450" t="s">
        <v>7505</v>
      </c>
      <c r="B2450" t="str">
        <f ca="1">IF(ISBLANK(OFFSET(B2450,0,'Field labels'!$Q$1)),C2450,OFFSET(B2450,0,'Field labels'!$Q$1))</f>
        <v>CICL-CSSP Maestro (797138-LE003203)</v>
      </c>
      <c r="C2450" t="s">
        <v>5853</v>
      </c>
    </row>
    <row r="2451" spans="1:3">
      <c r="A2451" t="s">
        <v>7505</v>
      </c>
      <c r="B2451" t="str">
        <f ca="1">IF(ISBLANK(OFFSET(B2451,0,'Field labels'!$Q$1)),C2451,OFFSET(B2451,0,'Field labels'!$Q$1))</f>
        <v>CICL-GOSC Commercial (783950-LE003203)</v>
      </c>
      <c r="C2451" t="s">
        <v>5854</v>
      </c>
    </row>
    <row r="2452" spans="1:3">
      <c r="A2452" t="s">
        <v>7505</v>
      </c>
      <c r="B2452" t="str">
        <f ca="1">IF(ISBLANK(OFFSET(B2452,0,'Field labels'!$Q$1)),C2452,OFFSET(B2452,0,'Field labels'!$Q$1))</f>
        <v>CICL-GTM (797912-LE003203)</v>
      </c>
      <c r="C2452" t="s">
        <v>5855</v>
      </c>
    </row>
    <row r="2453" spans="1:3">
      <c r="A2453" t="s">
        <v>7505</v>
      </c>
      <c r="B2453" t="str">
        <f ca="1">IF(ISBLANK(OFFSET(B2453,0,'Field labels'!$Q$1)),C2453,OFFSET(B2453,0,'Field labels'!$Q$1))</f>
        <v>CICL-HR TMO (797164-LE003203)</v>
      </c>
      <c r="C2453" t="s">
        <v>5856</v>
      </c>
    </row>
    <row r="2454" spans="1:3">
      <c r="A2454" t="s">
        <v>7505</v>
      </c>
      <c r="B2454" t="str">
        <f ca="1">IF(ISBLANK(OFFSET(B2454,0,'Field labels'!$Q$1)),C2454,OFFSET(B2454,0,'Field labels'!$Q$1))</f>
        <v>CICL-Industrial Special (175110-LE003203)</v>
      </c>
      <c r="C2454" t="s">
        <v>5857</v>
      </c>
    </row>
    <row r="2455" spans="1:3">
      <c r="A2455" t="s">
        <v>7505</v>
      </c>
      <c r="B2455" t="str">
        <f ca="1">IF(ISBLANK(OFFSET(B2455,0,'Field labels'!$Q$1)),C2455,OFFSET(B2455,0,'Field labels'!$Q$1))</f>
        <v>CICL-Industrial Special (176110-LE003203)</v>
      </c>
      <c r="C2455" t="s">
        <v>5858</v>
      </c>
    </row>
    <row r="2456" spans="1:3">
      <c r="A2456" t="s">
        <v>7505</v>
      </c>
      <c r="B2456" t="str">
        <f ca="1">IF(ISBLANK(OFFSET(B2456,0,'Field labels'!$Q$1)),C2456,OFFSET(B2456,0,'Field labels'!$Q$1))</f>
        <v>CICL-NJ CBS (797124-LE003203)</v>
      </c>
      <c r="C2456" t="s">
        <v>5859</v>
      </c>
    </row>
    <row r="2457" spans="1:3">
      <c r="A2457" t="s">
        <v>7505</v>
      </c>
      <c r="B2457" t="str">
        <f ca="1">IF(ISBLANK(OFFSET(B2457,0,'Field labels'!$Q$1)),C2457,OFFSET(B2457,0,'Field labels'!$Q$1))</f>
        <v>CICL-OTD GTM (864870-LE003203)</v>
      </c>
      <c r="C2457" t="s">
        <v>5860</v>
      </c>
    </row>
    <row r="2458" spans="1:3">
      <c r="A2458" t="s">
        <v>7505</v>
      </c>
      <c r="B2458" t="str">
        <f ca="1">IF(ISBLANK(OFFSET(B2458,0,'Field labels'!$Q$1)),C2458,OFFSET(B2458,0,'Field labels'!$Q$1))</f>
        <v>CICL-PNL CAP Finance (968866-LE003203)</v>
      </c>
      <c r="C2458" t="s">
        <v>5861</v>
      </c>
    </row>
    <row r="2459" spans="1:3">
      <c r="A2459" t="s">
        <v>7505</v>
      </c>
      <c r="B2459" t="str">
        <f ca="1">IF(ISBLANK(OFFSET(B2459,0,'Field labels'!$Q$1)),C2459,OFFSET(B2459,0,'Field labels'!$Q$1))</f>
        <v>CICL-PNL GOSC Trade Execution (783890-LE003203)</v>
      </c>
      <c r="C2459" t="s">
        <v>5862</v>
      </c>
    </row>
    <row r="2460" spans="1:3">
      <c r="A2460" t="s">
        <v>7505</v>
      </c>
      <c r="B2460" t="str">
        <f ca="1">IF(ISBLANK(OFFSET(B2460,0,'Field labels'!$Q$1)),C2460,OFFSET(B2460,0,'Field labels'!$Q$1))</f>
        <v>CICL-TSF PNL-TSF ACCTG (865910-LE003203)</v>
      </c>
      <c r="C2460" t="s">
        <v>5863</v>
      </c>
    </row>
    <row r="2461" spans="1:3">
      <c r="A2461" t="s">
        <v>7505</v>
      </c>
      <c r="B2461" t="str">
        <f ca="1">IF(ISBLANK(OFFSET(B2461,0,'Field labels'!$Q$1)),C2461,OFFSET(B2461,0,'Field labels'!$Q$1))</f>
        <v>CICL-TSF PNL-TSF Admin (865908-LE003203)</v>
      </c>
      <c r="C2461" t="s">
        <v>5864</v>
      </c>
    </row>
    <row r="2462" spans="1:3">
      <c r="A2462" t="s">
        <v>7505</v>
      </c>
      <c r="B2462" t="str">
        <f ca="1">IF(ISBLANK(OFFSET(B2462,0,'Field labels'!$Q$1)),C2462,OFFSET(B2462,0,'Field labels'!$Q$1))</f>
        <v>CICL-TSF PNL-TSF Traders (865907-LE003203)</v>
      </c>
      <c r="C2462" t="s">
        <v>5865</v>
      </c>
    </row>
    <row r="2463" spans="1:3">
      <c r="A2463" t="s">
        <v>7505</v>
      </c>
      <c r="B2463" t="str">
        <f ca="1">IF(ISBLANK(OFFSET(B2463,0,'Field labels'!$Q$1)),C2463,OFFSET(B2463,0,'Field labels'!$Q$1))</f>
        <v>Commercial-Bakery (973930-LE003203)</v>
      </c>
      <c r="C2463" t="s">
        <v>5912</v>
      </c>
    </row>
    <row r="2464" spans="1:3">
      <c r="A2464" t="s">
        <v>7505</v>
      </c>
      <c r="B2464" t="str">
        <f ca="1">IF(ISBLANK(OFFSET(B2464,0,'Field labels'!$Q$1)),C2464,OFFSET(B2464,0,'Field labels'!$Q$1))</f>
        <v>Commercial-VA-FI (973890-LE003203)</v>
      </c>
      <c r="C2464" t="s">
        <v>5918</v>
      </c>
    </row>
    <row r="2465" spans="1:3">
      <c r="A2465" t="s">
        <v>7505</v>
      </c>
      <c r="B2465" t="str">
        <f ca="1">IF(ISBLANK(OFFSET(B2465,0,'Field labels'!$Q$1)),C2465,OFFSET(B2465,0,'Field labels'!$Q$1))</f>
        <v>Commercial-VA-FS (973950-LE003203)</v>
      </c>
      <c r="C2465" t="s">
        <v>5921</v>
      </c>
    </row>
    <row r="2466" spans="1:3">
      <c r="A2466" t="s">
        <v>7505</v>
      </c>
      <c r="B2466" t="str">
        <f ca="1">IF(ISBLANK(OFFSET(B2466,0,'Field labels'!$Q$1)),C2466,OFFSET(B2466,0,'Field labels'!$Q$1))</f>
        <v>Commercial-VA-Other (973920-LE003203)</v>
      </c>
      <c r="C2466" t="s">
        <v>5923</v>
      </c>
    </row>
    <row r="2467" spans="1:3">
      <c r="A2467" t="s">
        <v>7505</v>
      </c>
      <c r="B2467" t="str">
        <f ca="1">IF(ISBLANK(OFFSET(B2467,0,'Field labels'!$Q$1)),C2467,OFFSET(B2467,0,'Field labels'!$Q$1))</f>
        <v>Corn (233880-LE003203)</v>
      </c>
      <c r="C2467" t="s">
        <v>5941</v>
      </c>
    </row>
    <row r="2468" spans="1:3">
      <c r="A2468" t="s">
        <v>7505</v>
      </c>
      <c r="B2468" t="str">
        <f ca="1">IF(ISBLANK(OFFSET(B2468,0,'Field labels'!$Q$1)),C2468,OFFSET(B2468,0,'Field labels'!$Q$1))</f>
        <v>CPN Aiden (470162-LE003203)</v>
      </c>
      <c r="C2468" t="s">
        <v>5955</v>
      </c>
    </row>
    <row r="2469" spans="1:3">
      <c r="A2469" t="s">
        <v>7505</v>
      </c>
      <c r="B2469" t="str">
        <f ca="1">IF(ISBLANK(OFFSET(B2469,0,'Field labels'!$Q$1)),C2469,OFFSET(B2469,0,'Field labels'!$Q$1))</f>
        <v>CPN Mila (470161-LE003203)</v>
      </c>
      <c r="C2469" t="s">
        <v>5957</v>
      </c>
    </row>
    <row r="2470" spans="1:3">
      <c r="A2470" t="s">
        <v>7505</v>
      </c>
      <c r="B2470" t="str">
        <f ca="1">IF(ISBLANK(OFFSET(B2470,0,'Field labels'!$Q$1)),C2470,OFFSET(B2470,0,'Field labels'!$Q$1))</f>
        <v>CPN SMT (470160-LE003203)</v>
      </c>
      <c r="C2470" t="s">
        <v>5963</v>
      </c>
    </row>
    <row r="2471" spans="1:3">
      <c r="A2471" t="s">
        <v>7505</v>
      </c>
      <c r="B2471" t="str">
        <f ca="1">IF(ISBLANK(OFFSET(B2471,0,'Field labels'!$Q$1)),C2471,OFFSET(B2471,0,'Field labels'!$Q$1))</f>
        <v>CSSP-CAN (907136-LE003203)</v>
      </c>
      <c r="C2471" t="s">
        <v>6015</v>
      </c>
    </row>
    <row r="2472" spans="1:3">
      <c r="A2472" t="s">
        <v>7505</v>
      </c>
      <c r="B2472" t="str">
        <f ca="1">IF(ISBLANK(OFFSET(B2472,0,'Field labels'!$Q$1)),C2472,OFFSET(B2472,0,'Field labels'!$Q$1))</f>
        <v>Ferrous Function - Analyst (809555-LE003203)</v>
      </c>
      <c r="C2472" t="s">
        <v>6183</v>
      </c>
    </row>
    <row r="2473" spans="1:3">
      <c r="A2473" t="s">
        <v>7505</v>
      </c>
      <c r="B2473" t="str">
        <f ca="1">IF(ISBLANK(OFFSET(B2473,0,'Field labels'!$Q$1)),C2473,OFFSET(B2473,0,'Field labels'!$Q$1))</f>
        <v>Ferrous Function Credit (809444-LE003203)</v>
      </c>
      <c r="C2473" t="s">
        <v>6184</v>
      </c>
    </row>
    <row r="2474" spans="1:3">
      <c r="A2474" t="s">
        <v>7505</v>
      </c>
      <c r="B2474" t="str">
        <f ca="1">IF(ISBLANK(OFFSET(B2474,0,'Field labels'!$Q$1)),C2474,OFFSET(B2474,0,'Field labels'!$Q$1))</f>
        <v>Ferrous Function- Ops-Int (809333-LE003203)</v>
      </c>
      <c r="C2474" t="s">
        <v>6185</v>
      </c>
    </row>
    <row r="2475" spans="1:3">
      <c r="A2475" t="s">
        <v>7505</v>
      </c>
      <c r="B2475" t="str">
        <f ca="1">IF(ISBLANK(OFFSET(B2475,0,'Field labels'!$Q$1)),C2475,OFFSET(B2475,0,'Field labels'!$Q$1))</f>
        <v>Ferrous Function-Acctg+Credit (809111-LE003203)</v>
      </c>
      <c r="C2475" t="s">
        <v>6186</v>
      </c>
    </row>
    <row r="2476" spans="1:3">
      <c r="A2476" t="s">
        <v>7505</v>
      </c>
      <c r="B2476" t="str">
        <f ca="1">IF(ISBLANK(OFFSET(B2476,0,'Field labels'!$Q$1)),C2476,OFFSET(B2476,0,'Field labels'!$Q$1))</f>
        <v>Ferrous Function-IT (809666-LE003203)</v>
      </c>
      <c r="C2476" t="s">
        <v>6187</v>
      </c>
    </row>
    <row r="2477" spans="1:3">
      <c r="A2477" t="s">
        <v>7505</v>
      </c>
      <c r="B2477" t="str">
        <f ca="1">IF(ISBLANK(OFFSET(B2477,0,'Field labels'!$Q$1)),C2477,OFFSET(B2477,0,'Field labels'!$Q$1))</f>
        <v>Ferrous Function-Ops-Domestic (809222-LE003203)</v>
      </c>
      <c r="C2477" t="s">
        <v>6188</v>
      </c>
    </row>
    <row r="2478" spans="1:3">
      <c r="A2478" t="s">
        <v>7505</v>
      </c>
      <c r="B2478" t="str">
        <f ca="1">IF(ISBLANK(OFFSET(B2478,0,'Field labels'!$Q$1)),C2478,OFFSET(B2478,0,'Field labels'!$Q$1))</f>
        <v>FIBI APAC (797908-LE003203)</v>
      </c>
      <c r="C2478" t="s">
        <v>6198</v>
      </c>
    </row>
    <row r="2479" spans="1:3">
      <c r="A2479" t="s">
        <v>7505</v>
      </c>
      <c r="B2479" t="str">
        <f ca="1">IF(ISBLANK(OFFSET(B2479,0,'Field labels'!$Q$1)),C2479,OFFSET(B2479,0,'Field labels'!$Q$1))</f>
        <v>G&amp;A-Regional BOSC-China (783052-LE003203)</v>
      </c>
      <c r="C2479" t="s">
        <v>6439</v>
      </c>
    </row>
    <row r="2480" spans="1:3">
      <c r="A2480" t="s">
        <v>7505</v>
      </c>
      <c r="B2480" t="str">
        <f ca="1">IF(ISBLANK(OFFSET(B2480,0,'Field labels'!$Q$1)),C2480,OFFSET(B2480,0,'Field labels'!$Q$1))</f>
        <v>GCK Sharing for BOSC (973052-LE003203)</v>
      </c>
      <c r="C2480" t="s">
        <v>6453</v>
      </c>
    </row>
    <row r="2481" spans="1:3">
      <c r="A2481" t="s">
        <v>7505</v>
      </c>
      <c r="B2481" t="str">
        <f ca="1">IF(ISBLANK(OFFSET(B2481,0,'Field labels'!$Q$1)),C2481,OFFSET(B2481,0,'Field labels'!$Q$1))</f>
        <v>HR APAC Project Aurora (797165-LE003203)</v>
      </c>
      <c r="C2481" t="s">
        <v>6567</v>
      </c>
    </row>
    <row r="2482" spans="1:3">
      <c r="A2482" t="s">
        <v>7505</v>
      </c>
      <c r="B2482" t="str">
        <f ca="1">IF(ISBLANK(OFFSET(B2482,0,'Field labels'!$Q$1)),C2482,OFFSET(B2482,0,'Field labels'!$Q$1))</f>
        <v>IT APP ERP CN (797153-LE003203)</v>
      </c>
      <c r="C2482" t="s">
        <v>6603</v>
      </c>
    </row>
    <row r="2483" spans="1:3">
      <c r="A2483" t="s">
        <v>7505</v>
      </c>
      <c r="B2483" t="str">
        <f ca="1">IF(ISBLANK(OFFSET(B2483,0,'Field labels'!$Q$1)),C2483,OFFSET(B2483,0,'Field labels'!$Q$1))</f>
        <v>IT APP ERP CN (907142-LE003203)</v>
      </c>
      <c r="C2483" t="s">
        <v>6602</v>
      </c>
    </row>
    <row r="2484" spans="1:3">
      <c r="A2484" t="s">
        <v>7505</v>
      </c>
      <c r="B2484" t="str">
        <f ca="1">IF(ISBLANK(OFFSET(B2484,0,'Field labels'!$Q$1)),C2484,OFFSET(B2484,0,'Field labels'!$Q$1))</f>
        <v>IT APP MIT CN (797151-LE003203)</v>
      </c>
      <c r="C2484" t="s">
        <v>6607</v>
      </c>
    </row>
    <row r="2485" spans="1:3">
      <c r="A2485" t="s">
        <v>7505</v>
      </c>
      <c r="B2485" t="str">
        <f ca="1">IF(ISBLANK(OFFSET(B2485,0,'Field labels'!$Q$1)),C2485,OFFSET(B2485,0,'Field labels'!$Q$1))</f>
        <v>IT APP MIT CN (907151-LE003203)</v>
      </c>
      <c r="C2485" t="s">
        <v>6606</v>
      </c>
    </row>
    <row r="2486" spans="1:3">
      <c r="A2486" t="s">
        <v>7505</v>
      </c>
      <c r="B2486" t="str">
        <f ca="1">IF(ISBLANK(OFFSET(B2486,0,'Field labels'!$Q$1)),C2486,OFFSET(B2486,0,'Field labels'!$Q$1))</f>
        <v>IT APP Trading CN (797152-LE003203)</v>
      </c>
      <c r="C2486" t="s">
        <v>6612</v>
      </c>
    </row>
    <row r="2487" spans="1:3">
      <c r="A2487" t="s">
        <v>7505</v>
      </c>
      <c r="B2487" t="str">
        <f ca="1">IF(ISBLANK(OFFSET(B2487,0,'Field labels'!$Q$1)),C2487,OFFSET(B2487,0,'Field labels'!$Q$1))</f>
        <v>IT App-Customer Facing (907143-LE003203)</v>
      </c>
      <c r="C2487" t="s">
        <v>6614</v>
      </c>
    </row>
    <row r="2488" spans="1:3">
      <c r="A2488" t="s">
        <v>7505</v>
      </c>
      <c r="B2488" t="str">
        <f ca="1">IF(ISBLANK(OFFSET(B2488,0,'Field labels'!$Q$1)),C2488,OFFSET(B2488,0,'Field labels'!$Q$1))</f>
        <v>IT Bus Partner CN (907149-LE003203)</v>
      </c>
      <c r="C2488" t="s">
        <v>6616</v>
      </c>
    </row>
    <row r="2489" spans="1:3">
      <c r="A2489" t="s">
        <v>7505</v>
      </c>
      <c r="B2489" t="str">
        <f ca="1">IF(ISBLANK(OFFSET(B2489,0,'Field labels'!$Q$1)),C2489,OFFSET(B2489,0,'Field labels'!$Q$1))</f>
        <v>LUO HE PROJECT (781882-LE003203)</v>
      </c>
      <c r="C2489" t="s">
        <v>6684</v>
      </c>
    </row>
    <row r="2490" spans="1:3">
      <c r="A2490" t="s">
        <v>7505</v>
      </c>
      <c r="B2490" t="str">
        <f ca="1">IF(ISBLANK(OFFSET(B2490,0,'Field labels'!$Q$1)),C2490,OFFSET(B2490,0,'Field labels'!$Q$1))</f>
        <v>Maintain PTP data (230231-LE003203)</v>
      </c>
      <c r="C2490" t="s">
        <v>6689</v>
      </c>
    </row>
    <row r="2491" spans="1:3">
      <c r="A2491" t="s">
        <v>7505</v>
      </c>
      <c r="B2491" t="str">
        <f ca="1">IF(ISBLANK(OFFSET(B2491,0,'Field labels'!$Q$1)),C2491,OFFSET(B2491,0,'Field labels'!$Q$1))</f>
        <v>Maintain RTR data (230251-LE003203)</v>
      </c>
      <c r="C2491" t="s">
        <v>6690</v>
      </c>
    </row>
    <row r="2492" spans="1:3">
      <c r="A2492" t="s">
        <v>7505</v>
      </c>
      <c r="B2492" t="str">
        <f ca="1">IF(ISBLANK(OFFSET(B2492,0,'Field labels'!$Q$1)),C2492,OFFSET(B2492,0,'Field labels'!$Q$1))</f>
        <v>Manage Asset Accounting (230255-LE003203)</v>
      </c>
      <c r="C2492" t="s">
        <v>6699</v>
      </c>
    </row>
    <row r="2493" spans="1:3">
      <c r="A2493" t="s">
        <v>7505</v>
      </c>
      <c r="B2493" t="str">
        <f ca="1">IF(ISBLANK(OFFSET(B2493,0,'Field labels'!$Q$1)),C2493,OFFSET(B2493,0,'Field labels'!$Q$1))</f>
        <v>Manage customer credit (230212-LE003203)</v>
      </c>
      <c r="C2493" t="s">
        <v>6701</v>
      </c>
    </row>
    <row r="2494" spans="1:3">
      <c r="A2494" t="s">
        <v>7505</v>
      </c>
      <c r="B2494" t="str">
        <f ca="1">IF(ISBLANK(OFFSET(B2494,0,'Field labels'!$Q$1)),C2494,OFFSET(B2494,0,'Field labels'!$Q$1))</f>
        <v>Manage inv and billing (230213-LE003203)</v>
      </c>
      <c r="C2494" t="s">
        <v>6702</v>
      </c>
    </row>
    <row r="2495" spans="1:3">
      <c r="A2495" t="s">
        <v>7505</v>
      </c>
      <c r="B2495" t="str">
        <f ca="1">IF(ISBLANK(OFFSET(B2495,0,'Field labels'!$Q$1)),C2495,OFFSET(B2495,0,'Field labels'!$Q$1))</f>
        <v>Marketing (973940-LE003203)</v>
      </c>
      <c r="C2495" t="s">
        <v>6712</v>
      </c>
    </row>
    <row r="2496" spans="1:3">
      <c r="A2496" t="s">
        <v>7505</v>
      </c>
      <c r="B2496" t="str">
        <f ca="1">IF(ISBLANK(OFFSET(B2496,0,'Field labels'!$Q$1)),C2496,OFFSET(B2496,0,'Field labels'!$Q$1))</f>
        <v>Metals-BJ Supply Chain (910860-LE003203)</v>
      </c>
      <c r="C2496" t="s">
        <v>6733</v>
      </c>
    </row>
    <row r="2497" spans="1:3">
      <c r="A2497" t="s">
        <v>7505</v>
      </c>
      <c r="B2497" t="str">
        <f ca="1">IF(ISBLANK(OFFSET(B2497,0,'Field labels'!$Q$1)),C2497,OFFSET(B2497,0,'Field labels'!$Q$1))</f>
        <v>Metals-Strategic Customer (809850-LE003203)</v>
      </c>
      <c r="C2497" t="s">
        <v>6734</v>
      </c>
    </row>
    <row r="2498" spans="1:3">
      <c r="A2498" t="s">
        <v>7505</v>
      </c>
      <c r="B2498" t="str">
        <f ca="1">IF(ISBLANK(OFFSET(B2498,0,'Field labels'!$Q$1)),C2498,OFFSET(B2498,0,'Field labels'!$Q$1))</f>
        <v>Origination (973870-LE003203)</v>
      </c>
      <c r="C2498" t="s">
        <v>6781</v>
      </c>
    </row>
    <row r="2499" spans="1:3">
      <c r="A2499" t="s">
        <v>7505</v>
      </c>
      <c r="B2499" t="str">
        <f ca="1">IF(ISBLANK(OFFSET(B2499,0,'Field labels'!$Q$1)),C2499,OFFSET(B2499,0,'Field labels'!$Q$1))</f>
        <v>Other Function (973880-LE003203)</v>
      </c>
      <c r="C2499" t="s">
        <v>6783</v>
      </c>
    </row>
    <row r="2500" spans="1:3">
      <c r="A2500" t="s">
        <v>7505</v>
      </c>
      <c r="B2500" t="str">
        <f ca="1">IF(ISBLANK(OFFSET(B2500,0,'Field labels'!$Q$1)),C2500,OFFSET(B2500,0,'Field labels'!$Q$1))</f>
        <v>Other SG&amp;A related function (973980-LE003203)</v>
      </c>
      <c r="C2500" t="s">
        <v>6784</v>
      </c>
    </row>
    <row r="2501" spans="1:3">
      <c r="A2501" t="s">
        <v>7505</v>
      </c>
      <c r="B2501" t="str">
        <f ca="1">IF(ISBLANK(OFFSET(B2501,0,'Field labels'!$Q$1)),C2501,OFFSET(B2501,0,'Field labels'!$Q$1))</f>
        <v>OTSC Korea Bench (230225-LE003203)</v>
      </c>
      <c r="C2501" t="s">
        <v>6787</v>
      </c>
    </row>
    <row r="2502" spans="1:3">
      <c r="A2502" t="s">
        <v>7505</v>
      </c>
      <c r="B2502" t="str">
        <f ca="1">IF(ISBLANK(OFFSET(B2502,0,'Field labels'!$Q$1)),C2502,OFFSET(B2502,0,'Field labels'!$Q$1))</f>
        <v>OTSC Korea-manage customer credit (230222-LE003203)</v>
      </c>
      <c r="C2502" t="s">
        <v>6788</v>
      </c>
    </row>
    <row r="2503" spans="1:3">
      <c r="A2503" t="s">
        <v>7505</v>
      </c>
      <c r="B2503" t="str">
        <f ca="1">IF(ISBLANK(OFFSET(B2503,0,'Field labels'!$Q$1)),C2503,OFFSET(B2503,0,'Field labels'!$Q$1))</f>
        <v>OTSC Korea-mange invoice &amp; billing (230223-LE003203)</v>
      </c>
      <c r="C2503" t="s">
        <v>6789</v>
      </c>
    </row>
    <row r="2504" spans="1:3">
      <c r="A2504" t="s">
        <v>7505</v>
      </c>
      <c r="B2504" t="str">
        <f ca="1">IF(ISBLANK(OFFSET(B2504,0,'Field labels'!$Q$1)),C2504,OFFSET(B2504,0,'Field labels'!$Q$1))</f>
        <v>OTSC Korea-perform cash application (230224-LE003203)</v>
      </c>
      <c r="C2504" t="s">
        <v>6790</v>
      </c>
    </row>
    <row r="2505" spans="1:3">
      <c r="A2505" t="s">
        <v>7505</v>
      </c>
      <c r="B2505" t="str">
        <f ca="1">IF(ISBLANK(OFFSET(B2505,0,'Field labels'!$Q$1)),C2505,OFFSET(B2505,0,'Field labels'!$Q$1))</f>
        <v>Per GL accounting (230252-LE003203)</v>
      </c>
      <c r="C2505" t="s">
        <v>6821</v>
      </c>
    </row>
    <row r="2506" spans="1:3">
      <c r="A2506" t="s">
        <v>7505</v>
      </c>
      <c r="B2506" t="str">
        <f ca="1">IF(ISBLANK(OFFSET(B2506,0,'Field labels'!$Q$1)),C2506,OFFSET(B2506,0,'Field labels'!$Q$1))</f>
        <v>Perform cash application (230214-LE003203)</v>
      </c>
      <c r="C2506" t="s">
        <v>6822</v>
      </c>
    </row>
    <row r="2507" spans="1:3">
      <c r="A2507" t="s">
        <v>7505</v>
      </c>
      <c r="B2507" t="str">
        <f ca="1">IF(ISBLANK(OFFSET(B2507,0,'Field labels'!$Q$1)),C2507,OFFSET(B2507,0,'Field labels'!$Q$1))</f>
        <v>Perform Cash Management (230256-LE003203)</v>
      </c>
      <c r="C2507" t="s">
        <v>6823</v>
      </c>
    </row>
    <row r="2508" spans="1:3">
      <c r="A2508" t="s">
        <v>7505</v>
      </c>
      <c r="B2508" t="str">
        <f ca="1">IF(ISBLANK(OFFSET(B2508,0,'Field labels'!$Q$1)),C2508,OFFSET(B2508,0,'Field labels'!$Q$1))</f>
        <v>Perform close process (230253-LE003203)</v>
      </c>
      <c r="C2508" t="s">
        <v>6825</v>
      </c>
    </row>
    <row r="2509" spans="1:3">
      <c r="A2509" t="s">
        <v>7505</v>
      </c>
      <c r="B2509" t="str">
        <f ca="1">IF(ISBLANK(OFFSET(B2509,0,'Field labels'!$Q$1)),C2509,OFFSET(B2509,0,'Field labels'!$Q$1))</f>
        <v>Post JE&amp; perf PD end proc (230217-LE003203)</v>
      </c>
      <c r="C2509" t="s">
        <v>6861</v>
      </c>
    </row>
    <row r="2510" spans="1:3">
      <c r="A2510" t="s">
        <v>7505</v>
      </c>
      <c r="B2510" t="str">
        <f ca="1">IF(ISBLANK(OFFSET(B2510,0,'Field labels'!$Q$1)),C2510,OFFSET(B2510,0,'Field labels'!$Q$1))</f>
        <v>Proc interco transactions (230254-LE003203)</v>
      </c>
      <c r="C2510" t="s">
        <v>6888</v>
      </c>
    </row>
    <row r="2511" spans="1:3">
      <c r="A2511" t="s">
        <v>7505</v>
      </c>
      <c r="B2511" t="str">
        <f ca="1">IF(ISBLANK(OFFSET(B2511,0,'Field labels'!$Q$1)),C2511,OFFSET(B2511,0,'Field labels'!$Q$1))</f>
        <v>Proc travel and exp reimbur (230237-LE003203)</v>
      </c>
      <c r="C2511" t="s">
        <v>6889</v>
      </c>
    </row>
    <row r="2512" spans="1:3">
      <c r="A2512" t="s">
        <v>7505</v>
      </c>
      <c r="B2512" t="str">
        <f ca="1">IF(ISBLANK(OFFSET(B2512,0,'Field labels'!$Q$1)),C2512,OFFSET(B2512,0,'Field labels'!$Q$1))</f>
        <v>Process collections (230215-LE003203)</v>
      </c>
      <c r="C2512" t="s">
        <v>6890</v>
      </c>
    </row>
    <row r="2513" spans="1:3">
      <c r="A2513" t="s">
        <v>7505</v>
      </c>
      <c r="B2513" t="str">
        <f ca="1">IF(ISBLANK(OFFSET(B2513,0,'Field labels'!$Q$1)),C2513,OFFSET(B2513,0,'Field labels'!$Q$1))</f>
        <v>Process payments (230233-LE003203)</v>
      </c>
      <c r="C2513" t="s">
        <v>6892</v>
      </c>
    </row>
    <row r="2514" spans="1:3">
      <c r="A2514" t="s">
        <v>7505</v>
      </c>
      <c r="B2514" t="str">
        <f ca="1">IF(ISBLANK(OFFSET(B2514,0,'Field labels'!$Q$1)),C2514,OFFSET(B2514,0,'Field labels'!$Q$1))</f>
        <v>Process vendor invoices (230232-LE003203)</v>
      </c>
      <c r="C2514" t="s">
        <v>6895</v>
      </c>
    </row>
    <row r="2515" spans="1:3">
      <c r="A2515" t="s">
        <v>7505</v>
      </c>
      <c r="B2515" t="str">
        <f ca="1">IF(ISBLANK(OFFSET(B2515,0,'Field labels'!$Q$1)),C2515,OFFSET(B2515,0,'Field labels'!$Q$1))</f>
        <v>Provide supplier support services (230235-LE003203)</v>
      </c>
      <c r="C2515" t="s">
        <v>6954</v>
      </c>
    </row>
    <row r="2516" spans="1:3">
      <c r="A2516" t="s">
        <v>7505</v>
      </c>
      <c r="B2516" t="str">
        <f ca="1">IF(ISBLANK(OFFSET(B2516,0,'Field labels'!$Q$1)),C2516,OFFSET(B2516,0,'Field labels'!$Q$1))</f>
        <v>Reg Infra CHN (797147-LE003203)</v>
      </c>
      <c r="C2516" t="s">
        <v>7024</v>
      </c>
    </row>
    <row r="2517" spans="1:3">
      <c r="A2517" t="s">
        <v>7505</v>
      </c>
      <c r="B2517" t="str">
        <f ca="1">IF(ISBLANK(OFFSET(B2517,0,'Field labels'!$Q$1)),C2517,OFFSET(B2517,0,'Field labels'!$Q$1))</f>
        <v>SH CAN Finance (470812-LE003203)</v>
      </c>
      <c r="C2517" t="s">
        <v>7127</v>
      </c>
    </row>
    <row r="2518" spans="1:3">
      <c r="A2518" t="s">
        <v>7505</v>
      </c>
      <c r="B2518" t="str">
        <f ca="1">IF(ISBLANK(OFFSET(B2518,0,'Field labels'!$Q$1)),C2518,OFFSET(B2518,0,'Field labels'!$Q$1))</f>
        <v>SH CAN HR (470805-LE003203)</v>
      </c>
      <c r="C2518" t="s">
        <v>7128</v>
      </c>
    </row>
    <row r="2519" spans="1:3">
      <c r="A2519" t="s">
        <v>7505</v>
      </c>
      <c r="B2519" t="str">
        <f ca="1">IF(ISBLANK(OFFSET(B2519,0,'Field labels'!$Q$1)),C2519,OFFSET(B2519,0,'Field labels'!$Q$1))</f>
        <v>Supply Chain (973060-LE003203)</v>
      </c>
      <c r="C2519" t="s">
        <v>7201</v>
      </c>
    </row>
    <row r="2520" spans="1:3">
      <c r="A2520" t="s">
        <v>7505</v>
      </c>
      <c r="B2520" t="str">
        <f ca="1">IF(ISBLANK(OFFSET(B2520,0,'Field labels'!$Q$1)),C2520,OFFSET(B2520,0,'Field labels'!$Q$1))</f>
        <v>Sweeteners Team (797909-LE003203)</v>
      </c>
      <c r="C2520" t="s">
        <v>7350</v>
      </c>
    </row>
    <row r="2521" spans="1:3">
      <c r="A2521" t="s">
        <v>7505</v>
      </c>
      <c r="B2521" t="str">
        <f ca="1">IF(ISBLANK(OFFSET(B2521,0,'Field labels'!$Q$1)),C2521,OFFSET(B2521,0,'Field labels'!$Q$1))</f>
        <v>TGRC-CHN (797910-LE003203)</v>
      </c>
      <c r="C2521" t="s">
        <v>7372</v>
      </c>
    </row>
    <row r="2522" spans="1:3">
      <c r="A2522" t="s">
        <v>7505</v>
      </c>
      <c r="B2522" t="str">
        <f ca="1">IF(ISBLANK(OFFSET(B2522,0,'Field labels'!$Q$1)),C2522,OFFSET(B2522,0,'Field labels'!$Q$1))</f>
        <v>Unallocated (973860-LE003203)</v>
      </c>
      <c r="C2522" t="s">
        <v>7398</v>
      </c>
    </row>
    <row r="2523" spans="1:3">
      <c r="A2523" t="s">
        <v>7515</v>
      </c>
      <c r="B2523" t="str">
        <f ca="1">IF(ISBLANK(OFFSET(B2523,0,'Field labels'!$Q$1)),C2523,OFFSET(B2523,0,'Field labels'!$Q$1))</f>
        <v>COGS - Weighbridge       (645072-LE003254)</v>
      </c>
      <c r="C2523" t="s">
        <v>5896</v>
      </c>
    </row>
    <row r="2524" spans="1:3">
      <c r="A2524" t="s">
        <v>7515</v>
      </c>
      <c r="B2524" t="str">
        <f ca="1">IF(ISBLANK(OFFSET(B2524,0,'Field labels'!$Q$1)),C2524,OFFSET(B2524,0,'Field labels'!$Q$1))</f>
        <v>COGS -Production Crush         (645030-LE003254)</v>
      </c>
      <c r="C2524" t="s">
        <v>5897</v>
      </c>
    </row>
    <row r="2525" spans="1:3">
      <c r="A2525" t="s">
        <v>7515</v>
      </c>
      <c r="B2525" t="str">
        <f ca="1">IF(ISBLANK(OFFSET(B2525,0,'Field labels'!$Q$1)),C2525,OFFSET(B2525,0,'Field labels'!$Q$1))</f>
        <v>COGS -R&amp;M           (645034-LE003254)</v>
      </c>
      <c r="C2525" t="s">
        <v>5898</v>
      </c>
    </row>
    <row r="2526" spans="1:3">
      <c r="A2526" t="s">
        <v>7515</v>
      </c>
      <c r="B2526" t="str">
        <f ca="1">IF(ISBLANK(OFFSET(B2526,0,'Field labels'!$Q$1)),C2526,OFFSET(B2526,0,'Field labels'!$Q$1))</f>
        <v>COGS-Safeguard     (645071-LE003254)</v>
      </c>
      <c r="C2526" t="s">
        <v>5900</v>
      </c>
    </row>
    <row r="2527" spans="1:3">
      <c r="A2527" t="s">
        <v>7515</v>
      </c>
      <c r="B2527" t="str">
        <f ca="1">IF(ISBLANK(OFFSET(B2527,0,'Field labels'!$Q$1)),C2527,OFFSET(B2527,0,'Field labels'!$Q$1))</f>
        <v>Crush-COGS-Lab (645036-LE003254)</v>
      </c>
      <c r="C2527" t="s">
        <v>6002</v>
      </c>
    </row>
    <row r="2528" spans="1:3">
      <c r="A2528" t="s">
        <v>7515</v>
      </c>
      <c r="B2528" t="str">
        <f ca="1">IF(ISBLANK(OFFSET(B2528,0,'Field labels'!$Q$1)),C2528,OFFSET(B2528,0,'Field labels'!$Q$1))</f>
        <v>G&amp;A - Admin              (645041-LE003254)</v>
      </c>
      <c r="C2528" t="s">
        <v>6420</v>
      </c>
    </row>
    <row r="2529" spans="1:3">
      <c r="A2529" t="s">
        <v>7515</v>
      </c>
      <c r="B2529" t="str">
        <f ca="1">IF(ISBLANK(OFFSET(B2529,0,'Field labels'!$Q$1)),C2529,OFFSET(B2529,0,'Field labels'!$Q$1))</f>
        <v>Loading/unloading (645026-LE003254)</v>
      </c>
      <c r="C2529" t="s">
        <v>6665</v>
      </c>
    </row>
    <row r="2530" spans="1:3">
      <c r="A2530" t="s">
        <v>7515</v>
      </c>
      <c r="B2530" t="str">
        <f ca="1">IF(ISBLANK(OFFSET(B2530,0,'Field labels'!$Q$1)),C2530,OFFSET(B2530,0,'Field labels'!$Q$1))</f>
        <v>Prod Lab FSQR-ROAP shar (645136-LE003254)</v>
      </c>
      <c r="C2530" t="s">
        <v>6899</v>
      </c>
    </row>
    <row r="2531" spans="1:3">
      <c r="A2531" t="s">
        <v>7515</v>
      </c>
      <c r="B2531" t="str">
        <f ca="1">IF(ISBLANK(OFFSET(B2531,0,'Field labels'!$Q$1)),C2531,OFFSET(B2531,0,'Field labels'!$Q$1))</f>
        <v>Prod-EHS-MCS ROAP shari (645131-LE003254)</v>
      </c>
      <c r="C2531" t="s">
        <v>6901</v>
      </c>
    </row>
    <row r="2532" spans="1:3">
      <c r="A2532" t="s">
        <v>7515</v>
      </c>
      <c r="B2532" t="str">
        <f ca="1">IF(ISBLANK(OFFSET(B2532,0,'Field labels'!$Q$1)),C2532,OFFSET(B2532,0,'Field labels'!$Q$1))</f>
        <v>Production-EHS (645031-LE003254)</v>
      </c>
      <c r="C2532" t="s">
        <v>6937</v>
      </c>
    </row>
    <row r="2533" spans="1:3">
      <c r="A2533" t="s">
        <v>7515</v>
      </c>
      <c r="B2533" t="str">
        <f ca="1">IF(ISBLANK(OFFSET(B2533,0,'Field labels'!$Q$1)),C2533,OFFSET(B2533,0,'Field labels'!$Q$1))</f>
        <v>ROAP-Admin &amp; IT (645170-LE003254)</v>
      </c>
      <c r="C2533" t="s">
        <v>7047</v>
      </c>
    </row>
    <row r="2534" spans="1:3">
      <c r="A2534" t="s">
        <v>7515</v>
      </c>
      <c r="B2534" t="str">
        <f ca="1">IF(ISBLANK(OFFSET(B2534,0,'Field labels'!$Q$1)),C2534,OFFSET(B2534,0,'Field labels'!$Q$1))</f>
        <v>ROAP-Plant (645130-LE003254)</v>
      </c>
      <c r="C2534" t="s">
        <v>7048</v>
      </c>
    </row>
    <row r="2535" spans="1:3">
      <c r="A2535" t="s">
        <v>7515</v>
      </c>
      <c r="B2535" t="str">
        <f ca="1">IF(ISBLANK(OFFSET(B2535,0,'Field labels'!$Q$1)),C2535,OFFSET(B2535,0,'Field labels'!$Q$1))</f>
        <v>ROAP-Supply Chain (645160-LE003254)</v>
      </c>
      <c r="C2535" t="s">
        <v>7049</v>
      </c>
    </row>
    <row r="2536" spans="1:3">
      <c r="A2536" t="s">
        <v>7515</v>
      </c>
      <c r="B2536" t="str">
        <f ca="1">IF(ISBLANK(OFFSET(B2536,0,'Field labels'!$Q$1)),C2536,OFFSET(B2536,0,'Field labels'!$Q$1))</f>
        <v>Safeguard ROAP sharing (645171-LE003254)</v>
      </c>
      <c r="C2536" t="s">
        <v>7055</v>
      </c>
    </row>
    <row r="2537" spans="1:3">
      <c r="A2537" t="s">
        <v>7515</v>
      </c>
      <c r="B2537" t="str">
        <f ca="1">IF(ISBLANK(OFFSET(B2537,0,'Field labels'!$Q$1)),C2537,OFFSET(B2537,0,'Field labels'!$Q$1))</f>
        <v>Selling-CE (645044-LE003254)</v>
      </c>
      <c r="C2537" t="s">
        <v>7113</v>
      </c>
    </row>
    <row r="2538" spans="1:3">
      <c r="A2538" t="s">
        <v>7515</v>
      </c>
      <c r="B2538" t="str">
        <f ca="1">IF(ISBLANK(OFFSET(B2538,0,'Field labels'!$Q$1)),C2538,OFFSET(B2538,0,'Field labels'!$Q$1))</f>
        <v>Selling-CE (645180-LE003254)</v>
      </c>
      <c r="C2538" t="s">
        <v>7111</v>
      </c>
    </row>
    <row r="2539" spans="1:3">
      <c r="A2539" t="s">
        <v>7515</v>
      </c>
      <c r="B2539" t="str">
        <f ca="1">IF(ISBLANK(OFFSET(B2539,0,'Field labels'!$Q$1)),C2539,OFFSET(B2539,0,'Field labels'!$Q$1))</f>
        <v>SGA - Selling- Supply Chain (645060-LE003254)</v>
      </c>
      <c r="C2539" t="s">
        <v>7123</v>
      </c>
    </row>
    <row r="2540" spans="1:3">
      <c r="A2540" t="s">
        <v>7534</v>
      </c>
      <c r="B2540" t="str">
        <f ca="1">IF(ISBLANK(OFFSET(B2540,0,'Field labels'!$Q$1)),C2540,OFFSET(B2540,0,'Field labels'!$Q$1))</f>
        <v>Feeg JINING Finance (936812-LE003258)</v>
      </c>
      <c r="C2540" t="s">
        <v>6181</v>
      </c>
    </row>
    <row r="2541" spans="1:3">
      <c r="A2541" t="s">
        <v>7534</v>
      </c>
      <c r="B2541" t="str">
        <f ca="1">IF(ISBLANK(OFFSET(B2541,0,'Field labels'!$Q$1)),C2541,OFFSET(B2541,0,'Field labels'!$Q$1))</f>
        <v>Jining Hog (936109-LE003258)</v>
      </c>
      <c r="C2541" t="s">
        <v>6629</v>
      </c>
    </row>
    <row r="2542" spans="1:3">
      <c r="A2542" t="s">
        <v>7534</v>
      </c>
      <c r="B2542" t="str">
        <f ca="1">IF(ISBLANK(OFFSET(B2542,0,'Field labels'!$Q$1)),C2542,OFFSET(B2542,0,'Field labels'!$Q$1))</f>
        <v>Jining Ruminant (936209-LE003258)</v>
      </c>
      <c r="C2542" t="s">
        <v>6630</v>
      </c>
    </row>
    <row r="2543" spans="1:3">
      <c r="A2543" t="s">
        <v>7534</v>
      </c>
      <c r="B2543" t="str">
        <f ca="1">IF(ISBLANK(OFFSET(B2543,0,'Field labels'!$Q$1)),C2543,OFFSET(B2543,0,'Field labels'!$Q$1))</f>
        <v>Production&amp; QA Exp (936007-LE003258)</v>
      </c>
      <c r="C2543" t="s">
        <v>6928</v>
      </c>
    </row>
    <row r="2544" spans="1:3">
      <c r="A2544" t="s">
        <v>7506</v>
      </c>
      <c r="B2544" t="str">
        <f ca="1">IF(ISBLANK(OFFSET(B2544,0,'Field labels'!$Q$1)),C2544,OFFSET(B2544,0,'Field labels'!$Q$1))</f>
        <v>Boiler System (220300-LE003259)</v>
      </c>
      <c r="C2544" t="s">
        <v>5610</v>
      </c>
    </row>
    <row r="2545" spans="1:3">
      <c r="A2545" t="s">
        <v>7506</v>
      </c>
      <c r="B2545" t="str">
        <f ca="1">IF(ISBLANK(OFFSET(B2545,0,'Field labels'!$Q$1)),C2545,OFFSET(B2545,0,'Field labels'!$Q$1))</f>
        <v>Commercial (250600-LE003259)</v>
      </c>
      <c r="C2545" t="s">
        <v>5906</v>
      </c>
    </row>
    <row r="2546" spans="1:3">
      <c r="A2546" t="s">
        <v>7506</v>
      </c>
      <c r="B2546" t="str">
        <f ca="1">IF(ISBLANK(OFFSET(B2546,0,'Field labels'!$Q$1)),C2546,OFFSET(B2546,0,'Field labels'!$Q$1))</f>
        <v>Finished Goods Warehouse (229900-LE003259)</v>
      </c>
      <c r="C2546" t="s">
        <v>6225</v>
      </c>
    </row>
    <row r="2547" spans="1:3">
      <c r="A2547" t="s">
        <v>7506</v>
      </c>
      <c r="B2547" t="str">
        <f ca="1">IF(ISBLANK(OFFSET(B2547,0,'Field labels'!$Q$1)),C2547,OFFSET(B2547,0,'Field labels'!$Q$1))</f>
        <v>FP-beef-Processing Area (220712-LE003259)</v>
      </c>
      <c r="C2547" t="s">
        <v>6356</v>
      </c>
    </row>
    <row r="2548" spans="1:3">
      <c r="A2548" t="s">
        <v>7506</v>
      </c>
      <c r="B2548" t="str">
        <f ca="1">IF(ISBLANK(OFFSET(B2548,0,'Field labels'!$Q$1)),C2548,OFFSET(B2548,0,'Field labels'!$Q$1))</f>
        <v>FP-Plant General (220100-LE003259)</v>
      </c>
      <c r="C2548" t="s">
        <v>6357</v>
      </c>
    </row>
    <row r="2549" spans="1:3">
      <c r="A2549" t="s">
        <v>7506</v>
      </c>
      <c r="B2549" t="str">
        <f ca="1">IF(ISBLANK(OFFSET(B2549,0,'Field labels'!$Q$1)),C2549,OFFSET(B2549,0,'Field labels'!$Q$1))</f>
        <v>FP-Processing Area (220700-LE003259)</v>
      </c>
      <c r="C2549" t="s">
        <v>6358</v>
      </c>
    </row>
    <row r="2550" spans="1:3">
      <c r="A2550" t="s">
        <v>7506</v>
      </c>
      <c r="B2550" t="str">
        <f ca="1">IF(ISBLANK(OFFSET(B2550,0,'Field labels'!$Q$1)),C2550,OFFSET(B2550,0,'Field labels'!$Q$1))</f>
        <v>FP-Sanitation (220701-LE003259)</v>
      </c>
      <c r="C2550" t="s">
        <v>6359</v>
      </c>
    </row>
    <row r="2551" spans="1:3">
      <c r="A2551" t="s">
        <v>7506</v>
      </c>
      <c r="B2551" t="str">
        <f ca="1">IF(ISBLANK(OFFSET(B2551,0,'Field labels'!$Q$1)),C2551,OFFSET(B2551,0,'Field labels'!$Q$1))</f>
        <v>FSQR FP Beef (230112-LE003259)</v>
      </c>
      <c r="C2551" t="s">
        <v>6370</v>
      </c>
    </row>
    <row r="2552" spans="1:3">
      <c r="A2552" t="s">
        <v>7506</v>
      </c>
      <c r="B2552" t="str">
        <f ca="1">IF(ISBLANK(OFFSET(B2552,0,'Field labels'!$Q$1)),C2552,OFFSET(B2552,0,'Field labels'!$Q$1))</f>
        <v>FSQR FP Chicken (230100-LE003259)</v>
      </c>
      <c r="C2552" t="s">
        <v>6371</v>
      </c>
    </row>
    <row r="2553" spans="1:3">
      <c r="A2553" t="s">
        <v>7506</v>
      </c>
      <c r="B2553" t="str">
        <f ca="1">IF(ISBLANK(OFFSET(B2553,0,'Field labels'!$Q$1)),C2553,OFFSET(B2553,0,'Field labels'!$Q$1))</f>
        <v>FSQR SEM (230103-LE003259)</v>
      </c>
      <c r="C2553" t="s">
        <v>6374</v>
      </c>
    </row>
    <row r="2554" spans="1:3">
      <c r="A2554" t="s">
        <v>7506</v>
      </c>
      <c r="B2554" t="str">
        <f ca="1">IF(ISBLANK(OFFSET(B2554,0,'Field labels'!$Q$1)),C2554,OFFSET(B2554,0,'Field labels'!$Q$1))</f>
        <v>FSQR-Lab (230102-LE003259)</v>
      </c>
      <c r="C2554" t="s">
        <v>6376</v>
      </c>
    </row>
    <row r="2555" spans="1:3">
      <c r="A2555" t="s">
        <v>7506</v>
      </c>
      <c r="B2555" t="str">
        <f ca="1">IF(ISBLANK(OFFSET(B2555,0,'Field labels'!$Q$1)),C2555,OFFSET(B2555,0,'Field labels'!$Q$1))</f>
        <v>Maintenance General (220200-LE003259)</v>
      </c>
      <c r="C2555" t="s">
        <v>6696</v>
      </c>
    </row>
    <row r="2556" spans="1:3">
      <c r="A2556" t="s">
        <v>7506</v>
      </c>
      <c r="B2556" t="str">
        <f ca="1">IF(ISBLANK(OFFSET(B2556,0,'Field labels'!$Q$1)),C2556,OFFSET(B2556,0,'Field labels'!$Q$1))</f>
        <v>R&amp;D ??? (250610-LE003259)</v>
      </c>
      <c r="C2556" t="s">
        <v>7004</v>
      </c>
    </row>
    <row r="2557" spans="1:3">
      <c r="A2557" t="s">
        <v>7509</v>
      </c>
      <c r="B2557" t="str">
        <f ca="1">IF(ISBLANK(OFFSET(B2557,0,'Field labels'!$Q$1)),C2557,OFFSET(B2557,0,'Field labels'!$Q$1))</f>
        <v>CFLS - Trading (363907-LE003263)</v>
      </c>
      <c r="C2557" t="s">
        <v>5686</v>
      </c>
    </row>
    <row r="2558" spans="1:3">
      <c r="A2558" t="s">
        <v>7535</v>
      </c>
      <c r="B2558" t="str">
        <f ca="1">IF(ISBLANK(OFFSET(B2558,0,'Field labels'!$Q$1)),C2558,OFFSET(B2558,0,'Field labels'!$Q$1))</f>
        <v>Finance (243880-LE003264)</v>
      </c>
      <c r="C2558" t="s">
        <v>6201</v>
      </c>
    </row>
    <row r="2559" spans="1:3">
      <c r="A2559" t="s">
        <v>7535</v>
      </c>
      <c r="B2559" t="str">
        <f ca="1">IF(ISBLANK(OFFSET(B2559,0,'Field labels'!$Q$1)),C2559,OFFSET(B2559,0,'Field labels'!$Q$1))</f>
        <v>Origination (243200-LE003264)</v>
      </c>
      <c r="C2559" t="s">
        <v>6780</v>
      </c>
    </row>
    <row r="2560" spans="1:3">
      <c r="A2560" t="s">
        <v>7535</v>
      </c>
      <c r="B2560" t="str">
        <f ca="1">IF(ISBLANK(OFFSET(B2560,0,'Field labels'!$Q$1)),C2560,OFFSET(B2560,0,'Field labels'!$Q$1))</f>
        <v>Sales (243300-LE003264)</v>
      </c>
      <c r="C2560" t="s">
        <v>7063</v>
      </c>
    </row>
    <row r="2561" spans="1:3">
      <c r="A2561" t="s">
        <v>7535</v>
      </c>
      <c r="B2561" t="str">
        <f ca="1">IF(ISBLANK(OFFSET(B2561,0,'Field labels'!$Q$1)),C2561,OFFSET(B2561,0,'Field labels'!$Q$1))</f>
        <v>Trade Execution (243400-LE003264)</v>
      </c>
      <c r="C2561" t="s">
        <v>7379</v>
      </c>
    </row>
    <row r="2562" spans="1:3">
      <c r="A2562" t="s">
        <v>7537</v>
      </c>
      <c r="B2562" t="str">
        <f ca="1">IF(ISBLANK(OFFSET(B2562,0,'Field labels'!$Q$1)),C2562,OFFSET(B2562,0,'Field labels'!$Q$1))</f>
        <v>FSQR (634033-LE003265)</v>
      </c>
      <c r="C2562" t="s">
        <v>6363</v>
      </c>
    </row>
    <row r="2563" spans="1:3">
      <c r="A2563" t="s">
        <v>7537</v>
      </c>
      <c r="B2563" t="str">
        <f ca="1">IF(ISBLANK(OFFSET(B2563,0,'Field labels'!$Q$1)),C2563,OFFSET(B2563,0,'Field labels'!$Q$1))</f>
        <v>Packaging (634036-LE003265)</v>
      </c>
      <c r="C2563" t="s">
        <v>6803</v>
      </c>
    </row>
    <row r="2564" spans="1:3">
      <c r="A2564" t="s">
        <v>7537</v>
      </c>
      <c r="B2564" t="str">
        <f ca="1">IF(ISBLANK(OFFSET(B2564,0,'Field labels'!$Q$1)),C2564,OFFSET(B2564,0,'Field labels'!$Q$1))</f>
        <v>Refinery Production (634030-LE003265)</v>
      </c>
      <c r="C2564" t="s">
        <v>7016</v>
      </c>
    </row>
    <row r="2565" spans="1:3">
      <c r="A2565" t="s">
        <v>7537</v>
      </c>
      <c r="B2565" t="str">
        <f ca="1">IF(ISBLANK(OFFSET(B2565,0,'Field labels'!$Q$1)),C2565,OFFSET(B2565,0,'Field labels'!$Q$1))</f>
        <v>Supply Chain-Warehouse (634064-LE003265)</v>
      </c>
      <c r="C2565" t="s">
        <v>7216</v>
      </c>
    </row>
    <row r="2566" spans="1:3">
      <c r="A2566" t="s">
        <v>7496</v>
      </c>
      <c r="B2566" t="str">
        <f ca="1">IF(ISBLANK(OFFSET(B2566,0,'Field labels'!$Q$1)),C2566,OFFSET(B2566,0,'Field labels'!$Q$1))</f>
        <v>Agri-Growout Farm-30 (111230-LE003282)</v>
      </c>
      <c r="C2566" t="s">
        <v>5525</v>
      </c>
    </row>
    <row r="2567" spans="1:3">
      <c r="A2567" t="s">
        <v>7496</v>
      </c>
      <c r="B2567" t="str">
        <f ca="1">IF(ISBLANK(OFFSET(B2567,0,'Field labels'!$Q$1)),C2567,OFFSET(B2567,0,'Field labels'!$Q$1))</f>
        <v>Agri-Growout Farm-31 (111231-LE003282)</v>
      </c>
      <c r="C2567" t="s">
        <v>5526</v>
      </c>
    </row>
    <row r="2568" spans="1:3">
      <c r="A2568" t="s">
        <v>7496</v>
      </c>
      <c r="B2568" t="str">
        <f ca="1">IF(ISBLANK(OFFSET(B2568,0,'Field labels'!$Q$1)),C2568,OFFSET(B2568,0,'Field labels'!$Q$1))</f>
        <v>Agri-Growout Farm-32 (111232-LE003282)</v>
      </c>
      <c r="C2568" t="s">
        <v>5527</v>
      </c>
    </row>
    <row r="2569" spans="1:3">
      <c r="A2569" t="s">
        <v>7524</v>
      </c>
      <c r="B2569" t="str">
        <f ca="1">IF(ISBLANK(OFFSET(B2569,0,'Field labels'!$Q$1)),C2569,OFFSET(B2569,0,'Field labels'!$Q$1))</f>
        <v>CPN-Formula-Tianjin (632207-LE003422)</v>
      </c>
      <c r="C2569" t="s">
        <v>5964</v>
      </c>
    </row>
    <row r="2570" spans="1:3">
      <c r="A2570" t="s">
        <v>7524</v>
      </c>
      <c r="B2570" t="str">
        <f ca="1">IF(ISBLANK(OFFSET(B2570,0,'Field labels'!$Q$1)),C2570,OFFSET(B2570,0,'Field labels'!$Q$1))</f>
        <v>CPN-RMS-Tianjin (632107-LE003422)</v>
      </c>
      <c r="C2570" t="s">
        <v>5971</v>
      </c>
    </row>
    <row r="2571" spans="1:3">
      <c r="A2571" t="s">
        <v>7524</v>
      </c>
      <c r="B2571" t="str">
        <f ca="1">IF(ISBLANK(OFFSET(B2571,0,'Field labels'!$Q$1)),C2571,OFFSET(B2571,0,'Field labels'!$Q$1))</f>
        <v>CPN-TianJin-Adien (238009-LE003422)</v>
      </c>
      <c r="C2571" t="s">
        <v>5977</v>
      </c>
    </row>
    <row r="2572" spans="1:3">
      <c r="A2572" t="s">
        <v>7524</v>
      </c>
      <c r="B2572" t="str">
        <f ca="1">IF(ISBLANK(OFFSET(B2572,0,'Field labels'!$Q$1)),C2572,OFFSET(B2572,0,'Field labels'!$Q$1))</f>
        <v>CPN-TianJin-CS. (632826-LE003422)</v>
      </c>
      <c r="C2572" t="s">
        <v>5978</v>
      </c>
    </row>
    <row r="2573" spans="1:3">
      <c r="A2573" t="s">
        <v>7524</v>
      </c>
      <c r="B2573" t="str">
        <f ca="1">IF(ISBLANK(OFFSET(B2573,0,'Field labels'!$Q$1)),C2573,OFFSET(B2573,0,'Field labels'!$Q$1))</f>
        <v>CPN-TJ expense (632109-LE003422)</v>
      </c>
      <c r="C2573" t="s">
        <v>5979</v>
      </c>
    </row>
    <row r="2574" spans="1:3">
      <c r="A2574" t="s">
        <v>7524</v>
      </c>
      <c r="B2574" t="str">
        <f ca="1">IF(ISBLANK(OFFSET(B2574,0,'Field labels'!$Q$1)),C2574,OFFSET(B2574,0,'Field labels'!$Q$1))</f>
        <v>CPN-TJ Management (632012-LE003422)</v>
      </c>
      <c r="C2574" t="s">
        <v>5980</v>
      </c>
    </row>
    <row r="2575" spans="1:3">
      <c r="A2575" t="s">
        <v>7524</v>
      </c>
      <c r="B2575" t="str">
        <f ca="1">IF(ISBLANK(OFFSET(B2575,0,'Field labels'!$Q$1)),C2575,OFFSET(B2575,0,'Field labels'!$Q$1))</f>
        <v>CPN-TJ Production (632007-LE003422)</v>
      </c>
      <c r="C2575" t="s">
        <v>5981</v>
      </c>
    </row>
    <row r="2576" spans="1:3">
      <c r="A2576" t="s">
        <v>7524</v>
      </c>
      <c r="B2576" t="str">
        <f ca="1">IF(ISBLANK(OFFSET(B2576,0,'Field labels'!$Q$1)),C2576,OFFSET(B2576,0,'Field labels'!$Q$1))</f>
        <v>CPN-TJ Sales (632009-LE003422)</v>
      </c>
      <c r="C2576" t="s">
        <v>5982</v>
      </c>
    </row>
    <row r="2577" spans="1:3">
      <c r="A2577" t="s">
        <v>7524</v>
      </c>
      <c r="B2577" t="str">
        <f ca="1">IF(ISBLANK(OFFSET(B2577,0,'Field labels'!$Q$1)),C2577,OFFSET(B2577,0,'Field labels'!$Q$1))</f>
        <v>Functional CPN Tianjin (632812-LE003422)</v>
      </c>
      <c r="C2577" t="s">
        <v>6402</v>
      </c>
    </row>
    <row r="2578" spans="1:3">
      <c r="A2578" t="s">
        <v>7552</v>
      </c>
      <c r="B2578" t="str">
        <f ca="1">IF(ISBLANK(OFFSET(B2578,0,'Field labels'!$Q$1)),C2578,OFFSET(B2578,0,'Field labels'!$Q$1))</f>
        <v>GOSC Jihai Port Operation (492030-LE003528)</v>
      </c>
      <c r="C2578" t="s">
        <v>6513</v>
      </c>
    </row>
    <row r="2579" spans="1:3">
      <c r="A2579" t="s">
        <v>7552</v>
      </c>
      <c r="B2579" t="str">
        <f ca="1">IF(ISBLANK(OFFSET(B2579,0,'Field labels'!$Q$1)),C2579,OFFSET(B2579,0,'Field labels'!$Q$1))</f>
        <v>Port Warehouse (492031-LE003528)</v>
      </c>
      <c r="C2579" t="s">
        <v>6860</v>
      </c>
    </row>
    <row r="2580" spans="1:3">
      <c r="A2580" t="s">
        <v>7546</v>
      </c>
      <c r="B2580" t="str">
        <f ca="1">IF(ISBLANK(OFFSET(B2580,0,'Field labels'!$Q$1)),C2580,OFFSET(B2580,0,'Field labels'!$Q$1))</f>
        <v>Functional-CFN Kaifeng (521812-LE003608)</v>
      </c>
      <c r="C2580" t="s">
        <v>6406</v>
      </c>
    </row>
    <row r="2581" spans="1:3">
      <c r="A2581" t="s">
        <v>7546</v>
      </c>
      <c r="B2581" t="str">
        <f ca="1">IF(ISBLANK(OFFSET(B2581,0,'Field labels'!$Q$1)),C2581,OFFSET(B2581,0,'Field labels'!$Q$1))</f>
        <v>Kaifeng Hog (521109-LE003608)</v>
      </c>
      <c r="C2581" t="s">
        <v>6631</v>
      </c>
    </row>
    <row r="2582" spans="1:3">
      <c r="A2582" t="s">
        <v>7546</v>
      </c>
      <c r="B2582" t="str">
        <f ca="1">IF(ISBLANK(OFFSET(B2582,0,'Field labels'!$Q$1)),C2582,OFFSET(B2582,0,'Field labels'!$Q$1))</f>
        <v>Kaifeng Poultry (521409-LE003608)</v>
      </c>
      <c r="C2582" t="s">
        <v>6632</v>
      </c>
    </row>
    <row r="2583" spans="1:3">
      <c r="A2583" t="s">
        <v>7546</v>
      </c>
      <c r="B2583" t="str">
        <f ca="1">IF(ISBLANK(OFFSET(B2583,0,'Field labels'!$Q$1)),C2583,OFFSET(B2583,0,'Field labels'!$Q$1))</f>
        <v>Production CFN Kaifeng (521007-LE003608)</v>
      </c>
      <c r="C2583" t="s">
        <v>6911</v>
      </c>
    </row>
    <row r="2584" spans="1:3">
      <c r="A2584" t="s">
        <v>7514</v>
      </c>
      <c r="B2584" t="str">
        <f ca="1">IF(ISBLANK(OFFSET(B2584,0,'Field labels'!$Q$1)),C2584,OFFSET(B2584,0,'Field labels'!$Q$1))</f>
        <v>CICT-TSF PNL (228907-LE003631)</v>
      </c>
      <c r="C2584" t="s">
        <v>5866</v>
      </c>
    </row>
    <row r="2585" spans="1:3">
      <c r="A2585" t="s">
        <v>7494</v>
      </c>
      <c r="B2585" t="str">
        <f ca="1">IF(ISBLANK(OFFSET(B2585,0,'Field labels'!$Q$1)),C2585,OFFSET(B2585,0,'Field labels'!$Q$1))</f>
        <v>Administration (137012-LE003659)</v>
      </c>
      <c r="C2585" t="s">
        <v>5499</v>
      </c>
    </row>
    <row r="2586" spans="1:3">
      <c r="A2586" t="s">
        <v>7494</v>
      </c>
      <c r="B2586" t="str">
        <f ca="1">IF(ISBLANK(OFFSET(B2586,0,'Field labels'!$Q$1)),C2586,OFFSET(B2586,0,'Field labels'!$Q$1))</f>
        <v>CQN CSA (137116-LE003659)</v>
      </c>
      <c r="C2586" t="s">
        <v>5983</v>
      </c>
    </row>
    <row r="2587" spans="1:3">
      <c r="A2587" t="s">
        <v>7494</v>
      </c>
      <c r="B2587" t="str">
        <f ca="1">IF(ISBLANK(OFFSET(B2587,0,'Field labels'!$Q$1)),C2587,OFFSET(B2587,0,'Field labels'!$Q$1))</f>
        <v>CQN QAQC (137118-LE003659)</v>
      </c>
      <c r="C2587" t="s">
        <v>5989</v>
      </c>
    </row>
    <row r="2588" spans="1:3">
      <c r="A2588" t="s">
        <v>7494</v>
      </c>
      <c r="B2588" t="str">
        <f ca="1">IF(ISBLANK(OFFSET(B2588,0,'Field labels'!$Q$1)),C2588,OFFSET(B2588,0,'Field labels'!$Q$1))</f>
        <v>CQN Research &amp; Development (137011-LE003659)</v>
      </c>
      <c r="C2588" t="s">
        <v>5990</v>
      </c>
    </row>
    <row r="2589" spans="1:3">
      <c r="A2589" t="s">
        <v>7494</v>
      </c>
      <c r="B2589" t="str">
        <f ca="1">IF(ISBLANK(OFFSET(B2589,0,'Field labels'!$Q$1)),C2589,OFFSET(B2589,0,'Field labels'!$Q$1))</f>
        <v>CTL Freight Forwarding (137867-LE003659)</v>
      </c>
      <c r="C2589" t="s">
        <v>6021</v>
      </c>
    </row>
    <row r="2590" spans="1:3">
      <c r="A2590" t="s">
        <v>7494</v>
      </c>
      <c r="B2590" t="str">
        <f ca="1">IF(ISBLANK(OFFSET(B2590,0,'Field labels'!$Q$1)),C2590,OFFSET(B2590,0,'Field labels'!$Q$1))</f>
        <v>Manufacturing/QC/Maintenance (137007-LE003659)</v>
      </c>
      <c r="C2590" t="s">
        <v>6709</v>
      </c>
    </row>
    <row r="2591" spans="1:3">
      <c r="A2591" t="s">
        <v>7494</v>
      </c>
      <c r="B2591" t="str">
        <f ca="1">IF(ISBLANK(OFFSET(B2591,0,'Field labels'!$Q$1)),C2591,OFFSET(B2591,0,'Field labels'!$Q$1))</f>
        <v>Marketing/Sales/CST (137009-LE003659)</v>
      </c>
      <c r="C2591" t="s">
        <v>6716</v>
      </c>
    </row>
    <row r="2592" spans="1:3">
      <c r="A2592" t="s">
        <v>7508</v>
      </c>
      <c r="B2592" t="str">
        <f ca="1">IF(ISBLANK(OFFSET(B2592,0,'Field labels'!$Q$1)),C2592,OFFSET(B2592,0,'Field labels'!$Q$1))</f>
        <v>Cargill Joy -Growout Farm (170150-LE003683)</v>
      </c>
      <c r="C2592" t="s">
        <v>5665</v>
      </c>
    </row>
    <row r="2593" spans="1:3">
      <c r="A2593" t="s">
        <v>7508</v>
      </c>
      <c r="B2593" t="str">
        <f ca="1">IF(ISBLANK(OFFSET(B2593,0,'Field labels'!$Q$1)),C2593,OFFSET(B2593,0,'Field labels'!$Q$1))</f>
        <v>Cargill Joy Poultry-Finance (170903-LE003683)</v>
      </c>
      <c r="C2593" t="s">
        <v>5666</v>
      </c>
    </row>
    <row r="2594" spans="1:3">
      <c r="A2594" t="s">
        <v>7508</v>
      </c>
      <c r="B2594" t="str">
        <f ca="1">IF(ISBLANK(OFFSET(B2594,0,'Field labels'!$Q$1)),C2594,OFFSET(B2594,0,'Field labels'!$Q$1))</f>
        <v>Cargill Joy Poultry-Food Safety, Quality (170953-LE003683)</v>
      </c>
      <c r="C2594" t="s">
        <v>5667</v>
      </c>
    </row>
    <row r="2595" spans="1:3">
      <c r="A2595" t="s">
        <v>7508</v>
      </c>
      <c r="B2595" t="str">
        <f ca="1">IF(ISBLANK(OFFSET(B2595,0,'Field labels'!$Q$1)),C2595,OFFSET(B2595,0,'Field labels'!$Q$1))</f>
        <v>Cargill Joy Poultry-Leadership (170909-LE003683)</v>
      </c>
      <c r="C2595" t="s">
        <v>5668</v>
      </c>
    </row>
    <row r="2596" spans="1:3">
      <c r="A2596" t="s">
        <v>7508</v>
      </c>
      <c r="B2596" t="str">
        <f ca="1">IF(ISBLANK(OFFSET(B2596,0,'Field labels'!$Q$1)),C2596,OFFSET(B2596,0,'Field labels'!$Q$1))</f>
        <v>Cargill Joy Poultry-Logistic (170950-LE003683)</v>
      </c>
      <c r="C2596" t="s">
        <v>5669</v>
      </c>
    </row>
    <row r="2597" spans="1:3">
      <c r="A2597" t="s">
        <v>7508</v>
      </c>
      <c r="B2597" t="str">
        <f ca="1">IF(ISBLANK(OFFSET(B2597,0,'Field labels'!$Q$1)),C2597,OFFSET(B2597,0,'Field labels'!$Q$1))</f>
        <v>Cargill Joy-Primary Plant S/P (170399-LE003683)</v>
      </c>
      <c r="C2597" t="s">
        <v>5670</v>
      </c>
    </row>
    <row r="2598" spans="1:3">
      <c r="A2598" t="s">
        <v>7502</v>
      </c>
      <c r="B2598" t="str">
        <f ca="1">IF(ISBLANK(OFFSET(B2598,0,'Field labels'!$Q$1)),C2598,OFFSET(B2598,0,'Field labels'!$Q$1))</f>
        <v>Arrival (143500-LE003691)</v>
      </c>
      <c r="C2598" t="s">
        <v>5565</v>
      </c>
    </row>
    <row r="2599" spans="1:3">
      <c r="A2599" t="s">
        <v>7502</v>
      </c>
      <c r="B2599" t="str">
        <f ca="1">IF(ISBLANK(OFFSET(B2599,0,'Field labels'!$Q$1)),C2599,OFFSET(B2599,0,'Field labels'!$Q$1))</f>
        <v>Boxing (143550-LE003691)</v>
      </c>
      <c r="C2599" t="s">
        <v>5621</v>
      </c>
    </row>
    <row r="2600" spans="1:3">
      <c r="A2600" t="s">
        <v>7502</v>
      </c>
      <c r="B2600" t="str">
        <f ca="1">IF(ISBLANK(OFFSET(B2600,0,'Field labels'!$Q$1)),C2600,OFFSET(B2600,0,'Field labels'!$Q$1))</f>
        <v>Cooking (143530-LE003691)</v>
      </c>
      <c r="C2600" t="s">
        <v>5937</v>
      </c>
    </row>
    <row r="2601" spans="1:3">
      <c r="A2601" t="s">
        <v>7502</v>
      </c>
      <c r="B2601" t="str">
        <f ca="1">IF(ISBLANK(OFFSET(B2601,0,'Field labels'!$Q$1)),C2601,OFFSET(B2601,0,'Field labels'!$Q$1))</f>
        <v>EHS Central (143594-LE003691)</v>
      </c>
      <c r="C2601" t="s">
        <v>6134</v>
      </c>
    </row>
    <row r="2602" spans="1:3">
      <c r="A2602" t="s">
        <v>7502</v>
      </c>
      <c r="B2602" t="str">
        <f ca="1">IF(ISBLANK(OFFSET(B2602,0,'Field labels'!$Q$1)),C2602,OFFSET(B2602,0,'Field labels'!$Q$1))</f>
        <v>Engineer (143589-LE003691)</v>
      </c>
      <c r="C2602" t="s">
        <v>6138</v>
      </c>
    </row>
    <row r="2603" spans="1:3">
      <c r="A2603" t="s">
        <v>7502</v>
      </c>
      <c r="B2603" t="str">
        <f ca="1">IF(ISBLANK(OFFSET(B2603,0,'Field labels'!$Q$1)),C2603,OFFSET(B2603,0,'Field labels'!$Q$1))</f>
        <v>Factory Mgnt (143909-LE003691)</v>
      </c>
      <c r="C2603" t="s">
        <v>6168</v>
      </c>
    </row>
    <row r="2604" spans="1:3">
      <c r="A2604" t="s">
        <v>7502</v>
      </c>
      <c r="B2604" t="str">
        <f ca="1">IF(ISBLANK(OFFSET(B2604,0,'Field labels'!$Q$1)),C2604,OFFSET(B2604,0,'Field labels'!$Q$1))</f>
        <v>Finance (143903-LE003691)</v>
      </c>
      <c r="C2604" t="s">
        <v>6200</v>
      </c>
    </row>
    <row r="2605" spans="1:3">
      <c r="A2605" t="s">
        <v>7502</v>
      </c>
      <c r="B2605" t="str">
        <f ca="1">IF(ISBLANK(OFFSET(B2605,0,'Field labels'!$Q$1)),C2605,OFFSET(B2605,0,'Field labels'!$Q$1))</f>
        <v>HR (143920-LE003691)</v>
      </c>
      <c r="C2605" t="s">
        <v>6562</v>
      </c>
    </row>
    <row r="2606" spans="1:3">
      <c r="A2606" t="s">
        <v>7502</v>
      </c>
      <c r="B2606" t="str">
        <f ca="1">IF(ISBLANK(OFFSET(B2606,0,'Field labels'!$Q$1)),C2606,OFFSET(B2606,0,'Field labels'!$Q$1))</f>
        <v>Loading (143520-LE003691)</v>
      </c>
      <c r="C2606" t="s">
        <v>6664</v>
      </c>
    </row>
    <row r="2607" spans="1:3">
      <c r="A2607" t="s">
        <v>7502</v>
      </c>
      <c r="B2607" t="str">
        <f ca="1">IF(ISBLANK(OFFSET(B2607,0,'Field labels'!$Q$1)),C2607,OFFSET(B2607,0,'Field labels'!$Q$1))</f>
        <v>Logistic (143950-LE003691)</v>
      </c>
      <c r="C2607" t="s">
        <v>6673</v>
      </c>
    </row>
    <row r="2608" spans="1:3">
      <c r="A2608" t="s">
        <v>7502</v>
      </c>
      <c r="B2608" t="str">
        <f ca="1">IF(ISBLANK(OFFSET(B2608,0,'Field labels'!$Q$1)),C2608,OFFSET(B2608,0,'Field labels'!$Q$1))</f>
        <v>Pack/Box (143540-LE003691)</v>
      </c>
      <c r="C2608" t="s">
        <v>6802</v>
      </c>
    </row>
    <row r="2609" spans="1:3">
      <c r="A2609" t="s">
        <v>7502</v>
      </c>
      <c r="B2609" t="str">
        <f ca="1">IF(ISBLANK(OFFSET(B2609,0,'Field labels'!$Q$1)),C2609,OFFSET(B2609,0,'Field labels'!$Q$1))</f>
        <v>Plant general (143590-LE003691)</v>
      </c>
      <c r="C2609" t="s">
        <v>6850</v>
      </c>
    </row>
    <row r="2610" spans="1:3">
      <c r="A2610" t="s">
        <v>7502</v>
      </c>
      <c r="B2610" t="str">
        <f ca="1">IF(ISBLANK(OFFSET(B2610,0,'Field labels'!$Q$1)),C2610,OFFSET(B2610,0,'Field labels'!$Q$1))</f>
        <v>Praparation (143510-LE003691)</v>
      </c>
      <c r="C2610" t="s">
        <v>6883</v>
      </c>
    </row>
    <row r="2611" spans="1:3">
      <c r="A2611" t="s">
        <v>7502</v>
      </c>
      <c r="B2611" t="str">
        <f ca="1">IF(ISBLANK(OFFSET(B2611,0,'Field labels'!$Q$1)),C2611,OFFSET(B2611,0,'Field labels'!$Q$1))</f>
        <v>Sanitation (143582-LE003691)</v>
      </c>
      <c r="C2611" t="s">
        <v>7077</v>
      </c>
    </row>
    <row r="2612" spans="1:3">
      <c r="A2612" t="s">
        <v>7502</v>
      </c>
      <c r="B2612" t="str">
        <f ca="1">IF(ISBLANK(OFFSET(B2612,0,'Field labels'!$Q$1)),C2612,OFFSET(B2612,0,'Field labels'!$Q$1))</f>
        <v>Site Services (143570-LE003691)</v>
      </c>
      <c r="C2612" t="s">
        <v>7144</v>
      </c>
    </row>
    <row r="2613" spans="1:3">
      <c r="A2613" t="s">
        <v>7502</v>
      </c>
      <c r="B2613" t="str">
        <f ca="1">IF(ISBLANK(OFFSET(B2613,0,'Field labels'!$Q$1)),C2613,OFFSET(B2613,0,'Field labels'!$Q$1))</f>
        <v>Technical services (143580-LE003691)</v>
      </c>
      <c r="C2613" t="s">
        <v>7369</v>
      </c>
    </row>
    <row r="2614" spans="1:3">
      <c r="A2614" t="s">
        <v>7502</v>
      </c>
      <c r="B2614" t="str">
        <f ca="1">IF(ISBLANK(OFFSET(B2614,0,'Field labels'!$Q$1)),C2614,OFFSET(B2614,0,'Field labels'!$Q$1))</f>
        <v>Warehouse (143560-LE003691)</v>
      </c>
      <c r="C2614" t="s">
        <v>7418</v>
      </c>
    </row>
    <row r="2615" spans="1:3">
      <c r="A2615" t="s">
        <v>7557</v>
      </c>
      <c r="B2615" t="str">
        <f ca="1">IF(ISBLANK(OFFSET(B2615,0,'Field labels'!$Q$1)),C2615,OFFSET(B2615,0,'Field labels'!$Q$1))</f>
        <v>THA_Cost Center (THA_Cost Center)</v>
      </c>
      <c r="C2615" t="s">
        <v>7373</v>
      </c>
    </row>
    <row r="2616" spans="1:3">
      <c r="A2616" t="s">
        <v>755</v>
      </c>
      <c r="B2616" s="22" t="str">
        <f ca="1">IF(ISBLANK(OFFSET(B2616,0,'Field labels'!$Q$1)),C2616,OFFSET(B2616,0,'Field labels'!$Q$1))</f>
        <v>Agricultural Supply Chain</v>
      </c>
      <c r="C2616" t="s">
        <v>756</v>
      </c>
    </row>
    <row r="2617" spans="1:3">
      <c r="A2617" t="s">
        <v>755</v>
      </c>
      <c r="B2617" s="22" t="str">
        <f ca="1">IF(ISBLANK(OFFSET(B2617,0,'Field labels'!$Q$1)),C2617,OFFSET(B2617,0,'Field labels'!$Q$1))</f>
        <v>Animal Nutrition</v>
      </c>
      <c r="C2617" t="s">
        <v>757</v>
      </c>
    </row>
    <row r="2618" spans="1:3">
      <c r="A2618" t="s">
        <v>755</v>
      </c>
      <c r="B2618" s="22" t="str">
        <f ca="1">IF(ISBLANK(OFFSET(B2618,0,'Field labels'!$Q$1)),C2618,OFFSET(B2618,0,'Field labels'!$Q$1))</f>
        <v>Corporate</v>
      </c>
      <c r="C2618" t="s">
        <v>758</v>
      </c>
    </row>
    <row r="2619" spans="1:3">
      <c r="A2619" t="s">
        <v>755</v>
      </c>
      <c r="B2619" s="22" t="str">
        <f ca="1">IF(ISBLANK(OFFSET(B2619,0,'Field labels'!$Q$1)),C2619,OFFSET(B2619,0,'Field labels'!$Q$1))</f>
        <v>Energy, Transportation &amp; Metals</v>
      </c>
      <c r="C2619" t="s">
        <v>759</v>
      </c>
    </row>
    <row r="2620" spans="1:3">
      <c r="A2620" t="s">
        <v>755</v>
      </c>
      <c r="B2620" s="22" t="str">
        <f ca="1">IF(ISBLANK(OFFSET(B2620,0,'Field labels'!$Q$1)),C2620,OFFSET(B2620,0,'Field labels'!$Q$1))</f>
        <v xml:space="preserve">Food Ingredients &amp; Bio-Industrial </v>
      </c>
      <c r="C2620" t="s">
        <v>760</v>
      </c>
    </row>
    <row r="2621" spans="1:3">
      <c r="A2621" t="s">
        <v>755</v>
      </c>
      <c r="B2621" s="22" t="str">
        <f ca="1">IF(ISBLANK(OFFSET(B2621,0,'Field labels'!$Q$1)),C2621,OFFSET(B2621,0,'Field labels'!$Q$1))</f>
        <v>Joint Ventures/Other</v>
      </c>
      <c r="C2621" t="s">
        <v>761</v>
      </c>
    </row>
    <row r="2622" spans="1:3">
      <c r="A2622" t="s">
        <v>755</v>
      </c>
      <c r="B2622" s="22" t="str">
        <f ca="1">IF(ISBLANK(OFFSET(B2622,0,'Field labels'!$Q$1)),C2622,OFFSET(B2622,0,'Field labels'!$Q$1))</f>
        <v>Joint Ventures/Other</v>
      </c>
      <c r="C2622" t="s">
        <v>761</v>
      </c>
    </row>
    <row r="2623" spans="1:3">
      <c r="A2623" t="s">
        <v>779</v>
      </c>
      <c r="B2623" s="22" t="str">
        <f ca="1">IF(ISBLANK(OFFSET(B2623,0,'Field labels'!$Q$1)),C2623,OFFSET(B2623,0,'Field labels'!$Q$1))</f>
        <v>Hire Employee - Acquisition (HIR_ACQ)</v>
      </c>
      <c r="C2623" t="s">
        <v>2730</v>
      </c>
    </row>
    <row r="2624" spans="1:3">
      <c r="A2624" t="s">
        <v>779</v>
      </c>
      <c r="B2624" s="22" t="str">
        <f ca="1">IF(ISBLANK(OFFSET(B2624,0,'Field labels'!$Q$1)),C2624,OFFSET(B2624,0,'Field labels'!$Q$1))</f>
        <v>Hire Employee - New Position (HIR_NPS)</v>
      </c>
      <c r="C2624" t="s">
        <v>2731</v>
      </c>
    </row>
    <row r="2625" spans="1:3">
      <c r="A2625" t="s">
        <v>779</v>
      </c>
      <c r="B2625" s="22" t="str">
        <f ca="1">IF(ISBLANK(OFFSET(B2625,0,'Field labels'!$Q$1)),C2625,OFFSET(B2625,0,'Field labels'!$Q$1))</f>
        <v>Hire Employee - Replacement (HIR_RPL)</v>
      </c>
      <c r="C2625" t="s">
        <v>2732</v>
      </c>
    </row>
    <row r="2626" spans="1:3">
      <c r="A2626" t="s">
        <v>779</v>
      </c>
      <c r="B2626" s="22" t="str">
        <f ca="1">IF(ISBLANK(OFFSET(B2626,0,'Field labels'!$Q$1)),C2626,OFFSET(B2626,0,'Field labels'!$Q$1))</f>
        <v>Localization (HIR_LCZ)</v>
      </c>
      <c r="C2626" t="s">
        <v>2733</v>
      </c>
    </row>
    <row r="2627" spans="1:3">
      <c r="A2627" t="s">
        <v>779</v>
      </c>
      <c r="B2627" s="22" t="str">
        <f ca="1">IF(ISBLANK(OFFSET(B2627,0,'Field labels'!$Q$1)),C2627,OFFSET(B2627,0,'Field labels'!$Q$1))</f>
        <v>Localization (REH_LCZ)</v>
      </c>
      <c r="C2627" t="s">
        <v>2734</v>
      </c>
    </row>
    <row r="2628" spans="1:3">
      <c r="A2628" t="s">
        <v>779</v>
      </c>
      <c r="B2628" s="22" t="str">
        <f ca="1">IF(ISBLANK(OFFSET(B2628,0,'Field labels'!$Q$1)),C2628,OFFSET(B2628,0,'Field labels'!$Q$1))</f>
        <v>Rehire Employee - Acquisition (REH_ACQ)</v>
      </c>
      <c r="C2628" t="s">
        <v>2753</v>
      </c>
    </row>
    <row r="2629" spans="1:3">
      <c r="A2629" t="s">
        <v>779</v>
      </c>
      <c r="B2629" s="22" t="str">
        <f ca="1">IF(ISBLANK(OFFSET(B2629,0,'Field labels'!$Q$1)),C2629,OFFSET(B2629,0,'Field labels'!$Q$1))</f>
        <v>Rehire Employee - New Position (REH_NPS)</v>
      </c>
      <c r="C2629" t="s">
        <v>2754</v>
      </c>
    </row>
    <row r="2630" spans="1:3">
      <c r="A2630" t="s">
        <v>779</v>
      </c>
      <c r="B2630" s="22" t="str">
        <f ca="1">IF(ISBLANK(OFFSET(B2630,0,'Field labels'!$Q$1)),C2630,OFFSET(B2630,0,'Field labels'!$Q$1))</f>
        <v>Rehire Employee - Replacement (REH_RPL)</v>
      </c>
      <c r="C2630" t="s">
        <v>2755</v>
      </c>
    </row>
    <row r="2631" spans="1:3">
      <c r="A2631" t="s">
        <v>779</v>
      </c>
      <c r="B2631" s="22" t="str">
        <f ca="1">IF(ISBLANK(OFFSET(B2631,0,'Field labels'!$Q$1)),C2631,OFFSET(B2631,0,'Field labels'!$Q$1))</f>
        <v>Rehire in payroll (HIR_REH)</v>
      </c>
      <c r="C2631" t="s">
        <v>2756</v>
      </c>
    </row>
    <row r="2632" spans="1:3">
      <c r="A2632" t="s">
        <v>779</v>
      </c>
      <c r="B2632" s="22" t="str">
        <f ca="1">IF(ISBLANK(OFFSET(B2632,0,'Field labels'!$Q$1)),C2632,OFFSET(B2632,0,'Field labels'!$Q$1))</f>
        <v>Start Global Assignment to EC Country (HIR_SGA)</v>
      </c>
      <c r="C2632" t="s">
        <v>2735</v>
      </c>
    </row>
    <row r="2633" spans="1:3">
      <c r="A2633" t="s">
        <v>762</v>
      </c>
      <c r="B2633" s="22" t="str">
        <f ca="1">IF(ISBLANK(OFFSET(B2633,0,'Field labels'!$Q$1)),C2633,OFFSET(B2633,0,'Field labels'!$Q$1))</f>
        <v>Annually-1 (1)</v>
      </c>
      <c r="C2633" t="s">
        <v>1923</v>
      </c>
    </row>
    <row r="2634" spans="1:3">
      <c r="A2634" t="s">
        <v>762</v>
      </c>
      <c r="B2634" s="22" t="str">
        <f ca="1">IF(ISBLANK(OFFSET(B2634,0,'Field labels'!$Q$1)),C2634,OFFSET(B2634,0,'Field labels'!$Q$1))</f>
        <v>Biweekly-26 (5)</v>
      </c>
      <c r="C2634" t="s">
        <v>1924</v>
      </c>
    </row>
    <row r="2635" spans="1:3">
      <c r="A2635" t="s">
        <v>762</v>
      </c>
      <c r="B2635" s="22" t="str">
        <f ca="1">IF(ISBLANK(OFFSET(B2635,0,'Field labels'!$Q$1)),C2635,OFFSET(B2635,0,'Field labels'!$Q$1))</f>
        <v>Daily-365 (7)</v>
      </c>
      <c r="C2635" t="s">
        <v>1925</v>
      </c>
    </row>
    <row r="2636" spans="1:3">
      <c r="A2636" t="s">
        <v>762</v>
      </c>
      <c r="B2636" s="22" t="str">
        <f ca="1">IF(ISBLANK(OFFSET(B2636,0,'Field labels'!$Q$1)),C2636,OFFSET(B2636,0,'Field labels'!$Q$1))</f>
        <v>Hourly-0 (8)</v>
      </c>
      <c r="C2636" t="s">
        <v>1926</v>
      </c>
    </row>
    <row r="2637" spans="1:3">
      <c r="A2637" t="s">
        <v>762</v>
      </c>
      <c r="B2637" s="22" t="str">
        <f ca="1">IF(ISBLANK(OFFSET(B2637,0,'Field labels'!$Q$1)),C2637,OFFSET(B2637,0,'Field labels'!$Q$1))</f>
        <v>Hourly-2080 (15)</v>
      </c>
      <c r="C2637" t="s">
        <v>1927</v>
      </c>
    </row>
    <row r="2638" spans="1:3">
      <c r="A2638" t="s">
        <v>762</v>
      </c>
      <c r="B2638" s="22" t="str">
        <f ca="1">IF(ISBLANK(OFFSET(B2638,0,'Field labels'!$Q$1)),C2638,OFFSET(B2638,0,'Field labels'!$Q$1))</f>
        <v>Monthly-12 (3)</v>
      </c>
      <c r="C2638" t="s">
        <v>1928</v>
      </c>
    </row>
    <row r="2639" spans="1:3">
      <c r="A2639" t="s">
        <v>762</v>
      </c>
      <c r="B2639" s="22" t="str">
        <f ca="1">IF(ISBLANK(OFFSET(B2639,0,'Field labels'!$Q$1)),C2639,OFFSET(B2639,0,'Field labels'!$Q$1))</f>
        <v>Monthly-13 (9)</v>
      </c>
      <c r="C2639" t="s">
        <v>1929</v>
      </c>
    </row>
    <row r="2640" spans="1:3">
      <c r="A2640" t="s">
        <v>762</v>
      </c>
      <c r="B2640" s="22" t="str">
        <f ca="1">IF(ISBLANK(OFFSET(B2640,0,'Field labels'!$Q$1)),C2640,OFFSET(B2640,0,'Field labels'!$Q$1))</f>
        <v>Monthly-13.46 (10)</v>
      </c>
      <c r="C2640" t="s">
        <v>1930</v>
      </c>
    </row>
    <row r="2641" spans="1:3">
      <c r="A2641" t="s">
        <v>762</v>
      </c>
      <c r="B2641" s="22" t="str">
        <f ca="1">IF(ISBLANK(OFFSET(B2641,0,'Field labels'!$Q$1)),C2641,OFFSET(B2641,0,'Field labels'!$Q$1))</f>
        <v>Monthly-13.5 (11)</v>
      </c>
      <c r="C2641" t="s">
        <v>1931</v>
      </c>
    </row>
    <row r="2642" spans="1:3">
      <c r="A2642" t="s">
        <v>762</v>
      </c>
      <c r="B2642" s="22" t="str">
        <f ca="1">IF(ISBLANK(OFFSET(B2642,0,'Field labels'!$Q$1)),C2642,OFFSET(B2642,0,'Field labels'!$Q$1))</f>
        <v>Monthly-13.92 (12)</v>
      </c>
      <c r="C2642" t="s">
        <v>1932</v>
      </c>
    </row>
    <row r="2643" spans="1:3">
      <c r="A2643" t="s">
        <v>762</v>
      </c>
      <c r="B2643" s="22" t="str">
        <f ca="1">IF(ISBLANK(OFFSET(B2643,0,'Field labels'!$Q$1)),C2643,OFFSET(B2643,0,'Field labels'!$Q$1))</f>
        <v>Monthly-13.96 (13)</v>
      </c>
      <c r="C2643" t="s">
        <v>1933</v>
      </c>
    </row>
    <row r="2644" spans="1:3">
      <c r="A2644" t="s">
        <v>762</v>
      </c>
      <c r="B2644" s="22" t="str">
        <f ca="1">IF(ISBLANK(OFFSET(B2644,0,'Field labels'!$Q$1)),C2644,OFFSET(B2644,0,'Field labels'!$Q$1))</f>
        <v>Monthly-14 (14)</v>
      </c>
      <c r="C2644" t="s">
        <v>1934</v>
      </c>
    </row>
    <row r="2645" spans="1:3">
      <c r="A2645" t="s">
        <v>762</v>
      </c>
      <c r="B2645" s="22" t="str">
        <f ca="1">IF(ISBLANK(OFFSET(B2645,0,'Field labels'!$Q$1)),C2645,OFFSET(B2645,0,'Field labels'!$Q$1))</f>
        <v>Monthly-15 (15)</v>
      </c>
      <c r="C2645" t="s">
        <v>3330</v>
      </c>
    </row>
    <row r="2646" spans="1:3">
      <c r="A2646" t="s">
        <v>762</v>
      </c>
      <c r="B2646" s="22" t="str">
        <f ca="1">IF(ISBLANK(OFFSET(B2646,0,'Field labels'!$Q$1)),C2646,OFFSET(B2646,0,'Field labels'!$Q$1))</f>
        <v>Monthly-16 (16)</v>
      </c>
      <c r="C2646" t="s">
        <v>1935</v>
      </c>
    </row>
    <row r="2647" spans="1:3">
      <c r="A2647" t="s">
        <v>762</v>
      </c>
      <c r="B2647" s="22" t="str">
        <f ca="1">IF(ISBLANK(OFFSET(B2647,0,'Field labels'!$Q$1)),C2647,OFFSET(B2647,0,'Field labels'!$Q$1))</f>
        <v>Quarterly-4 (2)</v>
      </c>
      <c r="C2647" t="s">
        <v>1936</v>
      </c>
    </row>
    <row r="2648" spans="1:3">
      <c r="A2648" t="s">
        <v>762</v>
      </c>
      <c r="B2648" s="22" t="str">
        <f ca="1">IF(ISBLANK(OFFSET(B2648,0,'Field labels'!$Q$1)),C2648,OFFSET(B2648,0,'Field labels'!$Q$1))</f>
        <v>Semimonthly-24 (4)</v>
      </c>
      <c r="C2648" t="s">
        <v>1937</v>
      </c>
    </row>
    <row r="2649" spans="1:3">
      <c r="A2649" t="s">
        <v>762</v>
      </c>
      <c r="B2649" s="22" t="str">
        <f ca="1">IF(ISBLANK(OFFSET(B2649,0,'Field labels'!$Q$1)),C2649,OFFSET(B2649,0,'Field labels'!$Q$1))</f>
        <v>Weekly-52 (6)</v>
      </c>
      <c r="C2649" t="s">
        <v>1938</v>
      </c>
    </row>
    <row r="2650" spans="1:3">
      <c r="A2650" t="s">
        <v>763</v>
      </c>
      <c r="B2650" s="22" t="str">
        <f ca="1">IF(ISBLANK(OFFSET(B2650,0,'Field labels'!$Q$1)),C2650,OFFSET(B2650,0,'Field labels'!$Q$1))</f>
        <v>Aqua Nutrition</v>
      </c>
      <c r="C2650" t="s">
        <v>2690</v>
      </c>
    </row>
    <row r="2651" spans="1:3">
      <c r="A2651" t="s">
        <v>763</v>
      </c>
      <c r="B2651" s="22" t="str">
        <f ca="1">IF(ISBLANK(OFFSET(B2651,0,'Field labels'!$Q$1)),C2651,OFFSET(B2651,0,'Field labels'!$Q$1))</f>
        <v>Asia Pacific Food &amp; Bio-Industrial</v>
      </c>
      <c r="C2651" t="s">
        <v>3887</v>
      </c>
    </row>
    <row r="2652" spans="1:3">
      <c r="A2652" t="s">
        <v>763</v>
      </c>
      <c r="B2652" s="22" t="str">
        <f ca="1">IF(ISBLANK(OFFSET(B2652,0,'Field labels'!$Q$1)),C2652,OFFSET(B2652,0,'Field labels'!$Q$1))</f>
        <v>Black River Asset Management</v>
      </c>
      <c r="C2652" t="s">
        <v>734</v>
      </c>
    </row>
    <row r="2653" spans="1:3">
      <c r="A2653" t="s">
        <v>763</v>
      </c>
      <c r="B2653" s="22" t="str">
        <f ca="1">IF(ISBLANK(OFFSET(B2653,0,'Field labels'!$Q$1)),C2653,OFFSET(B2653,0,'Field labels'!$Q$1))</f>
        <v>CAN Shared Resources</v>
      </c>
      <c r="C2653" t="s">
        <v>815</v>
      </c>
    </row>
    <row r="2654" spans="1:3">
      <c r="A2654" t="s">
        <v>763</v>
      </c>
      <c r="B2654" s="22" t="str">
        <f ca="1">IF(ISBLANK(OFFSET(B2654,0,'Field labels'!$Q$1)),C2654,OFFSET(B2654,0,'Field labels'!$Q$1))</f>
        <v>CASC Asia Pacific</v>
      </c>
      <c r="C2654" t="s">
        <v>3888</v>
      </c>
    </row>
    <row r="2655" spans="1:3">
      <c r="A2655" t="s">
        <v>763</v>
      </c>
      <c r="B2655" s="22" t="str">
        <f ca="1">IF(ISBLANK(OFFSET(B2655,0,'Field labels'!$Q$1)),C2655,OFFSET(B2655,0,'Field labels'!$Q$1))</f>
        <v>CASC Europe Middle East Africa</v>
      </c>
      <c r="C2655" t="s">
        <v>3889</v>
      </c>
    </row>
    <row r="2656" spans="1:3">
      <c r="A2656" t="s">
        <v>763</v>
      </c>
      <c r="B2656" s="22" t="str">
        <f ca="1">IF(ISBLANK(OFFSET(B2656,0,'Field labels'!$Q$1)),C2656,OFFSET(B2656,0,'Field labels'!$Q$1))</f>
        <v>CASC North America</v>
      </c>
      <c r="C2656" t="s">
        <v>3890</v>
      </c>
    </row>
    <row r="2657" spans="1:3">
      <c r="A2657" t="s">
        <v>763</v>
      </c>
      <c r="B2657" s="22" t="str">
        <f ca="1">IF(ISBLANK(OFFSET(B2657,0,'Field labels'!$Q$1)),C2657,OFFSET(B2657,0,'Field labels'!$Q$1))</f>
        <v>CASC Shared Resources</v>
      </c>
      <c r="C2657" t="s">
        <v>3891</v>
      </c>
    </row>
    <row r="2658" spans="1:3">
      <c r="A2658" t="s">
        <v>763</v>
      </c>
      <c r="B2658" s="22" t="str">
        <f ca="1">IF(ISBLANK(OFFSET(B2658,0,'Field labels'!$Q$1)),C2658,OFFSET(B2658,0,'Field labels'!$Q$1))</f>
        <v>CASC South America</v>
      </c>
      <c r="C2658" t="s">
        <v>3892</v>
      </c>
    </row>
    <row r="2659" spans="1:3">
      <c r="A2659" t="s">
        <v>763</v>
      </c>
      <c r="B2659" s="22" t="str">
        <f ca="1">IF(ISBLANK(OFFSET(B2659,0,'Field labels'!$Q$1)),C2659,OFFSET(B2659,0,'Field labels'!$Q$1))</f>
        <v>Cocoa &amp; Chocolate</v>
      </c>
      <c r="C2659" t="s">
        <v>783</v>
      </c>
    </row>
    <row r="2660" spans="1:3">
      <c r="A2660" t="s">
        <v>763</v>
      </c>
      <c r="B2660" s="22" t="str">
        <f ca="1">IF(ISBLANK(OFFSET(B2660,0,'Field labels'!$Q$1)),C2660,OFFSET(B2660,0,'Field labels'!$Q$1))</f>
        <v>Corporate</v>
      </c>
      <c r="C2660" t="s">
        <v>758</v>
      </c>
    </row>
    <row r="2661" spans="1:3">
      <c r="A2661" t="s">
        <v>763</v>
      </c>
      <c r="B2661" s="22" t="str">
        <f ca="1">IF(ISBLANK(OFFSET(B2661,0,'Field labels'!$Q$1)),C2661,OFFSET(B2661,0,'Field labels'!$Q$1))</f>
        <v>ETM Shared Resources</v>
      </c>
      <c r="C2661" t="s">
        <v>738</v>
      </c>
    </row>
    <row r="2662" spans="1:3">
      <c r="A2662" t="s">
        <v>763</v>
      </c>
      <c r="B2662" s="22" t="str">
        <f ca="1">IF(ISBLANK(OFFSET(B2662,0,'Field labels'!$Q$1)),C2662,OFFSET(B2662,0,'Field labels'!$Q$1))</f>
        <v>Feed &amp; Nutrition</v>
      </c>
      <c r="C2662" t="s">
        <v>739</v>
      </c>
    </row>
    <row r="2663" spans="1:3">
      <c r="A2663" t="s">
        <v>763</v>
      </c>
      <c r="B2663" s="22" t="str">
        <f ca="1">IF(ISBLANK(OFFSET(B2663,0,'Field labels'!$Q$1)),C2663,OFFSET(B2663,0,'Field labels'!$Q$1))</f>
        <v>FIBI Shared Resources</v>
      </c>
      <c r="C2663" t="s">
        <v>740</v>
      </c>
    </row>
    <row r="2664" spans="1:3">
      <c r="A2664" t="s">
        <v>763</v>
      </c>
      <c r="B2664" s="22" t="str">
        <f ca="1">IF(ISBLANK(OFFSET(B2664,0,'Field labels'!$Q$1)),C2664,OFFSET(B2664,0,'Field labels'!$Q$1))</f>
        <v>Foods Argentina</v>
      </c>
      <c r="C2664" t="s">
        <v>3893</v>
      </c>
    </row>
    <row r="2665" spans="1:3">
      <c r="A2665" t="s">
        <v>763</v>
      </c>
      <c r="B2665" s="22" t="str">
        <f ca="1">IF(ISBLANK(OFFSET(B2665,0,'Field labels'!$Q$1)),C2665,OFFSET(B2665,0,'Field labels'!$Q$1))</f>
        <v>Global Edible Oil Solutions</v>
      </c>
      <c r="C2665" t="s">
        <v>812</v>
      </c>
    </row>
    <row r="2666" spans="1:3">
      <c r="A2666" t="s">
        <v>763</v>
      </c>
      <c r="B2666" s="22" t="str">
        <f ca="1">IF(ISBLANK(OFFSET(B2666,0,'Field labels'!$Q$1)),C2666,OFFSET(B2666,0,'Field labels'!$Q$1))</f>
        <v>Land Management</v>
      </c>
      <c r="C2666" t="s">
        <v>2716</v>
      </c>
    </row>
    <row r="2667" spans="1:3">
      <c r="A2667" t="s">
        <v>763</v>
      </c>
      <c r="B2667" s="22" t="str">
        <f ca="1">IF(ISBLANK(OFFSET(B2667,0,'Field labels'!$Q$1)),C2667,OFFSET(B2667,0,'Field labels'!$Q$1))</f>
        <v>Metals</v>
      </c>
      <c r="C2667" t="s">
        <v>745</v>
      </c>
    </row>
    <row r="2668" spans="1:3">
      <c r="A2668" t="s">
        <v>763</v>
      </c>
      <c r="B2668" s="22" t="str">
        <f ca="1">IF(ISBLANK(OFFSET(B2668,0,'Field labels'!$Q$1)),C2668,OFFSET(B2668,0,'Field labels'!$Q$1))</f>
        <v>North America Power &amp; Gas</v>
      </c>
      <c r="C2668" t="s">
        <v>2718</v>
      </c>
    </row>
    <row r="2669" spans="1:3">
      <c r="A2669" t="s">
        <v>763</v>
      </c>
      <c r="B2669" s="22" t="str">
        <f ca="1">IF(ISBLANK(OFFSET(B2669,0,'Field labels'!$Q$1)),C2669,OFFSET(B2669,0,'Field labels'!$Q$1))</f>
        <v>Ocean Transportation</v>
      </c>
      <c r="C2669" t="s">
        <v>746</v>
      </c>
    </row>
    <row r="2670" spans="1:3">
      <c r="A2670" t="s">
        <v>763</v>
      </c>
      <c r="B2670" s="22" t="str">
        <f ca="1">IF(ISBLANK(OFFSET(B2670,0,'Field labels'!$Q$1)),C2670,OFFSET(B2670,0,'Field labels'!$Q$1))</f>
        <v>Petroleum &amp; Chemicals</v>
      </c>
      <c r="C2670" t="s">
        <v>2719</v>
      </c>
    </row>
    <row r="2671" spans="1:3">
      <c r="A2671" t="s">
        <v>763</v>
      </c>
      <c r="B2671" s="22" t="str">
        <f ca="1">IF(ISBLANK(OFFSET(B2671,0,'Field labels'!$Q$1)),C2671,OFFSET(B2671,0,'Field labels'!$Q$1))</f>
        <v>Poultry</v>
      </c>
      <c r="C2671" t="s">
        <v>3894</v>
      </c>
    </row>
    <row r="2672" spans="1:3">
      <c r="A2672" t="s">
        <v>763</v>
      </c>
      <c r="B2672" s="22" t="str">
        <f ca="1">IF(ISBLANK(OFFSET(B2672,0,'Field labels'!$Q$1)),C2672,OFFSET(B2672,0,'Field labels'!$Q$1))</f>
        <v>Premix &amp; Nutrition</v>
      </c>
      <c r="C2672" t="s">
        <v>747</v>
      </c>
    </row>
    <row r="2673" spans="1:3">
      <c r="A2673" t="s">
        <v>763</v>
      </c>
      <c r="B2673" s="22" t="str">
        <f ca="1">IF(ISBLANK(OFFSET(B2673,0,'Field labels'!$Q$1)),C2673,OFFSET(B2673,0,'Field labels'!$Q$1))</f>
        <v>Protein</v>
      </c>
      <c r="C2673" t="s">
        <v>3895</v>
      </c>
    </row>
    <row r="2674" spans="1:3">
      <c r="A2674" t="s">
        <v>763</v>
      </c>
      <c r="B2674" s="22" t="str">
        <f ca="1">IF(ISBLANK(OFFSET(B2674,0,'Field labels'!$Q$1)),C2674,OFFSET(B2674,0,'Field labels'!$Q$1))</f>
        <v>Risk Management</v>
      </c>
      <c r="C2674" t="s">
        <v>748</v>
      </c>
    </row>
    <row r="2675" spans="1:3">
      <c r="A2675" t="s">
        <v>763</v>
      </c>
      <c r="B2675" s="22" t="str">
        <f ca="1">IF(ISBLANK(OFFSET(B2675,0,'Field labels'!$Q$1)),C2675,OFFSET(B2675,0,'Field labels'!$Q$1))</f>
        <v>Salt</v>
      </c>
      <c r="C2675" t="s">
        <v>2721</v>
      </c>
    </row>
    <row r="2676" spans="1:3">
      <c r="A2676" t="s">
        <v>763</v>
      </c>
      <c r="B2676" s="22" t="str">
        <f ca="1">IF(ISBLANK(OFFSET(B2676,0,'Field labels'!$Q$1)),C2676,OFFSET(B2676,0,'Field labels'!$Q$1))</f>
        <v>Starches, Sweeteners &amp; Texturizers</v>
      </c>
      <c r="C2676" t="s">
        <v>3896</v>
      </c>
    </row>
    <row r="2677" spans="1:3">
      <c r="A2677" t="s">
        <v>763</v>
      </c>
      <c r="B2677" s="22" t="str">
        <f ca="1">IF(ISBLANK(OFFSET(B2677,0,'Field labels'!$Q$1)),C2677,OFFSET(B2677,0,'Field labels'!$Q$1))</f>
        <v>Trade &amp; Structured Finance</v>
      </c>
      <c r="C2677" t="s">
        <v>752</v>
      </c>
    </row>
    <row r="2678" spans="1:3">
      <c r="A2678" t="s">
        <v>763</v>
      </c>
      <c r="B2678" s="22" t="str">
        <f ca="1">IF(ISBLANK(OFFSET(B2678,0,'Field labels'!$Q$1)),C2678,OFFSET(B2678,0,'Field labels'!$Q$1))</f>
        <v>World Trading</v>
      </c>
      <c r="C2678" t="s">
        <v>753</v>
      </c>
    </row>
    <row r="2679" spans="1:3">
      <c r="A2679" t="s">
        <v>764</v>
      </c>
      <c r="B2679" s="22" t="str">
        <f ca="1">IF(ISBLANK(OFFSET(B2679,0,'Field labels'!$Q$1)),C2679,OFFSET(B2679,0,'Field labels'!$Q$1))</f>
        <v>GBR - HEREFORD - GRANDSTAND ROAD</v>
      </c>
      <c r="C2679" t="s">
        <v>765</v>
      </c>
    </row>
    <row r="2680" spans="1:3">
      <c r="A2680" t="s">
        <v>764</v>
      </c>
      <c r="B2680" s="22" t="str">
        <f ca="1">IF(ISBLANK(OFFSET(B2680,0,'Field labels'!$Q$1)),C2680,OFFSET(B2680,0,'Field labels'!$Q$1))</f>
        <v>GBR - HULL - 45 MORLEY STREET</v>
      </c>
      <c r="C2680" t="s">
        <v>766</v>
      </c>
    </row>
    <row r="2681" spans="1:3">
      <c r="A2681" t="s">
        <v>764</v>
      </c>
      <c r="B2681" s="22" t="str">
        <f ca="1">IF(ISBLANK(OFFSET(B2681,0,'Field labels'!$Q$1)),C2681,OFFSET(B2681,0,'Field labels'!$Q$1))</f>
        <v>GBR - LICHFIELD - LICHFIELD OFFICE</v>
      </c>
      <c r="C2681" t="s">
        <v>767</v>
      </c>
    </row>
    <row r="2682" spans="1:3">
      <c r="A2682" t="s">
        <v>764</v>
      </c>
      <c r="B2682" s="22" t="str">
        <f ca="1">IF(ISBLANK(OFFSET(B2682,0,'Field labels'!$Q$1)),C2682,OFFSET(B2682,0,'Field labels'!$Q$1))</f>
        <v>GBR - LINCOLN - WITHAM ST HUGHS</v>
      </c>
      <c r="C2682" t="s">
        <v>780</v>
      </c>
    </row>
    <row r="2683" spans="1:3">
      <c r="A2683" t="s">
        <v>764</v>
      </c>
      <c r="B2683" s="22" t="str">
        <f ca="1">IF(ISBLANK(OFFSET(B2683,0,'Field labels'!$Q$1)),C2683,OFFSET(B2683,0,'Field labels'!$Q$1))</f>
        <v>GBR - LIVERPOOL - BROCKLEBANK</v>
      </c>
      <c r="C2683" t="s">
        <v>768</v>
      </c>
    </row>
    <row r="2684" spans="1:3">
      <c r="A2684" t="s">
        <v>764</v>
      </c>
      <c r="B2684" t="str">
        <f ca="1">IF(ISBLANK(OFFSET(B2684,0,'Field labels'!$Q$1)),C2684,OFFSET(B2684,0,'Field labels'!$Q$1))</f>
        <v>GBR - LIVERPOOL - COTTON</v>
      </c>
      <c r="C2684" t="s">
        <v>769</v>
      </c>
    </row>
    <row r="2685" spans="1:3">
      <c r="A2685" t="s">
        <v>764</v>
      </c>
      <c r="B2685" t="str">
        <f ca="1">IF(ISBLANK(OFFSET(B2685,0,'Field labels'!$Q$1)),C2685,OFFSET(B2685,0,'Field labels'!$Q$1))</f>
        <v>GBR - LIVERPOOL - S2</v>
      </c>
      <c r="C2685" t="s">
        <v>770</v>
      </c>
    </row>
    <row r="2686" spans="1:3">
      <c r="A2686" t="s">
        <v>764</v>
      </c>
      <c r="B2686" t="str">
        <f ca="1">IF(ISBLANK(OFFSET(B2686,0,'Field labels'!$Q$1)),C2686,OFFSET(B2686,0,'Field labels'!$Q$1))</f>
        <v>GBR - LIVERPOOL - SEAFORTH</v>
      </c>
      <c r="C2686" t="s">
        <v>771</v>
      </c>
    </row>
    <row r="2687" spans="1:3">
      <c r="A2687" t="s">
        <v>764</v>
      </c>
      <c r="B2687" t="str">
        <f ca="1">IF(ISBLANK(OFFSET(B2687,0,'Field labels'!$Q$1)),C2687,OFFSET(B2687,0,'Field labels'!$Q$1))</f>
        <v>GBR - LIVERPOOL - SPEKE</v>
      </c>
      <c r="C2687" t="s">
        <v>772</v>
      </c>
    </row>
    <row r="2688" spans="1:3">
      <c r="A2688" t="s">
        <v>764</v>
      </c>
      <c r="B2688" t="str">
        <f ca="1">IF(ISBLANK(OFFSET(B2688,0,'Field labels'!$Q$1)),C2688,OFFSET(B2688,0,'Field labels'!$Q$1))</f>
        <v>GBR - LONDON - 77 QUEEN VICTORIA STREET</v>
      </c>
      <c r="C2688" t="s">
        <v>773</v>
      </c>
    </row>
    <row r="2689" spans="1:3">
      <c r="A2689" t="s">
        <v>764</v>
      </c>
      <c r="B2689" t="str">
        <f ca="1">IF(ISBLANK(OFFSET(B2689,0,'Field labels'!$Q$1)),C2689,OFFSET(B2689,0,'Field labels'!$Q$1))</f>
        <v>GBR - MANCHESTER - GUINNESS ROAD</v>
      </c>
      <c r="C2689" t="s">
        <v>808</v>
      </c>
    </row>
    <row r="2690" spans="1:3">
      <c r="A2690" t="s">
        <v>764</v>
      </c>
      <c r="B2690" t="str">
        <f ca="1">IF(ISBLANK(OFFSET(B2690,0,'Field labels'!$Q$1)),C2690,OFFSET(B2690,0,'Field labels'!$Q$1))</f>
        <v>GBR - THIRSK - DALTON</v>
      </c>
      <c r="C2690" t="s">
        <v>774</v>
      </c>
    </row>
    <row r="2691" spans="1:3">
      <c r="A2691" t="s">
        <v>764</v>
      </c>
      <c r="B2691" t="str">
        <f ca="1">IF(ISBLANK(OFFSET(B2691,0,'Field labels'!$Q$1)),C2691,OFFSET(B2691,0,'Field labels'!$Q$1))</f>
        <v>GBR - WEYBRIDGE - VELOCITY V1</v>
      </c>
      <c r="C2691" t="s">
        <v>775</v>
      </c>
    </row>
    <row r="2692" spans="1:3">
      <c r="A2692" t="s">
        <v>764</v>
      </c>
      <c r="B2692" t="str">
        <f ca="1">IF(ISBLANK(OFFSET(B2692,0,'Field labels'!$Q$1)),C2692,OFFSET(B2692,0,'Field labels'!$Q$1))</f>
        <v>GBR - WOKING - FORMAT HOUSE</v>
      </c>
      <c r="C2692" t="s">
        <v>776</v>
      </c>
    </row>
    <row r="2693" spans="1:3">
      <c r="A2693" t="s">
        <v>764</v>
      </c>
      <c r="B2693" t="str">
        <f ca="1">IF(ISBLANK(OFFSET(B2693,0,'Field labels'!$Q$1)),C2693,OFFSET(B2693,0,'Field labels'!$Q$1))</f>
        <v>GBR - WORKSOP - MANTON WOOD ENTERPRISE PARK</v>
      </c>
      <c r="C2693" t="s">
        <v>777</v>
      </c>
    </row>
    <row r="2694" spans="1:3">
      <c r="A2694" t="s">
        <v>764</v>
      </c>
      <c r="B2694" t="str">
        <f ca="1">IF(ISBLANK(OFFSET(B2694,0,'Field labels'!$Q$1)),C2694,OFFSET(B2694,0,'Field labels'!$Q$1))</f>
        <v>GBR - YORK - WIGGINTON ROAD</v>
      </c>
      <c r="C2694" t="s">
        <v>778</v>
      </c>
    </row>
    <row r="2695" spans="1:3">
      <c r="A2695" t="s">
        <v>9011</v>
      </c>
      <c r="B2695" t="str">
        <f ca="1">IF(ISBLANK(OFFSET(B2695,0,'Field labels'!$Q$1)),C2695,OFFSET(B2695,0,'Field labels'!$Q$1))</f>
        <v>ARG-Base Salary (Global Mobility Inbound)</v>
      </c>
      <c r="C2695" t="s">
        <v>8984</v>
      </c>
    </row>
    <row r="2696" spans="1:3">
      <c r="A2696" t="s">
        <v>9011</v>
      </c>
      <c r="B2696" t="str">
        <f ca="1">IF(ISBLANK(OFFSET(B2696,0,'Field labels'!$Q$1)),C2696,OFFSET(B2696,0,'Field labels'!$Q$1))</f>
        <v>ARG-Base Salary (Hourly, Union)</v>
      </c>
      <c r="C2696" t="s">
        <v>8985</v>
      </c>
    </row>
    <row r="2697" spans="1:3">
      <c r="A2697" t="s">
        <v>9011</v>
      </c>
      <c r="B2697" t="str">
        <f ca="1">IF(ISBLANK(OFFSET(B2697,0,'Field labels'!$Q$1)),C2697,OFFSET(B2697,0,'Field labels'!$Q$1))</f>
        <v>ARG-Base Salary (Salary, Non-Union, Global Mobility Outbound)</v>
      </c>
      <c r="C2697" t="s">
        <v>8986</v>
      </c>
    </row>
    <row r="2698" spans="1:3">
      <c r="A2698" t="s">
        <v>9011</v>
      </c>
      <c r="B2698" t="str">
        <f ca="1">IF(ISBLANK(OFFSET(B2698,0,'Field labels'!$Q$1)),C2698,OFFSET(B2698,0,'Field labels'!$Q$1))</f>
        <v>ARG-Base Salary (Student)</v>
      </c>
      <c r="C2698" t="s">
        <v>8987</v>
      </c>
    </row>
    <row r="2699" spans="1:3">
      <c r="A2699" t="s">
        <v>9012</v>
      </c>
      <c r="B2699" t="str">
        <f ca="1">IF(ISBLANK(OFFSET(B2699,0,'Field labels'!$Q$1)),C2699,OFFSET(B2699,0,'Field labels'!$Q$1))</f>
        <v>AUS-Extraction</v>
      </c>
      <c r="C2699" t="s">
        <v>8988</v>
      </c>
    </row>
    <row r="2700" spans="1:3">
      <c r="A2700" t="s">
        <v>9012</v>
      </c>
      <c r="B2700" t="str">
        <f ca="1">IF(ISBLANK(OFFSET(B2700,0,'Field labels'!$Q$1)),C2700,OFFSET(B2700,0,'Field labels'!$Q$1))</f>
        <v>AUS-Food Training</v>
      </c>
      <c r="C2700" t="s">
        <v>8989</v>
      </c>
    </row>
    <row r="2701" spans="1:3">
      <c r="A2701" t="s">
        <v>9012</v>
      </c>
      <c r="B2701" t="str">
        <f ca="1">IF(ISBLANK(OFFSET(B2701,0,'Field labels'!$Q$1)),C2701,OFFSET(B2701,0,'Field labels'!$Q$1))</f>
        <v>AUS-Hourly Rate</v>
      </c>
      <c r="C2701" t="s">
        <v>8990</v>
      </c>
    </row>
    <row r="2702" spans="1:3">
      <c r="A2702" t="s">
        <v>9012</v>
      </c>
      <c r="B2702" t="str">
        <f ca="1">IF(ISBLANK(OFFSET(B2702,0,'Field labels'!$Q$1)),C2702,OFFSET(B2702,0,'Field labels'!$Q$1))</f>
        <v>AUS-Leading Hand Relief</v>
      </c>
      <c r="C2702" t="s">
        <v>8991</v>
      </c>
    </row>
    <row r="2703" spans="1:3">
      <c r="A2703" t="s">
        <v>9012</v>
      </c>
      <c r="B2703" t="str">
        <f ca="1">IF(ISBLANK(OFFSET(B2703,0,'Field labels'!$Q$1)),C2703,OFFSET(B2703,0,'Field labels'!$Q$1))</f>
        <v>AUS-Leading Hand up to 10</v>
      </c>
      <c r="C2703" t="s">
        <v>8992</v>
      </c>
    </row>
    <row r="2704" spans="1:3">
      <c r="A2704" t="s">
        <v>9012</v>
      </c>
      <c r="B2704" t="str">
        <f ca="1">IF(ISBLANK(OFFSET(B2704,0,'Field labels'!$Q$1)),C2704,OFFSET(B2704,0,'Field labels'!$Q$1))</f>
        <v>AUS-Preparation</v>
      </c>
      <c r="C2704" t="s">
        <v>8993</v>
      </c>
    </row>
    <row r="2705" spans="1:3">
      <c r="A2705" t="s">
        <v>9012</v>
      </c>
      <c r="B2705" t="str">
        <f ca="1">IF(ISBLANK(OFFSET(B2705,0,'Field labels'!$Q$1)),C2705,OFFSET(B2705,0,'Field labels'!$Q$1))</f>
        <v>AUS-WC Refund rate</v>
      </c>
      <c r="C2705" t="s">
        <v>8994</v>
      </c>
    </row>
    <row r="2706" spans="1:3">
      <c r="A2706" t="s">
        <v>9013</v>
      </c>
      <c r="B2706" t="str">
        <f ca="1">IF(ISBLANK(OFFSET(B2706,0,'Field labels'!$Q$1)),C2706,OFFSET(B2706,0,'Field labels'!$Q$1))</f>
        <v>DOM-Republica Dominicana Empleado</v>
      </c>
      <c r="C2706" t="s">
        <v>8995</v>
      </c>
    </row>
    <row r="2707" spans="1:3">
      <c r="A2707" t="s">
        <v>9014</v>
      </c>
      <c r="B2707" t="str">
        <f ca="1">IF(ISBLANK(OFFSET(B2707,0,'Field labels'!$Q$1)),C2707,OFFSET(B2707,0,'Field labels'!$Q$1))</f>
        <v>GTM-Bono Decreto</v>
      </c>
      <c r="C2707" t="s">
        <v>8996</v>
      </c>
    </row>
    <row r="2708" spans="1:3">
      <c r="A2708" t="s">
        <v>5255</v>
      </c>
      <c r="B2708" t="str">
        <f ca="1">IF(ISBLANK(OFFSET(B2708,0,'Field labels'!$Q$1)),C2708,OFFSET(B2708,0,'Field labels'!$Q$1))</f>
        <v>IDN-Base Salary</v>
      </c>
      <c r="C2708" t="s">
        <v>5260</v>
      </c>
    </row>
    <row r="2709" spans="1:3">
      <c r="A2709" t="s">
        <v>5255</v>
      </c>
      <c r="B2709" t="str">
        <f ca="1">IF(ISBLANK(OFFSET(B2709,0,'Field labels'!$Q$1)),C2709,OFFSET(B2709,0,'Field labels'!$Q$1))</f>
        <v>IDN-Basic Salary (Net)</v>
      </c>
      <c r="C2709" t="s">
        <v>5261</v>
      </c>
    </row>
    <row r="2710" spans="1:3">
      <c r="A2710" t="s">
        <v>5256</v>
      </c>
      <c r="B2710" t="str">
        <f ca="1">IF(ISBLANK(OFFSET(B2710,0,'Field labels'!$Q$1)),C2710,OFFSET(B2710,0,'Field labels'!$Q$1))</f>
        <v>IND-Base Salary</v>
      </c>
      <c r="C2710" t="s">
        <v>8997</v>
      </c>
    </row>
    <row r="2711" spans="1:3">
      <c r="A2711" t="s">
        <v>5256</v>
      </c>
      <c r="B2711" t="str">
        <f ca="1">IF(ISBLANK(OFFSET(B2711,0,'Field labels'!$Q$1)),C2711,OFFSET(B2711,0,'Field labels'!$Q$1))</f>
        <v>IND-Books &amp; Periodicals Reimbursement</v>
      </c>
      <c r="C2711" t="s">
        <v>5262</v>
      </c>
    </row>
    <row r="2712" spans="1:3">
      <c r="A2712" t="s">
        <v>5256</v>
      </c>
      <c r="B2712" t="str">
        <f ca="1">IF(ISBLANK(OFFSET(B2712,0,'Field labels'!$Q$1)),C2712,OFFSET(B2712,0,'Field labels'!$Q$1))</f>
        <v>IND-Car Allowance</v>
      </c>
      <c r="C2712" t="s">
        <v>5263</v>
      </c>
    </row>
    <row r="2713" spans="1:3">
      <c r="A2713" t="s">
        <v>5256</v>
      </c>
      <c r="B2713" t="str">
        <f ca="1">IF(ISBLANK(OFFSET(B2713,0,'Field labels'!$Q$1)),C2713,OFFSET(B2713,0,'Field labels'!$Q$1))</f>
        <v>IND-Children Education Allowa</v>
      </c>
      <c r="C2713" t="s">
        <v>5264</v>
      </c>
    </row>
    <row r="2714" spans="1:3">
      <c r="A2714" t="s">
        <v>5256</v>
      </c>
      <c r="B2714" t="str">
        <f ca="1">IF(ISBLANK(OFFSET(B2714,0,'Field labels'!$Q$1)),C2714,OFFSET(B2714,0,'Field labels'!$Q$1))</f>
        <v>IND-City Allowance</v>
      </c>
      <c r="C2714" t="s">
        <v>5265</v>
      </c>
    </row>
    <row r="2715" spans="1:3">
      <c r="A2715" t="s">
        <v>5256</v>
      </c>
      <c r="B2715" t="str">
        <f ca="1">IF(ISBLANK(OFFSET(B2715,0,'Field labels'!$Q$1)),C2715,OFFSET(B2715,0,'Field labels'!$Q$1))</f>
        <v>IND-Conveyance Allowance</v>
      </c>
      <c r="C2715" t="s">
        <v>5266</v>
      </c>
    </row>
    <row r="2716" spans="1:3">
      <c r="A2716" t="s">
        <v>5256</v>
      </c>
      <c r="B2716" t="str">
        <f ca="1">IF(ISBLANK(OFFSET(B2716,0,'Field labels'!$Q$1)),C2716,OFFSET(B2716,0,'Field labels'!$Q$1))</f>
        <v>IND-ESIC</v>
      </c>
      <c r="C2716" t="s">
        <v>5267</v>
      </c>
    </row>
    <row r="2717" spans="1:3">
      <c r="A2717" t="s">
        <v>5256</v>
      </c>
      <c r="B2717" t="str">
        <f ca="1">IF(ISBLANK(OFFSET(B2717,0,'Field labels'!$Q$1)),C2717,OFFSET(B2717,0,'Field labels'!$Q$1))</f>
        <v>IND-Gift Allowance</v>
      </c>
      <c r="C2717" t="s">
        <v>5268</v>
      </c>
    </row>
    <row r="2718" spans="1:3">
      <c r="A2718" t="s">
        <v>5256</v>
      </c>
      <c r="B2718" t="str">
        <f ca="1">IF(ISBLANK(OFFSET(B2718,0,'Field labels'!$Q$1)),C2718,OFFSET(B2718,0,'Field labels'!$Q$1))</f>
        <v>IND-Gratuity</v>
      </c>
      <c r="C2718" t="s">
        <v>5269</v>
      </c>
    </row>
    <row r="2719" spans="1:3">
      <c r="A2719" t="s">
        <v>5256</v>
      </c>
      <c r="B2719" t="str">
        <f ca="1">IF(ISBLANK(OFFSET(B2719,0,'Field labels'!$Q$1)),C2719,OFFSET(B2719,0,'Field labels'!$Q$1))</f>
        <v>IND-Housing Rent Allowance</v>
      </c>
      <c r="C2719" t="s">
        <v>5270</v>
      </c>
    </row>
    <row r="2720" spans="1:3">
      <c r="A2720" t="s">
        <v>5256</v>
      </c>
      <c r="B2720" t="str">
        <f ca="1">IF(ISBLANK(OFFSET(B2720,0,'Field labels'!$Q$1)),C2720,OFFSET(B2720,0,'Field labels'!$Q$1))</f>
        <v>IND-Leave Travel Allowance</v>
      </c>
      <c r="C2720" t="s">
        <v>5271</v>
      </c>
    </row>
    <row r="2721" spans="1:3">
      <c r="A2721" t="s">
        <v>5256</v>
      </c>
      <c r="B2721" t="str">
        <f ca="1">IF(ISBLANK(OFFSET(B2721,0,'Field labels'!$Q$1)),C2721,OFFSET(B2721,0,'Field labels'!$Q$1))</f>
        <v>IND-Meal Voucher</v>
      </c>
      <c r="C2721" t="s">
        <v>5272</v>
      </c>
    </row>
    <row r="2722" spans="1:3">
      <c r="A2722" t="s">
        <v>5256</v>
      </c>
      <c r="B2722" t="str">
        <f ca="1">IF(ISBLANK(OFFSET(B2722,0,'Field labels'!$Q$1)),C2722,OFFSET(B2722,0,'Field labels'!$Q$1))</f>
        <v>IND-Medical Allowance</v>
      </c>
      <c r="C2722" t="s">
        <v>5273</v>
      </c>
    </row>
    <row r="2723" spans="1:3">
      <c r="A2723" t="s">
        <v>5256</v>
      </c>
      <c r="B2723" t="str">
        <f ca="1">IF(ISBLANK(OFFSET(B2723,0,'Field labels'!$Q$1)),C2723,OFFSET(B2723,0,'Field labels'!$Q$1))</f>
        <v>IND-Medical Reimbursement</v>
      </c>
      <c r="C2723" t="s">
        <v>5274</v>
      </c>
    </row>
    <row r="2724" spans="1:3">
      <c r="A2724" t="s">
        <v>5256</v>
      </c>
      <c r="B2724" t="str">
        <f ca="1">IF(ISBLANK(OFFSET(B2724,0,'Field labels'!$Q$1)),C2724,OFFSET(B2724,0,'Field labels'!$Q$1))</f>
        <v>IND-NPS Contribution</v>
      </c>
      <c r="C2724" t="s">
        <v>5275</v>
      </c>
    </row>
    <row r="2725" spans="1:3">
      <c r="A2725" t="s">
        <v>5256</v>
      </c>
      <c r="B2725" t="str">
        <f ca="1">IF(ISBLANK(OFFSET(B2725,0,'Field labels'!$Q$1)),C2725,OFFSET(B2725,0,'Field labels'!$Q$1))</f>
        <v>IND-Personal Pay Allowance</v>
      </c>
      <c r="C2725" t="s">
        <v>5276</v>
      </c>
    </row>
    <row r="2726" spans="1:3">
      <c r="A2726" t="s">
        <v>5256</v>
      </c>
      <c r="B2726" t="str">
        <f ca="1">IF(ISBLANK(OFFSET(B2726,0,'Field labels'!$Q$1)),C2726,OFFSET(B2726,0,'Field labels'!$Q$1))</f>
        <v>IND-Provident Fund</v>
      </c>
      <c r="C2726" t="s">
        <v>5277</v>
      </c>
    </row>
    <row r="2727" spans="1:3">
      <c r="A2727" t="s">
        <v>5256</v>
      </c>
      <c r="B2727" t="str">
        <f ca="1">IF(ISBLANK(OFFSET(B2727,0,'Field labels'!$Q$1)),C2727,OFFSET(B2727,0,'Field labels'!$Q$1))</f>
        <v>IND-Variable Dearness Allownc</v>
      </c>
      <c r="C2727" t="s">
        <v>5278</v>
      </c>
    </row>
    <row r="2728" spans="1:3">
      <c r="A2728" t="s">
        <v>9015</v>
      </c>
      <c r="B2728" t="str">
        <f ca="1">IF(ISBLANK(OFFSET(B2728,0,'Field labels'!$Q$1)),C2728,OFFSET(B2728,0,'Field labels'!$Q$1))</f>
        <v>JPN-Monthly Base-Contractor</v>
      </c>
      <c r="C2728" t="s">
        <v>8998</v>
      </c>
    </row>
    <row r="2729" spans="1:3">
      <c r="A2729" t="s">
        <v>9015</v>
      </c>
      <c r="B2729" t="str">
        <f ca="1">IF(ISBLANK(OFFSET(B2729,0,'Field labels'!$Q$1)),C2729,OFFSET(B2729,0,'Field labels'!$Q$1))</f>
        <v>JPN-Monthly Base-Director</v>
      </c>
      <c r="C2729" t="s">
        <v>8999</v>
      </c>
    </row>
    <row r="2730" spans="1:3">
      <c r="A2730" t="s">
        <v>9015</v>
      </c>
      <c r="B2730" t="str">
        <f ca="1">IF(ISBLANK(OFFSET(B2730,0,'Field labels'!$Q$1)),C2730,OFFSET(B2730,0,'Field labels'!$Q$1))</f>
        <v>JPN-Monthly Base-K Band 1</v>
      </c>
      <c r="C2730" t="s">
        <v>9000</v>
      </c>
    </row>
    <row r="2731" spans="1:3">
      <c r="A2731" t="s">
        <v>9015</v>
      </c>
      <c r="B2731" t="str">
        <f ca="1">IF(ISBLANK(OFFSET(B2731,0,'Field labels'!$Q$1)),C2731,OFFSET(B2731,0,'Field labels'!$Q$1))</f>
        <v>JPN-Monthly Base-K Band 2</v>
      </c>
      <c r="C2731" t="s">
        <v>9001</v>
      </c>
    </row>
    <row r="2732" spans="1:3">
      <c r="A2732" t="s">
        <v>9015</v>
      </c>
      <c r="B2732" t="str">
        <f ca="1">IF(ISBLANK(OFFSET(B2732,0,'Field labels'!$Q$1)),C2732,OFFSET(B2732,0,'Field labels'!$Q$1))</f>
        <v>JPN-Monthly Base-P Band 1</v>
      </c>
      <c r="C2732" t="s">
        <v>9002</v>
      </c>
    </row>
    <row r="2733" spans="1:3">
      <c r="A2733" t="s">
        <v>9015</v>
      </c>
      <c r="B2733" t="str">
        <f ca="1">IF(ISBLANK(OFFSET(B2733,0,'Field labels'!$Q$1)),C2733,OFFSET(B2733,0,'Field labels'!$Q$1))</f>
        <v>JPN-Monthly Base-P Band 2-FOT</v>
      </c>
      <c r="C2733" t="s">
        <v>9003</v>
      </c>
    </row>
    <row r="2734" spans="1:3">
      <c r="A2734" t="s">
        <v>9015</v>
      </c>
      <c r="B2734" t="str">
        <f ca="1">IF(ISBLANK(OFFSET(B2734,0,'Field labels'!$Q$1)),C2734,OFFSET(B2734,0,'Field labels'!$Q$1))</f>
        <v>JPN-Monthly Base-P Band 2-IT</v>
      </c>
      <c r="C2734" t="s">
        <v>9004</v>
      </c>
    </row>
    <row r="2735" spans="1:3">
      <c r="A2735" t="s">
        <v>9015</v>
      </c>
      <c r="B2735" t="str">
        <f ca="1">IF(ISBLANK(OFFSET(B2735,0,'Field labels'!$Q$1)),C2735,OFFSET(B2735,0,'Field labels'!$Q$1))</f>
        <v>JPN-Monthly Base-P Band 2-Sal</v>
      </c>
      <c r="C2735" t="s">
        <v>9005</v>
      </c>
    </row>
    <row r="2736" spans="1:3">
      <c r="A2736" t="s">
        <v>9015</v>
      </c>
      <c r="B2736" t="str">
        <f ca="1">IF(ISBLANK(OFFSET(B2736,0,'Field labels'!$Q$1)),C2736,OFFSET(B2736,0,'Field labels'!$Q$1))</f>
        <v>JPN-Monthly Base-S Band 1</v>
      </c>
      <c r="C2736" t="s">
        <v>9006</v>
      </c>
    </row>
    <row r="2737" spans="1:3">
      <c r="A2737" t="s">
        <v>9016</v>
      </c>
      <c r="B2737" t="str">
        <f ca="1">IF(ISBLANK(OFFSET(B2737,0,'Field labels'!$Q$1)),C2737,OFFSET(B2737,0,'Field labels'!$Q$1))</f>
        <v>KOR-Hourly Rate</v>
      </c>
      <c r="C2737" t="s">
        <v>9007</v>
      </c>
    </row>
    <row r="2738" spans="1:3">
      <c r="A2738" t="s">
        <v>9017</v>
      </c>
      <c r="B2738" t="str">
        <f ca="1">IF(ISBLANK(OFFSET(B2738,0,'Field labels'!$Q$1)),C2738,OFFSET(B2738,0,'Field labels'!$Q$1))</f>
        <v>MEX - Car Bonus</v>
      </c>
      <c r="C2738" t="s">
        <v>9008</v>
      </c>
    </row>
    <row r="2739" spans="1:3">
      <c r="A2739" t="s">
        <v>9017</v>
      </c>
      <c r="B2739" t="str">
        <f ca="1">IF(ISBLANK(OFFSET(B2739,0,'Field labels'!$Q$1)),C2739,OFFSET(B2739,0,'Field labels'!$Q$1))</f>
        <v>MEX - Oil Bonus</v>
      </c>
      <c r="C2739" t="s">
        <v>9009</v>
      </c>
    </row>
    <row r="2740" spans="1:3">
      <c r="A2740" t="s">
        <v>5257</v>
      </c>
      <c r="B2740" t="str">
        <f ca="1">IF(ISBLANK(OFFSET(B2740,0,'Field labels'!$Q$1)),C2740,OFFSET(B2740,0,'Field labels'!$Q$1))</f>
        <v>MYS-Daily Rate</v>
      </c>
      <c r="C2740" t="s">
        <v>5279</v>
      </c>
    </row>
    <row r="2741" spans="1:3">
      <c r="A2741" t="s">
        <v>9018</v>
      </c>
      <c r="B2741" t="str">
        <f ca="1">IF(ISBLANK(OFFSET(B2741,0,'Field labels'!$Q$1)),C2741,OFFSET(B2741,0,'Field labels'!$Q$1))</f>
        <v>PHL-Base Salary</v>
      </c>
      <c r="C2741" t="s">
        <v>9010</v>
      </c>
    </row>
    <row r="2742" spans="1:3">
      <c r="A2742" t="s">
        <v>5258</v>
      </c>
      <c r="B2742" t="str">
        <f ca="1">IF(ISBLANK(OFFSET(B2742,0,'Field labels'!$Q$1)),C2742,OFFSET(B2742,0,'Field labels'!$Q$1))</f>
        <v>THA-Base Salary</v>
      </c>
      <c r="C2742" t="s">
        <v>5280</v>
      </c>
    </row>
    <row r="2743" spans="1:3">
      <c r="A2743" t="s">
        <v>5258</v>
      </c>
      <c r="B2743" t="str">
        <f ca="1">IF(ISBLANK(OFFSET(B2743,0,'Field labels'!$Q$1)),C2743,OFFSET(B2743,0,'Field labels'!$Q$1))</f>
        <v>THA-Daily Rate</v>
      </c>
      <c r="C2743" t="s">
        <v>5281</v>
      </c>
    </row>
    <row r="2744" spans="1:3">
      <c r="A2744" t="s">
        <v>5258</v>
      </c>
      <c r="B2744" t="str">
        <f ca="1">IF(ISBLANK(OFFSET(B2744,0,'Field labels'!$Q$1)),C2744,OFFSET(B2744,0,'Field labels'!$Q$1))</f>
        <v>THA-Fixed Bonus 1.0</v>
      </c>
      <c r="C2744" t="s">
        <v>5282</v>
      </c>
    </row>
    <row r="2745" spans="1:3">
      <c r="A2745" t="s">
        <v>5258</v>
      </c>
      <c r="B2745" t="str">
        <f ca="1">IF(ISBLANK(OFFSET(B2745,0,'Field labels'!$Q$1)),C2745,OFFSET(B2745,0,'Field labels'!$Q$1))</f>
        <v>THA-Fixed Bonus 1.5</v>
      </c>
      <c r="C2745" t="s">
        <v>5283</v>
      </c>
    </row>
    <row r="2746" spans="1:3">
      <c r="A2746" t="s">
        <v>5259</v>
      </c>
      <c r="B2746" t="str">
        <f ca="1">IF(ISBLANK(OFFSET(B2746,0,'Field labels'!$Q$1)),C2746,OFFSET(B2746,0,'Field labels'!$Q$1))</f>
        <v>VNM-Base Salary</v>
      </c>
      <c r="C2746" t="s">
        <v>5284</v>
      </c>
    </row>
    <row r="2747" spans="1:3">
      <c r="A2747" s="48" t="s">
        <v>3329</v>
      </c>
      <c r="B2747" t="str">
        <f ca="1">IF(ISBLANK(OFFSET(B2747,0,'Field labels'!$Q$1)),C2747,OFFSET(B2747,0,'Field labels'!$Q$1))</f>
        <v>No Pay Group (PGNONE)</v>
      </c>
      <c r="C2747" s="48" t="s">
        <v>8964</v>
      </c>
    </row>
    <row r="2748" spans="1:3">
      <c r="A2748" s="48" t="s">
        <v>8972</v>
      </c>
      <c r="B2748" t="str">
        <f ca="1">IF(ISBLANK(OFFSET(B2748,0,'Field labels'!$Q$1)),C2748,OFFSET(B2748,0,'Field labels'!$Q$1))</f>
        <v>Argentina Pay Group UAT (UAT_PGRP_ARG)</v>
      </c>
      <c r="C2748" s="48" t="s">
        <v>8948</v>
      </c>
    </row>
    <row r="2749" spans="1:3">
      <c r="A2749" s="48" t="s">
        <v>8972</v>
      </c>
      <c r="B2749" t="str">
        <f ca="1">IF(ISBLANK(OFFSET(B2749,0,'Field labels'!$Q$1)),C2749,OFFSET(B2749,0,'Field labels'!$Q$1))</f>
        <v>ARG-Monthy ([M)</v>
      </c>
      <c r="C2749" s="48" t="s">
        <v>8949</v>
      </c>
    </row>
    <row r="2750" spans="1:3">
      <c r="A2750" s="48" t="s">
        <v>8973</v>
      </c>
      <c r="B2750" t="str">
        <f ca="1">IF(ISBLANK(OFFSET(B2750,0,'Field labels'!$Q$1)),C2750,OFFSET(B2750,0,'Field labels'!$Q$1))</f>
        <v>AUS-Footscray Weekly (QW)</v>
      </c>
      <c r="C2750" s="48" t="s">
        <v>8950</v>
      </c>
    </row>
    <row r="2751" spans="1:3">
      <c r="A2751" s="48" t="s">
        <v>8973</v>
      </c>
      <c r="B2751" t="str">
        <f ca="1">IF(ISBLANK(OFFSET(B2751,0,'Field labels'!$Q$1)),C2751,OFFSET(B2751,0,'Field labels'!$Q$1))</f>
        <v>AUS-Malt Bi-Weekly (QK)</v>
      </c>
      <c r="C2751" s="48" t="s">
        <v>8951</v>
      </c>
    </row>
    <row r="2752" spans="1:3">
      <c r="A2752" s="48" t="s">
        <v>8973</v>
      </c>
      <c r="B2752" t="str">
        <f ca="1">IF(ISBLANK(OFFSET(B2752,0,'Field labels'!$Q$1)),C2752,OFFSET(B2752,0,'Field labels'!$Q$1))</f>
        <v>AUS-Malt Weekly (QX)</v>
      </c>
      <c r="C2752" s="48" t="s">
        <v>8952</v>
      </c>
    </row>
    <row r="2753" spans="1:3">
      <c r="A2753" s="48" t="s">
        <v>8973</v>
      </c>
      <c r="B2753" t="str">
        <f ca="1">IF(ISBLANK(OFFSET(B2753,0,'Field labels'!$Q$1)),C2753,OFFSET(B2753,0,'Field labels'!$Q$1))</f>
        <v>AUS-Monthly - AU (QM)</v>
      </c>
      <c r="C2753" s="48" t="s">
        <v>8953</v>
      </c>
    </row>
    <row r="2754" spans="1:3">
      <c r="A2754" s="48" t="s">
        <v>8973</v>
      </c>
      <c r="B2754" t="str">
        <f ca="1">IF(ISBLANK(OFFSET(B2754,0,'Field labels'!$Q$1)),C2754,OFFSET(B2754,0,'Field labels'!$Q$1))</f>
        <v>AUS-Narrabri Weekly (QS)</v>
      </c>
      <c r="C2754" s="48" t="s">
        <v>8954</v>
      </c>
    </row>
    <row r="2755" spans="1:3">
      <c r="A2755" s="48" t="s">
        <v>8973</v>
      </c>
      <c r="B2755" t="str">
        <f ca="1">IF(ISBLANK(OFFSET(B2755,0,'Field labels'!$Q$1)),C2755,OFFSET(B2755,0,'Field labels'!$Q$1))</f>
        <v>AUS-Newcastle Bi-Weekly (QG)</v>
      </c>
      <c r="C2755" s="48" t="s">
        <v>8955</v>
      </c>
    </row>
    <row r="2756" spans="1:3">
      <c r="A2756" s="48" t="s">
        <v>8974</v>
      </c>
      <c r="B2756" t="str">
        <f ca="1">IF(ISBLANK(OFFSET(B2756,0,'Field labels'!$Q$1)),C2756,OFFSET(B2756,0,'Field labels'!$Q$1))</f>
        <v>BRA-Monthly (BRA-Monthly)</v>
      </c>
      <c r="C2756" s="48" t="s">
        <v>8956</v>
      </c>
    </row>
    <row r="2757" spans="1:3">
      <c r="A2757" s="48" t="s">
        <v>5285</v>
      </c>
      <c r="B2757" t="str">
        <f ca="1">IF(ISBLANK(OFFSET(B2757,0,'Field labels'!$Q$1)),C2757,OFFSET(B2757,0,'Field labels'!$Q$1))</f>
        <v>CHN-Monthly (12/Year) (CHN-M1)</v>
      </c>
      <c r="C2757" s="48" t="s">
        <v>5292</v>
      </c>
    </row>
    <row r="2758" spans="1:3">
      <c r="A2758" s="48" t="s">
        <v>8975</v>
      </c>
      <c r="B2758" t="str">
        <f ca="1">IF(ISBLANK(OFFSET(B2758,0,'Field labels'!$Q$1)),C2758,OFFSET(B2758,0,'Field labels'!$Q$1))</f>
        <v>COL-Mensuales (MES)</v>
      </c>
      <c r="C2758" s="48" t="s">
        <v>8957</v>
      </c>
    </row>
    <row r="2759" spans="1:3">
      <c r="A2759" s="48" t="s">
        <v>8976</v>
      </c>
      <c r="B2759" t="str">
        <f ca="1">IF(ISBLANK(OFFSET(B2759,0,'Field labels'!$Q$1)),C2759,OFFSET(B2759,0,'Field labels'!$Q$1))</f>
        <v>CRI/GTM/HND/NIC-Administrativos Mensual (AM)</v>
      </c>
      <c r="C2759" s="48" t="s">
        <v>7910</v>
      </c>
    </row>
    <row r="2760" spans="1:3">
      <c r="A2760" s="48" t="s">
        <v>8976</v>
      </c>
      <c r="B2760" t="str">
        <f ca="1">IF(ISBLANK(OFFSET(B2760,0,'Field labels'!$Q$1)),C2760,OFFSET(B2760,0,'Field labels'!$Q$1))</f>
        <v>CRI/GTM/HND/NIC-Ejecutivos Mensual (EM)</v>
      </c>
      <c r="C2760" s="48" t="s">
        <v>7911</v>
      </c>
    </row>
    <row r="2761" spans="1:3">
      <c r="A2761" s="48" t="s">
        <v>8976</v>
      </c>
      <c r="B2761" t="str">
        <f ca="1">IF(ISBLANK(OFFSET(B2761,0,'Field labels'!$Q$1)),C2761,OFFSET(B2761,0,'Field labels'!$Q$1))</f>
        <v>CRI/GTM/HND/NIC-Operarios Quincenal (OQ)</v>
      </c>
      <c r="C2761" s="48" t="s">
        <v>7912</v>
      </c>
    </row>
    <row r="2762" spans="1:3">
      <c r="A2762" s="48" t="s">
        <v>8976</v>
      </c>
      <c r="B2762" t="str">
        <f ca="1">IF(ISBLANK(OFFSET(B2762,0,'Field labels'!$Q$1)),C2762,OFFSET(B2762,0,'Field labels'!$Q$1))</f>
        <v>CRI-Operarios Semanal (OS)</v>
      </c>
      <c r="C2762" s="48" t="s">
        <v>8958</v>
      </c>
    </row>
    <row r="2763" spans="1:3">
      <c r="A2763" s="48" t="s">
        <v>8977</v>
      </c>
      <c r="B2763" t="str">
        <f ca="1">IF(ISBLANK(OFFSET(B2763,0,'Field labels'!$Q$1)),C2763,OFFSET(B2763,0,'Field labels'!$Q$1))</f>
        <v>DOM-Republica Dominicana Empleado (RD-EMP)</v>
      </c>
      <c r="C2763" s="48" t="s">
        <v>8959</v>
      </c>
    </row>
    <row r="2764" spans="1:3">
      <c r="A2764" s="48" t="s">
        <v>7921</v>
      </c>
      <c r="B2764" t="str">
        <f ca="1">IF(ISBLANK(OFFSET(B2764,0,'Field labels'!$Q$1)),C2764,OFFSET(B2764,0,'Field labels'!$Q$1))</f>
        <v>ECU-Aquacargill del Ecuador Empleados (AQE-EMP)</v>
      </c>
      <c r="C2764" s="48" t="s">
        <v>7922</v>
      </c>
    </row>
    <row r="2765" spans="1:3">
      <c r="A2765" s="48" t="s">
        <v>7921</v>
      </c>
      <c r="B2765" t="str">
        <f ca="1">IF(ISBLANK(OFFSET(B2765,0,'Field labels'!$Q$1)),C2765,OFFSET(B2765,0,'Field labels'!$Q$1))</f>
        <v>ECU-Aquacargill del Ecuador Operarios (AQE-OPE)</v>
      </c>
      <c r="C2765" s="48" t="s">
        <v>7923</v>
      </c>
    </row>
    <row r="2766" spans="1:3">
      <c r="A2766" s="48" t="s">
        <v>7921</v>
      </c>
      <c r="B2766" t="str">
        <f ca="1">IF(ISBLANK(OFFSET(B2766,0,'Field labels'!$Q$1)),C2766,OFFSET(B2766,0,'Field labels'!$Q$1))</f>
        <v>ECU-Aquacargill del Ecuador Practicantes (AQE-PRA)</v>
      </c>
      <c r="C2766" s="48" t="s">
        <v>7924</v>
      </c>
    </row>
    <row r="2767" spans="1:3">
      <c r="A2767" s="48" t="s">
        <v>7921</v>
      </c>
      <c r="B2767" t="str">
        <f ca="1">IF(ISBLANK(OFFSET(B2767,0,'Field labels'!$Q$1)),C2767,OFFSET(B2767,0,'Field labels'!$Q$1))</f>
        <v>ECU-Cargill del Ecuador Empleados (CDE-EMP)</v>
      </c>
      <c r="C2767" s="48" t="s">
        <v>7925</v>
      </c>
    </row>
    <row r="2768" spans="1:3">
      <c r="A2768" s="48" t="s">
        <v>7921</v>
      </c>
      <c r="B2768" t="str">
        <f ca="1">IF(ISBLANK(OFFSET(B2768,0,'Field labels'!$Q$1)),C2768,OFFSET(B2768,0,'Field labels'!$Q$1))</f>
        <v>ECU-Cargill del Ecuador Practicantes (CDE-PRA)</v>
      </c>
      <c r="C2768" s="48" t="s">
        <v>7926</v>
      </c>
    </row>
    <row r="2769" spans="1:3">
      <c r="A2769" s="48" t="s">
        <v>8978</v>
      </c>
      <c r="B2769" t="str">
        <f ca="1">IF(ISBLANK(OFFSET(B2769,0,'Field labels'!$Q$1)),C2769,OFFSET(B2769,0,'Field labels'!$Q$1))</f>
        <v>HKG-Monthly (13/Year) (HKG-M1)</v>
      </c>
      <c r="C2769" s="48" t="s">
        <v>8960</v>
      </c>
    </row>
    <row r="2770" spans="1:3">
      <c r="A2770" s="48" t="s">
        <v>5286</v>
      </c>
      <c r="B2770" t="str">
        <f ca="1">IF(ISBLANK(OFFSET(B2770,0,'Field labels'!$Q$1)),C2770,OFFSET(B2770,0,'Field labels'!$Q$1))</f>
        <v>IDN-Monthly (4M)</v>
      </c>
      <c r="C2770" s="48" t="s">
        <v>5293</v>
      </c>
    </row>
    <row r="2771" spans="1:3">
      <c r="A2771" s="48" t="s">
        <v>5286</v>
      </c>
      <c r="B2771" t="str">
        <f ca="1">IF(ISBLANK(OFFSET(B2771,0,'Field labels'!$Q$1)),C2771,OFFSET(B2771,0,'Field labels'!$Q$1))</f>
        <v>IDN-Monthly YTD (4D)</v>
      </c>
      <c r="C2771" s="48" t="s">
        <v>5294</v>
      </c>
    </row>
    <row r="2772" spans="1:3">
      <c r="A2772" s="48" t="s">
        <v>5287</v>
      </c>
      <c r="B2772" t="str">
        <f ca="1">IF(ISBLANK(OFFSET(B2772,0,'Field labels'!$Q$1)),C2772,OFFSET(B2772,0,'Field labels'!$Q$1))</f>
        <v>IND-Monthly (IND-M1)</v>
      </c>
      <c r="C2772" s="48" t="s">
        <v>5295</v>
      </c>
    </row>
    <row r="2773" spans="1:3">
      <c r="A2773" s="48" t="s">
        <v>8979</v>
      </c>
      <c r="B2773" t="str">
        <f ca="1">IF(ISBLANK(OFFSET(B2773,0,'Field labels'!$Q$1)),C2773,OFFSET(B2773,0,'Field labels'!$Q$1))</f>
        <v>JPN/TWN/BGR-Monthly  (ZZ)</v>
      </c>
      <c r="C2773" s="48" t="s">
        <v>8961</v>
      </c>
    </row>
    <row r="2774" spans="1:3">
      <c r="A2774" s="48" t="s">
        <v>8980</v>
      </c>
      <c r="B2774" t="str">
        <f ca="1">IF(ISBLANK(OFFSET(B2774,0,'Field labels'!$Q$1)),C2774,OFFSET(B2774,0,'Field labels'!$Q$1))</f>
        <v>KOR-Hourly - Monthly (5H)</v>
      </c>
      <c r="C2774" s="48" t="s">
        <v>8962</v>
      </c>
    </row>
    <row r="2775" spans="1:3">
      <c r="A2775" s="48" t="s">
        <v>8980</v>
      </c>
      <c r="B2775" t="str">
        <f ca="1">IF(ISBLANK(OFFSET(B2775,0,'Field labels'!$Q$1)),C2775,OFFSET(B2775,0,'Field labels'!$Q$1))</f>
        <v>KOR-Monthly (5M)</v>
      </c>
      <c r="C2775" s="48" t="s">
        <v>8963</v>
      </c>
    </row>
    <row r="2776" spans="1:3">
      <c r="A2776" s="48" t="s">
        <v>7897</v>
      </c>
      <c r="B2776" t="str">
        <f ca="1">IF(ISBLANK(OFFSET(B2776,0,'Field labels'!$Q$1)),C2776,OFFSET(B2776,0,'Field labels'!$Q$1))</f>
        <v>MEX-ADM (XQ)</v>
      </c>
      <c r="C2776" s="48" t="s">
        <v>7898</v>
      </c>
    </row>
    <row r="2777" spans="1:3">
      <c r="A2777" s="48" t="s">
        <v>7897</v>
      </c>
      <c r="B2777" t="str">
        <f ca="1">IF(ISBLANK(OFFSET(B2777,0,'Field labels'!$Q$1)),C2777,OFFSET(B2777,0,'Field labels'!$Q$1))</f>
        <v>MEX-OPS (XS)</v>
      </c>
      <c r="C2777" s="48" t="s">
        <v>7899</v>
      </c>
    </row>
    <row r="2778" spans="1:3">
      <c r="A2778" s="48" t="s">
        <v>5288</v>
      </c>
      <c r="B2778" t="str">
        <f ca="1">IF(ISBLANK(OFFSET(B2778,0,'Field labels'!$Q$1)),C2778,OFFSET(B2778,0,'Field labels'!$Q$1))</f>
        <v>MYS-Monthly  (LM)</v>
      </c>
      <c r="C2778" s="48" t="s">
        <v>5296</v>
      </c>
    </row>
    <row r="2779" spans="1:3">
      <c r="A2779" s="48" t="s">
        <v>8981</v>
      </c>
      <c r="B2779" t="str">
        <f ca="1">IF(ISBLANK(OFFSET(B2779,0,'Field labels'!$Q$1)),C2779,OFFSET(B2779,0,'Field labels'!$Q$1))</f>
        <v>PAK-Monthly (12/Year) (PAK-M1)</v>
      </c>
      <c r="C2779" s="48" t="s">
        <v>8965</v>
      </c>
    </row>
    <row r="2780" spans="1:3">
      <c r="A2780" s="48" t="s">
        <v>7915</v>
      </c>
      <c r="B2780" t="str">
        <f ca="1">IF(ISBLANK(OFFSET(B2780,0,'Field labels'!$Q$1)),C2780,OFFSET(B2780,0,'Field labels'!$Q$1))</f>
        <v>PER-Cargill Agribrands Peru Empleados (PER-AGX-EMP)</v>
      </c>
      <c r="C2780" s="48" t="s">
        <v>7916</v>
      </c>
    </row>
    <row r="2781" spans="1:3">
      <c r="A2781" s="48" t="s">
        <v>7915</v>
      </c>
      <c r="B2781" t="str">
        <f ca="1">IF(ISBLANK(OFFSET(B2781,0,'Field labels'!$Q$1)),C2781,OFFSET(B2781,0,'Field labels'!$Q$1))</f>
        <v>PER-Cargill Agribrands Peru Operarios (PER-AGX-OPE)</v>
      </c>
      <c r="C2781" s="48" t="s">
        <v>7917</v>
      </c>
    </row>
    <row r="2782" spans="1:3">
      <c r="A2782" s="48" t="s">
        <v>7915</v>
      </c>
      <c r="B2782" t="str">
        <f ca="1">IF(ISBLANK(OFFSET(B2782,0,'Field labels'!$Q$1)),C2782,OFFSET(B2782,0,'Field labels'!$Q$1))</f>
        <v>PER-Cargill Agribrands Peru Practicantes (AGX-PRA)</v>
      </c>
      <c r="C2782" s="48" t="s">
        <v>7918</v>
      </c>
    </row>
    <row r="2783" spans="1:3">
      <c r="A2783" s="48" t="s">
        <v>7915</v>
      </c>
      <c r="B2783" t="str">
        <f ca="1">IF(ISBLANK(OFFSET(B2783,0,'Field labels'!$Q$1)),C2783,OFFSET(B2783,0,'Field labels'!$Q$1))</f>
        <v>PER-Cargill Americas Peru Empleados (AMG-EMP)</v>
      </c>
      <c r="C2783" s="48" t="s">
        <v>7919</v>
      </c>
    </row>
    <row r="2784" spans="1:3">
      <c r="A2784" s="48" t="s">
        <v>7915</v>
      </c>
      <c r="B2784" t="str">
        <f ca="1">IF(ISBLANK(OFFSET(B2784,0,'Field labels'!$Q$1)),C2784,OFFSET(B2784,0,'Field labels'!$Q$1))</f>
        <v>PER-Cargill Americas Peru Practicantes (AMG-PRA)</v>
      </c>
      <c r="C2784" s="48" t="s">
        <v>7920</v>
      </c>
    </row>
    <row r="2785" spans="1:3">
      <c r="A2785" s="48" t="s">
        <v>5289</v>
      </c>
      <c r="B2785" t="str">
        <f ca="1">IF(ISBLANK(OFFSET(B2785,0,'Field labels'!$Q$1)),C2785,OFFSET(B2785,0,'Field labels'!$Q$1))</f>
        <v>PHL-Monthly (7M)</v>
      </c>
      <c r="C2785" s="48" t="s">
        <v>5297</v>
      </c>
    </row>
    <row r="2786" spans="1:3">
      <c r="A2786" s="48" t="s">
        <v>8982</v>
      </c>
      <c r="B2786" t="str">
        <f ca="1">IF(ISBLANK(OFFSET(B2786,0,'Field labels'!$Q$1)),C2786,OFFSET(B2786,0,'Field labels'!$Q$1))</f>
        <v>SGP-Monthly (RM)</v>
      </c>
      <c r="C2786" s="48" t="s">
        <v>8966</v>
      </c>
    </row>
    <row r="2787" spans="1:3">
      <c r="A2787" s="48" t="s">
        <v>5290</v>
      </c>
      <c r="B2787" t="str">
        <f ca="1">IF(ISBLANK(OFFSET(B2787,0,'Field labels'!$Q$1)),C2787,OFFSET(B2787,0,'Field labels'!$Q$1))</f>
        <v>THA-Bi-Weekly (93)</v>
      </c>
      <c r="C2787" s="48" t="s">
        <v>5298</v>
      </c>
    </row>
    <row r="2788" spans="1:3">
      <c r="A2788" s="48" t="s">
        <v>5290</v>
      </c>
      <c r="B2788" t="str">
        <f ca="1">IF(ISBLANK(OFFSET(B2788,0,'Field labels'!$Q$1)),C2788,OFFSET(B2788,0,'Field labels'!$Q$1))</f>
        <v>THA-Monthly (9M)</v>
      </c>
      <c r="C2788" s="48" t="s">
        <v>5299</v>
      </c>
    </row>
    <row r="2789" spans="1:3">
      <c r="A2789" s="48" t="s">
        <v>8983</v>
      </c>
      <c r="B2789" t="str">
        <f ca="1">IF(ISBLANK(OFFSET(B2789,0,'Field labels'!$Q$1)),C2789,OFFSET(B2789,0,'Field labels'!$Q$1))</f>
        <v>VEN-Agribrands Purina Empleado (VEN-AGX-EMP)</v>
      </c>
      <c r="C2789" s="48" t="s">
        <v>8967</v>
      </c>
    </row>
    <row r="2790" spans="1:3">
      <c r="A2790" s="48" t="s">
        <v>8983</v>
      </c>
      <c r="B2790" t="str">
        <f ca="1">IF(ISBLANK(OFFSET(B2790,0,'Field labels'!$Q$1)),C2790,OFFSET(B2790,0,'Field labels'!$Q$1))</f>
        <v>VEN-Agribrands Purina Operador (VEN-AGX-OPE)</v>
      </c>
      <c r="C2790" s="48" t="s">
        <v>8968</v>
      </c>
    </row>
    <row r="2791" spans="1:3">
      <c r="A2791" s="48" t="s">
        <v>8983</v>
      </c>
      <c r="B2791" t="str">
        <f ca="1">IF(ISBLANK(OFFSET(B2791,0,'Field labels'!$Q$1)),C2791,OFFSET(B2791,0,'Field labels'!$Q$1))</f>
        <v>VEN-Cargill de Venezuela Empleado (CDV-EMP)</v>
      </c>
      <c r="C2791" s="48" t="s">
        <v>8969</v>
      </c>
    </row>
    <row r="2792" spans="1:3">
      <c r="A2792" s="48" t="s">
        <v>8983</v>
      </c>
      <c r="B2792" t="str">
        <f ca="1">IF(ISBLANK(OFFSET(B2792,0,'Field labels'!$Q$1)),C2792,OFFSET(B2792,0,'Field labels'!$Q$1))</f>
        <v>VEN-Cargill de Venezuela Operador (CDV-OPE)</v>
      </c>
      <c r="C2792" s="48" t="s">
        <v>8970</v>
      </c>
    </row>
    <row r="2793" spans="1:3">
      <c r="A2793" s="48" t="s">
        <v>8983</v>
      </c>
      <c r="B2793" t="str">
        <f ca="1">IF(ISBLANK(OFFSET(B2793,0,'Field labels'!$Q$1)),C2793,OFFSET(B2793,0,'Field labels'!$Q$1))</f>
        <v>VEN-Productora de Sal Empleado (PDS- EMP)</v>
      </c>
      <c r="C2793" s="48" t="s">
        <v>8971</v>
      </c>
    </row>
    <row r="2794" spans="1:3">
      <c r="A2794" s="48" t="s">
        <v>5291</v>
      </c>
      <c r="B2794" t="str">
        <f ca="1">IF(ISBLANK(OFFSET(B2794,0,'Field labels'!$Q$1)),C2794,OFFSET(B2794,0,'Field labels'!$Q$1))</f>
        <v>VNM-Monthly (;M)</v>
      </c>
      <c r="C2794" s="48" t="s">
        <v>5300</v>
      </c>
    </row>
    <row r="2795" spans="1:3">
      <c r="A2795" t="s">
        <v>2301</v>
      </c>
      <c r="B2795" t="str">
        <f ca="1">IF(ISBLANK(OFFSET(B2795,0,'Field labels'!$Q$1)),C2795,OFFSET(B2795,0,'Field labels'!$Q$1))</f>
        <v>[21000153]</v>
      </c>
      <c r="C2795" t="s">
        <v>3327</v>
      </c>
    </row>
    <row r="2796" spans="1:3">
      <c r="A2796" t="s">
        <v>2301</v>
      </c>
      <c r="B2796" t="str">
        <f ca="1">IF(ISBLANK(OFFSET(B2796,0,'Field labels'!$Q$1)),C2796,OFFSET(B2796,0,'Field labels'!$Q$1))</f>
        <v>Adminisztrátor [21000001]</v>
      </c>
      <c r="C2796" t="s">
        <v>2080</v>
      </c>
    </row>
    <row r="2797" spans="1:3">
      <c r="A2797" t="s">
        <v>2301</v>
      </c>
      <c r="B2797" t="str">
        <f ca="1">IF(ISBLANK(OFFSET(B2797,0,'Field labels'!$Q$1)),C2797,OFFSET(B2797,0,'Field labels'!$Q$1))</f>
        <v>Adóügyi munkatárs [21000185]</v>
      </c>
      <c r="C2797" t="s">
        <v>2263</v>
      </c>
    </row>
    <row r="2798" spans="1:3">
      <c r="A2798" t="s">
        <v>2301</v>
      </c>
      <c r="B2798" t="str">
        <f ca="1">IF(ISBLANK(OFFSET(B2798,0,'Field labels'!$Q$1)),C2798,OFFSET(B2798,0,'Field labels'!$Q$1))</f>
        <v>Alapanyag gazdálkodó [21000002]</v>
      </c>
      <c r="C2798" t="s">
        <v>2081</v>
      </c>
    </row>
    <row r="2799" spans="1:3">
      <c r="A2799" t="s">
        <v>2301</v>
      </c>
      <c r="B2799" t="str">
        <f ca="1">IF(ISBLANK(OFFSET(B2799,0,'Field labels'!$Q$1)),C2799,OFFSET(B2799,0,'Field labels'!$Q$1))</f>
        <v>Alapanyaggazd.menedzser [21000003]</v>
      </c>
      <c r="C2799" t="s">
        <v>2082</v>
      </c>
    </row>
    <row r="2800" spans="1:3">
      <c r="A2800" t="s">
        <v>2301</v>
      </c>
      <c r="B2800" t="str">
        <f ca="1">IF(ISBLANK(OFFSET(B2800,0,'Field labels'!$Q$1)),C2800,OFFSET(B2800,0,'Field labels'!$Q$1))</f>
        <v>Ált. irodai ügyint.[21000201]</v>
      </c>
      <c r="C2800" t="s">
        <v>2279</v>
      </c>
    </row>
    <row r="2801" spans="1:3">
      <c r="A2801" t="s">
        <v>2301</v>
      </c>
      <c r="B2801" t="str">
        <f ca="1">IF(ISBLANK(OFFSET(B2801,0,'Field labels'!$Q$1)),C2801,OFFSET(B2801,0,'Field labels'!$Q$1))</f>
        <v>Analitikus [21000004]</v>
      </c>
      <c r="C2801" t="s">
        <v>2083</v>
      </c>
    </row>
    <row r="2802" spans="1:3">
      <c r="A2802" t="s">
        <v>2301</v>
      </c>
      <c r="B2802" t="str">
        <f ca="1">IF(ISBLANK(OFFSET(B2802,0,'Field labels'!$Q$1)),C2802,OFFSET(B2802,0,'Field labels'!$Q$1))</f>
        <v>Analitikus. laborvezető h [21000005]</v>
      </c>
      <c r="C2802" t="s">
        <v>2084</v>
      </c>
    </row>
    <row r="2803" spans="1:3">
      <c r="A2803" t="s">
        <v>2301</v>
      </c>
      <c r="B2803" t="str">
        <f ca="1">IF(ISBLANK(OFFSET(B2803,0,'Field labels'!$Q$1)),C2803,OFFSET(B2803,0,'Field labels'!$Q$1))</f>
        <v>Anyaggazdálkodó - logiszt [21000007]</v>
      </c>
      <c r="C2803" t="s">
        <v>2086</v>
      </c>
    </row>
    <row r="2804" spans="1:3">
      <c r="A2804" t="s">
        <v>2301</v>
      </c>
      <c r="B2804" t="str">
        <f ca="1">IF(ISBLANK(OFFSET(B2804,0,'Field labels'!$Q$1)),C2804,OFFSET(B2804,0,'Field labels'!$Q$1))</f>
        <v>Anyaggazdálkodó [21000006]</v>
      </c>
      <c r="C2804" t="s">
        <v>2085</v>
      </c>
    </row>
    <row r="2805" spans="1:3">
      <c r="A2805" t="s">
        <v>2301</v>
      </c>
      <c r="B2805" t="str">
        <f ca="1">IF(ISBLANK(OFFSET(B2805,0,'Field labels'!$Q$1)),C2805,OFFSET(B2805,0,'Field labels'!$Q$1))</f>
        <v>Árazási specialista [21000008]</v>
      </c>
      <c r="C2805" t="s">
        <v>2087</v>
      </c>
    </row>
    <row r="2806" spans="1:3">
      <c r="A2806" t="s">
        <v>2301</v>
      </c>
      <c r="B2806" t="str">
        <f ca="1">IF(ISBLANK(OFFSET(B2806,0,'Field labels'!$Q$1)),C2806,OFFSET(B2806,0,'Field labels'!$Q$1))</f>
        <v>Árazási vezető [21000009]</v>
      </c>
      <c r="C2806" t="s">
        <v>2088</v>
      </c>
    </row>
    <row r="2807" spans="1:3">
      <c r="A2807" t="s">
        <v>2301</v>
      </c>
      <c r="B2807" t="str">
        <f ca="1">IF(ISBLANK(OFFSET(B2807,0,'Field labels'!$Q$1)),C2807,OFFSET(B2807,0,'Field labels'!$Q$1))</f>
        <v>Asszisztens Kontroller [21000219]</v>
      </c>
      <c r="C2807" t="s">
        <v>2297</v>
      </c>
    </row>
    <row r="2808" spans="1:3">
      <c r="A2808" t="s">
        <v>2301</v>
      </c>
      <c r="B2808" t="str">
        <f ca="1">IF(ISBLANK(OFFSET(B2808,0,'Field labels'!$Q$1)),C2808,OFFSET(B2808,0,'Field labels'!$Q$1))</f>
        <v>Barom. és nyúl ág. Igazg.[21000209]</v>
      </c>
      <c r="C2808" t="s">
        <v>2287</v>
      </c>
    </row>
    <row r="2809" spans="1:3">
      <c r="A2809" t="s">
        <v>2301</v>
      </c>
      <c r="B2809" t="str">
        <f ca="1">IF(ISBLANK(OFFSET(B2809,0,'Field labels'!$Q$1)),C2809,OFFSET(B2809,0,'Field labels'!$Q$1))</f>
        <v>Belső auditor és adó konz [21000010]</v>
      </c>
      <c r="C2809" t="s">
        <v>2089</v>
      </c>
    </row>
    <row r="2810" spans="1:3">
      <c r="A2810" t="s">
        <v>2301</v>
      </c>
      <c r="B2810" t="str">
        <f ca="1">IF(ISBLANK(OFFSET(B2810,0,'Field labels'!$Q$1)),C2810,OFFSET(B2810,0,'Field labels'!$Q$1))</f>
        <v>Belső-ellenőr [21000011]</v>
      </c>
      <c r="C2810" t="s">
        <v>2090</v>
      </c>
    </row>
    <row r="2811" spans="1:3">
      <c r="A2811" t="s">
        <v>2301</v>
      </c>
      <c r="B2811" t="str">
        <f ca="1">IF(ISBLANK(OFFSET(B2811,0,'Field labels'!$Q$1)),C2811,OFFSET(B2811,0,'Field labels'!$Q$1))</f>
        <v>Beruházási ea. [21000012]</v>
      </c>
      <c r="C2811" t="s">
        <v>2091</v>
      </c>
    </row>
    <row r="2812" spans="1:3">
      <c r="A2812" t="s">
        <v>2301</v>
      </c>
      <c r="B2812" t="str">
        <f ca="1">IF(ISBLANK(OFFSET(B2812,0,'Field labels'!$Q$1)),C2812,OFFSET(B2812,0,'Field labels'!$Q$1))</f>
        <v>Beszerzési igazgató [21000013]</v>
      </c>
      <c r="C2812" t="s">
        <v>2092</v>
      </c>
    </row>
    <row r="2813" spans="1:3">
      <c r="A2813" t="s">
        <v>2301</v>
      </c>
      <c r="B2813" t="str">
        <f ca="1">IF(ISBLANK(OFFSET(B2813,0,'Field labels'!$Q$1)),C2813,OFFSET(B2813,0,'Field labels'!$Q$1))</f>
        <v>Beszerzési ügyintéző [21000014]</v>
      </c>
      <c r="C2813" t="s">
        <v>2093</v>
      </c>
    </row>
    <row r="2814" spans="1:3">
      <c r="A2814" t="s">
        <v>2301</v>
      </c>
      <c r="B2814" t="str">
        <f ca="1">IF(ISBLANK(OFFSET(B2814,0,'Field labels'!$Q$1)),C2814,OFFSET(B2814,0,'Field labels'!$Q$1))</f>
        <v>Bony. Támogat. Csop.vez. [21000202]</v>
      </c>
      <c r="C2814" t="s">
        <v>2280</v>
      </c>
    </row>
    <row r="2815" spans="1:3">
      <c r="A2815" t="s">
        <v>2301</v>
      </c>
      <c r="B2815" t="str">
        <f ca="1">IF(ISBLANK(OFFSET(B2815,0,'Field labels'!$Q$1)),C2815,OFFSET(B2815,0,'Field labels'!$Q$1))</f>
        <v>Bony. támogatás specialis [21000015]</v>
      </c>
      <c r="C2815" t="s">
        <v>2094</v>
      </c>
    </row>
    <row r="2816" spans="1:3">
      <c r="A2816" t="s">
        <v>2301</v>
      </c>
      <c r="B2816" t="str">
        <f ca="1">IF(ISBLANK(OFFSET(B2816,0,'Field labels'!$Q$1)),C2816,OFFSET(B2816,0,'Field labels'!$Q$1))</f>
        <v>Bony.támogatás csop.vez.h [21000016]</v>
      </c>
      <c r="C2816" t="s">
        <v>2095</v>
      </c>
    </row>
    <row r="2817" spans="1:3">
      <c r="A2817" t="s">
        <v>2301</v>
      </c>
      <c r="B2817" t="str">
        <f ca="1">IF(ISBLANK(OFFSET(B2817,0,'Field labels'!$Q$1)),C2817,OFFSET(B2817,0,'Field labels'!$Q$1))</f>
        <v>Bonyolítási asszisztens [21000017]</v>
      </c>
      <c r="C2817" t="s">
        <v>2096</v>
      </c>
    </row>
    <row r="2818" spans="1:3">
      <c r="A2818" t="s">
        <v>2301</v>
      </c>
      <c r="B2818" t="str">
        <f ca="1">IF(ISBLANK(OFFSET(B2818,0,'Field labels'!$Q$1)),C2818,OFFSET(B2818,0,'Field labels'!$Q$1))</f>
        <v>Bonyolítási csop.vez.hely [21000018]</v>
      </c>
      <c r="C2818" t="s">
        <v>2097</v>
      </c>
    </row>
    <row r="2819" spans="1:3">
      <c r="A2819" t="s">
        <v>2301</v>
      </c>
      <c r="B2819" t="str">
        <f ca="1">IF(ISBLANK(OFFSET(B2819,0,'Field labels'!$Q$1)),C2819,OFFSET(B2819,0,'Field labels'!$Q$1))</f>
        <v>Bonyolítási csopvez. [21000019]</v>
      </c>
      <c r="C2819" t="s">
        <v>2098</v>
      </c>
    </row>
    <row r="2820" spans="1:3">
      <c r="A2820" t="s">
        <v>2301</v>
      </c>
      <c r="B2820" t="str">
        <f ca="1">IF(ISBLANK(OFFSET(B2820,0,'Field labels'!$Q$1)),C2820,OFFSET(B2820,0,'Field labels'!$Q$1))</f>
        <v>Bonyolítási specialista [21000020]</v>
      </c>
      <c r="C2820" t="s">
        <v>2099</v>
      </c>
    </row>
    <row r="2821" spans="1:3">
      <c r="A2821" t="s">
        <v>2301</v>
      </c>
      <c r="B2821" t="str">
        <f ca="1">IF(ISBLANK(OFFSET(B2821,0,'Field labels'!$Q$1)),C2821,OFFSET(B2821,0,'Field labels'!$Q$1))</f>
        <v>Bonyolító [21000021]</v>
      </c>
      <c r="C2821" t="s">
        <v>2100</v>
      </c>
    </row>
    <row r="2822" spans="1:3">
      <c r="A2822" t="s">
        <v>2301</v>
      </c>
      <c r="B2822" t="str">
        <f ca="1">IF(ISBLANK(OFFSET(B2822,0,'Field labels'!$Q$1)),C2822,OFFSET(B2822,0,'Field labels'!$Q$1))</f>
        <v>Cargill Feed Nutrition Or [21000022]</v>
      </c>
      <c r="C2822" t="s">
        <v>2101</v>
      </c>
    </row>
    <row r="2823" spans="1:3">
      <c r="A2823" t="s">
        <v>2301</v>
      </c>
      <c r="B2823" t="str">
        <f ca="1">IF(ISBLANK(OFFSET(B2823,0,'Field labels'!$Q$1)),C2823,OFFSET(B2823,0,'Field labels'!$Q$1))</f>
        <v>Credit asszisztens [21000023]</v>
      </c>
      <c r="C2823" t="s">
        <v>2102</v>
      </c>
    </row>
    <row r="2824" spans="1:3">
      <c r="A2824" t="s">
        <v>2301</v>
      </c>
      <c r="B2824" t="str">
        <f ca="1">IF(ISBLANK(OFFSET(B2824,0,'Field labels'!$Q$1)),C2824,OFFSET(B2824,0,'Field labels'!$Q$1))</f>
        <v>Credit Manager [21000024]</v>
      </c>
      <c r="C2824" t="s">
        <v>2103</v>
      </c>
    </row>
    <row r="2825" spans="1:3">
      <c r="A2825" t="s">
        <v>2301</v>
      </c>
      <c r="B2825" t="str">
        <f ca="1">IF(ISBLANK(OFFSET(B2825,0,'Field labels'!$Q$1)),C2825,OFFSET(B2825,0,'Field labels'!$Q$1))</f>
        <v>Dél-D.Régió üzemelési vez [21000025]</v>
      </c>
      <c r="C2825" t="s">
        <v>2104</v>
      </c>
    </row>
    <row r="2826" spans="1:3">
      <c r="A2826" t="s">
        <v>2301</v>
      </c>
      <c r="B2826" t="str">
        <f ca="1">IF(ISBLANK(OFFSET(B2826,0,'Field labels'!$Q$1)),C2826,OFFSET(B2826,0,'Field labels'!$Q$1))</f>
        <v>Délkelet-európai Kockázat [21000026]</v>
      </c>
      <c r="C2826" t="s">
        <v>2105</v>
      </c>
    </row>
    <row r="2827" spans="1:3">
      <c r="A2827" t="s">
        <v>2301</v>
      </c>
      <c r="B2827" t="str">
        <f ca="1">IF(ISBLANK(OFFSET(B2827,0,'Field labels'!$Q$1)),C2827,OFFSET(B2827,0,'Field labels'!$Q$1))</f>
        <v>Délkelet-európai Termelés [21000027]</v>
      </c>
      <c r="C2827" t="s">
        <v>2106</v>
      </c>
    </row>
    <row r="2828" spans="1:3">
      <c r="A2828" t="s">
        <v>2301</v>
      </c>
      <c r="B2828" t="str">
        <f ca="1">IF(ISBLANK(OFFSET(B2828,0,'Field labels'!$Q$1)),C2828,OFFSET(B2828,0,'Field labels'!$Q$1))</f>
        <v>EHS koordinátor [21000028]</v>
      </c>
      <c r="C2828" t="s">
        <v>2107</v>
      </c>
    </row>
    <row r="2829" spans="1:3">
      <c r="A2829" t="s">
        <v>2301</v>
      </c>
      <c r="B2829" t="str">
        <f ca="1">IF(ISBLANK(OFFSET(B2829,0,'Field labels'!$Q$1)),C2829,OFFSET(B2829,0,'Field labels'!$Q$1))</f>
        <v>Elnök vezérigazgató [21000029]</v>
      </c>
      <c r="C2829" t="s">
        <v>2108</v>
      </c>
    </row>
    <row r="2830" spans="1:3">
      <c r="A2830" t="s">
        <v>2301</v>
      </c>
      <c r="B2830" t="str">
        <f ca="1">IF(ISBLANK(OFFSET(B2830,0,'Field labels'!$Q$1)),C2830,OFFSET(B2830,0,'Field labels'!$Q$1))</f>
        <v>Energetikus-körny.véd ea- [21000030]</v>
      </c>
      <c r="C2830" t="s">
        <v>2109</v>
      </c>
    </row>
    <row r="2831" spans="1:3">
      <c r="A2831" t="s">
        <v>2301</v>
      </c>
      <c r="B2831" t="str">
        <f ca="1">IF(ISBLANK(OFFSET(B2831,0,'Field labels'!$Q$1)),C2831,OFFSET(B2831,0,'Field labels'!$Q$1))</f>
        <v>Értékesítési asszisztens [21000031]</v>
      </c>
      <c r="C2831" t="s">
        <v>2110</v>
      </c>
    </row>
    <row r="2832" spans="1:3">
      <c r="A2832" t="s">
        <v>2301</v>
      </c>
      <c r="B2832" t="str">
        <f ca="1">IF(ISBLANK(OFFSET(B2832,0,'Field labels'!$Q$1)),C2832,OFFSET(B2832,0,'Field labels'!$Q$1))</f>
        <v>Értékesítési igazgató [21000032]</v>
      </c>
      <c r="C2832" t="s">
        <v>2111</v>
      </c>
    </row>
    <row r="2833" spans="1:3">
      <c r="A2833" t="s">
        <v>2301</v>
      </c>
      <c r="B2833" t="str">
        <f ca="1">IF(ISBLANK(OFFSET(B2833,0,'Field labels'!$Q$1)),C2833,OFFSET(B2833,0,'Field labels'!$Q$1))</f>
        <v>Értékesítési képviselő [21000033]</v>
      </c>
      <c r="C2833" t="s">
        <v>2112</v>
      </c>
    </row>
    <row r="2834" spans="1:3">
      <c r="A2834" t="s">
        <v>2301</v>
      </c>
      <c r="B2834" t="str">
        <f ca="1">IF(ISBLANK(OFFSET(B2834,0,'Field labels'!$Q$1)),C2834,OFFSET(B2834,0,'Field labels'!$Q$1))</f>
        <v>Értékesítési specialista [21000034]</v>
      </c>
      <c r="C2834" t="s">
        <v>2113</v>
      </c>
    </row>
    <row r="2835" spans="1:3">
      <c r="A2835" t="s">
        <v>2301</v>
      </c>
      <c r="B2835" t="str">
        <f ca="1">IF(ISBLANK(OFFSET(B2835,0,'Field labels'!$Q$1)),C2835,OFFSET(B2835,0,'Field labels'!$Q$1))</f>
        <v>Főkönyvelő [21000037]</v>
      </c>
      <c r="C2835" t="s">
        <v>2116</v>
      </c>
    </row>
    <row r="2836" spans="1:3">
      <c r="A2836" t="s">
        <v>2301</v>
      </c>
      <c r="B2836" t="str">
        <f ca="1">IF(ISBLANK(OFFSET(B2836,0,'Field labels'!$Q$1)),C2836,OFFSET(B2836,0,'Field labels'!$Q$1))</f>
        <v>Főkönyvelő helyettes [21000038]</v>
      </c>
      <c r="C2836" t="s">
        <v>2117</v>
      </c>
    </row>
    <row r="2837" spans="1:3">
      <c r="A2837" t="s">
        <v>2301</v>
      </c>
      <c r="B2837" t="str">
        <f ca="1">IF(ISBLANK(OFFSET(B2837,0,'Field labels'!$Q$1)),C2837,OFFSET(B2837,0,'Field labels'!$Q$1))</f>
        <v>Főkönyvelő helyettes [21000198]</v>
      </c>
      <c r="C2837" t="s">
        <v>2276</v>
      </c>
    </row>
    <row r="2838" spans="1:3">
      <c r="A2838" t="s">
        <v>2301</v>
      </c>
      <c r="B2838" t="str">
        <f ca="1">IF(ISBLANK(OFFSET(B2838,0,'Field labels'!$Q$1)),C2838,OFFSET(B2838,0,'Field labels'!$Q$1))</f>
        <v>Foly.fejl. fel. vezető [21000218]</v>
      </c>
      <c r="C2838" t="s">
        <v>2296</v>
      </c>
    </row>
    <row r="2839" spans="1:3">
      <c r="A2839" t="s">
        <v>2301</v>
      </c>
      <c r="B2839" t="str">
        <f ca="1">IF(ISBLANK(OFFSET(B2839,0,'Field labels'!$Q$1)),C2839,OFFSET(B2839,0,'Field labels'!$Q$1))</f>
        <v>Formulázási csoportvezető [21000035]</v>
      </c>
      <c r="C2839" t="s">
        <v>2114</v>
      </c>
    </row>
    <row r="2840" spans="1:3">
      <c r="A2840" t="s">
        <v>2301</v>
      </c>
      <c r="B2840" t="str">
        <f ca="1">IF(ISBLANK(OFFSET(B2840,0,'Field labels'!$Q$1)),C2840,OFFSET(B2840,0,'Field labels'!$Q$1))</f>
        <v>Formulázó [21000036]</v>
      </c>
      <c r="C2840" t="s">
        <v>2115</v>
      </c>
    </row>
    <row r="2841" spans="1:3">
      <c r="A2841" t="s">
        <v>2301</v>
      </c>
      <c r="B2841" t="str">
        <f ca="1">IF(ISBLANK(OFFSET(B2841,0,'Field labels'!$Q$1)),C2841,OFFSET(B2841,0,'Field labels'!$Q$1))</f>
        <v>Gazdasági vezérigazgató h [21000039]</v>
      </c>
      <c r="C2841" t="s">
        <v>2118</v>
      </c>
    </row>
    <row r="2842" spans="1:3">
      <c r="A2842" t="s">
        <v>2301</v>
      </c>
      <c r="B2842" t="str">
        <f ca="1">IF(ISBLANK(OFFSET(B2842,0,'Field labels'!$Q$1)),C2842,OFFSET(B2842,0,'Field labels'!$Q$1))</f>
        <v>Gépészmérnök [21000183]</v>
      </c>
      <c r="C2842" t="s">
        <v>2261</v>
      </c>
    </row>
    <row r="2843" spans="1:3">
      <c r="A2843" t="s">
        <v>2301</v>
      </c>
      <c r="B2843" t="str">
        <f ca="1">IF(ISBLANK(OFFSET(B2843,0,'Field labels'!$Q$1)),C2843,OFFSET(B2843,0,'Field labels'!$Q$1))</f>
        <v>Gépkezelő [21000040]</v>
      </c>
      <c r="C2843" t="s">
        <v>2119</v>
      </c>
    </row>
    <row r="2844" spans="1:3">
      <c r="A2844" t="s">
        <v>2301</v>
      </c>
      <c r="B2844" t="str">
        <f ca="1">IF(ISBLANK(OFFSET(B2844,0,'Field labels'!$Q$1)),C2844,OFFSET(B2844,0,'Field labels'!$Q$1))</f>
        <v>Gépkocsivezető [21000041]</v>
      </c>
      <c r="C2844" t="s">
        <v>2120</v>
      </c>
    </row>
    <row r="2845" spans="1:3">
      <c r="A2845" t="s">
        <v>2301</v>
      </c>
      <c r="B2845" t="str">
        <f ca="1">IF(ISBLANK(OFFSET(B2845,0,'Field labels'!$Q$1)),C2845,OFFSET(B2845,0,'Field labels'!$Q$1))</f>
        <v>Gondnoksági assziszt [21000042]</v>
      </c>
      <c r="C2845" t="s">
        <v>2121</v>
      </c>
    </row>
    <row r="2846" spans="1:3">
      <c r="A2846" t="s">
        <v>2301</v>
      </c>
      <c r="B2846" t="str">
        <f ca="1">IF(ISBLANK(OFFSET(B2846,0,'Field labels'!$Q$1)),C2846,OFFSET(B2846,0,'Field labels'!$Q$1))</f>
        <v>Gyakornok [21000197]</v>
      </c>
      <c r="C2846" t="s">
        <v>2275</v>
      </c>
    </row>
    <row r="2847" spans="1:3">
      <c r="A2847" t="s">
        <v>2301</v>
      </c>
      <c r="B2847" t="str">
        <f ca="1">IF(ISBLANK(OFFSET(B2847,0,'Field labels'!$Q$1)),C2847,OFFSET(B2847,0,'Field labels'!$Q$1))</f>
        <v>HR Gener.&amp;Pénz. Munkatárs [21000221]</v>
      </c>
      <c r="C2847" t="s">
        <v>2299</v>
      </c>
    </row>
    <row r="2848" spans="1:3">
      <c r="A2848" t="s">
        <v>2301</v>
      </c>
      <c r="B2848" t="str">
        <f ca="1">IF(ISBLANK(OFFSET(B2848,0,'Field labels'!$Q$1)),C2848,OFFSET(B2848,0,'Field labels'!$Q$1))</f>
        <v>HR Generalista [21000194]</v>
      </c>
      <c r="C2848" t="s">
        <v>2272</v>
      </c>
    </row>
    <row r="2849" spans="1:3">
      <c r="A2849" t="s">
        <v>2301</v>
      </c>
      <c r="B2849" t="str">
        <f ca="1">IF(ISBLANK(OFFSET(B2849,0,'Field labels'!$Q$1)),C2849,OFFSET(B2849,0,'Field labels'!$Q$1))</f>
        <v>HR Manager [21000043]</v>
      </c>
      <c r="C2849" t="s">
        <v>2122</v>
      </c>
    </row>
    <row r="2850" spans="1:3">
      <c r="A2850" t="s">
        <v>2301</v>
      </c>
      <c r="B2850" t="str">
        <f ca="1">IF(ISBLANK(OFFSET(B2850,0,'Field labels'!$Q$1)),C2850,OFFSET(B2850,0,'Field labels'!$Q$1))</f>
        <v>Id.-nyelvű levelező [21000044]</v>
      </c>
      <c r="C2850" t="s">
        <v>2123</v>
      </c>
    </row>
    <row r="2851" spans="1:3">
      <c r="A2851" t="s">
        <v>2301</v>
      </c>
      <c r="B2851" t="str">
        <f ca="1">IF(ISBLANK(OFFSET(B2851,0,'Field labels'!$Q$1)),C2851,OFFSET(B2851,0,'Field labels'!$Q$1))</f>
        <v>Infrastr. Működ. Szuperv. [21000220]</v>
      </c>
      <c r="C2851" t="s">
        <v>2298</v>
      </c>
    </row>
    <row r="2852" spans="1:3">
      <c r="A2852" t="s">
        <v>2301</v>
      </c>
      <c r="B2852" t="str">
        <f ca="1">IF(ISBLANK(OFFSET(B2852,0,'Field labels'!$Q$1)),C2852,OFFSET(B2852,0,'Field labels'!$Q$1))</f>
        <v>Input adminisztrátor-mérl [21000045]</v>
      </c>
      <c r="C2852" t="s">
        <v>2124</v>
      </c>
    </row>
    <row r="2853" spans="1:3">
      <c r="A2853" t="s">
        <v>2301</v>
      </c>
      <c r="B2853" t="str">
        <f ca="1">IF(ISBLANK(OFFSET(B2853,0,'Field labels'!$Q$1)),C2853,OFFSET(B2853,0,'Field labels'!$Q$1))</f>
        <v>Input bonyolítás csop.vez [21000046]</v>
      </c>
      <c r="C2853" t="s">
        <v>2125</v>
      </c>
    </row>
    <row r="2854" spans="1:3">
      <c r="A2854" t="s">
        <v>2301</v>
      </c>
      <c r="B2854" t="str">
        <f ca="1">IF(ISBLANK(OFFSET(B2854,0,'Field labels'!$Q$1)),C2854,OFFSET(B2854,0,'Field labels'!$Q$1))</f>
        <v>Input Igazgató [21000047]</v>
      </c>
      <c r="C2854" t="s">
        <v>2126</v>
      </c>
    </row>
    <row r="2855" spans="1:3">
      <c r="A2855" t="s">
        <v>2301</v>
      </c>
      <c r="B2855" t="str">
        <f ca="1">IF(ISBLANK(OFFSET(B2855,0,'Field labels'!$Q$1)),C2855,OFFSET(B2855,0,'Field labels'!$Q$1))</f>
        <v>Input ker. vezérig.-hely. [21000200]</v>
      </c>
      <c r="C2855" t="s">
        <v>2278</v>
      </c>
    </row>
    <row r="2856" spans="1:3">
      <c r="A2856" t="s">
        <v>2301</v>
      </c>
      <c r="B2856" t="str">
        <f ca="1">IF(ISBLANK(OFFSET(B2856,0,'Field labels'!$Q$1)),C2856,OFFSET(B2856,0,'Field labels'!$Q$1))</f>
        <v>Input raktáros [21000048]</v>
      </c>
      <c r="C2856" t="s">
        <v>2127</v>
      </c>
    </row>
    <row r="2857" spans="1:3">
      <c r="A2857" t="s">
        <v>2301</v>
      </c>
      <c r="B2857" t="str">
        <f ca="1">IF(ISBLANK(OFFSET(B2857,0,'Field labels'!$Q$1)),C2857,OFFSET(B2857,0,'Field labels'!$Q$1))</f>
        <v>Irodai asszisztens [21000049]</v>
      </c>
      <c r="C2857" t="s">
        <v>2128</v>
      </c>
    </row>
    <row r="2858" spans="1:3">
      <c r="A2858" t="s">
        <v>2301</v>
      </c>
      <c r="B2858" t="str">
        <f ca="1">IF(ISBLANK(OFFSET(B2858,0,'Field labels'!$Q$1)),C2858,OFFSET(B2858,0,'Field labels'!$Q$1))</f>
        <v>IT menedzser MIS [21000050]</v>
      </c>
      <c r="C2858" t="s">
        <v>2129</v>
      </c>
    </row>
    <row r="2859" spans="1:3">
      <c r="A2859" t="s">
        <v>2301</v>
      </c>
      <c r="B2859" t="str">
        <f ca="1">IF(ISBLANK(OFFSET(B2859,0,'Field labels'!$Q$1)),C2859,OFFSET(B2859,0,'Field labels'!$Q$1))</f>
        <v>IT specialista [21000051]</v>
      </c>
      <c r="C2859" t="s">
        <v>2130</v>
      </c>
    </row>
    <row r="2860" spans="1:3">
      <c r="A2860" t="s">
        <v>2301</v>
      </c>
      <c r="B2860" t="str">
        <f ca="1">IF(ISBLANK(OFFSET(B2860,0,'Field labels'!$Q$1)),C2860,OFFSET(B2860,0,'Field labels'!$Q$1))</f>
        <v>IT support [21000052]</v>
      </c>
      <c r="C2860" t="s">
        <v>2131</v>
      </c>
    </row>
    <row r="2861" spans="1:3">
      <c r="A2861" t="s">
        <v>2301</v>
      </c>
      <c r="B2861" t="str">
        <f ca="1">IF(ISBLANK(OFFSET(B2861,0,'Field labels'!$Q$1)),C2861,OFFSET(B2861,0,'Field labels'!$Q$1))</f>
        <v>ITSB csoportvezető [21000212]</v>
      </c>
      <c r="C2861" t="s">
        <v>2290</v>
      </c>
    </row>
    <row r="2862" spans="1:3">
      <c r="A2862" t="s">
        <v>2301</v>
      </c>
      <c r="B2862" t="str">
        <f ca="1">IF(ISBLANK(OFFSET(B2862,0,'Field labels'!$Q$1)),C2862,OFFSET(B2862,0,'Field labels'!$Q$1))</f>
        <v>Junior dealer Manager [21000053]</v>
      </c>
      <c r="C2862" t="s">
        <v>2132</v>
      </c>
    </row>
    <row r="2863" spans="1:3">
      <c r="A2863" t="s">
        <v>2301</v>
      </c>
      <c r="B2863" t="str">
        <f ca="1">IF(ISBLANK(OFFSET(B2863,0,'Field labels'!$Q$1)),C2863,OFFSET(B2863,0,'Field labels'!$Q$1))</f>
        <v>Junior készletgazdálkodó [21000054]</v>
      </c>
      <c r="C2863" t="s">
        <v>2133</v>
      </c>
    </row>
    <row r="2864" spans="1:3">
      <c r="A2864" t="s">
        <v>2301</v>
      </c>
      <c r="B2864" t="str">
        <f ca="1">IF(ISBLANK(OFFSET(B2864,0,'Field labels'!$Q$1)),C2864,OFFSET(B2864,0,'Field labels'!$Q$1))</f>
        <v>Junior pénzügyi elemző [21000055]</v>
      </c>
      <c r="C2864" t="s">
        <v>2134</v>
      </c>
    </row>
    <row r="2865" spans="1:3">
      <c r="A2865" t="s">
        <v>2301</v>
      </c>
      <c r="B2865" t="str">
        <f ca="1">IF(ISBLANK(OFFSET(B2865,0,'Field labels'!$Q$1)),C2865,OFFSET(B2865,0,'Field labels'!$Q$1))</f>
        <v>Junior pénzügyi munkatárs [21000056]</v>
      </c>
      <c r="C2865" t="s">
        <v>2135</v>
      </c>
    </row>
    <row r="2866" spans="1:3">
      <c r="A2866" t="s">
        <v>2301</v>
      </c>
      <c r="B2866" t="str">
        <f ca="1">IF(ISBLANK(OFFSET(B2866,0,'Field labels'!$Q$1)),C2866,OFFSET(B2866,0,'Field labels'!$Q$1))</f>
        <v>Junior Toborzási Spec. [21000191]</v>
      </c>
      <c r="C2866" t="s">
        <v>2269</v>
      </c>
    </row>
    <row r="2867" spans="1:3">
      <c r="A2867" t="s">
        <v>2301</v>
      </c>
      <c r="B2867" t="str">
        <f ca="1">IF(ISBLANK(OFFSET(B2867,0,'Field labels'!$Q$1)),C2867,OFFSET(B2867,0,'Field labels'!$Q$1))</f>
        <v>Junior trader [21000184]</v>
      </c>
      <c r="C2867" t="s">
        <v>2262</v>
      </c>
    </row>
    <row r="2868" spans="1:3">
      <c r="A2868" t="s">
        <v>2301</v>
      </c>
      <c r="B2868" t="str">
        <f ca="1">IF(ISBLANK(OFFSET(B2868,0,'Field labels'!$Q$1)),C2868,OFFSET(B2868,0,'Field labels'!$Q$1))</f>
        <v>Junior üzletkötő [21000196]</v>
      </c>
      <c r="C2868" t="s">
        <v>2274</v>
      </c>
    </row>
    <row r="2869" spans="1:3">
      <c r="A2869" t="s">
        <v>2301</v>
      </c>
      <c r="B2869" t="str">
        <f ca="1">IF(ISBLANK(OFFSET(B2869,0,'Field labels'!$Q$1)),C2869,OFFSET(B2869,0,'Field labels'!$Q$1))</f>
        <v>Karbantartó [21000057]</v>
      </c>
      <c r="C2869" t="s">
        <v>2136</v>
      </c>
    </row>
    <row r="2870" spans="1:3">
      <c r="A2870" t="s">
        <v>2301</v>
      </c>
      <c r="B2870" t="str">
        <f ca="1">IF(ISBLANK(OFFSET(B2870,0,'Field labels'!$Q$1)),C2870,OFFSET(B2870,0,'Field labels'!$Q$1))</f>
        <v>Kelet-Magyarországi Érték [21000058]</v>
      </c>
      <c r="C2870" t="s">
        <v>2137</v>
      </c>
    </row>
    <row r="2871" spans="1:3">
      <c r="A2871" t="s">
        <v>2301</v>
      </c>
      <c r="B2871" t="str">
        <f ca="1">IF(ISBLANK(OFFSET(B2871,0,'Field labels'!$Q$1)),C2871,OFFSET(B2871,0,'Field labels'!$Q$1))</f>
        <v>Ker. Könyvelési Vezető [21000188]</v>
      </c>
      <c r="C2871" t="s">
        <v>2266</v>
      </c>
    </row>
    <row r="2872" spans="1:3">
      <c r="A2872" t="s">
        <v>2301</v>
      </c>
      <c r="B2872" t="str">
        <f ca="1">IF(ISBLANK(OFFSET(B2872,0,'Field labels'!$Q$1)),C2872,OFFSET(B2872,0,'Field labels'!$Q$1))</f>
        <v>keresk. menedzsment gyako [21000059]</v>
      </c>
      <c r="C2872" t="s">
        <v>2138</v>
      </c>
    </row>
    <row r="2873" spans="1:3">
      <c r="A2873" t="s">
        <v>2301</v>
      </c>
      <c r="B2873" t="str">
        <f ca="1">IF(ISBLANK(OFFSET(B2873,0,'Field labels'!$Q$1)),C2873,OFFSET(B2873,0,'Field labels'!$Q$1))</f>
        <v>Kereskedelmi asszisztens [21000060]</v>
      </c>
      <c r="C2873" t="s">
        <v>2139</v>
      </c>
    </row>
    <row r="2874" spans="1:3">
      <c r="A2874" t="s">
        <v>2301</v>
      </c>
      <c r="B2874" t="str">
        <f ca="1">IF(ISBLANK(OFFSET(B2874,0,'Field labels'!$Q$1)),C2874,OFFSET(B2874,0,'Field labels'!$Q$1))</f>
        <v>Kereskedelmi igazgató [21000061]</v>
      </c>
      <c r="C2874" t="s">
        <v>2140</v>
      </c>
    </row>
    <row r="2875" spans="1:3">
      <c r="A2875" t="s">
        <v>2301</v>
      </c>
      <c r="B2875" t="str">
        <f ca="1">IF(ISBLANK(OFFSET(B2875,0,'Field labels'!$Q$1)),C2875,OFFSET(B2875,0,'Field labels'!$Q$1))</f>
        <v>Kereskedelmi vez.ig.helye [21000062]</v>
      </c>
      <c r="C2875" t="s">
        <v>2141</v>
      </c>
    </row>
    <row r="2876" spans="1:3">
      <c r="A2876" t="s">
        <v>2301</v>
      </c>
      <c r="B2876" t="str">
        <f ca="1">IF(ISBLANK(OFFSET(B2876,0,'Field labels'!$Q$1)),C2876,OFFSET(B2876,0,'Field labels'!$Q$1))</f>
        <v>Készletgazd. asszisztens [21000063]</v>
      </c>
      <c r="C2876" t="s">
        <v>2142</v>
      </c>
    </row>
    <row r="2877" spans="1:3">
      <c r="A2877" t="s">
        <v>2301</v>
      </c>
      <c r="B2877" t="str">
        <f ca="1">IF(ISBLANK(OFFSET(B2877,0,'Field labels'!$Q$1)),C2877,OFFSET(B2877,0,'Field labels'!$Q$1))</f>
        <v>Készletgazdálkodó [21000064]</v>
      </c>
      <c r="C2877" t="s">
        <v>2143</v>
      </c>
    </row>
    <row r="2878" spans="1:3">
      <c r="A2878" t="s">
        <v>2301</v>
      </c>
      <c r="B2878" t="str">
        <f ca="1">IF(ISBLANK(OFFSET(B2878,0,'Field labels'!$Q$1)),C2878,OFFSET(B2878,0,'Field labels'!$Q$1))</f>
        <v>Kiem.Ügyf.kapcs.man.Szarv [21000206]</v>
      </c>
      <c r="C2878" t="s">
        <v>2284</v>
      </c>
    </row>
    <row r="2879" spans="1:3">
      <c r="A2879" t="s">
        <v>2301</v>
      </c>
      <c r="B2879" t="str">
        <f ca="1">IF(ISBLANK(OFFSET(B2879,0,'Field labels'!$Q$1)),C2879,OFFSET(B2879,0,'Field labels'!$Q$1))</f>
        <v>Kiem.ügyfk.Man.bar.nyúl [21000208]</v>
      </c>
      <c r="C2879" t="s">
        <v>2286</v>
      </c>
    </row>
    <row r="2880" spans="1:3">
      <c r="A2880" t="s">
        <v>2301</v>
      </c>
      <c r="B2880" t="str">
        <f ca="1">IF(ISBLANK(OFFSET(B2880,0,'Field labels'!$Q$1)),C2880,OFFSET(B2880,0,'Field labels'!$Q$1))</f>
        <v>Kiemelt ügyfélkapcsolati [21000065]</v>
      </c>
      <c r="C2880" t="s">
        <v>2144</v>
      </c>
    </row>
    <row r="2881" spans="1:3">
      <c r="A2881" t="s">
        <v>2301</v>
      </c>
      <c r="B2881" t="str">
        <f ca="1">IF(ISBLANK(OFFSET(B2881,0,'Field labels'!$Q$1)),C2881,OFFSET(B2881,0,'Field labels'!$Q$1))</f>
        <v>Kiemelt ügyfélkapcsolati [21000066]</v>
      </c>
      <c r="C2881" t="s">
        <v>2145</v>
      </c>
    </row>
    <row r="2882" spans="1:3">
      <c r="A2882" t="s">
        <v>2301</v>
      </c>
      <c r="B2882" t="str">
        <f ca="1">IF(ISBLANK(OFFSET(B2882,0,'Field labels'!$Q$1)),C2882,OFFSET(B2882,0,'Field labels'!$Q$1))</f>
        <v>Kock.kez.&amp;beszerz. Assz. [21000216]</v>
      </c>
      <c r="C2882" t="s">
        <v>2294</v>
      </c>
    </row>
    <row r="2883" spans="1:3">
      <c r="A2883" t="s">
        <v>2301</v>
      </c>
      <c r="B2883" t="str">
        <f ca="1">IF(ISBLANK(OFFSET(B2883,0,'Field labels'!$Q$1)),C2883,OFFSET(B2883,0,'Field labels'!$Q$1))</f>
        <v>Kockázatkezelési üzletág [21000067]</v>
      </c>
      <c r="C2883" t="s">
        <v>2146</v>
      </c>
    </row>
    <row r="2884" spans="1:3">
      <c r="A2884" t="s">
        <v>2301</v>
      </c>
      <c r="B2884" t="str">
        <f ca="1">IF(ISBLANK(OFFSET(B2884,0,'Field labels'!$Q$1)),C2884,OFFSET(B2884,0,'Field labels'!$Q$1))</f>
        <v>Könyvelő [21000068]</v>
      </c>
      <c r="C2884" t="s">
        <v>2147</v>
      </c>
    </row>
    <row r="2885" spans="1:3">
      <c r="A2885" t="s">
        <v>2301</v>
      </c>
      <c r="B2885" t="str">
        <f ca="1">IF(ISBLANK(OFFSET(B2885,0,'Field labels'!$Q$1)),C2885,OFFSET(B2885,0,'Field labels'!$Q$1))</f>
        <v>Körzetigazgató [21000069]</v>
      </c>
      <c r="C2885" t="s">
        <v>2148</v>
      </c>
    </row>
    <row r="2886" spans="1:3">
      <c r="A2886" t="s">
        <v>2301</v>
      </c>
      <c r="B2886" t="str">
        <f ca="1">IF(ISBLANK(OFFSET(B2886,0,'Field labels'!$Q$1)),C2886,OFFSET(B2886,0,'Field labels'!$Q$1))</f>
        <v>Külföldi üzletkötő [21000070]</v>
      </c>
      <c r="C2886" t="s">
        <v>2149</v>
      </c>
    </row>
    <row r="2887" spans="1:3">
      <c r="A2887" t="s">
        <v>2301</v>
      </c>
      <c r="B2887" t="str">
        <f ca="1">IF(ISBLANK(OFFSET(B2887,0,'Field labels'!$Q$1)),C2887,OFFSET(B2887,0,'Field labels'!$Q$1))</f>
        <v>Labor asszisztens [21000071]</v>
      </c>
      <c r="C2887" t="s">
        <v>2150</v>
      </c>
    </row>
    <row r="2888" spans="1:3">
      <c r="A2888" t="s">
        <v>2301</v>
      </c>
      <c r="B2888" t="str">
        <f ca="1">IF(ISBLANK(OFFSET(B2888,0,'Field labels'!$Q$1)),C2888,OFFSET(B2888,0,'Field labels'!$Q$1))</f>
        <v>Laboráns [21000072]</v>
      </c>
      <c r="C2888" t="s">
        <v>2151</v>
      </c>
    </row>
    <row r="2889" spans="1:3">
      <c r="A2889" t="s">
        <v>2301</v>
      </c>
      <c r="B2889" t="str">
        <f ca="1">IF(ISBLANK(OFFSET(B2889,0,'Field labels'!$Q$1)),C2889,OFFSET(B2889,0,'Field labels'!$Q$1))</f>
        <v>Laboráns MEO [21000073]</v>
      </c>
      <c r="C2889" t="s">
        <v>2152</v>
      </c>
    </row>
    <row r="2890" spans="1:3">
      <c r="A2890" t="s">
        <v>2301</v>
      </c>
      <c r="B2890" t="str">
        <f ca="1">IF(ISBLANK(OFFSET(B2890,0,'Field labels'!$Q$1)),C2890,OFFSET(B2890,0,'Field labels'!$Q$1))</f>
        <v>Laborvezető [21000074]</v>
      </c>
      <c r="C2890" t="s">
        <v>2153</v>
      </c>
    </row>
    <row r="2891" spans="1:3">
      <c r="A2891" t="s">
        <v>2301</v>
      </c>
      <c r="B2891" t="str">
        <f ca="1">IF(ISBLANK(OFFSET(B2891,0,'Field labels'!$Q$1)),C2891,OFFSET(B2891,0,'Field labels'!$Q$1))</f>
        <v>Lakatos [21000075]</v>
      </c>
      <c r="C2891" t="s">
        <v>2154</v>
      </c>
    </row>
    <row r="2892" spans="1:3">
      <c r="A2892" t="s">
        <v>2301</v>
      </c>
      <c r="B2892" t="str">
        <f ca="1">IF(ISBLANK(OFFSET(B2892,0,'Field labels'!$Q$1)),C2892,OFFSET(B2892,0,'Field labels'!$Q$1))</f>
        <v>Large account Manager [21000076]</v>
      </c>
      <c r="C2892" t="s">
        <v>2155</v>
      </c>
    </row>
    <row r="2893" spans="1:3">
      <c r="A2893" t="s">
        <v>2301</v>
      </c>
      <c r="B2893" t="str">
        <f ca="1">IF(ISBLANK(OFFSET(B2893,0,'Field labels'!$Q$1)),C2893,OFFSET(B2893,0,'Field labels'!$Q$1))</f>
        <v>Large Feeder poultry and [21000077]</v>
      </c>
      <c r="C2893" t="s">
        <v>2156</v>
      </c>
    </row>
    <row r="2894" spans="1:3">
      <c r="A2894" t="s">
        <v>2301</v>
      </c>
      <c r="B2894" t="str">
        <f ca="1">IF(ISBLANK(OFFSET(B2894,0,'Field labels'!$Q$1)),C2894,OFFSET(B2894,0,'Field labels'!$Q$1))</f>
        <v>Logisztikai specialista [21000078]</v>
      </c>
      <c r="C2894" t="s">
        <v>2157</v>
      </c>
    </row>
    <row r="2895" spans="1:3">
      <c r="A2895" t="s">
        <v>2301</v>
      </c>
      <c r="B2895" t="str">
        <f ca="1">IF(ISBLANK(OFFSET(B2895,0,'Field labels'!$Q$1)),C2895,OFFSET(B2895,0,'Field labels'!$Q$1))</f>
        <v>Logisztikai tanácsadó [21000079]</v>
      </c>
      <c r="C2895" t="s">
        <v>2158</v>
      </c>
    </row>
    <row r="2896" spans="1:3">
      <c r="A2896" t="s">
        <v>2301</v>
      </c>
      <c r="B2896" t="str">
        <f ca="1">IF(ISBLANK(OFFSET(B2896,0,'Field labels'!$Q$1)),C2896,OFFSET(B2896,0,'Field labels'!$Q$1))</f>
        <v>M.ügyi és bérszámf.i mt. [21000192]</v>
      </c>
      <c r="C2896" t="s">
        <v>2270</v>
      </c>
    </row>
    <row r="2897" spans="1:3">
      <c r="A2897" t="s">
        <v>2301</v>
      </c>
      <c r="B2897" t="str">
        <f ca="1">IF(ISBLANK(OFFSET(B2897,0,'Field labels'!$Q$1)),C2897,OFFSET(B2897,0,'Field labels'!$Q$1))</f>
        <v>M.ügyi és bérszámf.i spec [21000193]</v>
      </c>
      <c r="C2897" t="s">
        <v>2271</v>
      </c>
    </row>
    <row r="2898" spans="1:3">
      <c r="A2898" t="s">
        <v>2301</v>
      </c>
      <c r="B2898" t="str">
        <f ca="1">IF(ISBLANK(OFFSET(B2898,0,'Field labels'!$Q$1)),C2898,OFFSET(B2898,0,'Field labels'!$Q$1))</f>
        <v>Magyarországi minőségbizt [21000080]</v>
      </c>
      <c r="C2898" t="s">
        <v>2159</v>
      </c>
    </row>
    <row r="2899" spans="1:3">
      <c r="A2899" t="s">
        <v>2301</v>
      </c>
      <c r="B2899" t="str">
        <f ca="1">IF(ISBLANK(OFFSET(B2899,0,'Field labels'!$Q$1)),C2899,OFFSET(B2899,0,'Field labels'!$Q$1))</f>
        <v>Management Accountant [21000081]</v>
      </c>
      <c r="C2899" t="s">
        <v>2160</v>
      </c>
    </row>
    <row r="2900" spans="1:3">
      <c r="A2900" t="s">
        <v>2301</v>
      </c>
      <c r="B2900" t="str">
        <f ca="1">IF(ISBLANK(OFFSET(B2900,0,'Field labels'!$Q$1)),C2900,OFFSET(B2900,0,'Field labels'!$Q$1))</f>
        <v>Marketing koordinátor [21000082]</v>
      </c>
      <c r="C2900" t="s">
        <v>2161</v>
      </c>
    </row>
    <row r="2901" spans="1:3">
      <c r="A2901" t="s">
        <v>2301</v>
      </c>
      <c r="B2901" t="str">
        <f ca="1">IF(ISBLANK(OFFSET(B2901,0,'Field labels'!$Q$1)),C2901,OFFSET(B2901,0,'Field labels'!$Q$1))</f>
        <v>Marketing specialista [21000083]</v>
      </c>
      <c r="C2901" t="s">
        <v>2162</v>
      </c>
    </row>
    <row r="2902" spans="1:3">
      <c r="A2902" t="s">
        <v>2301</v>
      </c>
      <c r="B2902" t="str">
        <f ca="1">IF(ISBLANK(OFFSET(B2902,0,'Field labels'!$Q$1)),C2902,OFFSET(B2902,0,'Field labels'!$Q$1))</f>
        <v>Marketing vezető Aghorizo [21000084]</v>
      </c>
      <c r="C2902" t="s">
        <v>2163</v>
      </c>
    </row>
    <row r="2903" spans="1:3">
      <c r="A2903" t="s">
        <v>2301</v>
      </c>
      <c r="B2903" t="str">
        <f ca="1">IF(ISBLANK(OFFSET(B2903,0,'Field labels'!$Q$1)),C2903,OFFSET(B2903,0,'Field labels'!$Q$1))</f>
        <v>Megb. adminisztrációs cso [21000085]</v>
      </c>
      <c r="C2903" t="s">
        <v>2164</v>
      </c>
    </row>
    <row r="2904" spans="1:3">
      <c r="A2904" t="s">
        <v>2301</v>
      </c>
      <c r="B2904" t="str">
        <f ca="1">IF(ISBLANK(OFFSET(B2904,0,'Field labels'!$Q$1)),C2904,OFFSET(B2904,0,'Field labels'!$Q$1))</f>
        <v>Mérlegkezelő [21000086]</v>
      </c>
      <c r="C2904" t="s">
        <v>2165</v>
      </c>
    </row>
    <row r="2905" spans="1:3">
      <c r="A2905" t="s">
        <v>2301</v>
      </c>
      <c r="B2905" t="str">
        <f ca="1">IF(ISBLANK(OFFSET(B2905,0,'Field labels'!$Q$1)),C2905,OFFSET(B2905,0,'Field labels'!$Q$1))</f>
        <v>Minőségbiztosítási Manage [21000087]</v>
      </c>
      <c r="C2905" t="s">
        <v>2166</v>
      </c>
    </row>
    <row r="2906" spans="1:3">
      <c r="A2906" t="s">
        <v>2301</v>
      </c>
      <c r="B2906" t="str">
        <f ca="1">IF(ISBLANK(OFFSET(B2906,0,'Field labels'!$Q$1)),C2906,OFFSET(B2906,0,'Field labels'!$Q$1))</f>
        <v>Minőségellenőr [21000088]</v>
      </c>
      <c r="C2906" t="s">
        <v>2167</v>
      </c>
    </row>
    <row r="2907" spans="1:3">
      <c r="A2907" t="s">
        <v>2301</v>
      </c>
      <c r="B2907" t="str">
        <f ca="1">IF(ISBLANK(OFFSET(B2907,0,'Field labels'!$Q$1)),C2907,OFFSET(B2907,0,'Field labels'!$Q$1))</f>
        <v>Minőségellenőr telepvez.h [21000089]</v>
      </c>
      <c r="C2907" t="s">
        <v>2168</v>
      </c>
    </row>
    <row r="2908" spans="1:3">
      <c r="A2908" t="s">
        <v>2301</v>
      </c>
      <c r="B2908" t="str">
        <f ca="1">IF(ISBLANK(OFFSET(B2908,0,'Field labels'!$Q$1)),C2908,OFFSET(B2908,0,'Field labels'!$Q$1))</f>
        <v>Munkaügyi előadó [21000090]</v>
      </c>
      <c r="C2908" t="s">
        <v>2169</v>
      </c>
    </row>
    <row r="2909" spans="1:3">
      <c r="A2909" t="s">
        <v>2301</v>
      </c>
      <c r="B2909" t="str">
        <f ca="1">IF(ISBLANK(OFFSET(B2909,0,'Field labels'!$Q$1)),C2909,OFFSET(B2909,0,'Field labels'!$Q$1))</f>
        <v>Munkaügyi és bérszámfejté [21000091]</v>
      </c>
      <c r="C2909" t="s">
        <v>2170</v>
      </c>
    </row>
    <row r="2910" spans="1:3">
      <c r="A2910" t="s">
        <v>2301</v>
      </c>
      <c r="B2910" t="str">
        <f ca="1">IF(ISBLANK(OFFSET(B2910,0,'Field labels'!$Q$1)),C2910,OFFSET(B2910,0,'Field labels'!$Q$1))</f>
        <v>Munkaügyi oszt.vez.h. [21000092]</v>
      </c>
      <c r="C2910" t="s">
        <v>2171</v>
      </c>
    </row>
    <row r="2911" spans="1:3">
      <c r="A2911" t="s">
        <v>2301</v>
      </c>
      <c r="B2911" t="str">
        <f ca="1">IF(ISBLANK(OFFSET(B2911,0,'Field labels'!$Q$1)),C2911,OFFSET(B2911,0,'Field labels'!$Q$1))</f>
        <v>Munkavédelmi munkatárs [21000093]</v>
      </c>
      <c r="C2911" t="s">
        <v>2172</v>
      </c>
    </row>
    <row r="2912" spans="1:3">
      <c r="A2912" t="s">
        <v>2301</v>
      </c>
      <c r="B2912" t="str">
        <f ca="1">IF(ISBLANK(OFFSET(B2912,0,'Field labels'!$Q$1)),C2912,OFFSET(B2912,0,'Field labels'!$Q$1))</f>
        <v>Műszaki Manager [21000094]</v>
      </c>
      <c r="C2912" t="s">
        <v>2173</v>
      </c>
    </row>
    <row r="2913" spans="1:3">
      <c r="A2913" t="s">
        <v>2301</v>
      </c>
      <c r="B2913" t="str">
        <f ca="1">IF(ISBLANK(OFFSET(B2913,0,'Field labels'!$Q$1)),C2913,OFFSET(B2913,0,'Field labels'!$Q$1))</f>
        <v>műszakvezető [21000095]</v>
      </c>
      <c r="C2913" t="s">
        <v>2174</v>
      </c>
    </row>
    <row r="2914" spans="1:3">
      <c r="A2914" t="s">
        <v>2301</v>
      </c>
      <c r="B2914" t="str">
        <f ca="1">IF(ISBLANK(OFFSET(B2914,0,'Field labels'!$Q$1)),C2914,OFFSET(B2914,0,'Field labels'!$Q$1))</f>
        <v>Műtrágya Koordinátor [21000096]</v>
      </c>
      <c r="C2914" t="s">
        <v>2175</v>
      </c>
    </row>
    <row r="2915" spans="1:3">
      <c r="A2915" t="s">
        <v>2301</v>
      </c>
      <c r="B2915" t="str">
        <f ca="1">IF(ISBLANK(OFFSET(B2915,0,'Field labels'!$Q$1)),C2915,OFFSET(B2915,0,'Field labels'!$Q$1))</f>
        <v>Műtrágya üzletág igazgató [21000097]</v>
      </c>
      <c r="C2915" t="s">
        <v>2176</v>
      </c>
    </row>
    <row r="2916" spans="1:3">
      <c r="A2916" t="s">
        <v>2301</v>
      </c>
      <c r="B2916" t="str">
        <f ca="1">IF(ISBLANK(OFFSET(B2916,0,'Field labels'!$Q$1)),C2916,OFFSET(B2916,0,'Field labels'!$Q$1))</f>
        <v>Művezető [21000214]</v>
      </c>
      <c r="C2916" t="s">
        <v>2292</v>
      </c>
    </row>
    <row r="2917" spans="1:3">
      <c r="A2917" t="s">
        <v>2301</v>
      </c>
      <c r="B2917" t="str">
        <f ca="1">IF(ISBLANK(OFFSET(B2917,0,'Field labels'!$Q$1)),C2917,OFFSET(B2917,0,'Field labels'!$Q$1))</f>
        <v>Nagyü.spec.szarv. Állatf. [21000207]</v>
      </c>
      <c r="C2917" t="s">
        <v>2285</v>
      </c>
    </row>
    <row r="2918" spans="1:3">
      <c r="A2918" t="s">
        <v>2301</v>
      </c>
      <c r="B2918" t="str">
        <f ca="1">IF(ISBLANK(OFFSET(B2918,0,'Field labels'!$Q$1)),C2918,OFFSET(B2918,0,'Field labels'!$Q$1))</f>
        <v>NGFI csoportvezető [21000098]</v>
      </c>
      <c r="C2918" t="s">
        <v>2177</v>
      </c>
    </row>
    <row r="2919" spans="1:3">
      <c r="A2919" t="s">
        <v>2301</v>
      </c>
      <c r="B2919" t="str">
        <f ca="1">IF(ISBLANK(OFFSET(B2919,0,'Field labels'!$Q$1)),C2919,OFFSET(B2919,0,'Field labels'!$Q$1))</f>
        <v>No job title [00000000]</v>
      </c>
      <c r="C2919" t="s">
        <v>2300</v>
      </c>
    </row>
    <row r="2920" spans="1:3">
      <c r="A2920" t="s">
        <v>2301</v>
      </c>
      <c r="B2920" t="str">
        <f ca="1">IF(ISBLANK(OFFSET(B2920,0,'Field labels'!$Q$1)),C2920,OFFSET(B2920,0,'Field labels'!$Q$1))</f>
        <v>Növényvédelmi szaktanácsa [21000099]</v>
      </c>
      <c r="C2920" t="s">
        <v>2178</v>
      </c>
    </row>
    <row r="2921" spans="1:3">
      <c r="A2921" t="s">
        <v>2301</v>
      </c>
      <c r="B2921" t="str">
        <f ca="1">IF(ISBLANK(OFFSET(B2921,0,'Field labels'!$Q$1)),C2921,OFFSET(B2921,0,'Field labels'!$Q$1))</f>
        <v>Növényvédelmi üzletág iga [21000100]</v>
      </c>
      <c r="C2921" t="s">
        <v>2179</v>
      </c>
    </row>
    <row r="2922" spans="1:3">
      <c r="A2922" t="s">
        <v>2301</v>
      </c>
      <c r="B2922" t="str">
        <f ca="1">IF(ISBLANK(OFFSET(B2922,0,'Field labels'!$Q$1)),C2922,OFFSET(B2922,0,'Field labels'!$Q$1))</f>
        <v>Növényvédőszer-koordináto [21000101]</v>
      </c>
      <c r="C2922" t="s">
        <v>2180</v>
      </c>
    </row>
    <row r="2923" spans="1:3">
      <c r="A2923" t="s">
        <v>2301</v>
      </c>
      <c r="B2923" t="str">
        <f ca="1">IF(ISBLANK(OFFSET(B2923,0,'Field labels'!$Q$1)),C2923,OFFSET(B2923,0,'Field labels'!$Q$1))</f>
        <v>Nyugat-Magyarországi Érté [21000102]</v>
      </c>
      <c r="C2923" t="s">
        <v>2181</v>
      </c>
    </row>
    <row r="2924" spans="1:3">
      <c r="A2924" t="s">
        <v>2301</v>
      </c>
      <c r="B2924" t="str">
        <f ca="1">IF(ISBLANK(OFFSET(B2924,0,'Field labels'!$Q$1)),C2924,OFFSET(B2924,0,'Field labels'!$Q$1))</f>
        <v>Operatív HR Vezető [21000190]</v>
      </c>
      <c r="C2924" t="s">
        <v>2268</v>
      </c>
    </row>
    <row r="2925" spans="1:3">
      <c r="A2925" t="s">
        <v>2301</v>
      </c>
      <c r="B2925" t="str">
        <f ca="1">IF(ISBLANK(OFFSET(B2925,0,'Field labels'!$Q$1)),C2925,OFFSET(B2925,0,'Field labels'!$Q$1))</f>
        <v>Osztályügyintéző [21000103]</v>
      </c>
      <c r="C2925" t="s">
        <v>2182</v>
      </c>
    </row>
    <row r="2926" spans="1:3">
      <c r="A2926" t="s">
        <v>2301</v>
      </c>
      <c r="B2926" t="str">
        <f ca="1">IF(ISBLANK(OFFSET(B2926,0,'Field labels'!$Q$1)),C2926,OFFSET(B2926,0,'Field labels'!$Q$1))</f>
        <v>PAT koordinátor -labor.ve [21000104]</v>
      </c>
      <c r="C2926" t="s">
        <v>2183</v>
      </c>
    </row>
    <row r="2927" spans="1:3">
      <c r="A2927" t="s">
        <v>2301</v>
      </c>
      <c r="B2927" t="str">
        <f ca="1">IF(ISBLANK(OFFSET(B2927,0,'Field labels'!$Q$1)),C2927,OFFSET(B2927,0,'Field labels'!$Q$1))</f>
        <v>Pénzügyi asszisztens [21000105]</v>
      </c>
      <c r="C2927" t="s">
        <v>2184</v>
      </c>
    </row>
    <row r="2928" spans="1:3">
      <c r="A2928" t="s">
        <v>2301</v>
      </c>
      <c r="B2928" t="str">
        <f ca="1">IF(ISBLANK(OFFSET(B2928,0,'Field labels'!$Q$1)),C2928,OFFSET(B2928,0,'Field labels'!$Q$1))</f>
        <v>Pénzügyi elemző [21000106]</v>
      </c>
      <c r="C2928" t="s">
        <v>2185</v>
      </c>
    </row>
    <row r="2929" spans="1:3">
      <c r="A2929" t="s">
        <v>2301</v>
      </c>
      <c r="B2929" t="str">
        <f ca="1">IF(ISBLANK(OFFSET(B2929,0,'Field labels'!$Q$1)),C2929,OFFSET(B2929,0,'Field labels'!$Q$1))</f>
        <v>Pénzügyi igazgató [21000107]</v>
      </c>
      <c r="C2929" t="s">
        <v>2186</v>
      </c>
    </row>
    <row r="2930" spans="1:3">
      <c r="A2930" t="s">
        <v>2301</v>
      </c>
      <c r="B2930" t="str">
        <f ca="1">IF(ISBLANK(OFFSET(B2930,0,'Field labels'!$Q$1)),C2930,OFFSET(B2930,0,'Field labels'!$Q$1))</f>
        <v>Pénzügyi munkatárs [21000108]</v>
      </c>
      <c r="C2930" t="s">
        <v>2187</v>
      </c>
    </row>
    <row r="2931" spans="1:3">
      <c r="A2931" t="s">
        <v>2301</v>
      </c>
      <c r="B2931" t="str">
        <f ca="1">IF(ISBLANK(OFFSET(B2931,0,'Field labels'!$Q$1)),C2931,OFFSET(B2931,0,'Field labels'!$Q$1))</f>
        <v>Pénzügyi osztályvez. [21000109]</v>
      </c>
      <c r="C2931" t="s">
        <v>2188</v>
      </c>
    </row>
    <row r="2932" spans="1:3">
      <c r="A2932" t="s">
        <v>2301</v>
      </c>
      <c r="B2932" t="str">
        <f ca="1">IF(ISBLANK(OFFSET(B2932,0,'Field labels'!$Q$1)),C2932,OFFSET(B2932,0,'Field labels'!$Q$1))</f>
        <v>Pénzügyi ügyintéző [21000110]</v>
      </c>
      <c r="C2932" t="s">
        <v>2189</v>
      </c>
    </row>
    <row r="2933" spans="1:3">
      <c r="A2933" t="s">
        <v>2301</v>
      </c>
      <c r="B2933" t="str">
        <f ca="1">IF(ISBLANK(OFFSET(B2933,0,'Field labels'!$Q$1)),C2933,OFFSET(B2933,0,'Field labels'!$Q$1))</f>
        <v>Pénzügyi ügyintéző [21000186]</v>
      </c>
      <c r="C2933" t="s">
        <v>2264</v>
      </c>
    </row>
    <row r="2934" spans="1:3">
      <c r="A2934" t="s">
        <v>2301</v>
      </c>
      <c r="B2934" t="str">
        <f ca="1">IF(ISBLANK(OFFSET(B2934,0,'Field labels'!$Q$1)),C2934,OFFSET(B2934,0,'Field labels'!$Q$1))</f>
        <v>Programozó [21000111]</v>
      </c>
      <c r="C2934" t="s">
        <v>2190</v>
      </c>
    </row>
    <row r="2935" spans="1:3">
      <c r="A2935" t="s">
        <v>2301</v>
      </c>
      <c r="B2935" t="str">
        <f ca="1">IF(ISBLANK(OFFSET(B2935,0,'Field labels'!$Q$1)),C2935,OFFSET(B2935,0,'Field labels'!$Q$1))</f>
        <v>Programozó MIS [21000112]</v>
      </c>
      <c r="C2935" t="s">
        <v>2191</v>
      </c>
    </row>
    <row r="2936" spans="1:3">
      <c r="A2936" t="s">
        <v>2301</v>
      </c>
      <c r="B2936" t="str">
        <f ca="1">IF(ISBLANK(OFFSET(B2936,0,'Field labels'!$Q$1)),C2936,OFFSET(B2936,0,'Field labels'!$Q$1))</f>
        <v>Purina Disztribúció Fejle [21000114]</v>
      </c>
      <c r="C2936" t="s">
        <v>2193</v>
      </c>
    </row>
    <row r="2937" spans="1:3">
      <c r="A2937" t="s">
        <v>2301</v>
      </c>
      <c r="B2937" t="str">
        <f ca="1">IF(ISBLANK(OFFSET(B2937,0,'Field labels'!$Q$1)),C2937,OFFSET(B2937,0,'Field labels'!$Q$1))</f>
        <v>PURINA Disztribúció igazg [21000113]</v>
      </c>
      <c r="C2937" t="s">
        <v>2192</v>
      </c>
    </row>
    <row r="2938" spans="1:3">
      <c r="A2938" t="s">
        <v>2301</v>
      </c>
      <c r="B2938" t="str">
        <f ca="1">IF(ISBLANK(OFFSET(B2938,0,'Field labels'!$Q$1)),C2938,OFFSET(B2938,0,'Field labels'!$Q$1))</f>
        <v>Purina Ü.fejl. &amp; trn.Man. [21000213]</v>
      </c>
      <c r="C2938" t="s">
        <v>2291</v>
      </c>
    </row>
    <row r="2939" spans="1:3">
      <c r="A2939" t="s">
        <v>2301</v>
      </c>
      <c r="B2939" t="str">
        <f ca="1">IF(ISBLANK(OFFSET(B2939,0,'Field labels'!$Q$1)),C2939,OFFSET(B2939,0,'Field labels'!$Q$1))</f>
        <v>QC Manager and ISO / HACC [21000115]</v>
      </c>
      <c r="C2939" t="s">
        <v>2194</v>
      </c>
    </row>
    <row r="2940" spans="1:3">
      <c r="A2940" t="s">
        <v>2301</v>
      </c>
      <c r="B2940" t="str">
        <f ca="1">IF(ISBLANK(OFFSET(B2940,0,'Field labels'!$Q$1)),C2940,OFFSET(B2940,0,'Field labels'!$Q$1))</f>
        <v>Rakodó [21000116]</v>
      </c>
      <c r="C2940" t="s">
        <v>2195</v>
      </c>
    </row>
    <row r="2941" spans="1:3">
      <c r="A2941" t="s">
        <v>2301</v>
      </c>
      <c r="B2941" t="str">
        <f ca="1">IF(ISBLANK(OFFSET(B2941,0,'Field labels'!$Q$1)),C2941,OFFSET(B2941,0,'Field labels'!$Q$1))</f>
        <v>Rakodógép- kezelő [21000117]</v>
      </c>
      <c r="C2941" t="s">
        <v>2196</v>
      </c>
    </row>
    <row r="2942" spans="1:3">
      <c r="A2942" t="s">
        <v>2301</v>
      </c>
      <c r="B2942" t="str">
        <f ca="1">IF(ISBLANK(OFFSET(B2942,0,'Field labels'!$Q$1)),C2942,OFFSET(B2942,0,'Field labels'!$Q$1))</f>
        <v>Raktári adminisztrátor [21000211]</v>
      </c>
      <c r="C2942" t="s">
        <v>2289</v>
      </c>
    </row>
    <row r="2943" spans="1:3">
      <c r="A2943" t="s">
        <v>2301</v>
      </c>
      <c r="B2943" t="str">
        <f ca="1">IF(ISBLANK(OFFSET(B2943,0,'Field labels'!$Q$1)),C2943,OFFSET(B2943,0,'Field labels'!$Q$1))</f>
        <v>Raktári dolgozó [21000118]</v>
      </c>
      <c r="C2943" t="s">
        <v>2197</v>
      </c>
    </row>
    <row r="2944" spans="1:3">
      <c r="A2944" t="s">
        <v>2301</v>
      </c>
      <c r="B2944" t="str">
        <f ca="1">IF(ISBLANK(OFFSET(B2944,0,'Field labels'!$Q$1)),C2944,OFFSET(B2944,0,'Field labels'!$Q$1))</f>
        <v>Raktári gépkezelő [21000119]</v>
      </c>
      <c r="C2944" t="s">
        <v>2198</v>
      </c>
    </row>
    <row r="2945" spans="1:3">
      <c r="A2945" t="s">
        <v>2301</v>
      </c>
      <c r="B2945" t="str">
        <f ca="1">IF(ISBLANK(OFFSET(B2945,0,'Field labels'!$Q$1)),C2945,OFFSET(B2945,0,'Field labels'!$Q$1))</f>
        <v>Raktáros-minőségellenőr [21000120]</v>
      </c>
      <c r="C2945" t="s">
        <v>2199</v>
      </c>
    </row>
    <row r="2946" spans="1:3">
      <c r="A2946" t="s">
        <v>2301</v>
      </c>
      <c r="B2946" t="str">
        <f ca="1">IF(ISBLANK(OFFSET(B2946,0,'Field labels'!$Q$1)),C2946,OFFSET(B2946,0,'Field labels'!$Q$1))</f>
        <v>Raktáros-targoncás [21000121]</v>
      </c>
      <c r="C2946" t="s">
        <v>2200</v>
      </c>
    </row>
    <row r="2947" spans="1:3">
      <c r="A2947" t="s">
        <v>2301</v>
      </c>
      <c r="B2947" t="str">
        <f ca="1">IF(ISBLANK(OFFSET(B2947,0,'Field labels'!$Q$1)),C2947,OFFSET(B2947,0,'Field labels'!$Q$1))</f>
        <v>Reg.Ops vezető-villamos m [21000122]</v>
      </c>
      <c r="C2947" t="s">
        <v>2201</v>
      </c>
    </row>
    <row r="2948" spans="1:3">
      <c r="A2948" t="s">
        <v>2301</v>
      </c>
      <c r="B2948" t="str">
        <f ca="1">IF(ISBLANK(OFFSET(B2948,0,'Field labels'!$Q$1)),C2948,OFFSET(B2948,0,'Field labels'!$Q$1))</f>
        <v>Regionális EHS Manager [21000123]</v>
      </c>
      <c r="C2948" t="s">
        <v>2202</v>
      </c>
    </row>
    <row r="2949" spans="1:3">
      <c r="A2949" t="s">
        <v>2301</v>
      </c>
      <c r="B2949" t="str">
        <f ca="1">IF(ISBLANK(OFFSET(B2949,0,'Field labels'!$Q$1)),C2949,OFFSET(B2949,0,'Field labels'!$Q$1))</f>
        <v>Regionális Értékesít. Vez.[21000203]</v>
      </c>
      <c r="C2949" t="s">
        <v>2281</v>
      </c>
    </row>
    <row r="2950" spans="1:3">
      <c r="A2950" t="s">
        <v>2301</v>
      </c>
      <c r="B2950" t="str">
        <f ca="1">IF(ISBLANK(OFFSET(B2950,0,'Field labels'!$Q$1)),C2950,OFFSET(B2950,0,'Field labels'!$Q$1))</f>
        <v>Rendész [21000124]</v>
      </c>
      <c r="C2950" t="s">
        <v>2203</v>
      </c>
    </row>
    <row r="2951" spans="1:3">
      <c r="A2951" t="s">
        <v>2301</v>
      </c>
      <c r="B2951" t="str">
        <f ca="1">IF(ISBLANK(OFFSET(B2951,0,'Field labels'!$Q$1)),C2951,OFFSET(B2951,0,'Field labels'!$Q$1))</f>
        <v>Rendszer asszisztens [21000125]</v>
      </c>
      <c r="C2951" t="s">
        <v>2204</v>
      </c>
    </row>
    <row r="2952" spans="1:3">
      <c r="A2952" t="s">
        <v>2301</v>
      </c>
      <c r="B2952" t="str">
        <f ca="1">IF(ISBLANK(OFFSET(B2952,0,'Field labels'!$Q$1)),C2952,OFFSET(B2952,0,'Field labels'!$Q$1))</f>
        <v>Rendszergazda [21000126]</v>
      </c>
      <c r="C2952" t="s">
        <v>2205</v>
      </c>
    </row>
    <row r="2953" spans="1:3">
      <c r="A2953" t="s">
        <v>2301</v>
      </c>
      <c r="B2953" t="str">
        <f ca="1">IF(ISBLANK(OFFSET(B2953,0,'Field labels'!$Q$1)),C2953,OFFSET(B2953,0,'Field labels'!$Q$1))</f>
        <v>Sales administration [21000127]</v>
      </c>
      <c r="C2953" t="s">
        <v>2206</v>
      </c>
    </row>
    <row r="2954" spans="1:3">
      <c r="A2954" t="s">
        <v>2301</v>
      </c>
      <c r="B2954" t="str">
        <f ca="1">IF(ISBLANK(OFFSET(B2954,0,'Field labels'!$Q$1)),C2954,OFFSET(B2954,0,'Field labels'!$Q$1))</f>
        <v>Sales Manager [21000128]</v>
      </c>
      <c r="C2954" t="s">
        <v>2207</v>
      </c>
    </row>
    <row r="2955" spans="1:3">
      <c r="A2955" t="s">
        <v>2301</v>
      </c>
      <c r="B2955" t="str">
        <f ca="1">IF(ISBLANK(OFFSET(B2955,0,'Field labels'!$Q$1)),C2955,OFFSET(B2955,0,'Field labels'!$Q$1))</f>
        <v>Segédmunkás [21000129]</v>
      </c>
      <c r="C2955" t="s">
        <v>2208</v>
      </c>
    </row>
    <row r="2956" spans="1:3">
      <c r="A2956" t="s">
        <v>2301</v>
      </c>
      <c r="B2956" t="str">
        <f ca="1">IF(ISBLANK(OFFSET(B2956,0,'Field labels'!$Q$1)),C2956,OFFSET(B2956,0,'Field labels'!$Q$1))</f>
        <v>Segédmunkás(Meo-s kisegít [21000130]</v>
      </c>
      <c r="C2956" t="s">
        <v>2209</v>
      </c>
    </row>
    <row r="2957" spans="1:3">
      <c r="A2957" t="s">
        <v>2301</v>
      </c>
      <c r="B2957" t="str">
        <f ca="1">IF(ISBLANK(OFFSET(B2957,0,'Field labels'!$Q$1)),C2957,OFFSET(B2957,0,'Field labels'!$Q$1))</f>
        <v>Senior adminisztrátor [21000131]</v>
      </c>
      <c r="C2957" t="s">
        <v>2210</v>
      </c>
    </row>
    <row r="2958" spans="1:3">
      <c r="A2958" t="s">
        <v>2301</v>
      </c>
      <c r="B2958" t="str">
        <f ca="1">IF(ISBLANK(OFFSET(B2958,0,'Field labels'!$Q$1)),C2958,OFFSET(B2958,0,'Field labels'!$Q$1))</f>
        <v>Senior üzletkötő [21000132]</v>
      </c>
      <c r="C2958" t="s">
        <v>2211</v>
      </c>
    </row>
    <row r="2959" spans="1:3">
      <c r="A2959" t="s">
        <v>2301</v>
      </c>
      <c r="B2959" t="str">
        <f ca="1">IF(ISBLANK(OFFSET(B2959,0,'Field labels'!$Q$1)),C2959,OFFSET(B2959,0,'Field labels'!$Q$1))</f>
        <v>Senior üzletkötő [21000195]</v>
      </c>
      <c r="C2959" t="s">
        <v>2273</v>
      </c>
    </row>
    <row r="2960" spans="1:3">
      <c r="A2960" t="s">
        <v>2301</v>
      </c>
      <c r="B2960" t="str">
        <f ca="1">IF(ISBLANK(OFFSET(B2960,0,'Field labels'!$Q$1)),C2960,OFFSET(B2960,0,'Field labels'!$Q$1))</f>
        <v>Sertés nagyüzemi speciali [21000133]</v>
      </c>
      <c r="C2960" t="s">
        <v>2212</v>
      </c>
    </row>
    <row r="2961" spans="1:3">
      <c r="A2961" t="s">
        <v>2301</v>
      </c>
      <c r="B2961" t="str">
        <f ca="1">IF(ISBLANK(OFFSET(B2961,0,'Field labels'!$Q$1)),C2961,OFFSET(B2961,0,'Field labels'!$Q$1))</f>
        <v>Siló vezérlős [21000134]</v>
      </c>
      <c r="C2961" t="s">
        <v>2213</v>
      </c>
    </row>
    <row r="2962" spans="1:3">
      <c r="A2962" t="s">
        <v>2301</v>
      </c>
      <c r="B2962" t="str">
        <f ca="1">IF(ISBLANK(OFFSET(B2962,0,'Field labels'!$Q$1)),C2962,OFFSET(B2962,0,'Field labels'!$Q$1))</f>
        <v>Silókezelő [21000135]</v>
      </c>
      <c r="C2962" t="s">
        <v>2214</v>
      </c>
    </row>
    <row r="2963" spans="1:3">
      <c r="A2963" t="s">
        <v>2301</v>
      </c>
      <c r="B2963" t="str">
        <f ca="1">IF(ISBLANK(OFFSET(B2963,0,'Field labels'!$Q$1)),C2963,OFFSET(B2963,0,'Field labels'!$Q$1))</f>
        <v>Silókezelő-villanyszerelő [21000136]</v>
      </c>
      <c r="C2963" t="s">
        <v>2215</v>
      </c>
    </row>
    <row r="2964" spans="1:3">
      <c r="A2964" t="s">
        <v>2301</v>
      </c>
      <c r="B2964" t="str">
        <f ca="1">IF(ISBLANK(OFFSET(B2964,0,'Field labels'!$Q$1)),C2964,OFFSET(B2964,0,'Field labels'!$Q$1))</f>
        <v>Stratégiai beszerzési vez [21000137]</v>
      </c>
      <c r="C2964" t="s">
        <v>2216</v>
      </c>
    </row>
    <row r="2965" spans="1:3">
      <c r="A2965" t="s">
        <v>2301</v>
      </c>
      <c r="B2965" t="str">
        <f ca="1">IF(ISBLANK(OFFSET(B2965,0,'Field labels'!$Q$1)),C2965,OFFSET(B2965,0,'Field labels'!$Q$1))</f>
        <v>Stratégiai Marketing- és [21000138]</v>
      </c>
      <c r="C2965" t="s">
        <v>2217</v>
      </c>
    </row>
    <row r="2966" spans="1:3">
      <c r="A2966" t="s">
        <v>2301</v>
      </c>
      <c r="B2966" t="str">
        <f ca="1">IF(ISBLANK(OFFSET(B2966,0,'Field labels'!$Q$1)),C2966,OFFSET(B2966,0,'Field labels'!$Q$1))</f>
        <v>Supply Chain Manager [21000139]</v>
      </c>
      <c r="C2966" t="s">
        <v>2218</v>
      </c>
    </row>
    <row r="2967" spans="1:3">
      <c r="A2967" t="s">
        <v>2301</v>
      </c>
      <c r="B2967" t="str">
        <f ca="1">IF(ISBLANK(OFFSET(B2967,0,'Field labels'!$Q$1)),C2967,OFFSET(B2967,0,'Field labels'!$Q$1))</f>
        <v>Szállítmányozási assziszt [21000140]</v>
      </c>
      <c r="C2967" t="s">
        <v>2219</v>
      </c>
    </row>
    <row r="2968" spans="1:3">
      <c r="A2968" t="s">
        <v>2301</v>
      </c>
      <c r="B2968" t="str">
        <f ca="1">IF(ISBLANK(OFFSET(B2968,0,'Field labels'!$Q$1)),C2968,OFFSET(B2968,0,'Field labels'!$Q$1))</f>
        <v>Szállítmányozási csop.vez [21000141]</v>
      </c>
      <c r="C2968" t="s">
        <v>2220</v>
      </c>
    </row>
    <row r="2969" spans="1:3">
      <c r="A2969" t="s">
        <v>2301</v>
      </c>
      <c r="B2969" t="str">
        <f ca="1">IF(ISBLANK(OFFSET(B2969,0,'Field labels'!$Q$1)),C2969,OFFSET(B2969,0,'Field labels'!$Q$1))</f>
        <v>Szállítmányozási koordiná [21000142]</v>
      </c>
      <c r="C2969" t="s">
        <v>2221</v>
      </c>
    </row>
    <row r="2970" spans="1:3">
      <c r="A2970" t="s">
        <v>2301</v>
      </c>
      <c r="B2970" t="str">
        <f ca="1">IF(ISBLANK(OFFSET(B2970,0,'Field labels'!$Q$1)),C2970,OFFSET(B2970,0,'Field labels'!$Q$1))</f>
        <v>Számlázási munkatárs [21000143]</v>
      </c>
      <c r="C2970" t="s">
        <v>2222</v>
      </c>
    </row>
    <row r="2971" spans="1:3">
      <c r="A2971" t="s">
        <v>2301</v>
      </c>
      <c r="B2971" t="str">
        <f ca="1">IF(ISBLANK(OFFSET(B2971,0,'Field labels'!$Q$1)),C2971,OFFSET(B2971,0,'Field labels'!$Q$1))</f>
        <v>Számviteli munkatárs [21000144]</v>
      </c>
      <c r="C2971" t="s">
        <v>2223</v>
      </c>
    </row>
    <row r="2972" spans="1:3">
      <c r="A2972" t="s">
        <v>2301</v>
      </c>
      <c r="B2972" t="str">
        <f ca="1">IF(ISBLANK(OFFSET(B2972,0,'Field labels'!$Q$1)),C2972,OFFSET(B2972,0,'Field labels'!$Q$1))</f>
        <v>Szárítógép-kezelő [21000145]</v>
      </c>
      <c r="C2972" t="s">
        <v>2224</v>
      </c>
    </row>
    <row r="2973" spans="1:3">
      <c r="A2973" t="s">
        <v>2301</v>
      </c>
      <c r="B2973" t="str">
        <f ca="1">IF(ISBLANK(OFFSET(B2973,0,'Field labels'!$Q$1)),C2973,OFFSET(B2973,0,'Field labels'!$Q$1))</f>
        <v>Szarvasmarha Ágazat igazg [21000146]</v>
      </c>
      <c r="C2973" t="s">
        <v>2225</v>
      </c>
    </row>
    <row r="2974" spans="1:3">
      <c r="A2974" t="s">
        <v>2301</v>
      </c>
      <c r="B2974" t="str">
        <f ca="1">IF(ISBLANK(OFFSET(B2974,0,'Field labels'!$Q$1)),C2974,OFFSET(B2974,0,'Field labels'!$Q$1))</f>
        <v>Takarmánygyártó [21000147]</v>
      </c>
      <c r="C2974" t="s">
        <v>2226</v>
      </c>
    </row>
    <row r="2975" spans="1:3">
      <c r="A2975" t="s">
        <v>2301</v>
      </c>
      <c r="B2975" t="str">
        <f ca="1">IF(ISBLANK(OFFSET(B2975,0,'Field labels'!$Q$1)),C2975,OFFSET(B2975,0,'Field labels'!$Q$1))</f>
        <v>Targoncavezető [21000148]</v>
      </c>
      <c r="C2975" t="s">
        <v>2227</v>
      </c>
    </row>
    <row r="2976" spans="1:3">
      <c r="A2976" t="s">
        <v>2301</v>
      </c>
      <c r="B2976" t="str">
        <f ca="1">IF(ISBLANK(OFFSET(B2976,0,'Field labels'!$Q$1)),C2976,OFFSET(B2976,0,'Field labels'!$Q$1))</f>
        <v>Technológia Igazgató [21000149]</v>
      </c>
      <c r="C2976" t="s">
        <v>2228</v>
      </c>
    </row>
    <row r="2977" spans="1:3">
      <c r="A2977" t="s">
        <v>2301</v>
      </c>
      <c r="B2977" t="str">
        <f ca="1">IF(ISBLANK(OFFSET(B2977,0,'Field labels'!$Q$1)),C2977,OFFSET(B2977,0,'Field labels'!$Q$1))</f>
        <v>Telepi controller [21000150]</v>
      </c>
      <c r="C2977" t="s">
        <v>2229</v>
      </c>
    </row>
    <row r="2978" spans="1:3">
      <c r="A2978" t="s">
        <v>2301</v>
      </c>
      <c r="B2978" t="str">
        <f ca="1">IF(ISBLANK(OFFSET(B2978,0,'Field labels'!$Q$1)),C2978,OFFSET(B2978,0,'Field labels'!$Q$1))</f>
        <v>Telepi rendész [21000182]</v>
      </c>
      <c r="C2978" t="s">
        <v>2260</v>
      </c>
    </row>
    <row r="2979" spans="1:3">
      <c r="A2979" t="s">
        <v>2301</v>
      </c>
      <c r="B2979" t="str">
        <f ca="1">IF(ISBLANK(OFFSET(B2979,0,'Field labels'!$Q$1)),C2979,OFFSET(B2979,0,'Field labels'!$Q$1))</f>
        <v>Telepvezető [21000151]</v>
      </c>
      <c r="C2979" t="s">
        <v>2230</v>
      </c>
    </row>
    <row r="2980" spans="1:3">
      <c r="A2980" t="s">
        <v>2301</v>
      </c>
      <c r="B2980" t="str">
        <f ca="1">IF(ISBLANK(OFFSET(B2980,0,'Field labels'!$Q$1)),C2980,OFFSET(B2980,0,'Field labels'!$Q$1))</f>
        <v>Telepvezető helyettes [21000152]</v>
      </c>
      <c r="C2980" t="s">
        <v>2231</v>
      </c>
    </row>
    <row r="2981" spans="1:3">
      <c r="A2981" t="s">
        <v>2301</v>
      </c>
      <c r="B2981" t="str">
        <f ca="1">IF(ISBLANK(OFFSET(B2981,0,'Field labels'!$Q$1)),C2981,OFFSET(B2981,0,'Field labels'!$Q$1))</f>
        <v>Termékfejlesztési Menedzs [21000154]</v>
      </c>
      <c r="C2981" t="s">
        <v>2232</v>
      </c>
    </row>
    <row r="2982" spans="1:3">
      <c r="A2982" t="s">
        <v>2301</v>
      </c>
      <c r="B2982" t="str">
        <f ca="1">IF(ISBLANK(OFFSET(B2982,0,'Field labels'!$Q$1)),C2982,OFFSET(B2982,0,'Field labels'!$Q$1))</f>
        <v>Termékfejlesztési special [21000155]</v>
      </c>
      <c r="C2982" t="s">
        <v>2233</v>
      </c>
    </row>
    <row r="2983" spans="1:3">
      <c r="A2983" t="s">
        <v>2301</v>
      </c>
      <c r="B2983" t="str">
        <f ca="1">IF(ISBLANK(OFFSET(B2983,0,'Field labels'!$Q$1)),C2983,OFFSET(B2983,0,'Field labels'!$Q$1))</f>
        <v>Termelési és műszaki vez. [21000215]</v>
      </c>
      <c r="C2983" t="s">
        <v>2293</v>
      </c>
    </row>
    <row r="2984" spans="1:3">
      <c r="A2984" t="s">
        <v>2301</v>
      </c>
      <c r="B2984" t="str">
        <f ca="1">IF(ISBLANK(OFFSET(B2984,0,'Field labels'!$Q$1)),C2984,OFFSET(B2984,0,'Field labels'!$Q$1))</f>
        <v>Termelési igazgató [21000156]</v>
      </c>
      <c r="C2984" t="s">
        <v>2234</v>
      </c>
    </row>
    <row r="2985" spans="1:3">
      <c r="A2985" t="s">
        <v>2301</v>
      </c>
      <c r="B2985" t="str">
        <f ca="1">IF(ISBLANK(OFFSET(B2985,0,'Field labels'!$Q$1)),C2985,OFFSET(B2985,0,'Field labels'!$Q$1))</f>
        <v>Termelési ügyintéző [21000157]</v>
      </c>
      <c r="C2985" t="s">
        <v>2235</v>
      </c>
    </row>
    <row r="2986" spans="1:3">
      <c r="A2986" t="s">
        <v>2301</v>
      </c>
      <c r="B2986" t="str">
        <f ca="1">IF(ISBLANK(OFFSET(B2986,0,'Field labels'!$Q$1)),C2986,OFFSET(B2986,0,'Field labels'!$Q$1))</f>
        <v>Termelési vezető [21000158]</v>
      </c>
      <c r="C2986" t="s">
        <v>2236</v>
      </c>
    </row>
    <row r="2987" spans="1:3">
      <c r="A2987" t="s">
        <v>2301</v>
      </c>
      <c r="B2987" t="str">
        <f ca="1">IF(ISBLANK(OFFSET(B2987,0,'Field labels'!$Q$1)),C2987,OFFSET(B2987,0,'Field labels'!$Q$1))</f>
        <v>Területi értékesítési kép [21000159]</v>
      </c>
      <c r="C2987" t="s">
        <v>2237</v>
      </c>
    </row>
    <row r="2988" spans="1:3">
      <c r="A2988" t="s">
        <v>2301</v>
      </c>
      <c r="B2988" t="str">
        <f ca="1">IF(ISBLANK(OFFSET(B2988,0,'Field labels'!$Q$1)),C2988,OFFSET(B2988,0,'Field labels'!$Q$1))</f>
        <v>Tervezés csoportvezető [21000160]</v>
      </c>
      <c r="C2988" t="s">
        <v>2238</v>
      </c>
    </row>
    <row r="2989" spans="1:3">
      <c r="A2989" t="s">
        <v>2301</v>
      </c>
      <c r="B2989" t="str">
        <f ca="1">IF(ISBLANK(OFFSET(B2989,0,'Field labels'!$Q$1)),C2989,OFFSET(B2989,0,'Field labels'!$Q$1))</f>
        <v>Tervezés Csoportvezető-h. [21000189]</v>
      </c>
      <c r="C2989" t="s">
        <v>2267</v>
      </c>
    </row>
    <row r="2990" spans="1:3">
      <c r="A2990" t="s">
        <v>2301</v>
      </c>
      <c r="B2990" t="str">
        <f ca="1">IF(ISBLANK(OFFSET(B2990,0,'Field labels'!$Q$1)),C2990,OFFSET(B2990,0,'Field labels'!$Q$1))</f>
        <v>Tervezés csoportvezető-he [21000161]</v>
      </c>
      <c r="C2990" t="s">
        <v>2239</v>
      </c>
    </row>
    <row r="2991" spans="1:3">
      <c r="A2991" t="s">
        <v>2301</v>
      </c>
      <c r="B2991" t="str">
        <f ca="1">IF(ISBLANK(OFFSET(B2991,0,'Field labels'!$Q$1)),C2991,OFFSET(B2991,0,'Field labels'!$Q$1))</f>
        <v>Tervezési csoportvezető [21000187]</v>
      </c>
      <c r="C2991" t="s">
        <v>2265</v>
      </c>
    </row>
    <row r="2992" spans="1:3">
      <c r="A2992" t="s">
        <v>2301</v>
      </c>
      <c r="B2992" t="str">
        <f ca="1">IF(ISBLANK(OFFSET(B2992,0,'Field labels'!$Q$1)),C2992,OFFSET(B2992,0,'Field labels'!$Q$1))</f>
        <v>Tervező [21000199]</v>
      </c>
      <c r="C2992" t="s">
        <v>2277</v>
      </c>
    </row>
    <row r="2993" spans="1:3">
      <c r="A2993" t="s">
        <v>2301</v>
      </c>
      <c r="B2993" t="str">
        <f ca="1">IF(ISBLANK(OFFSET(B2993,0,'Field labels'!$Q$1)),C2993,OFFSET(B2993,0,'Field labels'!$Q$1))</f>
        <v>Titkárnő [21000162]</v>
      </c>
      <c r="C2993" t="s">
        <v>2240</v>
      </c>
    </row>
    <row r="2994" spans="1:3">
      <c r="A2994" t="s">
        <v>2301</v>
      </c>
      <c r="B2994" t="str">
        <f ca="1">IF(ISBLANK(OFFSET(B2994,0,'Field labels'!$Q$1)),C2994,OFFSET(B2994,0,'Field labels'!$Q$1))</f>
        <v>Toborzási specialista [21000205]</v>
      </c>
      <c r="C2994" t="s">
        <v>2283</v>
      </c>
    </row>
    <row r="2995" spans="1:3">
      <c r="A2995" t="s">
        <v>2301</v>
      </c>
      <c r="B2995" t="str">
        <f ca="1">IF(ISBLANK(OFFSET(B2995,0,'Field labels'!$Q$1)),C2995,OFFSET(B2995,0,'Field labels'!$Q$1))</f>
        <v>Trader [21000163]</v>
      </c>
      <c r="C2995" t="s">
        <v>2241</v>
      </c>
    </row>
    <row r="2996" spans="1:3">
      <c r="A2996" t="s">
        <v>2301</v>
      </c>
      <c r="B2996" t="str">
        <f ca="1">IF(ISBLANK(OFFSET(B2996,0,'Field labels'!$Q$1)),C2996,OFFSET(B2996,0,'Field labels'!$Q$1))</f>
        <v>Traktoros [21000164]</v>
      </c>
      <c r="C2996" t="s">
        <v>2242</v>
      </c>
    </row>
    <row r="2997" spans="1:3">
      <c r="A2997" t="s">
        <v>2301</v>
      </c>
      <c r="B2997" t="str">
        <f ca="1">IF(ISBLANK(OFFSET(B2997,0,'Field labels'!$Q$1)),C2997,OFFSET(B2997,0,'Field labels'!$Q$1))</f>
        <v>Treasury munkatárs [21000165]</v>
      </c>
      <c r="C2997" t="s">
        <v>2243</v>
      </c>
    </row>
    <row r="2998" spans="1:3">
      <c r="A2998" t="s">
        <v>2301</v>
      </c>
      <c r="B2998" t="str">
        <f ca="1">IF(ISBLANK(OFFSET(B2998,0,'Field labels'!$Q$1)),C2998,OFFSET(B2998,0,'Field labels'!$Q$1))</f>
        <v>Truck Contract Manager [21000204]</v>
      </c>
      <c r="C2998" t="s">
        <v>2282</v>
      </c>
    </row>
    <row r="2999" spans="1:3">
      <c r="A2999" t="s">
        <v>2301</v>
      </c>
      <c r="B2999" t="str">
        <f ca="1">IF(ISBLANK(OFFSET(B2999,0,'Field labels'!$Q$1)),C2999,OFFSET(B2999,0,'Field labels'!$Q$1))</f>
        <v>Uszályellenőr [21000166]</v>
      </c>
      <c r="C2999" t="s">
        <v>2244</v>
      </c>
    </row>
    <row r="3000" spans="1:3">
      <c r="A3000" t="s">
        <v>2301</v>
      </c>
      <c r="B3000" t="str">
        <f ca="1">IF(ISBLANK(OFFSET(B3000,0,'Field labels'!$Q$1)),C3000,OFFSET(B3000,0,'Field labels'!$Q$1))</f>
        <v>Üzemeltetési vezérigazgat [21000167]</v>
      </c>
      <c r="C3000" t="s">
        <v>2245</v>
      </c>
    </row>
    <row r="3001" spans="1:3">
      <c r="A3001" t="s">
        <v>2301</v>
      </c>
      <c r="B3001" t="str">
        <f ca="1">IF(ISBLANK(OFFSET(B3001,0,'Field labels'!$Q$1)),C3001,OFFSET(B3001,0,'Field labels'!$Q$1))</f>
        <v>Üzemvezető [21000168]</v>
      </c>
      <c r="C3001" t="s">
        <v>2246</v>
      </c>
    </row>
    <row r="3002" spans="1:3">
      <c r="A3002" t="s">
        <v>2301</v>
      </c>
      <c r="B3002" t="str">
        <f ca="1">IF(ISBLANK(OFFSET(B3002,0,'Field labels'!$Q$1)),C3002,OFFSET(B3002,0,'Field labels'!$Q$1))</f>
        <v>Üzletkötő [21000169]</v>
      </c>
      <c r="C3002" t="s">
        <v>2247</v>
      </c>
    </row>
    <row r="3003" spans="1:3">
      <c r="A3003" t="s">
        <v>2301</v>
      </c>
      <c r="B3003" t="str">
        <f ca="1">IF(ISBLANK(OFFSET(B3003,0,'Field labels'!$Q$1)),C3003,OFFSET(B3003,0,'Field labels'!$Q$1))</f>
        <v>Üzletkötő asszisztens [21000170]</v>
      </c>
      <c r="C3003" t="s">
        <v>2248</v>
      </c>
    </row>
    <row r="3004" spans="1:3">
      <c r="A3004" t="s">
        <v>2301</v>
      </c>
      <c r="B3004" t="str">
        <f ca="1">IF(ISBLANK(OFFSET(B3004,0,'Field labels'!$Q$1)),C3004,OFFSET(B3004,0,'Field labels'!$Q$1))</f>
        <v>Vállalati jogtanácsos [21000171]</v>
      </c>
      <c r="C3004" t="s">
        <v>2249</v>
      </c>
    </row>
    <row r="3005" spans="1:3">
      <c r="A3005" t="s">
        <v>2301</v>
      </c>
      <c r="B3005" t="str">
        <f ca="1">IF(ISBLANK(OFFSET(B3005,0,'Field labels'!$Q$1)),C3005,OFFSET(B3005,0,'Field labels'!$Q$1))</f>
        <v>Végfelhasználói ért. igaz [21000172]</v>
      </c>
      <c r="C3005" t="s">
        <v>2250</v>
      </c>
    </row>
    <row r="3006" spans="1:3">
      <c r="A3006" t="s">
        <v>2301</v>
      </c>
      <c r="B3006" t="str">
        <f ca="1">IF(ISBLANK(OFFSET(B3006,0,'Field labels'!$Q$1)),C3006,OFFSET(B3006,0,'Field labels'!$Q$1))</f>
        <v>Vegyész analitikus [21000173]</v>
      </c>
      <c r="C3006" t="s">
        <v>2251</v>
      </c>
    </row>
    <row r="3007" spans="1:3">
      <c r="A3007" t="s">
        <v>2301</v>
      </c>
      <c r="B3007" t="str">
        <f ca="1">IF(ISBLANK(OFFSET(B3007,0,'Field labels'!$Q$1)),C3007,OFFSET(B3007,0,'Field labels'!$Q$1))</f>
        <v>Vegyésztechnikus [21000217]</v>
      </c>
      <c r="C3007" t="s">
        <v>2295</v>
      </c>
    </row>
    <row r="3008" spans="1:3">
      <c r="A3008" t="s">
        <v>2301</v>
      </c>
      <c r="B3008" t="str">
        <f ca="1">IF(ISBLANK(OFFSET(B3008,0,'Field labels'!$Q$1)),C3008,OFFSET(B3008,0,'Field labels'!$Q$1))</f>
        <v>Vetőmag Koordinátor [21000174]</v>
      </c>
      <c r="C3008" t="s">
        <v>2252</v>
      </c>
    </row>
    <row r="3009" spans="1:3">
      <c r="A3009" t="s">
        <v>2301</v>
      </c>
      <c r="B3009" t="str">
        <f ca="1">IF(ISBLANK(OFFSET(B3009,0,'Field labels'!$Q$1)),C3009,OFFSET(B3009,0,'Field labels'!$Q$1))</f>
        <v>Vetőmag üzletág igazgató [21000175]</v>
      </c>
      <c r="C3009" t="s">
        <v>2253</v>
      </c>
    </row>
    <row r="3010" spans="1:3">
      <c r="A3010" t="s">
        <v>2301</v>
      </c>
      <c r="B3010" t="str">
        <f ca="1">IF(ISBLANK(OFFSET(B3010,0,'Field labels'!$Q$1)),C3010,OFFSET(B3010,0,'Field labels'!$Q$1))</f>
        <v>Vevőszolgálati ügyintéző [21000176]</v>
      </c>
      <c r="C3010" t="s">
        <v>2254</v>
      </c>
    </row>
    <row r="3011" spans="1:3">
      <c r="A3011" t="s">
        <v>2301</v>
      </c>
      <c r="B3011" t="str">
        <f ca="1">IF(ISBLANK(OFFSET(B3011,0,'Field labels'!$Q$1)),C3011,OFFSET(B3011,0,'Field labels'!$Q$1))</f>
        <v>Vezérigazgató [21000177]</v>
      </c>
      <c r="C3011" t="s">
        <v>2255</v>
      </c>
    </row>
    <row r="3012" spans="1:3">
      <c r="A3012" t="s">
        <v>2301</v>
      </c>
      <c r="B3012" t="str">
        <f ca="1">IF(ISBLANK(OFFSET(B3012,0,'Field labels'!$Q$1)),C3012,OFFSET(B3012,0,'Field labels'!$Q$1))</f>
        <v>Vezérigazgató hely./logis [21000178]</v>
      </c>
      <c r="C3012" t="s">
        <v>2256</v>
      </c>
    </row>
    <row r="3013" spans="1:3">
      <c r="A3013" t="s">
        <v>2301</v>
      </c>
      <c r="B3013" t="str">
        <f ca="1">IF(ISBLANK(OFFSET(B3013,0,'Field labels'!$Q$1)),C3013,OFFSET(B3013,0,'Field labels'!$Q$1))</f>
        <v>Vezérigazgatói assziszten [21000179]</v>
      </c>
      <c r="C3013" t="s">
        <v>2257</v>
      </c>
    </row>
    <row r="3014" spans="1:3">
      <c r="A3014" t="s">
        <v>2301</v>
      </c>
      <c r="B3014" t="str">
        <f ca="1">IF(ISBLANK(OFFSET(B3014,0,'Field labels'!$Q$1)),C3014,OFFSET(B3014,0,'Field labels'!$Q$1))</f>
        <v>vezető dealer Manager [21000210]</v>
      </c>
      <c r="C3014" t="s">
        <v>2288</v>
      </c>
    </row>
    <row r="3015" spans="1:3">
      <c r="A3015" t="s">
        <v>2301</v>
      </c>
      <c r="B3015" t="str">
        <f ca="1">IF(ISBLANK(OFFSET(B3015,0,'Field labels'!$Q$1)),C3015,OFFSET(B3015,0,'Field labels'!$Q$1))</f>
        <v>Villanyszerelő [21000180]</v>
      </c>
      <c r="C3015" t="s">
        <v>2258</v>
      </c>
    </row>
    <row r="3016" spans="1:3">
      <c r="A3016" t="s">
        <v>2301</v>
      </c>
      <c r="B3016" t="str">
        <f ca="1">IF(ISBLANK(OFFSET(B3016,0,'Field labels'!$Q$1)),C3016,OFFSET(B3016,0,'Field labels'!$Q$1))</f>
        <v>Villanyszerelő,silógép-ke [21000181]</v>
      </c>
      <c r="C3016" t="s">
        <v>2259</v>
      </c>
    </row>
    <row r="3017" spans="1:3">
      <c r="A3017" t="s">
        <v>2476</v>
      </c>
      <c r="B3017" t="str">
        <f ca="1">IF(ISBLANK(OFFSET(B3017,0,'Field labels'!$Q$1)),C3017,OFFSET(B3017,0,'Field labels'!$Q$1))</f>
        <v>ACCOUNTANT [21100001]</v>
      </c>
      <c r="C3017" t="s">
        <v>2303</v>
      </c>
    </row>
    <row r="3018" spans="1:3">
      <c r="A3018" t="s">
        <v>2476</v>
      </c>
      <c r="B3018" t="str">
        <f ca="1">IF(ISBLANK(OFFSET(B3018,0,'Field labels'!$Q$1)),C3018,OFFSET(B3018,0,'Field labels'!$Q$1))</f>
        <v>Accounting Assistant [21100002]</v>
      </c>
      <c r="C3018" t="s">
        <v>2304</v>
      </c>
    </row>
    <row r="3019" spans="1:3">
      <c r="A3019" t="s">
        <v>2476</v>
      </c>
      <c r="B3019" t="str">
        <f ca="1">IF(ISBLANK(OFFSET(B3019,0,'Field labels'!$Q$1)),C3019,OFFSET(B3019,0,'Field labels'!$Q$1))</f>
        <v>Administrator [21100003]</v>
      </c>
      <c r="C3019" t="s">
        <v>2305</v>
      </c>
    </row>
    <row r="3020" spans="1:3">
      <c r="A3020" t="s">
        <v>2476</v>
      </c>
      <c r="B3020" t="str">
        <f ca="1">IF(ISBLANK(OFFSET(B3020,0,'Field labels'!$Q$1)),C3020,OFFSET(B3020,0,'Field labels'!$Q$1))</f>
        <v>Agronomist [21100004]</v>
      </c>
      <c r="C3020" t="s">
        <v>2306</v>
      </c>
    </row>
    <row r="3021" spans="1:3">
      <c r="A3021" t="s">
        <v>2476</v>
      </c>
      <c r="B3021" t="str">
        <f ca="1">IF(ISBLANK(OFFSET(B3021,0,'Field labels'!$Q$1)),C3021,OFFSET(B3021,0,'Field labels'!$Q$1))</f>
        <v>Area Sales Manager [21100005]</v>
      </c>
      <c r="C3021" t="s">
        <v>2307</v>
      </c>
    </row>
    <row r="3022" spans="1:3">
      <c r="A3022" t="s">
        <v>2476</v>
      </c>
      <c r="B3022" t="str">
        <f ca="1">IF(ISBLANK(OFFSET(B3022,0,'Field labels'!$Q$1)),C3022,OFFSET(B3022,0,'Field labels'!$Q$1))</f>
        <v>Assist.Accounting Manager [21100173]</v>
      </c>
      <c r="C3022" t="s">
        <v>2475</v>
      </c>
    </row>
    <row r="3023" spans="1:3">
      <c r="A3023" t="s">
        <v>2476</v>
      </c>
      <c r="B3023" t="str">
        <f ca="1">IF(ISBLANK(OFFSET(B3023,0,'Field labels'!$Q$1)),C3023,OFFSET(B3023,0,'Field labels'!$Q$1))</f>
        <v>Assistant Chief Accountan [21100006]</v>
      </c>
      <c r="C3023" t="s">
        <v>2308</v>
      </c>
    </row>
    <row r="3024" spans="1:3">
      <c r="A3024" t="s">
        <v>2476</v>
      </c>
      <c r="B3024" t="str">
        <f ca="1">IF(ISBLANK(OFFSET(B3024,0,'Field labels'!$Q$1)),C3024,OFFSET(B3024,0,'Field labels'!$Q$1))</f>
        <v>Assistant Teamleader Crop [21100007]</v>
      </c>
      <c r="C3024" t="s">
        <v>2309</v>
      </c>
    </row>
    <row r="3025" spans="1:3">
      <c r="A3025" t="s">
        <v>2476</v>
      </c>
      <c r="B3025" t="str">
        <f ca="1">IF(ISBLANK(OFFSET(B3025,0,'Field labels'!$Q$1)),C3025,OFFSET(B3025,0,'Field labels'!$Q$1))</f>
        <v>Assistant TL Contract Exe [21100008]</v>
      </c>
      <c r="C3025" t="s">
        <v>2310</v>
      </c>
    </row>
    <row r="3026" spans="1:3">
      <c r="A3026" t="s">
        <v>2476</v>
      </c>
      <c r="B3026" t="str">
        <f ca="1">IF(ISBLANK(OFFSET(B3026,0,'Field labels'!$Q$1)),C3026,OFFSET(B3026,0,'Field labels'!$Q$1))</f>
        <v>Assistant TL TE Admin [21100009]</v>
      </c>
      <c r="C3026" t="s">
        <v>2311</v>
      </c>
    </row>
    <row r="3027" spans="1:3">
      <c r="A3027" t="s">
        <v>2476</v>
      </c>
      <c r="B3027" t="str">
        <f ca="1">IF(ISBLANK(OFFSET(B3027,0,'Field labels'!$Q$1)),C3027,OFFSET(B3027,0,'Field labels'!$Q$1))</f>
        <v>AssistantPlanningTeamLead [21100164]</v>
      </c>
      <c r="C3027" t="s">
        <v>2466</v>
      </c>
    </row>
    <row r="3028" spans="1:3">
      <c r="A3028" t="s">
        <v>2476</v>
      </c>
      <c r="B3028" t="str">
        <f ca="1">IF(ISBLANK(OFFSET(B3028,0,'Field labels'!$Q$1)),C3028,OFFSET(B3028,0,'Field labels'!$Q$1))</f>
        <v>AUDITOR [21100010]</v>
      </c>
      <c r="C3028" t="s">
        <v>2312</v>
      </c>
    </row>
    <row r="3029" spans="1:3">
      <c r="A3029" t="s">
        <v>2476</v>
      </c>
      <c r="B3029" t="str">
        <f ca="1">IF(ISBLANK(OFFSET(B3029,0,'Field labels'!$Q$1)),C3029,OFFSET(B3029,0,'Field labels'!$Q$1))</f>
        <v>BDM - Cattle [21100085]</v>
      </c>
      <c r="C3029" t="s">
        <v>2387</v>
      </c>
    </row>
    <row r="3030" spans="1:3">
      <c r="A3030" t="s">
        <v>2476</v>
      </c>
      <c r="B3030" t="str">
        <f ca="1">IF(ISBLANK(OFFSET(B3030,0,'Field labels'!$Q$1)),C3030,OFFSET(B3030,0,'Field labels'!$Q$1))</f>
        <v>BDM - Poultry and rabbit [21100086]</v>
      </c>
      <c r="C3030" t="s">
        <v>2388</v>
      </c>
    </row>
    <row r="3031" spans="1:3">
      <c r="A3031" t="s">
        <v>2476</v>
      </c>
      <c r="B3031" t="str">
        <f ca="1">IF(ISBLANK(OFFSET(B3031,0,'Field labels'!$Q$1)),C3031,OFFSET(B3031,0,'Field labels'!$Q$1))</f>
        <v>BDM - Purina [21100087]</v>
      </c>
      <c r="C3031" t="s">
        <v>2389</v>
      </c>
    </row>
    <row r="3032" spans="1:3">
      <c r="A3032" t="s">
        <v>2476</v>
      </c>
      <c r="B3032" t="str">
        <f ca="1">IF(ISBLANK(OFFSET(B3032,0,'Field labels'!$Q$1)),C3032,OFFSET(B3032,0,'Field labels'!$Q$1))</f>
        <v>BU Country Lead [21100011]</v>
      </c>
      <c r="C3032" t="s">
        <v>2313</v>
      </c>
    </row>
    <row r="3033" spans="1:3">
      <c r="A3033" t="s">
        <v>2476</v>
      </c>
      <c r="B3033" t="str">
        <f ca="1">IF(ISBLANK(OFFSET(B3033,0,'Field labels'!$Q$1)),C3033,OFFSET(B3033,0,'Field labels'!$Q$1))</f>
        <v>Buyer [21100088]</v>
      </c>
      <c r="C3033" t="s">
        <v>2390</v>
      </c>
    </row>
    <row r="3034" spans="1:3">
      <c r="A3034" t="s">
        <v>2476</v>
      </c>
      <c r="B3034" t="str">
        <f ca="1">IF(ISBLANK(OFFSET(B3034,0,'Field labels'!$Q$1)),C3034,OFFSET(B3034,0,'Field labels'!$Q$1))</f>
        <v>Chemist [21100089]</v>
      </c>
      <c r="C3034" t="s">
        <v>2391</v>
      </c>
    </row>
    <row r="3035" spans="1:3">
      <c r="A3035" t="s">
        <v>2476</v>
      </c>
      <c r="B3035" t="str">
        <f ca="1">IF(ISBLANK(OFFSET(B3035,0,'Field labels'!$Q$1)),C3035,OFFSET(B3035,0,'Field labels'!$Q$1))</f>
        <v>Chief Accountant [21100012]</v>
      </c>
      <c r="C3035" t="s">
        <v>2314</v>
      </c>
    </row>
    <row r="3036" spans="1:3">
      <c r="A3036" t="s">
        <v>2476</v>
      </c>
      <c r="B3036" t="str">
        <f ca="1">IF(ISBLANK(OFFSET(B3036,0,'Field labels'!$Q$1)),C3036,OFFSET(B3036,0,'Field labels'!$Q$1))</f>
        <v>Cluster Credit ManagerSEE [21100090]</v>
      </c>
      <c r="C3036" t="s">
        <v>2392</v>
      </c>
    </row>
    <row r="3037" spans="1:3">
      <c r="A3037" t="s">
        <v>2476</v>
      </c>
      <c r="B3037" t="str">
        <f ca="1">IF(ISBLANK(OFFSET(B3037,0,'Field labels'!$Q$1)),C3037,OFFSET(B3037,0,'Field labels'!$Q$1))</f>
        <v>Commercial Director [21100091]</v>
      </c>
      <c r="C3037" t="s">
        <v>2393</v>
      </c>
    </row>
    <row r="3038" spans="1:3">
      <c r="A3038" t="s">
        <v>2476</v>
      </c>
      <c r="B3038" t="str">
        <f ca="1">IF(ISBLANK(OFFSET(B3038,0,'Field labels'!$Q$1)),C3038,OFFSET(B3038,0,'Field labels'!$Q$1))</f>
        <v>Commercial Management Tra [21100013]</v>
      </c>
      <c r="C3038" t="s">
        <v>2315</v>
      </c>
    </row>
    <row r="3039" spans="1:3">
      <c r="A3039" t="s">
        <v>2476</v>
      </c>
      <c r="B3039" t="str">
        <f ca="1">IF(ISBLANK(OFFSET(B3039,0,'Field labels'!$Q$1)),C3039,OFFSET(B3039,0,'Field labels'!$Q$1))</f>
        <v>Contract Desk Manager [21100014]</v>
      </c>
      <c r="C3039" t="s">
        <v>2316</v>
      </c>
    </row>
    <row r="3040" spans="1:3">
      <c r="A3040" t="s">
        <v>2476</v>
      </c>
      <c r="B3040" t="str">
        <f ca="1">IF(ISBLANK(OFFSET(B3040,0,'Field labels'!$Q$1)),C3040,OFFSET(B3040,0,'Field labels'!$Q$1))</f>
        <v>Controller [21100015]</v>
      </c>
      <c r="C3040" t="s">
        <v>2317</v>
      </c>
    </row>
    <row r="3041" spans="1:3">
      <c r="A3041" t="s">
        <v>2476</v>
      </c>
      <c r="B3041" t="str">
        <f ca="1">IF(ISBLANK(OFFSET(B3041,0,'Field labels'!$Q$1)),C3041,OFFSET(B3041,0,'Field labels'!$Q$1))</f>
        <v>Credit Analyst [21100016]</v>
      </c>
      <c r="C3041" t="s">
        <v>2318</v>
      </c>
    </row>
    <row r="3042" spans="1:3">
      <c r="A3042" t="s">
        <v>2476</v>
      </c>
      <c r="B3042" t="str">
        <f ca="1">IF(ISBLANK(OFFSET(B3042,0,'Field labels'!$Q$1)),C3042,OFFSET(B3042,0,'Field labels'!$Q$1))</f>
        <v>Credit assistant [21100092]</v>
      </c>
      <c r="C3042" t="s">
        <v>2394</v>
      </c>
    </row>
    <row r="3043" spans="1:3">
      <c r="A3043" t="s">
        <v>2476</v>
      </c>
      <c r="B3043" t="str">
        <f ca="1">IF(ISBLANK(OFFSET(B3043,0,'Field labels'!$Q$1)),C3043,OFFSET(B3043,0,'Field labels'!$Q$1))</f>
        <v>Credit Manager [21100017]</v>
      </c>
      <c r="C3043" t="s">
        <v>2319</v>
      </c>
    </row>
    <row r="3044" spans="1:3">
      <c r="A3044" t="s">
        <v>2476</v>
      </c>
      <c r="B3044" t="str">
        <f ca="1">IF(ISBLANK(OFFSET(B3044,0,'Field labels'!$Q$1)),C3044,OFFSET(B3044,0,'Field labels'!$Q$1))</f>
        <v>Crop Input Manager [21100018]</v>
      </c>
      <c r="C3044" t="s">
        <v>2320</v>
      </c>
    </row>
    <row r="3045" spans="1:3">
      <c r="A3045" t="s">
        <v>2476</v>
      </c>
      <c r="B3045" t="str">
        <f ca="1">IF(ISBLANK(OFFSET(B3045,0,'Field labels'!$Q$1)),C3045,OFFSET(B3045,0,'Field labels'!$Q$1))</f>
        <v>Custodian [21100084]</v>
      </c>
      <c r="C3045" t="s">
        <v>2386</v>
      </c>
    </row>
    <row r="3046" spans="1:3">
      <c r="A3046" t="s">
        <v>2476</v>
      </c>
      <c r="B3046" t="str">
        <f ca="1">IF(ISBLANK(OFFSET(B3046,0,'Field labels'!$Q$1)),C3046,OFFSET(B3046,0,'Field labels'!$Q$1))</f>
        <v>Customer service administ [21100093]</v>
      </c>
      <c r="C3046" t="s">
        <v>2395</v>
      </c>
    </row>
    <row r="3047" spans="1:3">
      <c r="A3047" t="s">
        <v>2476</v>
      </c>
      <c r="B3047" t="str">
        <f ca="1">IF(ISBLANK(OFFSET(B3047,0,'Field labels'!$Q$1)),C3047,OFFSET(B3047,0,'Field labels'!$Q$1))</f>
        <v>Customer Service Assist. [21100094]</v>
      </c>
      <c r="C3047" t="s">
        <v>2396</v>
      </c>
    </row>
    <row r="3048" spans="1:3">
      <c r="A3048" t="s">
        <v>2476</v>
      </c>
      <c r="B3048" t="str">
        <f ca="1">IF(ISBLANK(OFFSET(B3048,0,'Field labels'!$Q$1)),C3048,OFFSET(B3048,0,'Field labels'!$Q$1))</f>
        <v>Custormer service admin. [21100095]</v>
      </c>
      <c r="C3048" t="s">
        <v>2397</v>
      </c>
    </row>
    <row r="3049" spans="1:3">
      <c r="A3049" t="s">
        <v>2476</v>
      </c>
      <c r="B3049" t="str">
        <f ca="1">IF(ISBLANK(OFFSET(B3049,0,'Field labels'!$Q$1)),C3049,OFFSET(B3049,0,'Field labels'!$Q$1))</f>
        <v>DC Trader [21100019]</v>
      </c>
      <c r="C3049" t="s">
        <v>2321</v>
      </c>
    </row>
    <row r="3050" spans="1:3">
      <c r="A3050" t="s">
        <v>2476</v>
      </c>
      <c r="B3050" t="str">
        <f ca="1">IF(ISBLANK(OFFSET(B3050,0,'Field labels'!$Q$1)),C3050,OFFSET(B3050,0,'Field labels'!$Q$1))</f>
        <v>Dealer manager [21100096]</v>
      </c>
      <c r="C3050" t="s">
        <v>2398</v>
      </c>
    </row>
    <row r="3051" spans="1:3">
      <c r="A3051" t="s">
        <v>2476</v>
      </c>
      <c r="B3051" t="str">
        <f ca="1">IF(ISBLANK(OFFSET(B3051,0,'Field labels'!$Q$1)),C3051,OFFSET(B3051,0,'Field labels'!$Q$1))</f>
        <v>Dealer sales adviser [21100097]</v>
      </c>
      <c r="C3051" t="s">
        <v>2399</v>
      </c>
    </row>
    <row r="3052" spans="1:3">
      <c r="A3052" t="s">
        <v>2476</v>
      </c>
      <c r="B3052" t="str">
        <f ca="1">IF(ISBLANK(OFFSET(B3052,0,'Field labels'!$Q$1)),C3052,OFFSET(B3052,0,'Field labels'!$Q$1))</f>
        <v>Demand Customer Manager [21100020]</v>
      </c>
      <c r="C3052" t="s">
        <v>2322</v>
      </c>
    </row>
    <row r="3053" spans="1:3">
      <c r="A3053" t="s">
        <v>2476</v>
      </c>
      <c r="B3053" t="str">
        <f ca="1">IF(ISBLANK(OFFSET(B3053,0,'Field labels'!$Q$1)),C3053,OFFSET(B3053,0,'Field labels'!$Q$1))</f>
        <v>Deputy Lab Manager [21100021]</v>
      </c>
      <c r="C3053" t="s">
        <v>2323</v>
      </c>
    </row>
    <row r="3054" spans="1:3">
      <c r="A3054" t="s">
        <v>2476</v>
      </c>
      <c r="B3054" t="str">
        <f ca="1">IF(ISBLANK(OFFSET(B3054,0,'Field labels'!$Q$1)),C3054,OFFSET(B3054,0,'Field labels'!$Q$1))</f>
        <v>Deputy Silo Manager [21100022]</v>
      </c>
      <c r="C3054" t="s">
        <v>2324</v>
      </c>
    </row>
    <row r="3055" spans="1:3">
      <c r="A3055" t="s">
        <v>2476</v>
      </c>
      <c r="B3055" t="str">
        <f ca="1">IF(ISBLANK(OFFSET(B3055,0,'Field labels'!$Q$1)),C3055,OFFSET(B3055,0,'Field labels'!$Q$1))</f>
        <v>Driver [21100098]</v>
      </c>
      <c r="C3055" t="s">
        <v>2400</v>
      </c>
    </row>
    <row r="3056" spans="1:3">
      <c r="A3056" t="s">
        <v>2476</v>
      </c>
      <c r="B3056" t="str">
        <f ca="1">IF(ISBLANK(OFFSET(B3056,0,'Field labels'!$Q$1)),C3056,OFFSET(B3056,0,'Field labels'!$Q$1))</f>
        <v>EHS COORDINATOR [21100023]</v>
      </c>
      <c r="C3056" t="s">
        <v>2325</v>
      </c>
    </row>
    <row r="3057" spans="1:3">
      <c r="A3057" t="s">
        <v>2476</v>
      </c>
      <c r="B3057" t="str">
        <f ca="1">IF(ISBLANK(OFFSET(B3057,0,'Field labels'!$Q$1)),C3057,OFFSET(B3057,0,'Field labels'!$Q$1))</f>
        <v>Employment and PY Admin. [21100099]</v>
      </c>
      <c r="C3057" t="s">
        <v>2401</v>
      </c>
    </row>
    <row r="3058" spans="1:3">
      <c r="A3058" t="s">
        <v>2476</v>
      </c>
      <c r="B3058" t="str">
        <f ca="1">IF(ISBLANK(OFFSET(B3058,0,'Field labels'!$Q$1)),C3058,OFFSET(B3058,0,'Field labels'!$Q$1))</f>
        <v>Executive Assistant [21100024]</v>
      </c>
      <c r="C3058" t="s">
        <v>2326</v>
      </c>
    </row>
    <row r="3059" spans="1:3">
      <c r="A3059" t="s">
        <v>2476</v>
      </c>
      <c r="B3059" t="str">
        <f ca="1">IF(ISBLANK(OFFSET(B3059,0,'Field labels'!$Q$1)),C3059,OFFSET(B3059,0,'Field labels'!$Q$1))</f>
        <v>Expat [21100025]</v>
      </c>
      <c r="C3059" t="s">
        <v>2327</v>
      </c>
    </row>
    <row r="3060" spans="1:3">
      <c r="A3060" t="s">
        <v>2476</v>
      </c>
      <c r="B3060" t="str">
        <f ca="1">IF(ISBLANK(OFFSET(B3060,0,'Field labels'!$Q$1)),C3060,OFFSET(B3060,0,'Field labels'!$Q$1))</f>
        <v>Feed Plant Manager [21100100]</v>
      </c>
      <c r="C3060" t="s">
        <v>2402</v>
      </c>
    </row>
    <row r="3061" spans="1:3">
      <c r="A3061" t="s">
        <v>2476</v>
      </c>
      <c r="B3061" t="str">
        <f ca="1">IF(ISBLANK(OFFSET(B3061,0,'Field labels'!$Q$1)),C3061,OFFSET(B3061,0,'Field labels'!$Q$1))</f>
        <v>Finance controller [21100101]</v>
      </c>
      <c r="C3061" t="s">
        <v>2403</v>
      </c>
    </row>
    <row r="3062" spans="1:3">
      <c r="A3062" t="s">
        <v>2476</v>
      </c>
      <c r="B3062" t="str">
        <f ca="1">IF(ISBLANK(OFFSET(B3062,0,'Field labels'!$Q$1)),C3062,OFFSET(B3062,0,'Field labels'!$Q$1))</f>
        <v>Financial Assistant [21100103]</v>
      </c>
      <c r="C3062" t="s">
        <v>2405</v>
      </c>
    </row>
    <row r="3063" spans="1:3">
      <c r="A3063" t="s">
        <v>2476</v>
      </c>
      <c r="B3063" t="str">
        <f ca="1">IF(ISBLANK(OFFSET(B3063,0,'Field labels'!$Q$1)),C3063,OFFSET(B3063,0,'Field labels'!$Q$1))</f>
        <v>Financial Controller [21100104]</v>
      </c>
      <c r="C3063" t="s">
        <v>2406</v>
      </c>
    </row>
    <row r="3064" spans="1:3">
      <c r="A3064" t="s">
        <v>2476</v>
      </c>
      <c r="B3064" t="str">
        <f ca="1">IF(ISBLANK(OFFSET(B3064,0,'Field labels'!$Q$1)),C3064,OFFSET(B3064,0,'Field labels'!$Q$1))</f>
        <v>Financial Manager [21100026]</v>
      </c>
      <c r="C3064" t="s">
        <v>2328</v>
      </c>
    </row>
    <row r="3065" spans="1:3">
      <c r="A3065" t="s">
        <v>2476</v>
      </c>
      <c r="B3065" t="str">
        <f ca="1">IF(ISBLANK(OFFSET(B3065,0,'Field labels'!$Q$1)),C3065,OFFSET(B3065,0,'Field labels'!$Q$1))</f>
        <v>Formulation Team Lead [21100105]</v>
      </c>
      <c r="C3065" t="s">
        <v>2407</v>
      </c>
    </row>
    <row r="3066" spans="1:3">
      <c r="A3066" t="s">
        <v>2476</v>
      </c>
      <c r="B3066" t="str">
        <f ca="1">IF(ISBLANK(OFFSET(B3066,0,'Field labels'!$Q$1)),C3066,OFFSET(B3066,0,'Field labels'!$Q$1))</f>
        <v>Formulator [21100106]</v>
      </c>
      <c r="C3066" t="s">
        <v>2408</v>
      </c>
    </row>
    <row r="3067" spans="1:3">
      <c r="A3067" t="s">
        <v>2476</v>
      </c>
      <c r="B3067" t="str">
        <f ca="1">IF(ISBLANK(OFFSET(B3067,0,'Field labels'!$Q$1)),C3067,OFFSET(B3067,0,'Field labels'!$Q$1))</f>
        <v>Freight Assistant [21100027]</v>
      </c>
      <c r="C3067" t="s">
        <v>2329</v>
      </c>
    </row>
    <row r="3068" spans="1:3">
      <c r="A3068" t="s">
        <v>2476</v>
      </c>
      <c r="B3068" t="str">
        <f ca="1">IF(ISBLANK(OFFSET(B3068,0,'Field labels'!$Q$1)),C3068,OFFSET(B3068,0,'Field labels'!$Q$1))</f>
        <v>Freight Coordinator [21100028]</v>
      </c>
      <c r="C3068" t="s">
        <v>2330</v>
      </c>
    </row>
    <row r="3069" spans="1:3">
      <c r="A3069" t="s">
        <v>2476</v>
      </c>
      <c r="B3069" t="str">
        <f ca="1">IF(ISBLANK(OFFSET(B3069,0,'Field labels'!$Q$1)),C3069,OFFSET(B3069,0,'Field labels'!$Q$1))</f>
        <v>Freight Teamleader [21100029]</v>
      </c>
      <c r="C3069" t="s">
        <v>2331</v>
      </c>
    </row>
    <row r="3070" spans="1:3">
      <c r="A3070" t="s">
        <v>2476</v>
      </c>
      <c r="B3070" t="str">
        <f ca="1">IF(ISBLANK(OFFSET(B3070,0,'Field labels'!$Q$1)),C3070,OFFSET(B3070,0,'Field labels'!$Q$1))</f>
        <v>Gatekeeper [21100107]</v>
      </c>
      <c r="C3070" t="s">
        <v>2409</v>
      </c>
    </row>
    <row r="3071" spans="1:3">
      <c r="A3071" t="s">
        <v>2476</v>
      </c>
      <c r="B3071" t="str">
        <f ca="1">IF(ISBLANK(OFFSET(B3071,0,'Field labels'!$Q$1)),C3071,OFFSET(B3071,0,'Field labels'!$Q$1))</f>
        <v>HR Generalist [21100169]</v>
      </c>
      <c r="C3071" t="s">
        <v>2471</v>
      </c>
    </row>
    <row r="3072" spans="1:3">
      <c r="A3072" t="s">
        <v>2476</v>
      </c>
      <c r="B3072" t="str">
        <f ca="1">IF(ISBLANK(OFFSET(B3072,0,'Field labels'!$Q$1)),C3072,OFFSET(B3072,0,'Field labels'!$Q$1))</f>
        <v>HR Manager [21100030]</v>
      </c>
      <c r="C3072" t="s">
        <v>2332</v>
      </c>
    </row>
    <row r="3073" spans="1:3">
      <c r="A3073" t="s">
        <v>2476</v>
      </c>
      <c r="B3073" t="str">
        <f ca="1">IF(ISBLANK(OFFSET(B3073,0,'Field labels'!$Q$1)),C3073,OFFSET(B3073,0,'Field labels'!$Q$1))</f>
        <v>HR Operations Lead [21100165]</v>
      </c>
      <c r="C3073" t="s">
        <v>2467</v>
      </c>
    </row>
    <row r="3074" spans="1:3">
      <c r="A3074" t="s">
        <v>2476</v>
      </c>
      <c r="B3074" t="str">
        <f ca="1">IF(ISBLANK(OFFSET(B3074,0,'Field labels'!$Q$1)),C3074,OFFSET(B3074,0,'Field labels'!$Q$1))</f>
        <v>HR specialist [21100102]</v>
      </c>
      <c r="C3074" t="s">
        <v>2404</v>
      </c>
    </row>
    <row r="3075" spans="1:3">
      <c r="A3075" t="s">
        <v>2476</v>
      </c>
      <c r="B3075" t="str">
        <f ca="1">IF(ISBLANK(OFFSET(B3075,0,'Field labels'!$Q$1)),C3075,OFFSET(B3075,0,'Field labels'!$Q$1))</f>
        <v>Input Storekeeper [21100031]</v>
      </c>
      <c r="C3075" t="s">
        <v>2333</v>
      </c>
    </row>
    <row r="3076" spans="1:3">
      <c r="A3076" t="s">
        <v>2476</v>
      </c>
      <c r="B3076" t="str">
        <f ca="1">IF(ISBLANK(OFFSET(B3076,0,'Field labels'!$Q$1)),C3076,OFFSET(B3076,0,'Field labels'!$Q$1))</f>
        <v>Intern [21100172]</v>
      </c>
      <c r="C3076" t="s">
        <v>2474</v>
      </c>
    </row>
    <row r="3077" spans="1:3">
      <c r="A3077" t="s">
        <v>2476</v>
      </c>
      <c r="B3077" t="str">
        <f ca="1">IF(ISBLANK(OFFSET(B3077,0,'Field labels'!$Q$1)),C3077,OFFSET(B3077,0,'Field labels'!$Q$1))</f>
        <v>Internat.Audit &amp; Tax Repr [21100108]</v>
      </c>
      <c r="C3077" t="s">
        <v>2410</v>
      </c>
    </row>
    <row r="3078" spans="1:3">
      <c r="A3078" s="22" t="s">
        <v>2476</v>
      </c>
      <c r="B3078" s="22" t="str">
        <f ca="1">IF(ISBLANK(OFFSET(B3078,0,'Field labels'!$Q$1)),C3078,OFFSET(B3078,0,'Field labels'!$Q$1))</f>
        <v>Inventory Management Assi [21100032]</v>
      </c>
      <c r="C3078" s="22" t="s">
        <v>2334</v>
      </c>
    </row>
    <row r="3079" spans="1:3">
      <c r="A3079" s="22" t="s">
        <v>2476</v>
      </c>
      <c r="B3079" s="22" t="str">
        <f ca="1">IF(ISBLANK(OFFSET(B3079,0,'Field labels'!$Q$1)),C3079,OFFSET(B3079,0,'Field labels'!$Q$1))</f>
        <v>Inventory Management TLea [21100033]</v>
      </c>
      <c r="C3079" s="22" t="s">
        <v>2335</v>
      </c>
    </row>
    <row r="3080" spans="1:3">
      <c r="A3080" s="22" t="s">
        <v>2476</v>
      </c>
      <c r="B3080" s="22" t="str">
        <f ca="1">IF(ISBLANK(OFFSET(B3080,0,'Field labels'!$Q$1)),C3080,OFFSET(B3080,0,'Field labels'!$Q$1))</f>
        <v>IT Manager [21100109]</v>
      </c>
      <c r="C3080" s="22" t="s">
        <v>2411</v>
      </c>
    </row>
    <row r="3081" spans="1:3">
      <c r="A3081" s="22" t="s">
        <v>2476</v>
      </c>
      <c r="B3081" s="22" t="str">
        <f ca="1">IF(ISBLANK(OFFSET(B3081,0,'Field labels'!$Q$1)),C3081,OFFSET(B3081,0,'Field labels'!$Q$1))</f>
        <v>IT PROGRAMMER [21100034]</v>
      </c>
      <c r="C3081" s="22" t="s">
        <v>2336</v>
      </c>
    </row>
    <row r="3082" spans="1:3">
      <c r="A3082" s="22" t="s">
        <v>2476</v>
      </c>
      <c r="B3082" s="22" t="str">
        <f ca="1">IF(ISBLANK(OFFSET(B3082,0,'Field labels'!$Q$1)),C3082,OFFSET(B3082,0,'Field labels'!$Q$1))</f>
        <v>IT specialist [21100110]</v>
      </c>
      <c r="C3082" s="22" t="s">
        <v>2412</v>
      </c>
    </row>
    <row r="3083" spans="1:3">
      <c r="A3083" s="22" t="s">
        <v>2476</v>
      </c>
      <c r="B3083" s="22" t="str">
        <f ca="1">IF(ISBLANK(OFFSET(B3083,0,'Field labels'!$Q$1)),C3083,OFFSET(B3083,0,'Field labels'!$Q$1))</f>
        <v>Junior Dealer Manager [21100111]</v>
      </c>
      <c r="C3083" s="22" t="s">
        <v>2413</v>
      </c>
    </row>
    <row r="3084" spans="1:3">
      <c r="A3084" s="22" t="s">
        <v>2476</v>
      </c>
      <c r="B3084" s="22" t="str">
        <f ca="1">IF(ISBLANK(OFFSET(B3084,0,'Field labels'!$Q$1)),C3084,OFFSET(B3084,0,'Field labels'!$Q$1))</f>
        <v>Junior Pipeline Planner [21100035]</v>
      </c>
      <c r="C3084" s="22" t="s">
        <v>2337</v>
      </c>
    </row>
    <row r="3085" spans="1:3">
      <c r="A3085" s="22" t="s">
        <v>2476</v>
      </c>
      <c r="B3085" s="22" t="str">
        <f ca="1">IF(ISBLANK(OFFSET(B3085,0,'Field labels'!$Q$1)),C3085,OFFSET(B3085,0,'Field labels'!$Q$1))</f>
        <v>Junior Recruiter [21100166]</v>
      </c>
      <c r="C3085" s="22" t="s">
        <v>2468</v>
      </c>
    </row>
    <row r="3086" spans="1:3">
      <c r="A3086" s="22" t="s">
        <v>2476</v>
      </c>
      <c r="B3086" s="22" t="str">
        <f ca="1">IF(ISBLANK(OFFSET(B3086,0,'Field labels'!$Q$1)),C3086,OFFSET(B3086,0,'Field labels'!$Q$1))</f>
        <v>Junior Trader [21100171]</v>
      </c>
      <c r="C3086" s="22" t="s">
        <v>2473</v>
      </c>
    </row>
    <row r="3087" spans="1:3">
      <c r="A3087" s="22" t="s">
        <v>2476</v>
      </c>
      <c r="B3087" s="22" t="str">
        <f ca="1">IF(ISBLANK(OFFSET(B3087,0,'Field labels'!$Q$1)),C3087,OFFSET(B3087,0,'Field labels'!$Q$1))</f>
        <v>Junior Trading Accountant [21100036]</v>
      </c>
      <c r="C3087" s="22" t="s">
        <v>2338</v>
      </c>
    </row>
    <row r="3088" spans="1:3">
      <c r="A3088" s="22" t="s">
        <v>2476</v>
      </c>
      <c r="B3088" s="22" t="str">
        <f ca="1">IF(ISBLANK(OFFSET(B3088,0,'Field labels'!$Q$1)),C3088,OFFSET(B3088,0,'Field labels'!$Q$1))</f>
        <v>Key Account Man.-Rabbit [21100113]</v>
      </c>
      <c r="C3088" s="22" t="s">
        <v>2415</v>
      </c>
    </row>
    <row r="3089" spans="1:3">
      <c r="A3089" s="22" t="s">
        <v>2476</v>
      </c>
      <c r="B3089" s="22" t="str">
        <f ca="1">IF(ISBLANK(OFFSET(B3089,0,'Field labels'!$Q$1)),C3089,OFFSET(B3089,0,'Field labels'!$Q$1))</f>
        <v>Key Account Manager [21100112]</v>
      </c>
      <c r="C3089" s="22" t="s">
        <v>2414</v>
      </c>
    </row>
    <row r="3090" spans="1:3">
      <c r="A3090" s="22" t="s">
        <v>2476</v>
      </c>
      <c r="B3090" s="22" t="str">
        <f ca="1">IF(ISBLANK(OFFSET(B3090,0,'Field labels'!$Q$1)),C3090,OFFSET(B3090,0,'Field labels'!$Q$1))</f>
        <v>LAB Manager [21100037]</v>
      </c>
      <c r="C3090" s="22" t="s">
        <v>2339</v>
      </c>
    </row>
    <row r="3091" spans="1:3">
      <c r="A3091" s="22" t="s">
        <v>2476</v>
      </c>
      <c r="B3091" s="22" t="str">
        <f ca="1">IF(ISBLANK(OFFSET(B3091,0,'Field labels'!$Q$1)),C3091,OFFSET(B3091,0,'Field labels'!$Q$1))</f>
        <v>Laboratory Analyst [21100114]</v>
      </c>
      <c r="C3091" s="22" t="s">
        <v>2416</v>
      </c>
    </row>
    <row r="3092" spans="1:3">
      <c r="A3092" s="22" t="s">
        <v>2476</v>
      </c>
      <c r="B3092" s="22" t="str">
        <f ca="1">IF(ISBLANK(OFFSET(B3092,0,'Field labels'!$Q$1)),C3092,OFFSET(B3092,0,'Field labels'!$Q$1))</f>
        <v>Laboratory assistant [21100115]</v>
      </c>
      <c r="C3092" s="22" t="s">
        <v>2417</v>
      </c>
    </row>
    <row r="3093" spans="1:3">
      <c r="A3093" s="22" t="s">
        <v>2476</v>
      </c>
      <c r="B3093" s="22" t="str">
        <f ca="1">IF(ISBLANK(OFFSET(B3093,0,'Field labels'!$Q$1)),C3093,OFFSET(B3093,0,'Field labels'!$Q$1))</f>
        <v>Laboratory manager [21100116]</v>
      </c>
      <c r="C3093" s="22" t="s">
        <v>2418</v>
      </c>
    </row>
    <row r="3094" spans="1:3">
      <c r="A3094" s="22" t="s">
        <v>2476</v>
      </c>
      <c r="B3094" s="22" t="str">
        <f ca="1">IF(ISBLANK(OFFSET(B3094,0,'Field labels'!$Q$1)),C3094,OFFSET(B3094,0,'Field labels'!$Q$1))</f>
        <v>Lead Lawyer [21100038]</v>
      </c>
      <c r="C3094" s="22" t="s">
        <v>2340</v>
      </c>
    </row>
    <row r="3095" spans="1:3">
      <c r="A3095" s="22" t="s">
        <v>2476</v>
      </c>
      <c r="B3095" s="22" t="str">
        <f ca="1">IF(ISBLANK(OFFSET(B3095,0,'Field labels'!$Q$1)),C3095,OFFSET(B3095,0,'Field labels'!$Q$1))</f>
        <v>Logistic Manager [21100039]</v>
      </c>
      <c r="C3095" s="22" t="s">
        <v>2341</v>
      </c>
    </row>
    <row r="3096" spans="1:3">
      <c r="A3096" s="22" t="s">
        <v>2476</v>
      </c>
      <c r="B3096" s="22" t="str">
        <f ca="1">IF(ISBLANK(OFFSET(B3096,0,'Field labels'!$Q$1)),C3096,OFFSET(B3096,0,'Field labels'!$Q$1))</f>
        <v>Logistics Compliance Advi [21100040]</v>
      </c>
      <c r="C3096" s="22" t="s">
        <v>2342</v>
      </c>
    </row>
    <row r="3097" spans="1:3">
      <c r="A3097" s="22" t="s">
        <v>2476</v>
      </c>
      <c r="B3097" s="22" t="str">
        <f ca="1">IF(ISBLANK(OFFSET(B3097,0,'Field labels'!$Q$1)),C3097,OFFSET(B3097,0,'Field labels'!$Q$1))</f>
        <v>Logistics Compliance Spec [21100041]</v>
      </c>
      <c r="C3097" s="22" t="s">
        <v>2343</v>
      </c>
    </row>
    <row r="3098" spans="1:3">
      <c r="A3098" s="22" t="s">
        <v>2476</v>
      </c>
      <c r="B3098" s="22" t="str">
        <f ca="1">IF(ISBLANK(OFFSET(B3098,0,'Field labels'!$Q$1)),C3098,OFFSET(B3098,0,'Field labels'!$Q$1))</f>
        <v>LOGISTICS COORDINATOR [21100042]</v>
      </c>
      <c r="C3098" s="22" t="s">
        <v>2344</v>
      </c>
    </row>
    <row r="3099" spans="1:3">
      <c r="A3099" s="22" t="s">
        <v>2476</v>
      </c>
      <c r="B3099" s="22" t="str">
        <f ca="1">IF(ISBLANK(OFFSET(B3099,0,'Field labels'!$Q$1)),C3099,OFFSET(B3099,0,'Field labels'!$Q$1))</f>
        <v>Maintainer [21100117]</v>
      </c>
      <c r="C3099" s="22" t="s">
        <v>2419</v>
      </c>
    </row>
    <row r="3100" spans="1:3">
      <c r="A3100" s="22" t="s">
        <v>2476</v>
      </c>
      <c r="B3100" s="22" t="str">
        <f ca="1">IF(ISBLANK(OFFSET(B3100,0,'Field labels'!$Q$1)),C3100,OFFSET(B3100,0,'Field labels'!$Q$1))</f>
        <v>Maintanance leader [21100119]</v>
      </c>
      <c r="C3100" s="22" t="s">
        <v>2421</v>
      </c>
    </row>
    <row r="3101" spans="1:3">
      <c r="A3101" s="22" t="s">
        <v>2476</v>
      </c>
      <c r="B3101" s="22" t="str">
        <f ca="1">IF(ISBLANK(OFFSET(B3101,0,'Field labels'!$Q$1)),C3101,OFFSET(B3101,0,'Field labels'!$Q$1))</f>
        <v>Maintanance&amp;ProductWorker [21100118]</v>
      </c>
      <c r="C3101" s="22" t="s">
        <v>2420</v>
      </c>
    </row>
    <row r="3102" spans="1:3">
      <c r="A3102" s="22" t="s">
        <v>2476</v>
      </c>
      <c r="B3102" s="22" t="str">
        <f ca="1">IF(ISBLANK(OFFSET(B3102,0,'Field labels'!$Q$1)),C3102,OFFSET(B3102,0,'Field labels'!$Q$1))</f>
        <v>Maintenance manager [21100120]</v>
      </c>
      <c r="C3102" s="22" t="s">
        <v>2422</v>
      </c>
    </row>
    <row r="3103" spans="1:3">
      <c r="A3103" s="22" t="s">
        <v>2476</v>
      </c>
      <c r="B3103" s="22" t="str">
        <f ca="1">IF(ISBLANK(OFFSET(B3103,0,'Field labels'!$Q$1)),C3103,OFFSET(B3103,0,'Field labels'!$Q$1))</f>
        <v>Management Accountant [21100121]</v>
      </c>
      <c r="C3103" s="22" t="s">
        <v>2423</v>
      </c>
    </row>
    <row r="3104" spans="1:3">
      <c r="A3104" s="22" t="s">
        <v>2476</v>
      </c>
      <c r="B3104" s="22" t="str">
        <f ca="1">IF(ISBLANK(OFFSET(B3104,0,'Field labels'!$Q$1)),C3104,OFFSET(B3104,0,'Field labels'!$Q$1))</f>
        <v>Marketing Coordinator [21100043]</v>
      </c>
      <c r="C3104" s="22" t="s">
        <v>2345</v>
      </c>
    </row>
    <row r="3105" spans="1:3">
      <c r="A3105" s="22" t="s">
        <v>2476</v>
      </c>
      <c r="B3105" s="22" t="str">
        <f ca="1">IF(ISBLANK(OFFSET(B3105,0,'Field labels'!$Q$1)),C3105,OFFSET(B3105,0,'Field labels'!$Q$1))</f>
        <v>Marketing Manager [21100044]</v>
      </c>
      <c r="C3105" s="22" t="s">
        <v>2346</v>
      </c>
    </row>
    <row r="3106" spans="1:3">
      <c r="A3106" s="22" t="s">
        <v>2476</v>
      </c>
      <c r="B3106" s="22" t="str">
        <f ca="1">IF(ISBLANK(OFFSET(B3106,0,'Field labels'!$Q$1)),C3106,OFFSET(B3106,0,'Field labels'!$Q$1))</f>
        <v>Marketing Manager CFN SEE [21100122]</v>
      </c>
      <c r="C3106" s="22" t="s">
        <v>2424</v>
      </c>
    </row>
    <row r="3107" spans="1:3">
      <c r="A3107" s="22" t="s">
        <v>2476</v>
      </c>
      <c r="B3107" s="22" t="str">
        <f ca="1">IF(ISBLANK(OFFSET(B3107,0,'Field labels'!$Q$1)),C3107,OFFSET(B3107,0,'Field labels'!$Q$1))</f>
        <v>Material Farmer -Logistic [21100123]</v>
      </c>
      <c r="C3107" s="22" t="s">
        <v>2425</v>
      </c>
    </row>
    <row r="3108" spans="1:3">
      <c r="A3108" s="22" t="s">
        <v>2476</v>
      </c>
      <c r="B3108" s="22" t="str">
        <f ca="1">IF(ISBLANK(OFFSET(B3108,0,'Field labels'!$Q$1)),C3108,OFFSET(B3108,0,'Field labels'!$Q$1))</f>
        <v>Mechanical engineer [21100159]</v>
      </c>
      <c r="C3108" s="22" t="s">
        <v>2461</v>
      </c>
    </row>
    <row r="3109" spans="1:3">
      <c r="A3109" s="22" t="s">
        <v>2476</v>
      </c>
      <c r="B3109" s="22" t="str">
        <f ca="1">IF(ISBLANK(OFFSET(B3109,0,'Field labels'!$Q$1)),C3109,OFFSET(B3109,0,'Field labels'!$Q$1))</f>
        <v>Merchandising Manager [21100045]</v>
      </c>
      <c r="C3109" s="22" t="s">
        <v>2347</v>
      </c>
    </row>
    <row r="3110" spans="1:3">
      <c r="A3110" s="22" t="s">
        <v>2476</v>
      </c>
      <c r="B3110" s="22" t="str">
        <f ca="1">IF(ISBLANK(OFFSET(B3110,0,'Field labels'!$Q$1)),C3110,OFFSET(B3110,0,'Field labels'!$Q$1))</f>
        <v>National Sales Manager [21100046]</v>
      </c>
      <c r="C3110" s="22" t="s">
        <v>2348</v>
      </c>
    </row>
    <row r="3111" spans="1:3">
      <c r="A3111" s="22" t="s">
        <v>2476</v>
      </c>
      <c r="B3111" s="22" t="str">
        <f ca="1">IF(ISBLANK(OFFSET(B3111,0,'Field labels'!$Q$1)),C3111,OFFSET(B3111,0,'Field labels'!$Q$1))</f>
        <v>NGFI Teamleader [21100047]</v>
      </c>
      <c r="C3111" s="22" t="s">
        <v>2349</v>
      </c>
    </row>
    <row r="3112" spans="1:3">
      <c r="A3112" s="22" t="s">
        <v>2476</v>
      </c>
      <c r="B3112" s="22" t="str">
        <f ca="1">IF(ISBLANK(OFFSET(B3112,0,'Field labels'!$Q$1)),C3112,OFFSET(B3112,0,'Field labels'!$Q$1))</f>
        <v>NGFI Trader [21100048]</v>
      </c>
      <c r="C3112" s="22" t="s">
        <v>2350</v>
      </c>
    </row>
    <row r="3113" spans="1:3">
      <c r="A3113" s="22" t="s">
        <v>2476</v>
      </c>
      <c r="B3113" s="22" t="str">
        <f ca="1">IF(ISBLANK(OFFSET(B3113,0,'Field labels'!$Q$1)),C3113,OFFSET(B3113,0,'Field labels'!$Q$1))</f>
        <v>No position [00000000]</v>
      </c>
      <c r="C3113" s="22" t="s">
        <v>2302</v>
      </c>
    </row>
    <row r="3114" spans="1:3">
      <c r="A3114" s="22" t="s">
        <v>2476</v>
      </c>
      <c r="B3114" s="22" t="str">
        <f ca="1">IF(ISBLANK(OFFSET(B3114,0,'Field labels'!$Q$1)),C3114,OFFSET(B3114,0,'Field labels'!$Q$1))</f>
        <v>Office Assistant [21100049]</v>
      </c>
      <c r="C3114" s="22" t="s">
        <v>2351</v>
      </c>
    </row>
    <row r="3115" spans="1:3">
      <c r="A3115" s="22" t="s">
        <v>2476</v>
      </c>
      <c r="B3115" s="22" t="str">
        <f ca="1">IF(ISBLANK(OFFSET(B3115,0,'Field labels'!$Q$1)),C3115,OFFSET(B3115,0,'Field labels'!$Q$1))</f>
        <v>Operation Manager [21100050]</v>
      </c>
      <c r="C3115" s="22" t="s">
        <v>2352</v>
      </c>
    </row>
    <row r="3116" spans="1:3">
      <c r="A3116" s="22" t="s">
        <v>2476</v>
      </c>
      <c r="B3116" s="22" t="str">
        <f ca="1">IF(ISBLANK(OFFSET(B3116,0,'Field labels'!$Q$1)),C3116,OFFSET(B3116,0,'Field labels'!$Q$1))</f>
        <v>Operations DirectorCFNSEE [21100124]</v>
      </c>
      <c r="C3116" s="22" t="s">
        <v>2426</v>
      </c>
    </row>
    <row r="3117" spans="1:3">
      <c r="A3117" s="22" t="s">
        <v>2476</v>
      </c>
      <c r="B3117" s="22" t="str">
        <f ca="1">IF(ISBLANK(OFFSET(B3117,0,'Field labels'!$Q$1)),C3117,OFFSET(B3117,0,'Field labels'!$Q$1))</f>
        <v>PAT Coordinator [21100051]</v>
      </c>
      <c r="C3117" s="22" t="s">
        <v>2353</v>
      </c>
    </row>
    <row r="3118" spans="1:3">
      <c r="A3118" s="22" t="s">
        <v>2476</v>
      </c>
      <c r="B3118" s="22" t="str">
        <f ca="1">IF(ISBLANK(OFFSET(B3118,0,'Field labels'!$Q$1)),C3118,OFFSET(B3118,0,'Field labels'!$Q$1))</f>
        <v>Payroll Administrator [21100167]</v>
      </c>
      <c r="C3118" s="22" t="s">
        <v>2469</v>
      </c>
    </row>
    <row r="3119" spans="1:3">
      <c r="A3119" s="22" t="s">
        <v>2476</v>
      </c>
      <c r="B3119" s="22" t="str">
        <f ca="1">IF(ISBLANK(OFFSET(B3119,0,'Field labels'!$Q$1)),C3119,OFFSET(B3119,0,'Field labels'!$Q$1))</f>
        <v>Payroll Coordinator [21100052]</v>
      </c>
      <c r="C3119" s="22" t="s">
        <v>2354</v>
      </c>
    </row>
    <row r="3120" spans="1:3">
      <c r="A3120" s="22" t="s">
        <v>2476</v>
      </c>
      <c r="B3120" s="22" t="str">
        <f ca="1">IF(ISBLANK(OFFSET(B3120,0,'Field labels'!$Q$1)),C3120,OFFSET(B3120,0,'Field labels'!$Q$1))</f>
        <v>Payroll/IR Specialist [21100168]</v>
      </c>
      <c r="C3120" s="22" t="s">
        <v>2470</v>
      </c>
    </row>
    <row r="3121" spans="1:3">
      <c r="A3121" s="22" t="s">
        <v>2476</v>
      </c>
      <c r="B3121" s="22" t="str">
        <f ca="1">IF(ISBLANK(OFFSET(B3121,0,'Field labels'!$Q$1)),C3121,OFFSET(B3121,0,'Field labels'!$Q$1))</f>
        <v>Petfood Plant Manager [21100125]</v>
      </c>
      <c r="C3121" s="22" t="s">
        <v>2427</v>
      </c>
    </row>
    <row r="3122" spans="1:3">
      <c r="A3122" s="22" t="s">
        <v>2476</v>
      </c>
      <c r="B3122" s="22" t="str">
        <f ca="1">IF(ISBLANK(OFFSET(B3122,0,'Field labels'!$Q$1)),C3122,OFFSET(B3122,0,'Field labels'!$Q$1))</f>
        <v>Pipeline Planner [21100053]</v>
      </c>
      <c r="C3122" s="22" t="s">
        <v>2355</v>
      </c>
    </row>
    <row r="3123" spans="1:3">
      <c r="A3123" s="22" t="s">
        <v>2476</v>
      </c>
      <c r="B3123" s="22" t="str">
        <f ca="1">IF(ISBLANK(OFFSET(B3123,0,'Field labels'!$Q$1)),C3123,OFFSET(B3123,0,'Field labels'!$Q$1))</f>
        <v>Planning Teamleader [21100162]</v>
      </c>
      <c r="C3123" s="22" t="s">
        <v>2464</v>
      </c>
    </row>
    <row r="3124" spans="1:3">
      <c r="A3124" s="22" t="s">
        <v>2476</v>
      </c>
      <c r="B3124" s="22" t="str">
        <f ca="1">IF(ISBLANK(OFFSET(B3124,0,'Field labels'!$Q$1)),C3124,OFFSET(B3124,0,'Field labels'!$Q$1))</f>
        <v>Plant Manager [21100126]</v>
      </c>
      <c r="C3124" s="22" t="s">
        <v>2428</v>
      </c>
    </row>
    <row r="3125" spans="1:3">
      <c r="A3125" s="22" t="s">
        <v>2476</v>
      </c>
      <c r="B3125" s="22" t="str">
        <f ca="1">IF(ISBLANK(OFFSET(B3125,0,'Field labels'!$Q$1)),C3125,OFFSET(B3125,0,'Field labels'!$Q$1))</f>
        <v>Pricing Manager CFN SEE [21100127]</v>
      </c>
      <c r="C3125" s="22" t="s">
        <v>2429</v>
      </c>
    </row>
    <row r="3126" spans="1:3">
      <c r="A3126" s="22" t="s">
        <v>2476</v>
      </c>
      <c r="B3126" s="22" t="str">
        <f ca="1">IF(ISBLANK(OFFSET(B3126,0,'Field labels'!$Q$1)),C3126,OFFSET(B3126,0,'Field labels'!$Q$1))</f>
        <v>Pricing Specialist [21100128]</v>
      </c>
      <c r="C3126" s="22" t="s">
        <v>2430</v>
      </c>
    </row>
    <row r="3127" spans="1:3">
      <c r="A3127" s="22" t="s">
        <v>2476</v>
      </c>
      <c r="B3127" s="22" t="str">
        <f ca="1">IF(ISBLANK(OFFSET(B3127,0,'Field labels'!$Q$1)),C3127,OFFSET(B3127,0,'Field labels'!$Q$1))</f>
        <v>Product Line CoordinatorC [21100054]</v>
      </c>
      <c r="C3127" s="22" t="s">
        <v>2356</v>
      </c>
    </row>
    <row r="3128" spans="1:3">
      <c r="A3128" s="22" t="s">
        <v>2476</v>
      </c>
      <c r="B3128" s="22" t="str">
        <f ca="1">IF(ISBLANK(OFFSET(B3128,0,'Field labels'!$Q$1)),C3128,OFFSET(B3128,0,'Field labels'!$Q$1))</f>
        <v>Product Line CoordinatorF [21100055]</v>
      </c>
      <c r="C3128" s="22" t="s">
        <v>2357</v>
      </c>
    </row>
    <row r="3129" spans="1:3">
      <c r="A3129" s="22" t="s">
        <v>2476</v>
      </c>
      <c r="B3129" s="22" t="str">
        <f ca="1">IF(ISBLANK(OFFSET(B3129,0,'Field labels'!$Q$1)),C3129,OFFSET(B3129,0,'Field labels'!$Q$1))</f>
        <v>Product Line CoordinatorS [21100056]</v>
      </c>
      <c r="C3129" s="22" t="s">
        <v>2358</v>
      </c>
    </row>
    <row r="3130" spans="1:3">
      <c r="A3130" s="22" t="s">
        <v>2476</v>
      </c>
      <c r="B3130" s="22" t="str">
        <f ca="1">IF(ISBLANK(OFFSET(B3130,0,'Field labels'!$Q$1)),C3130,OFFSET(B3130,0,'Field labels'!$Q$1))</f>
        <v>Product Line Lead, Chemic [21100057]</v>
      </c>
      <c r="C3130" s="22" t="s">
        <v>2359</v>
      </c>
    </row>
    <row r="3131" spans="1:3">
      <c r="A3131" s="22" t="s">
        <v>2476</v>
      </c>
      <c r="B3131" s="22" t="str">
        <f ca="1">IF(ISBLANK(OFFSET(B3131,0,'Field labels'!$Q$1)),C3131,OFFSET(B3131,0,'Field labels'!$Q$1))</f>
        <v>Product Line Lead, Fertil [21100058]</v>
      </c>
      <c r="C3131" s="22" t="s">
        <v>2360</v>
      </c>
    </row>
    <row r="3132" spans="1:3">
      <c r="A3132" s="22" t="s">
        <v>2476</v>
      </c>
      <c r="B3132" s="22" t="str">
        <f ca="1">IF(ISBLANK(OFFSET(B3132,0,'Field labels'!$Q$1)),C3132,OFFSET(B3132,0,'Field labels'!$Q$1))</f>
        <v>Product Line Lead, RM Sol [21100059]</v>
      </c>
      <c r="C3132" s="22" t="s">
        <v>2361</v>
      </c>
    </row>
    <row r="3133" spans="1:3">
      <c r="A3133" s="22" t="s">
        <v>2476</v>
      </c>
      <c r="B3133" s="22" t="str">
        <f ca="1">IF(ISBLANK(OFFSET(B3133,0,'Field labels'!$Q$1)),C3133,OFFSET(B3133,0,'Field labels'!$Q$1))</f>
        <v>Product Line Lead, Seeds [21100060]</v>
      </c>
      <c r="C3133" s="22" t="s">
        <v>2362</v>
      </c>
    </row>
    <row r="3134" spans="1:3">
      <c r="A3134" s="22" t="s">
        <v>2476</v>
      </c>
      <c r="B3134" s="22" t="str">
        <f ca="1">IF(ISBLANK(OFFSET(B3134,0,'Field labels'!$Q$1)),C3134,OFFSET(B3134,0,'Field labels'!$Q$1))</f>
        <v>Production administrator [21100129]</v>
      </c>
      <c r="C3134" s="22" t="s">
        <v>2431</v>
      </c>
    </row>
    <row r="3135" spans="1:3">
      <c r="A3135" s="22" t="s">
        <v>2476</v>
      </c>
      <c r="B3135" s="22" t="str">
        <f ca="1">IF(ISBLANK(OFFSET(B3135,0,'Field labels'!$Q$1)),C3135,OFFSET(B3135,0,'Field labels'!$Q$1))</f>
        <v>Production Oper.Director [21100130]</v>
      </c>
      <c r="C3135" s="22" t="s">
        <v>2432</v>
      </c>
    </row>
    <row r="3136" spans="1:3">
      <c r="A3136" s="22" t="s">
        <v>2476</v>
      </c>
      <c r="B3136" s="22" t="str">
        <f ca="1">IF(ISBLANK(OFFSET(B3136,0,'Field labels'!$Q$1)),C3136,OFFSET(B3136,0,'Field labels'!$Q$1))</f>
        <v>Production supervisor [21100131]</v>
      </c>
      <c r="C3136" s="22" t="s">
        <v>2433</v>
      </c>
    </row>
    <row r="3137" spans="1:3">
      <c r="A3137" s="22" t="s">
        <v>2476</v>
      </c>
      <c r="B3137" s="22" t="str">
        <f ca="1">IF(ISBLANK(OFFSET(B3137,0,'Field labels'!$Q$1)),C3137,OFFSET(B3137,0,'Field labels'!$Q$1))</f>
        <v>Production Worker [21100132]</v>
      </c>
      <c r="C3137" s="22" t="s">
        <v>2434</v>
      </c>
    </row>
    <row r="3138" spans="1:3">
      <c r="A3138" s="22" t="s">
        <v>2476</v>
      </c>
      <c r="B3138" s="22" t="str">
        <f ca="1">IF(ISBLANK(OFFSET(B3138,0,'Field labels'!$Q$1)),C3138,OFFSET(B3138,0,'Field labels'!$Q$1))</f>
        <v>Project manager [21100137]</v>
      </c>
      <c r="C3138" s="22" t="s">
        <v>2439</v>
      </c>
    </row>
    <row r="3139" spans="1:3">
      <c r="A3139" s="22" t="s">
        <v>2476</v>
      </c>
      <c r="B3139" s="22" t="str">
        <f ca="1">IF(ISBLANK(OFFSET(B3139,0,'Field labels'!$Q$1)),C3139,OFFSET(B3139,0,'Field labels'!$Q$1))</f>
        <v>PSI Hungary [21100061]</v>
      </c>
      <c r="C3139" s="22" t="s">
        <v>2363</v>
      </c>
    </row>
    <row r="3140" spans="1:3">
      <c r="A3140" s="22" t="s">
        <v>2476</v>
      </c>
      <c r="B3140" s="22" t="str">
        <f ca="1">IF(ISBLANK(OFFSET(B3140,0,'Field labels'!$Q$1)),C3140,OFFSET(B3140,0,'Field labels'!$Q$1))</f>
        <v>Purina Dist.Dev.&amp;Training [21100133]</v>
      </c>
      <c r="C3140" s="22" t="s">
        <v>2435</v>
      </c>
    </row>
    <row r="3141" spans="1:3">
      <c r="A3141" s="22" t="s">
        <v>2476</v>
      </c>
      <c r="B3141" s="22" t="str">
        <f ca="1">IF(ISBLANK(OFFSET(B3141,0,'Field labels'!$Q$1)),C3141,OFFSET(B3141,0,'Field labels'!$Q$1))</f>
        <v>QC manager &amp; ISO manager [21100134]</v>
      </c>
      <c r="C3141" s="22" t="s">
        <v>2436</v>
      </c>
    </row>
    <row r="3142" spans="1:3">
      <c r="A3142" s="22" t="s">
        <v>2476</v>
      </c>
      <c r="B3142" s="22" t="str">
        <f ca="1">IF(ISBLANK(OFFSET(B3142,0,'Field labels'!$Q$1)),C3142,OFFSET(B3142,0,'Field labels'!$Q$1))</f>
        <v>Quality analyst [21100135]</v>
      </c>
      <c r="C3142" s="22" t="s">
        <v>2437</v>
      </c>
    </row>
    <row r="3143" spans="1:3">
      <c r="A3143" s="22" t="s">
        <v>2476</v>
      </c>
      <c r="B3143" s="22" t="str">
        <f ca="1">IF(ISBLANK(OFFSET(B3143,0,'Field labels'!$Q$1)),C3143,OFFSET(B3143,0,'Field labels'!$Q$1))</f>
        <v>Quality and shift leader [21100136]</v>
      </c>
      <c r="C3143" s="22" t="s">
        <v>2438</v>
      </c>
    </row>
    <row r="3144" spans="1:3">
      <c r="A3144" s="22" t="s">
        <v>2476</v>
      </c>
      <c r="B3144" s="22" t="str">
        <f ca="1">IF(ISBLANK(OFFSET(B3144,0,'Field labels'!$Q$1)),C3144,OFFSET(B3144,0,'Field labels'!$Q$1))</f>
        <v>Quality Controller [21100062]</v>
      </c>
      <c r="C3144" s="22" t="s">
        <v>2364</v>
      </c>
    </row>
    <row r="3145" spans="1:3">
      <c r="A3145" s="22" t="s">
        <v>2476</v>
      </c>
      <c r="B3145" s="22" t="str">
        <f ca="1">IF(ISBLANK(OFFSET(B3145,0,'Field labels'!$Q$1)),C3145,OFFSET(B3145,0,'Field labels'!$Q$1))</f>
        <v>Quality Manager [21100063]</v>
      </c>
      <c r="C3145" s="22" t="s">
        <v>2365</v>
      </c>
    </row>
    <row r="3146" spans="1:3">
      <c r="A3146" s="22" t="s">
        <v>2476</v>
      </c>
      <c r="B3146" s="22" t="str">
        <f ca="1">IF(ISBLANK(OFFSET(B3146,0,'Field labels'!$Q$1)),C3146,OFFSET(B3146,0,'Field labels'!$Q$1))</f>
        <v>Regional EHS Manager [21100138]</v>
      </c>
      <c r="C3146" s="22" t="s">
        <v>2440</v>
      </c>
    </row>
    <row r="3147" spans="1:3">
      <c r="A3147" s="22" t="s">
        <v>2476</v>
      </c>
      <c r="B3147" s="22" t="str">
        <f ca="1">IF(ISBLANK(OFFSET(B3147,0,'Field labels'!$Q$1)),C3147,OFFSET(B3147,0,'Field labels'!$Q$1))</f>
        <v>Regional Sales Manager [21100064]</v>
      </c>
      <c r="C3147" s="22" t="s">
        <v>2366</v>
      </c>
    </row>
    <row r="3148" spans="1:3">
      <c r="A3148" s="22" t="s">
        <v>2476</v>
      </c>
      <c r="B3148" s="22" t="str">
        <f ca="1">IF(ISBLANK(OFFSET(B3148,0,'Field labels'!$Q$1)),C3148,OFFSET(B3148,0,'Field labels'!$Q$1))</f>
        <v>Risk Mgmt&amp;Sourcing DirSEE [21100139]</v>
      </c>
      <c r="C3148" s="22" t="s">
        <v>2441</v>
      </c>
    </row>
    <row r="3149" spans="1:3">
      <c r="A3149" s="22" t="s">
        <v>2476</v>
      </c>
      <c r="B3149" s="22" t="str">
        <f ca="1">IF(ISBLANK(OFFSET(B3149,0,'Field labels'!$Q$1)),C3149,OFFSET(B3149,0,'Field labels'!$Q$1))</f>
        <v>Sales Assistant [21100065]</v>
      </c>
      <c r="C3149" s="22" t="s">
        <v>2367</v>
      </c>
    </row>
    <row r="3150" spans="1:3">
      <c r="A3150" s="22" t="s">
        <v>2476</v>
      </c>
      <c r="B3150" s="22" t="str">
        <f ca="1">IF(ISBLANK(OFFSET(B3150,0,'Field labels'!$Q$1)),C3150,OFFSET(B3150,0,'Field labels'!$Q$1))</f>
        <v>Sales assistant [21100140]</v>
      </c>
      <c r="C3150" s="22" t="s">
        <v>2442</v>
      </c>
    </row>
    <row r="3151" spans="1:3">
      <c r="A3151" s="22" t="s">
        <v>2476</v>
      </c>
      <c r="B3151" s="22" t="str">
        <f ca="1">IF(ISBLANK(OFFSET(B3151,0,'Field labels'!$Q$1)),C3151,OFFSET(B3151,0,'Field labels'!$Q$1))</f>
        <v>Sales manager [21100141]</v>
      </c>
      <c r="C3151" s="22" t="s">
        <v>2443</v>
      </c>
    </row>
    <row r="3152" spans="1:3">
      <c r="A3152" s="22" t="s">
        <v>2476</v>
      </c>
      <c r="B3152" s="22" t="str">
        <f ca="1">IF(ISBLANK(OFFSET(B3152,0,'Field labels'!$Q$1)),C3152,OFFSET(B3152,0,'Field labels'!$Q$1))</f>
        <v>Sales representative [21100142]</v>
      </c>
      <c r="C3152" s="22" t="s">
        <v>2444</v>
      </c>
    </row>
    <row r="3153" spans="1:3">
      <c r="A3153" s="22" t="s">
        <v>2476</v>
      </c>
      <c r="B3153" s="22" t="str">
        <f ca="1">IF(ISBLANK(OFFSET(B3153,0,'Field labels'!$Q$1)),C3153,OFFSET(B3153,0,'Field labels'!$Q$1))</f>
        <v>Sales Specialist - Cattle [21100144]</v>
      </c>
      <c r="C3153" s="22" t="s">
        <v>2446</v>
      </c>
    </row>
    <row r="3154" spans="1:3">
      <c r="A3154" s="22" t="s">
        <v>2476</v>
      </c>
      <c r="B3154" s="22" t="str">
        <f ca="1">IF(ISBLANK(OFFSET(B3154,0,'Field labels'!$Q$1)),C3154,OFFSET(B3154,0,'Field labels'!$Q$1))</f>
        <v>Sales Specialist - Hog [21100145]</v>
      </c>
      <c r="C3154" s="22" t="s">
        <v>2447</v>
      </c>
    </row>
    <row r="3155" spans="1:3">
      <c r="A3155" s="22" t="s">
        <v>2476</v>
      </c>
      <c r="B3155" s="22" t="str">
        <f ca="1">IF(ISBLANK(OFFSET(B3155,0,'Field labels'!$Q$1)),C3155,OFFSET(B3155,0,'Field labels'!$Q$1))</f>
        <v>Sales Specialist - Pig [21100146]</v>
      </c>
      <c r="C3155" s="22" t="s">
        <v>2448</v>
      </c>
    </row>
    <row r="3156" spans="1:3">
      <c r="A3156" s="22" t="s">
        <v>2476</v>
      </c>
      <c r="B3156" s="22" t="str">
        <f ca="1">IF(ISBLANK(OFFSET(B3156,0,'Field labels'!$Q$1)),C3156,OFFSET(B3156,0,'Field labels'!$Q$1))</f>
        <v>Sales specialist [21100143]</v>
      </c>
      <c r="C3156" s="22" t="s">
        <v>2445</v>
      </c>
    </row>
    <row r="3157" spans="1:3">
      <c r="A3157" s="22" t="s">
        <v>2476</v>
      </c>
      <c r="B3157" s="22" t="str">
        <f ca="1">IF(ISBLANK(OFFSET(B3157,0,'Field labels'!$Q$1)),C3157,OFFSET(B3157,0,'Field labels'!$Q$1))</f>
        <v>Sales Specialist -Poultry [21100147]</v>
      </c>
      <c r="C3157" s="22" t="s">
        <v>2449</v>
      </c>
    </row>
    <row r="3158" spans="1:3">
      <c r="A3158" s="22" t="s">
        <v>2476</v>
      </c>
      <c r="B3158" s="22" t="str">
        <f ca="1">IF(ISBLANK(OFFSET(B3158,0,'Field labels'!$Q$1)),C3158,OFFSET(B3158,0,'Field labels'!$Q$1))</f>
        <v>SECRETARY [21100066]</v>
      </c>
      <c r="C3158" s="22" t="s">
        <v>2368</v>
      </c>
    </row>
    <row r="3159" spans="1:3">
      <c r="A3159" s="22" t="s">
        <v>2476</v>
      </c>
      <c r="B3159" s="22" t="str">
        <f ca="1">IF(ISBLANK(OFFSET(B3159,0,'Field labels'!$Q$1)),C3159,OFFSET(B3159,0,'Field labels'!$Q$1))</f>
        <v>SEE Cluster Analyst [21100148]</v>
      </c>
      <c r="C3159" s="22" t="s">
        <v>2450</v>
      </c>
    </row>
    <row r="3160" spans="1:3">
      <c r="A3160" s="22" t="s">
        <v>2476</v>
      </c>
      <c r="B3160" s="22" t="str">
        <f ca="1">IF(ISBLANK(OFFSET(B3160,0,'Field labels'!$Q$1)),C3160,OFFSET(B3160,0,'Field labels'!$Q$1))</f>
        <v>Senior Administrator [21100067]</v>
      </c>
      <c r="C3160" s="22" t="s">
        <v>2369</v>
      </c>
    </row>
    <row r="3161" spans="1:3">
      <c r="A3161" s="22" t="s">
        <v>2476</v>
      </c>
      <c r="B3161" s="22" t="str">
        <f ca="1">IF(ISBLANK(OFFSET(B3161,0,'Field labels'!$Q$1)),C3161,OFFSET(B3161,0,'Field labels'!$Q$1))</f>
        <v>Senior Trader [21100170]</v>
      </c>
      <c r="C3161" s="22" t="s">
        <v>2472</v>
      </c>
    </row>
    <row r="3162" spans="1:3">
      <c r="A3162" s="22" t="s">
        <v>2476</v>
      </c>
      <c r="B3162" s="22" t="str">
        <f ca="1">IF(ISBLANK(OFFSET(B3162,0,'Field labels'!$Q$1)),C3162,OFFSET(B3162,0,'Field labels'!$Q$1))</f>
        <v>Shift Leader [21100068]</v>
      </c>
      <c r="C3162" s="22" t="s">
        <v>2370</v>
      </c>
    </row>
    <row r="3163" spans="1:3">
      <c r="A3163" s="22" t="s">
        <v>2476</v>
      </c>
      <c r="B3163" s="22" t="str">
        <f ca="1">IF(ISBLANK(OFFSET(B3163,0,'Field labels'!$Q$1)),C3163,OFFSET(B3163,0,'Field labels'!$Q$1))</f>
        <v>SILO CONTROLLER [21100069]</v>
      </c>
      <c r="C3163" s="22" t="s">
        <v>2371</v>
      </c>
    </row>
    <row r="3164" spans="1:3">
      <c r="A3164" s="22" t="s">
        <v>2476</v>
      </c>
      <c r="B3164" s="22" t="str">
        <f ca="1">IF(ISBLANK(OFFSET(B3164,0,'Field labels'!$Q$1)),C3164,OFFSET(B3164,0,'Field labels'!$Q$1))</f>
        <v>SILO MANAGER [21100070]</v>
      </c>
      <c r="C3164" s="22" t="s">
        <v>2372</v>
      </c>
    </row>
    <row r="3165" spans="1:3">
      <c r="A3165" s="22" t="s">
        <v>2476</v>
      </c>
      <c r="B3165" s="22" t="str">
        <f ca="1">IF(ISBLANK(OFFSET(B3165,0,'Field labels'!$Q$1)),C3165,OFFSET(B3165,0,'Field labels'!$Q$1))</f>
        <v>SILO WORKER [21100071]</v>
      </c>
      <c r="C3165" s="22" t="s">
        <v>2373</v>
      </c>
    </row>
    <row r="3166" spans="1:3">
      <c r="A3166" s="22" t="s">
        <v>2476</v>
      </c>
      <c r="B3166" s="22" t="str">
        <f ca="1">IF(ISBLANK(OFFSET(B3166,0,'Field labels'!$Q$1)),C3166,OFFSET(B3166,0,'Field labels'!$Q$1))</f>
        <v>Sourcing Leader [21100150]</v>
      </c>
      <c r="C3166" s="22" t="s">
        <v>2452</v>
      </c>
    </row>
    <row r="3167" spans="1:3">
      <c r="A3167" s="22" t="s">
        <v>2476</v>
      </c>
      <c r="B3167" s="22" t="str">
        <f ca="1">IF(ISBLANK(OFFSET(B3167,0,'Field labels'!$Q$1)),C3167,OFFSET(B3167,0,'Field labels'!$Q$1))</f>
        <v>Storekeeper [21100072]</v>
      </c>
      <c r="C3167" s="22" t="s">
        <v>2374</v>
      </c>
    </row>
    <row r="3168" spans="1:3">
      <c r="A3168" s="22" t="s">
        <v>2476</v>
      </c>
      <c r="B3168" s="22" t="str">
        <f ca="1">IF(ISBLANK(OFFSET(B3168,0,'Field labels'!$Q$1)),C3168,OFFSET(B3168,0,'Field labels'!$Q$1))</f>
        <v>Strategic Marketing Man. [21100151]</v>
      </c>
      <c r="C3168" s="22" t="s">
        <v>2453</v>
      </c>
    </row>
    <row r="3169" spans="1:3">
      <c r="A3169" s="22" t="s">
        <v>2476</v>
      </c>
      <c r="B3169" s="22" t="str">
        <f ca="1">IF(ISBLANK(OFFSET(B3169,0,'Field labels'!$Q$1)),C3169,OFFSET(B3169,0,'Field labels'!$Q$1))</f>
        <v>Strategic project manager [21100149]</v>
      </c>
      <c r="C3169" s="22" t="s">
        <v>2451</v>
      </c>
    </row>
    <row r="3170" spans="1:3">
      <c r="A3170" s="22" t="s">
        <v>2476</v>
      </c>
      <c r="B3170" s="22" t="str">
        <f ca="1">IF(ISBLANK(OFFSET(B3170,0,'Field labels'!$Q$1)),C3170,OFFSET(B3170,0,'Field labels'!$Q$1))</f>
        <v>Strategic Sourcing leader [21100152]</v>
      </c>
      <c r="C3170" s="22" t="s">
        <v>2454</v>
      </c>
    </row>
    <row r="3171" spans="1:3">
      <c r="A3171" s="22" t="s">
        <v>2476</v>
      </c>
      <c r="B3171" s="22" t="str">
        <f ca="1">IF(ISBLANK(OFFSET(B3171,0,'Field labels'!$Q$1)),C3171,OFFSET(B3171,0,'Field labels'!$Q$1))</f>
        <v>Supply Chain Man. CFN SEE [21100153]</v>
      </c>
      <c r="C3171" s="22" t="s">
        <v>2455</v>
      </c>
    </row>
    <row r="3172" spans="1:3">
      <c r="A3172" s="22" t="s">
        <v>2476</v>
      </c>
      <c r="B3172" s="22" t="str">
        <f ca="1">IF(ISBLANK(OFFSET(B3172,0,'Field labels'!$Q$1)),C3172,OFFSET(B3172,0,'Field labels'!$Q$1))</f>
        <v>System Analyst [21100073]</v>
      </c>
      <c r="C3172" s="22" t="s">
        <v>2375</v>
      </c>
    </row>
    <row r="3173" spans="1:3">
      <c r="A3173" s="22" t="s">
        <v>2476</v>
      </c>
      <c r="B3173" s="22" t="str">
        <f ca="1">IF(ISBLANK(OFFSET(B3173,0,'Field labels'!$Q$1)),C3173,OFFSET(B3173,0,'Field labels'!$Q$1))</f>
        <v>Tax Specialist [21100160]</v>
      </c>
      <c r="C3173" s="22" t="s">
        <v>2462</v>
      </c>
    </row>
    <row r="3174" spans="1:3">
      <c r="A3174" s="22" t="s">
        <v>2476</v>
      </c>
      <c r="B3174" s="22" t="str">
        <f ca="1">IF(ISBLANK(OFFSET(B3174,0,'Field labels'!$Q$1)),C3174,OFFSET(B3174,0,'Field labels'!$Q$1))</f>
        <v>TE Admin Specialist [21100074]</v>
      </c>
      <c r="C3174" s="22" t="s">
        <v>2376</v>
      </c>
    </row>
    <row r="3175" spans="1:3">
      <c r="A3175" s="22" t="s">
        <v>2476</v>
      </c>
      <c r="B3175" s="22" t="str">
        <f ca="1">IF(ISBLANK(OFFSET(B3175,0,'Field labels'!$Q$1)),C3175,OFFSET(B3175,0,'Field labels'!$Q$1))</f>
        <v>TECHNICAL COORDINATOR [21100075]</v>
      </c>
      <c r="C3175" s="22" t="s">
        <v>2377</v>
      </c>
    </row>
    <row r="3176" spans="1:3">
      <c r="A3176" s="22" t="s">
        <v>2476</v>
      </c>
      <c r="B3176" s="22" t="str">
        <f ca="1">IF(ISBLANK(OFFSET(B3176,0,'Field labels'!$Q$1)),C3176,OFFSET(B3176,0,'Field labels'!$Q$1))</f>
        <v>Technology App.Specialist [21100158]</v>
      </c>
      <c r="C3176" s="22" t="s">
        <v>2460</v>
      </c>
    </row>
    <row r="3177" spans="1:3">
      <c r="A3177" s="22" t="s">
        <v>2476</v>
      </c>
      <c r="B3177" s="22" t="str">
        <f ca="1">IF(ISBLANK(OFFSET(B3177,0,'Field labels'!$Q$1)),C3177,OFFSET(B3177,0,'Field labels'!$Q$1))</f>
        <v>Technology Appl.Man. -Hog [21100155]</v>
      </c>
      <c r="C3177" s="22" t="s">
        <v>2457</v>
      </c>
    </row>
    <row r="3178" spans="1:3">
      <c r="A3178" s="22" t="s">
        <v>2476</v>
      </c>
      <c r="B3178" s="22" t="str">
        <f ca="1">IF(ISBLANK(OFFSET(B3178,0,'Field labels'!$Q$1)),C3178,OFFSET(B3178,0,'Field labels'!$Q$1))</f>
        <v>Technology Appl.Man. Lead [21100157]</v>
      </c>
      <c r="C3178" s="22" t="s">
        <v>2459</v>
      </c>
    </row>
    <row r="3179" spans="1:3">
      <c r="A3179" s="22" t="s">
        <v>2476</v>
      </c>
      <c r="B3179" s="22" t="str">
        <f ca="1">IF(ISBLANK(OFFSET(B3179,0,'Field labels'!$Q$1)),C3179,OFFSET(B3179,0,'Field labels'!$Q$1))</f>
        <v>Technology Appl.Man. -Pou [21100156]</v>
      </c>
      <c r="C3179" s="22" t="s">
        <v>2458</v>
      </c>
    </row>
    <row r="3180" spans="1:3">
      <c r="A3180" s="22" t="s">
        <v>2476</v>
      </c>
      <c r="B3180" s="22" t="str">
        <f ca="1">IF(ISBLANK(OFFSET(B3180,0,'Field labels'!$Q$1)),C3180,OFFSET(B3180,0,'Field labels'!$Q$1))</f>
        <v>Technology Appl.Manager [21100154]</v>
      </c>
      <c r="C3180" s="22" t="s">
        <v>2456</v>
      </c>
    </row>
    <row r="3181" spans="1:3">
      <c r="A3181" s="22" t="s">
        <v>2476</v>
      </c>
      <c r="B3181" s="22" t="str">
        <f ca="1">IF(ISBLANK(OFFSET(B3181,0,'Field labels'!$Q$1)),C3181,OFFSET(B3181,0,'Field labels'!$Q$1))</f>
        <v>Trade Execution Assistant [21100076]</v>
      </c>
      <c r="C3181" s="22" t="s">
        <v>2378</v>
      </c>
    </row>
    <row r="3182" spans="1:3">
      <c r="A3182" s="22" t="s">
        <v>2476</v>
      </c>
      <c r="B3182" s="22" t="str">
        <f ca="1">IF(ISBLANK(OFFSET(B3182,0,'Field labels'!$Q$1)),C3182,OFFSET(B3182,0,'Field labels'!$Q$1))</f>
        <v>Trade Execution Specialis [21100077]</v>
      </c>
      <c r="C3182" s="22" t="s">
        <v>2379</v>
      </c>
    </row>
    <row r="3183" spans="1:3">
      <c r="A3183" s="22" t="s">
        <v>2476</v>
      </c>
      <c r="B3183" s="22" t="str">
        <f ca="1">IF(ISBLANK(OFFSET(B3183,0,'Field labels'!$Q$1)),C3183,OFFSET(B3183,0,'Field labels'!$Q$1))</f>
        <v>Trade Execution Teamleade [21100078]</v>
      </c>
      <c r="C3183" s="22" t="s">
        <v>2380</v>
      </c>
    </row>
    <row r="3184" spans="1:3">
      <c r="A3184" s="22" t="s">
        <v>2476</v>
      </c>
      <c r="B3184" s="22" t="str">
        <f ca="1">IF(ISBLANK(OFFSET(B3184,0,'Field labels'!$Q$1)),C3184,OFFSET(B3184,0,'Field labels'!$Q$1))</f>
        <v>Trade Executor [21100079]</v>
      </c>
      <c r="C3184" s="22" t="s">
        <v>2381</v>
      </c>
    </row>
    <row r="3185" spans="1:15">
      <c r="A3185" s="22" t="s">
        <v>2476</v>
      </c>
      <c r="B3185" s="22" t="str">
        <f ca="1">IF(ISBLANK(OFFSET(B3185,0,'Field labels'!$Q$1)),C3185,OFFSET(B3185,0,'Field labels'!$Q$1))</f>
        <v>Trader [21100080]</v>
      </c>
      <c r="C3185" s="22" t="s">
        <v>2382</v>
      </c>
    </row>
    <row r="3186" spans="1:15">
      <c r="A3186" s="22" t="s">
        <v>2476</v>
      </c>
      <c r="B3186" s="22" t="str">
        <f ca="1">IF(ISBLANK(OFFSET(B3186,0,'Field labels'!$Q$1)),C3186,OFFSET(B3186,0,'Field labels'!$Q$1))</f>
        <v>TradingAccounting Manager [21100163]</v>
      </c>
      <c r="C3186" s="22" t="s">
        <v>2465</v>
      </c>
    </row>
    <row r="3187" spans="1:15">
      <c r="A3187" s="22" t="s">
        <v>2476</v>
      </c>
      <c r="B3187" s="22" t="str">
        <f ca="1">IF(ISBLANK(OFFSET(B3187,0,'Field labels'!$Q$1)),C3187,OFFSET(B3187,0,'Field labels'!$Q$1))</f>
        <v>TRANSLATOR [21100081]</v>
      </c>
      <c r="C3187" s="22" t="s">
        <v>2383</v>
      </c>
    </row>
    <row r="3188" spans="1:15">
      <c r="A3188" s="22" t="s">
        <v>2476</v>
      </c>
      <c r="B3188" s="22" t="str">
        <f ca="1">IF(ISBLANK(OFFSET(B3188,0,'Field labels'!$Q$1)),C3188,OFFSET(B3188,0,'Field labels'!$Q$1))</f>
        <v>Treasurer [21100082]</v>
      </c>
      <c r="C3188" s="22" t="s">
        <v>2384</v>
      </c>
    </row>
    <row r="3189" spans="1:15">
      <c r="A3189" s="22" t="s">
        <v>2476</v>
      </c>
      <c r="B3189" s="22" t="str">
        <f ca="1">IF(ISBLANK(OFFSET(B3189,0,'Field labels'!$Q$1)),C3189,OFFSET(B3189,0,'Field labels'!$Q$1))</f>
        <v>Treasury Accountant [21100083]</v>
      </c>
      <c r="C3189" s="22" t="s">
        <v>2385</v>
      </c>
    </row>
    <row r="3190" spans="1:15">
      <c r="A3190" s="22" t="s">
        <v>2476</v>
      </c>
      <c r="B3190" s="22" t="str">
        <f ca="1">IF(ISBLANK(OFFSET(B3190,0,'Field labels'!$Q$1)),C3190,OFFSET(B3190,0,'Field labels'!$Q$1))</f>
        <v>Treasury Assistant [21100161]</v>
      </c>
      <c r="C3190" s="22" t="s">
        <v>2463</v>
      </c>
    </row>
    <row r="3191" spans="1:15">
      <c r="A3191" s="22" t="s">
        <v>326</v>
      </c>
      <c r="B3191" s="22" t="str">
        <f ca="1">IF(ISBLANK(OFFSET(B3191,0,'Field labels'!$Q$1)),C3191,OFFSET(B3191,0,'Field labels'!$Q$1))</f>
        <v>BUPA-FA</v>
      </c>
      <c r="C3191" s="22" t="s">
        <v>671</v>
      </c>
      <c r="E3191" t="s">
        <v>671</v>
      </c>
      <c r="K3191" t="s">
        <v>671</v>
      </c>
    </row>
    <row r="3192" spans="1:15">
      <c r="A3192" s="22" t="s">
        <v>326</v>
      </c>
      <c r="B3192" s="22" t="str">
        <f ca="1">IF(ISBLANK(OFFSET(B3192,0,'Field labels'!$Q$1)),C3192,OFFSET(B3192,0,'Field labels'!$Q$1))</f>
        <v>BUPA-MA</v>
      </c>
      <c r="C3192" s="22" t="s">
        <v>672</v>
      </c>
      <c r="E3192" t="s">
        <v>672</v>
      </c>
      <c r="K3192" t="s">
        <v>672</v>
      </c>
    </row>
    <row r="3193" spans="1:15">
      <c r="A3193" s="22" t="s">
        <v>326</v>
      </c>
      <c r="B3193" s="22" t="str">
        <f ca="1">IF(ISBLANK(OFFSET(B3193,0,'Field labels'!$Q$1)),C3193,OFFSET(B3193,0,'Field labels'!$Q$1))</f>
        <v>BUPA-SI</v>
      </c>
      <c r="C3193" s="22" t="s">
        <v>673</v>
      </c>
      <c r="E3193" t="s">
        <v>673</v>
      </c>
      <c r="K3193" t="s">
        <v>673</v>
      </c>
    </row>
    <row r="3194" spans="1:15">
      <c r="A3194" s="22" t="s">
        <v>326</v>
      </c>
      <c r="B3194" s="22" t="str">
        <f ca="1">IF(ISBLANK(OFFSET(B3194,0,'Field labels'!$Q$1)),C3194,OFFSET(B3194,0,'Field labels'!$Q$1))</f>
        <v>BUPA-SP</v>
      </c>
      <c r="C3194" s="22" t="s">
        <v>674</v>
      </c>
      <c r="E3194" t="s">
        <v>674</v>
      </c>
      <c r="K3194" t="s">
        <v>674</v>
      </c>
    </row>
    <row r="3195" spans="1:15">
      <c r="A3195" s="22" t="s">
        <v>294</v>
      </c>
      <c r="B3195" s="22" t="str">
        <f ca="1">IF(ISBLANK(OFFSET(B3195,0,'Field labels'!$Q$1)),C3195,OFFSET(B3195,0,'Field labels'!$Q$1))</f>
        <v>Afghanistan</v>
      </c>
      <c r="C3195" s="22" t="s">
        <v>11</v>
      </c>
      <c r="D3195" t="s">
        <v>11</v>
      </c>
      <c r="E3195" t="s">
        <v>11</v>
      </c>
      <c r="F3195" t="s">
        <v>11</v>
      </c>
      <c r="G3195" t="s">
        <v>11</v>
      </c>
      <c r="H3195" t="s">
        <v>11</v>
      </c>
      <c r="I3195" t="s">
        <v>11</v>
      </c>
      <c r="J3195" t="s">
        <v>11</v>
      </c>
      <c r="K3195" t="s">
        <v>11</v>
      </c>
      <c r="L3195" t="s">
        <v>11</v>
      </c>
      <c r="N3195" t="s">
        <v>11</v>
      </c>
      <c r="O3195" t="s">
        <v>11</v>
      </c>
    </row>
    <row r="3196" spans="1:15">
      <c r="A3196" s="22" t="s">
        <v>294</v>
      </c>
      <c r="B3196" s="22" t="str">
        <f ca="1">IF(ISBLANK(OFFSET(B3196,0,'Field labels'!$Q$1)),C3196,OFFSET(B3196,0,'Field labels'!$Q$1))</f>
        <v>Aland Islands</v>
      </c>
      <c r="C3196" s="22" t="s">
        <v>209</v>
      </c>
      <c r="D3196" t="s">
        <v>209</v>
      </c>
      <c r="E3196" t="s">
        <v>209</v>
      </c>
      <c r="F3196" t="s">
        <v>209</v>
      </c>
      <c r="G3196" t="s">
        <v>209</v>
      </c>
      <c r="H3196" t="s">
        <v>209</v>
      </c>
      <c r="I3196" t="s">
        <v>209</v>
      </c>
      <c r="J3196" t="s">
        <v>209</v>
      </c>
      <c r="K3196" t="s">
        <v>209</v>
      </c>
      <c r="L3196" t="s">
        <v>209</v>
      </c>
      <c r="N3196" t="s">
        <v>209</v>
      </c>
      <c r="O3196" t="s">
        <v>209</v>
      </c>
    </row>
    <row r="3197" spans="1:15">
      <c r="A3197" s="22" t="s">
        <v>294</v>
      </c>
      <c r="B3197" s="22" t="str">
        <f ca="1">IF(ISBLANK(OFFSET(B3197,0,'Field labels'!$Q$1)),C3197,OFFSET(B3197,0,'Field labels'!$Q$1))</f>
        <v>Albania</v>
      </c>
      <c r="C3197" s="22" t="s">
        <v>12</v>
      </c>
      <c r="D3197" t="s">
        <v>12</v>
      </c>
      <c r="E3197" t="s">
        <v>12</v>
      </c>
      <c r="F3197" t="s">
        <v>12</v>
      </c>
      <c r="G3197" t="s">
        <v>12</v>
      </c>
      <c r="H3197" t="s">
        <v>12</v>
      </c>
      <c r="I3197" t="s">
        <v>12</v>
      </c>
      <c r="J3197" t="s">
        <v>12</v>
      </c>
      <c r="K3197" t="s">
        <v>12</v>
      </c>
      <c r="L3197" t="s">
        <v>12</v>
      </c>
      <c r="N3197" t="s">
        <v>12</v>
      </c>
      <c r="O3197" t="s">
        <v>12</v>
      </c>
    </row>
    <row r="3198" spans="1:15">
      <c r="A3198" s="22" t="s">
        <v>294</v>
      </c>
      <c r="B3198" s="22" t="str">
        <f ca="1">IF(ISBLANK(OFFSET(B3198,0,'Field labels'!$Q$1)),C3198,OFFSET(B3198,0,'Field labels'!$Q$1))</f>
        <v>Algeria</v>
      </c>
      <c r="C3198" s="22" t="s">
        <v>13</v>
      </c>
      <c r="D3198" t="s">
        <v>13</v>
      </c>
      <c r="E3198" t="s">
        <v>13</v>
      </c>
      <c r="F3198" t="s">
        <v>13</v>
      </c>
      <c r="G3198" t="s">
        <v>13</v>
      </c>
      <c r="H3198" t="s">
        <v>13</v>
      </c>
      <c r="I3198" t="s">
        <v>13</v>
      </c>
      <c r="J3198" t="s">
        <v>13</v>
      </c>
      <c r="K3198" t="s">
        <v>13</v>
      </c>
      <c r="L3198" t="s">
        <v>13</v>
      </c>
      <c r="N3198" t="s">
        <v>13</v>
      </c>
      <c r="O3198" t="s">
        <v>13</v>
      </c>
    </row>
    <row r="3199" spans="1:15">
      <c r="A3199" s="22" t="s">
        <v>294</v>
      </c>
      <c r="B3199" s="22" t="str">
        <f ca="1">IF(ISBLANK(OFFSET(B3199,0,'Field labels'!$Q$1)),C3199,OFFSET(B3199,0,'Field labels'!$Q$1))</f>
        <v>American Samoa</v>
      </c>
      <c r="C3199" s="22" t="s">
        <v>14</v>
      </c>
      <c r="D3199" t="s">
        <v>14</v>
      </c>
      <c r="E3199" t="s">
        <v>14</v>
      </c>
      <c r="F3199" t="s">
        <v>14</v>
      </c>
      <c r="G3199" t="s">
        <v>14</v>
      </c>
      <c r="H3199" t="s">
        <v>14</v>
      </c>
      <c r="I3199" t="s">
        <v>14</v>
      </c>
      <c r="J3199" t="s">
        <v>14</v>
      </c>
      <c r="K3199" t="s">
        <v>14</v>
      </c>
      <c r="L3199" t="s">
        <v>14</v>
      </c>
      <c r="N3199" t="s">
        <v>14</v>
      </c>
      <c r="O3199" t="s">
        <v>14</v>
      </c>
    </row>
    <row r="3200" spans="1:15">
      <c r="A3200" s="22" t="s">
        <v>294</v>
      </c>
      <c r="B3200" s="22" t="str">
        <f ca="1">IF(ISBLANK(OFFSET(B3200,0,'Field labels'!$Q$1)),C3200,OFFSET(B3200,0,'Field labels'!$Q$1))</f>
        <v>Andorra</v>
      </c>
      <c r="C3200" s="22" t="s">
        <v>15</v>
      </c>
      <c r="D3200" t="s">
        <v>15</v>
      </c>
      <c r="E3200" t="s">
        <v>15</v>
      </c>
      <c r="F3200" t="s">
        <v>15</v>
      </c>
      <c r="G3200" t="s">
        <v>15</v>
      </c>
      <c r="H3200" t="s">
        <v>15</v>
      </c>
      <c r="I3200" t="s">
        <v>15</v>
      </c>
      <c r="J3200" t="s">
        <v>15</v>
      </c>
      <c r="K3200" t="s">
        <v>15</v>
      </c>
      <c r="L3200" t="s">
        <v>15</v>
      </c>
      <c r="N3200" t="s">
        <v>15</v>
      </c>
      <c r="O3200" t="s">
        <v>15</v>
      </c>
    </row>
    <row r="3201" spans="1:15">
      <c r="A3201" s="22" t="s">
        <v>294</v>
      </c>
      <c r="B3201" s="22" t="str">
        <f ca="1">IF(ISBLANK(OFFSET(B3201,0,'Field labels'!$Q$1)),C3201,OFFSET(B3201,0,'Field labels'!$Q$1))</f>
        <v>Angola</v>
      </c>
      <c r="C3201" s="22" t="s">
        <v>16</v>
      </c>
      <c r="D3201" t="s">
        <v>16</v>
      </c>
      <c r="E3201" t="s">
        <v>16</v>
      </c>
      <c r="F3201" t="s">
        <v>16</v>
      </c>
      <c r="G3201" t="s">
        <v>16</v>
      </c>
      <c r="H3201" t="s">
        <v>16</v>
      </c>
      <c r="I3201" t="s">
        <v>16</v>
      </c>
      <c r="J3201" t="s">
        <v>16</v>
      </c>
      <c r="K3201" t="s">
        <v>16</v>
      </c>
      <c r="L3201" t="s">
        <v>16</v>
      </c>
      <c r="N3201" t="s">
        <v>16</v>
      </c>
      <c r="O3201" t="s">
        <v>16</v>
      </c>
    </row>
    <row r="3202" spans="1:15">
      <c r="A3202" s="22" t="s">
        <v>294</v>
      </c>
      <c r="B3202" s="22" t="str">
        <f ca="1">IF(ISBLANK(OFFSET(B3202,0,'Field labels'!$Q$1)),C3202,OFFSET(B3202,0,'Field labels'!$Q$1))</f>
        <v>Anguilla</v>
      </c>
      <c r="C3202" s="22" t="s">
        <v>17</v>
      </c>
      <c r="D3202" t="s">
        <v>17</v>
      </c>
      <c r="E3202" t="s">
        <v>17</v>
      </c>
      <c r="F3202" t="s">
        <v>17</v>
      </c>
      <c r="G3202" t="s">
        <v>17</v>
      </c>
      <c r="H3202" t="s">
        <v>17</v>
      </c>
      <c r="I3202" t="s">
        <v>17</v>
      </c>
      <c r="J3202" t="s">
        <v>17</v>
      </c>
      <c r="K3202" t="s">
        <v>17</v>
      </c>
      <c r="L3202" t="s">
        <v>17</v>
      </c>
      <c r="N3202" t="s">
        <v>17</v>
      </c>
      <c r="O3202" t="s">
        <v>17</v>
      </c>
    </row>
    <row r="3203" spans="1:15">
      <c r="A3203" s="22" t="s">
        <v>294</v>
      </c>
      <c r="B3203" s="22" t="str">
        <f ca="1">IF(ISBLANK(OFFSET(B3203,0,'Field labels'!$Q$1)),C3203,OFFSET(B3203,0,'Field labels'!$Q$1))</f>
        <v>Antarctica</v>
      </c>
      <c r="C3203" s="22" t="s">
        <v>18</v>
      </c>
      <c r="D3203" t="s">
        <v>18</v>
      </c>
      <c r="E3203" t="s">
        <v>18</v>
      </c>
      <c r="F3203" t="s">
        <v>18</v>
      </c>
      <c r="G3203" t="s">
        <v>18</v>
      </c>
      <c r="H3203" t="s">
        <v>18</v>
      </c>
      <c r="I3203" t="s">
        <v>18</v>
      </c>
      <c r="J3203" t="s">
        <v>18</v>
      </c>
      <c r="K3203" t="s">
        <v>18</v>
      </c>
      <c r="L3203" t="s">
        <v>18</v>
      </c>
      <c r="N3203" t="s">
        <v>18</v>
      </c>
      <c r="O3203" t="s">
        <v>18</v>
      </c>
    </row>
    <row r="3204" spans="1:15">
      <c r="A3204" s="22" t="s">
        <v>294</v>
      </c>
      <c r="B3204" s="22" t="str">
        <f ca="1">IF(ISBLANK(OFFSET(B3204,0,'Field labels'!$Q$1)),C3204,OFFSET(B3204,0,'Field labels'!$Q$1))</f>
        <v>Antigua and Barbuda</v>
      </c>
      <c r="C3204" s="22" t="s">
        <v>19</v>
      </c>
      <c r="D3204" t="s">
        <v>19</v>
      </c>
      <c r="E3204" t="s">
        <v>19</v>
      </c>
      <c r="F3204" t="s">
        <v>19</v>
      </c>
      <c r="G3204" t="s">
        <v>19</v>
      </c>
      <c r="H3204" t="s">
        <v>19</v>
      </c>
      <c r="I3204" t="s">
        <v>19</v>
      </c>
      <c r="J3204" t="s">
        <v>19</v>
      </c>
      <c r="K3204" t="s">
        <v>19</v>
      </c>
      <c r="L3204" t="s">
        <v>19</v>
      </c>
      <c r="N3204" t="s">
        <v>19</v>
      </c>
      <c r="O3204" t="s">
        <v>19</v>
      </c>
    </row>
    <row r="3205" spans="1:15">
      <c r="A3205" s="22" t="s">
        <v>294</v>
      </c>
      <c r="B3205" s="22" t="str">
        <f ca="1">IF(ISBLANK(OFFSET(B3205,0,'Field labels'!$Q$1)),C3205,OFFSET(B3205,0,'Field labels'!$Q$1))</f>
        <v>Argentina</v>
      </c>
      <c r="C3205" s="22" t="s">
        <v>328</v>
      </c>
      <c r="D3205" t="s">
        <v>913</v>
      </c>
      <c r="E3205" t="s">
        <v>328</v>
      </c>
      <c r="F3205" t="s">
        <v>914</v>
      </c>
      <c r="G3205" t="s">
        <v>915</v>
      </c>
      <c r="H3205" t="s">
        <v>916</v>
      </c>
      <c r="I3205" t="s">
        <v>328</v>
      </c>
      <c r="J3205" t="s">
        <v>328</v>
      </c>
      <c r="K3205" t="s">
        <v>917</v>
      </c>
      <c r="L3205" t="s">
        <v>328</v>
      </c>
      <c r="N3205" t="s">
        <v>328</v>
      </c>
      <c r="O3205" t="s">
        <v>918</v>
      </c>
    </row>
    <row r="3206" spans="1:15">
      <c r="A3206" s="22" t="s">
        <v>294</v>
      </c>
      <c r="B3206" s="22" t="str">
        <f ca="1">IF(ISBLANK(OFFSET(B3206,0,'Field labels'!$Q$1)),C3206,OFFSET(B3206,0,'Field labels'!$Q$1))</f>
        <v>Armenia</v>
      </c>
      <c r="C3206" s="22" t="s">
        <v>20</v>
      </c>
      <c r="D3206" t="s">
        <v>20</v>
      </c>
      <c r="E3206" t="s">
        <v>20</v>
      </c>
      <c r="F3206" t="s">
        <v>20</v>
      </c>
      <c r="G3206" t="s">
        <v>20</v>
      </c>
      <c r="H3206" t="s">
        <v>20</v>
      </c>
      <c r="I3206" t="s">
        <v>20</v>
      </c>
      <c r="J3206" t="s">
        <v>20</v>
      </c>
      <c r="K3206" t="s">
        <v>20</v>
      </c>
      <c r="L3206" t="s">
        <v>20</v>
      </c>
      <c r="N3206" t="s">
        <v>20</v>
      </c>
      <c r="O3206" t="s">
        <v>20</v>
      </c>
    </row>
    <row r="3207" spans="1:15">
      <c r="A3207" s="22" t="s">
        <v>294</v>
      </c>
      <c r="B3207" s="22" t="str">
        <f ca="1">IF(ISBLANK(OFFSET(B3207,0,'Field labels'!$Q$1)),C3207,OFFSET(B3207,0,'Field labels'!$Q$1))</f>
        <v>Aruba</v>
      </c>
      <c r="C3207" s="22" t="s">
        <v>21</v>
      </c>
      <c r="D3207" t="s">
        <v>21</v>
      </c>
      <c r="E3207" t="s">
        <v>21</v>
      </c>
      <c r="F3207" t="s">
        <v>21</v>
      </c>
      <c r="G3207" t="s">
        <v>21</v>
      </c>
      <c r="H3207" t="s">
        <v>21</v>
      </c>
      <c r="I3207" t="s">
        <v>21</v>
      </c>
      <c r="J3207" t="s">
        <v>21</v>
      </c>
      <c r="K3207" t="s">
        <v>21</v>
      </c>
      <c r="L3207" t="s">
        <v>21</v>
      </c>
      <c r="N3207" t="s">
        <v>21</v>
      </c>
      <c r="O3207" t="s">
        <v>21</v>
      </c>
    </row>
    <row r="3208" spans="1:15">
      <c r="A3208" s="22" t="s">
        <v>294</v>
      </c>
      <c r="B3208" s="22" t="str">
        <f ca="1">IF(ISBLANK(OFFSET(B3208,0,'Field labels'!$Q$1)),C3208,OFFSET(B3208,0,'Field labels'!$Q$1))</f>
        <v>Australia</v>
      </c>
      <c r="C3208" s="22" t="s">
        <v>22</v>
      </c>
      <c r="D3208" t="s">
        <v>919</v>
      </c>
      <c r="E3208" t="s">
        <v>22</v>
      </c>
      <c r="F3208" t="s">
        <v>920</v>
      </c>
      <c r="G3208" t="s">
        <v>921</v>
      </c>
      <c r="H3208" t="s">
        <v>922</v>
      </c>
      <c r="I3208" t="s">
        <v>22</v>
      </c>
      <c r="J3208" t="s">
        <v>22</v>
      </c>
      <c r="K3208" t="s">
        <v>22</v>
      </c>
      <c r="L3208" t="s">
        <v>923</v>
      </c>
      <c r="N3208" t="s">
        <v>22</v>
      </c>
      <c r="O3208" t="s">
        <v>924</v>
      </c>
    </row>
    <row r="3209" spans="1:15">
      <c r="A3209" s="22" t="s">
        <v>294</v>
      </c>
      <c r="B3209" s="22" t="str">
        <f ca="1">IF(ISBLANK(OFFSET(B3209,0,'Field labels'!$Q$1)),C3209,OFFSET(B3209,0,'Field labels'!$Q$1))</f>
        <v>Austria</v>
      </c>
      <c r="C3209" s="22" t="s">
        <v>23</v>
      </c>
      <c r="D3209" t="s">
        <v>925</v>
      </c>
      <c r="E3209" t="s">
        <v>23</v>
      </c>
      <c r="F3209" t="s">
        <v>926</v>
      </c>
      <c r="G3209" t="s">
        <v>927</v>
      </c>
      <c r="H3209" t="s">
        <v>928</v>
      </c>
      <c r="I3209" t="s">
        <v>23</v>
      </c>
      <c r="J3209" t="s">
        <v>23</v>
      </c>
      <c r="K3209" t="s">
        <v>23</v>
      </c>
      <c r="L3209" t="s">
        <v>929</v>
      </c>
      <c r="N3209" t="s">
        <v>23</v>
      </c>
      <c r="O3209" t="s">
        <v>930</v>
      </c>
    </row>
    <row r="3210" spans="1:15">
      <c r="A3210" s="22" t="s">
        <v>294</v>
      </c>
      <c r="B3210" s="22" t="str">
        <f ca="1">IF(ISBLANK(OFFSET(B3210,0,'Field labels'!$Q$1)),C3210,OFFSET(B3210,0,'Field labels'!$Q$1))</f>
        <v>Azerbaijan</v>
      </c>
      <c r="C3210" s="22" t="s">
        <v>24</v>
      </c>
      <c r="D3210" t="s">
        <v>24</v>
      </c>
      <c r="E3210" t="s">
        <v>24</v>
      </c>
      <c r="F3210" t="s">
        <v>24</v>
      </c>
      <c r="G3210" t="s">
        <v>24</v>
      </c>
      <c r="H3210" t="s">
        <v>24</v>
      </c>
      <c r="I3210" t="s">
        <v>24</v>
      </c>
      <c r="J3210" t="s">
        <v>24</v>
      </c>
      <c r="K3210" t="s">
        <v>24</v>
      </c>
      <c r="L3210" t="s">
        <v>24</v>
      </c>
      <c r="N3210" t="s">
        <v>24</v>
      </c>
      <c r="O3210" t="s">
        <v>24</v>
      </c>
    </row>
    <row r="3211" spans="1:15">
      <c r="A3211" s="22" t="s">
        <v>294</v>
      </c>
      <c r="B3211" s="22" t="str">
        <f ca="1">IF(ISBLANK(OFFSET(B3211,0,'Field labels'!$Q$1)),C3211,OFFSET(B3211,0,'Field labels'!$Q$1))</f>
        <v>Bahamas</v>
      </c>
      <c r="C3211" s="22" t="s">
        <v>329</v>
      </c>
      <c r="D3211" t="s">
        <v>931</v>
      </c>
      <c r="E3211" t="s">
        <v>329</v>
      </c>
      <c r="F3211" t="s">
        <v>329</v>
      </c>
      <c r="G3211" t="s">
        <v>329</v>
      </c>
      <c r="H3211" t="s">
        <v>932</v>
      </c>
      <c r="I3211" t="s">
        <v>329</v>
      </c>
      <c r="J3211" t="s">
        <v>329</v>
      </c>
      <c r="K3211" t="s">
        <v>933</v>
      </c>
      <c r="L3211" t="s">
        <v>329</v>
      </c>
      <c r="N3211" t="s">
        <v>329</v>
      </c>
      <c r="O3211" t="s">
        <v>934</v>
      </c>
    </row>
    <row r="3212" spans="1:15">
      <c r="A3212" s="22" t="s">
        <v>294</v>
      </c>
      <c r="B3212" s="22" t="str">
        <f ca="1">IF(ISBLANK(OFFSET(B3212,0,'Field labels'!$Q$1)),C3212,OFFSET(B3212,0,'Field labels'!$Q$1))</f>
        <v>Bahrain</v>
      </c>
      <c r="C3212" s="22" t="s">
        <v>25</v>
      </c>
      <c r="D3212" t="s">
        <v>25</v>
      </c>
      <c r="E3212" t="s">
        <v>25</v>
      </c>
      <c r="F3212" t="s">
        <v>25</v>
      </c>
      <c r="G3212" t="s">
        <v>25</v>
      </c>
      <c r="H3212" t="s">
        <v>25</v>
      </c>
      <c r="I3212" t="s">
        <v>25</v>
      </c>
      <c r="J3212" t="s">
        <v>25</v>
      </c>
      <c r="K3212" t="s">
        <v>25</v>
      </c>
      <c r="L3212" t="s">
        <v>25</v>
      </c>
      <c r="N3212" t="s">
        <v>25</v>
      </c>
      <c r="O3212" t="s">
        <v>25</v>
      </c>
    </row>
    <row r="3213" spans="1:15">
      <c r="A3213" s="22" t="s">
        <v>294</v>
      </c>
      <c r="B3213" s="22" t="str">
        <f ca="1">IF(ISBLANK(OFFSET(B3213,0,'Field labels'!$Q$1)),C3213,OFFSET(B3213,0,'Field labels'!$Q$1))</f>
        <v>Bangladesh</v>
      </c>
      <c r="C3213" s="22" t="s">
        <v>26</v>
      </c>
      <c r="D3213" t="s">
        <v>26</v>
      </c>
      <c r="E3213" t="s">
        <v>26</v>
      </c>
      <c r="F3213" t="s">
        <v>26</v>
      </c>
      <c r="G3213" t="s">
        <v>26</v>
      </c>
      <c r="H3213" t="s">
        <v>26</v>
      </c>
      <c r="I3213" t="s">
        <v>26</v>
      </c>
      <c r="J3213" t="s">
        <v>26</v>
      </c>
      <c r="K3213" t="s">
        <v>26</v>
      </c>
      <c r="L3213" t="s">
        <v>26</v>
      </c>
      <c r="N3213" t="s">
        <v>26</v>
      </c>
      <c r="O3213" t="s">
        <v>26</v>
      </c>
    </row>
    <row r="3214" spans="1:15">
      <c r="A3214" s="22" t="s">
        <v>294</v>
      </c>
      <c r="B3214" s="22" t="str">
        <f ca="1">IF(ISBLANK(OFFSET(B3214,0,'Field labels'!$Q$1)),C3214,OFFSET(B3214,0,'Field labels'!$Q$1))</f>
        <v>Barbados</v>
      </c>
      <c r="C3214" s="22" t="s">
        <v>27</v>
      </c>
      <c r="D3214" t="s">
        <v>27</v>
      </c>
      <c r="E3214" t="s">
        <v>27</v>
      </c>
      <c r="F3214" t="s">
        <v>27</v>
      </c>
      <c r="G3214" t="s">
        <v>27</v>
      </c>
      <c r="H3214" t="s">
        <v>27</v>
      </c>
      <c r="I3214" t="s">
        <v>27</v>
      </c>
      <c r="J3214" t="s">
        <v>27</v>
      </c>
      <c r="K3214" t="s">
        <v>27</v>
      </c>
      <c r="L3214" t="s">
        <v>27</v>
      </c>
      <c r="N3214" t="s">
        <v>27</v>
      </c>
      <c r="O3214" t="s">
        <v>27</v>
      </c>
    </row>
    <row r="3215" spans="1:15">
      <c r="A3215" s="22" t="s">
        <v>294</v>
      </c>
      <c r="B3215" s="22" t="str">
        <f ca="1">IF(ISBLANK(OFFSET(B3215,0,'Field labels'!$Q$1)),C3215,OFFSET(B3215,0,'Field labels'!$Q$1))</f>
        <v>Belarus</v>
      </c>
      <c r="C3215" s="22" t="s">
        <v>28</v>
      </c>
      <c r="D3215" t="s">
        <v>28</v>
      </c>
      <c r="E3215" t="s">
        <v>28</v>
      </c>
      <c r="F3215" t="s">
        <v>28</v>
      </c>
      <c r="G3215" t="s">
        <v>28</v>
      </c>
      <c r="H3215" t="s">
        <v>28</v>
      </c>
      <c r="I3215" t="s">
        <v>28</v>
      </c>
      <c r="J3215" t="s">
        <v>28</v>
      </c>
      <c r="K3215" t="s">
        <v>28</v>
      </c>
      <c r="L3215" t="s">
        <v>28</v>
      </c>
      <c r="N3215" t="s">
        <v>28</v>
      </c>
      <c r="O3215" t="s">
        <v>28</v>
      </c>
    </row>
    <row r="3216" spans="1:15">
      <c r="A3216" s="22" t="s">
        <v>294</v>
      </c>
      <c r="B3216" s="22" t="str">
        <f ca="1">IF(ISBLANK(OFFSET(B3216,0,'Field labels'!$Q$1)),C3216,OFFSET(B3216,0,'Field labels'!$Q$1))</f>
        <v>Belgium</v>
      </c>
      <c r="C3216" s="22" t="s">
        <v>330</v>
      </c>
      <c r="D3216" t="s">
        <v>935</v>
      </c>
      <c r="E3216" t="s">
        <v>330</v>
      </c>
      <c r="F3216" t="s">
        <v>936</v>
      </c>
      <c r="G3216" t="s">
        <v>937</v>
      </c>
      <c r="H3216" t="s">
        <v>330</v>
      </c>
      <c r="I3216" t="s">
        <v>938</v>
      </c>
      <c r="J3216" t="s">
        <v>330</v>
      </c>
      <c r="K3216" t="s">
        <v>939</v>
      </c>
      <c r="L3216" t="s">
        <v>940</v>
      </c>
      <c r="N3216" t="s">
        <v>330</v>
      </c>
      <c r="O3216" t="s">
        <v>941</v>
      </c>
    </row>
    <row r="3217" spans="1:15">
      <c r="A3217" s="22" t="s">
        <v>294</v>
      </c>
      <c r="B3217" s="22" t="str">
        <f ca="1">IF(ISBLANK(OFFSET(B3217,0,'Field labels'!$Q$1)),C3217,OFFSET(B3217,0,'Field labels'!$Q$1))</f>
        <v>Belize</v>
      </c>
      <c r="C3217" s="22" t="s">
        <v>29</v>
      </c>
      <c r="D3217" t="s">
        <v>29</v>
      </c>
      <c r="E3217" t="s">
        <v>29</v>
      </c>
      <c r="F3217" t="s">
        <v>29</v>
      </c>
      <c r="G3217" t="s">
        <v>29</v>
      </c>
      <c r="H3217" t="s">
        <v>29</v>
      </c>
      <c r="I3217" t="s">
        <v>29</v>
      </c>
      <c r="J3217" t="s">
        <v>29</v>
      </c>
      <c r="K3217" t="s">
        <v>29</v>
      </c>
      <c r="L3217" t="s">
        <v>29</v>
      </c>
      <c r="N3217" t="s">
        <v>29</v>
      </c>
      <c r="O3217" t="s">
        <v>29</v>
      </c>
    </row>
    <row r="3218" spans="1:15">
      <c r="A3218" s="22" t="s">
        <v>294</v>
      </c>
      <c r="B3218" s="22" t="str">
        <f ca="1">IF(ISBLANK(OFFSET(B3218,0,'Field labels'!$Q$1)),C3218,OFFSET(B3218,0,'Field labels'!$Q$1))</f>
        <v>Benin</v>
      </c>
      <c r="C3218" s="22" t="s">
        <v>30</v>
      </c>
      <c r="D3218" t="s">
        <v>30</v>
      </c>
      <c r="E3218" t="s">
        <v>30</v>
      </c>
      <c r="F3218" t="s">
        <v>30</v>
      </c>
      <c r="G3218" t="s">
        <v>30</v>
      </c>
      <c r="H3218" t="s">
        <v>30</v>
      </c>
      <c r="I3218" t="s">
        <v>30</v>
      </c>
      <c r="J3218" t="s">
        <v>30</v>
      </c>
      <c r="K3218" t="s">
        <v>30</v>
      </c>
      <c r="L3218" t="s">
        <v>30</v>
      </c>
      <c r="N3218" t="s">
        <v>30</v>
      </c>
      <c r="O3218" t="s">
        <v>30</v>
      </c>
    </row>
    <row r="3219" spans="1:15">
      <c r="A3219" s="22" t="s">
        <v>294</v>
      </c>
      <c r="B3219" s="22" t="str">
        <f ca="1">IF(ISBLANK(OFFSET(B3219,0,'Field labels'!$Q$1)),C3219,OFFSET(B3219,0,'Field labels'!$Q$1))</f>
        <v>Bermuda</v>
      </c>
      <c r="C3219" s="22" t="s">
        <v>331</v>
      </c>
      <c r="D3219" t="s">
        <v>331</v>
      </c>
      <c r="E3219" t="s">
        <v>331</v>
      </c>
      <c r="F3219" t="s">
        <v>942</v>
      </c>
      <c r="G3219" t="s">
        <v>331</v>
      </c>
      <c r="H3219" t="s">
        <v>331</v>
      </c>
      <c r="I3219" t="s">
        <v>331</v>
      </c>
      <c r="J3219" t="s">
        <v>331</v>
      </c>
      <c r="K3219" t="s">
        <v>943</v>
      </c>
      <c r="L3219" t="s">
        <v>944</v>
      </c>
      <c r="N3219" t="s">
        <v>331</v>
      </c>
      <c r="O3219" t="s">
        <v>331</v>
      </c>
    </row>
    <row r="3220" spans="1:15">
      <c r="A3220" s="22" t="s">
        <v>294</v>
      </c>
      <c r="B3220" s="22" t="str">
        <f ca="1">IF(ISBLANK(OFFSET(B3220,0,'Field labels'!$Q$1)),C3220,OFFSET(B3220,0,'Field labels'!$Q$1))</f>
        <v>Bhutan</v>
      </c>
      <c r="C3220" s="22" t="s">
        <v>31</v>
      </c>
      <c r="D3220" t="s">
        <v>31</v>
      </c>
      <c r="E3220" t="s">
        <v>31</v>
      </c>
      <c r="F3220" t="s">
        <v>31</v>
      </c>
      <c r="G3220" t="s">
        <v>31</v>
      </c>
      <c r="H3220" t="s">
        <v>31</v>
      </c>
      <c r="I3220" t="s">
        <v>31</v>
      </c>
      <c r="J3220" t="s">
        <v>31</v>
      </c>
      <c r="K3220" t="s">
        <v>31</v>
      </c>
      <c r="L3220" t="s">
        <v>31</v>
      </c>
      <c r="N3220" t="s">
        <v>31</v>
      </c>
      <c r="O3220" t="s">
        <v>31</v>
      </c>
    </row>
    <row r="3221" spans="1:15">
      <c r="A3221" s="22" t="s">
        <v>294</v>
      </c>
      <c r="B3221" s="22" t="str">
        <f ca="1">IF(ISBLANK(OFFSET(B3221,0,'Field labels'!$Q$1)),C3221,OFFSET(B3221,0,'Field labels'!$Q$1))</f>
        <v>Bolivia, Plurinational State of</v>
      </c>
      <c r="C3221" s="22" t="s">
        <v>32</v>
      </c>
      <c r="D3221" t="s">
        <v>32</v>
      </c>
      <c r="E3221" t="s">
        <v>32</v>
      </c>
      <c r="F3221" t="s">
        <v>32</v>
      </c>
      <c r="G3221" t="s">
        <v>32</v>
      </c>
      <c r="H3221" t="s">
        <v>32</v>
      </c>
      <c r="I3221" t="s">
        <v>32</v>
      </c>
      <c r="J3221" t="s">
        <v>32</v>
      </c>
      <c r="K3221" t="s">
        <v>32</v>
      </c>
      <c r="L3221" t="s">
        <v>32</v>
      </c>
      <c r="N3221" t="s">
        <v>32</v>
      </c>
      <c r="O3221" t="s">
        <v>32</v>
      </c>
    </row>
    <row r="3222" spans="1:15">
      <c r="A3222" s="22" t="s">
        <v>294</v>
      </c>
      <c r="B3222" s="22" t="str">
        <f ca="1">IF(ISBLANK(OFFSET(B3222,0,'Field labels'!$Q$1)),C3222,OFFSET(B3222,0,'Field labels'!$Q$1))</f>
        <v>Bosnia and Herzegovina</v>
      </c>
      <c r="C3222" s="22" t="s">
        <v>33</v>
      </c>
      <c r="D3222" t="s">
        <v>33</v>
      </c>
      <c r="E3222" t="s">
        <v>33</v>
      </c>
      <c r="F3222" t="s">
        <v>33</v>
      </c>
      <c r="G3222" t="s">
        <v>33</v>
      </c>
      <c r="H3222" t="s">
        <v>33</v>
      </c>
      <c r="I3222" t="s">
        <v>33</v>
      </c>
      <c r="J3222" t="s">
        <v>33</v>
      </c>
      <c r="K3222" t="s">
        <v>33</v>
      </c>
      <c r="L3222" t="s">
        <v>33</v>
      </c>
      <c r="N3222" t="s">
        <v>33</v>
      </c>
      <c r="O3222" t="s">
        <v>33</v>
      </c>
    </row>
    <row r="3223" spans="1:15">
      <c r="A3223" s="22" t="s">
        <v>294</v>
      </c>
      <c r="B3223" s="22" t="str">
        <f ca="1">IF(ISBLANK(OFFSET(B3223,0,'Field labels'!$Q$1)),C3223,OFFSET(B3223,0,'Field labels'!$Q$1))</f>
        <v>Botswana</v>
      </c>
      <c r="C3223" s="22" t="s">
        <v>34</v>
      </c>
      <c r="D3223" t="s">
        <v>34</v>
      </c>
      <c r="E3223" t="s">
        <v>34</v>
      </c>
      <c r="F3223" t="s">
        <v>34</v>
      </c>
      <c r="G3223" t="s">
        <v>34</v>
      </c>
      <c r="H3223" t="s">
        <v>34</v>
      </c>
      <c r="I3223" t="s">
        <v>34</v>
      </c>
      <c r="J3223" t="s">
        <v>34</v>
      </c>
      <c r="K3223" t="s">
        <v>34</v>
      </c>
      <c r="L3223" t="s">
        <v>34</v>
      </c>
      <c r="N3223" t="s">
        <v>34</v>
      </c>
      <c r="O3223" t="s">
        <v>34</v>
      </c>
    </row>
    <row r="3224" spans="1:15">
      <c r="A3224" s="22" t="s">
        <v>294</v>
      </c>
      <c r="B3224" s="22" t="str">
        <f ca="1">IF(ISBLANK(OFFSET(B3224,0,'Field labels'!$Q$1)),C3224,OFFSET(B3224,0,'Field labels'!$Q$1))</f>
        <v>Bouvet Island</v>
      </c>
      <c r="C3224" s="22" t="s">
        <v>35</v>
      </c>
      <c r="D3224" t="s">
        <v>35</v>
      </c>
      <c r="E3224" t="s">
        <v>35</v>
      </c>
      <c r="F3224" t="s">
        <v>35</v>
      </c>
      <c r="G3224" t="s">
        <v>35</v>
      </c>
      <c r="H3224" t="s">
        <v>35</v>
      </c>
      <c r="I3224" t="s">
        <v>35</v>
      </c>
      <c r="J3224" t="s">
        <v>35</v>
      </c>
      <c r="K3224" t="s">
        <v>35</v>
      </c>
      <c r="L3224" t="s">
        <v>35</v>
      </c>
      <c r="N3224" t="s">
        <v>35</v>
      </c>
      <c r="O3224" t="s">
        <v>35</v>
      </c>
    </row>
    <row r="3225" spans="1:15">
      <c r="A3225" s="22" t="s">
        <v>294</v>
      </c>
      <c r="B3225" s="22" t="str">
        <f ca="1">IF(ISBLANK(OFFSET(B3225,0,'Field labels'!$Q$1)),C3225,OFFSET(B3225,0,'Field labels'!$Q$1))</f>
        <v>Brazil</v>
      </c>
      <c r="C3225" s="22" t="s">
        <v>332</v>
      </c>
      <c r="D3225" t="s">
        <v>945</v>
      </c>
      <c r="E3225" t="s">
        <v>332</v>
      </c>
      <c r="F3225" t="s">
        <v>946</v>
      </c>
      <c r="G3225" t="s">
        <v>947</v>
      </c>
      <c r="H3225" t="s">
        <v>948</v>
      </c>
      <c r="I3225" t="s">
        <v>949</v>
      </c>
      <c r="J3225" t="s">
        <v>332</v>
      </c>
      <c r="K3225" t="s">
        <v>950</v>
      </c>
      <c r="L3225" t="s">
        <v>951</v>
      </c>
      <c r="N3225" t="s">
        <v>332</v>
      </c>
      <c r="O3225" t="s">
        <v>952</v>
      </c>
    </row>
    <row r="3226" spans="1:15">
      <c r="A3226" s="22" t="s">
        <v>294</v>
      </c>
      <c r="B3226" s="22" t="str">
        <f ca="1">IF(ISBLANK(OFFSET(B3226,0,'Field labels'!$Q$1)),C3226,OFFSET(B3226,0,'Field labels'!$Q$1))</f>
        <v>British Indian Ocean Territory</v>
      </c>
      <c r="C3226" s="22" t="s">
        <v>36</v>
      </c>
      <c r="D3226" t="s">
        <v>36</v>
      </c>
      <c r="E3226" t="s">
        <v>36</v>
      </c>
      <c r="F3226" t="s">
        <v>36</v>
      </c>
      <c r="G3226" t="s">
        <v>36</v>
      </c>
      <c r="H3226" t="s">
        <v>36</v>
      </c>
      <c r="I3226" t="s">
        <v>36</v>
      </c>
      <c r="J3226" t="s">
        <v>36</v>
      </c>
      <c r="K3226" t="s">
        <v>36</v>
      </c>
      <c r="L3226" t="s">
        <v>36</v>
      </c>
      <c r="N3226" t="s">
        <v>36</v>
      </c>
      <c r="O3226" t="s">
        <v>36</v>
      </c>
    </row>
    <row r="3227" spans="1:15">
      <c r="A3227" s="22" t="s">
        <v>294</v>
      </c>
      <c r="B3227" s="22" t="str">
        <f ca="1">IF(ISBLANK(OFFSET(B3227,0,'Field labels'!$Q$1)),C3227,OFFSET(B3227,0,'Field labels'!$Q$1))</f>
        <v>Brunei Darussalam</v>
      </c>
      <c r="C3227" s="22" t="s">
        <v>37</v>
      </c>
      <c r="D3227" t="s">
        <v>37</v>
      </c>
      <c r="E3227" t="s">
        <v>37</v>
      </c>
      <c r="F3227" t="s">
        <v>37</v>
      </c>
      <c r="G3227" t="s">
        <v>37</v>
      </c>
      <c r="H3227" t="s">
        <v>37</v>
      </c>
      <c r="I3227" t="s">
        <v>37</v>
      </c>
      <c r="J3227" t="s">
        <v>37</v>
      </c>
      <c r="K3227" t="s">
        <v>37</v>
      </c>
      <c r="L3227" t="s">
        <v>37</v>
      </c>
      <c r="N3227" t="s">
        <v>37</v>
      </c>
      <c r="O3227" t="s">
        <v>37</v>
      </c>
    </row>
    <row r="3228" spans="1:15">
      <c r="A3228" s="22" t="s">
        <v>294</v>
      </c>
      <c r="B3228" s="22" t="str">
        <f ca="1">IF(ISBLANK(OFFSET(B3228,0,'Field labels'!$Q$1)),C3228,OFFSET(B3228,0,'Field labels'!$Q$1))</f>
        <v>Bulgaria</v>
      </c>
      <c r="C3228" s="22" t="s">
        <v>38</v>
      </c>
      <c r="D3228" t="s">
        <v>38</v>
      </c>
      <c r="E3228" t="s">
        <v>38</v>
      </c>
      <c r="F3228" t="s">
        <v>38</v>
      </c>
      <c r="G3228" t="s">
        <v>38</v>
      </c>
      <c r="H3228" t="s">
        <v>38</v>
      </c>
      <c r="I3228" t="s">
        <v>38</v>
      </c>
      <c r="J3228" t="s">
        <v>38</v>
      </c>
      <c r="K3228" t="s">
        <v>38</v>
      </c>
      <c r="L3228" t="s">
        <v>38</v>
      </c>
      <c r="N3228" t="s">
        <v>38</v>
      </c>
      <c r="O3228" t="s">
        <v>38</v>
      </c>
    </row>
    <row r="3229" spans="1:15">
      <c r="A3229" s="22" t="s">
        <v>294</v>
      </c>
      <c r="B3229" s="22" t="str">
        <f ca="1">IF(ISBLANK(OFFSET(B3229,0,'Field labels'!$Q$1)),C3229,OFFSET(B3229,0,'Field labels'!$Q$1))</f>
        <v>Burkina Faso</v>
      </c>
      <c r="C3229" s="22" t="s">
        <v>39</v>
      </c>
      <c r="D3229" t="s">
        <v>39</v>
      </c>
      <c r="E3229" t="s">
        <v>39</v>
      </c>
      <c r="F3229" t="s">
        <v>39</v>
      </c>
      <c r="G3229" t="s">
        <v>39</v>
      </c>
      <c r="H3229" t="s">
        <v>39</v>
      </c>
      <c r="I3229" t="s">
        <v>39</v>
      </c>
      <c r="J3229" t="s">
        <v>39</v>
      </c>
      <c r="K3229" t="s">
        <v>39</v>
      </c>
      <c r="L3229" t="s">
        <v>39</v>
      </c>
      <c r="N3229" t="s">
        <v>39</v>
      </c>
      <c r="O3229" t="s">
        <v>39</v>
      </c>
    </row>
    <row r="3230" spans="1:15">
      <c r="A3230" s="22" t="s">
        <v>294</v>
      </c>
      <c r="B3230" s="22" t="str">
        <f ca="1">IF(ISBLANK(OFFSET(B3230,0,'Field labels'!$Q$1)),C3230,OFFSET(B3230,0,'Field labels'!$Q$1))</f>
        <v>Burundi</v>
      </c>
      <c r="C3230" s="22" t="s">
        <v>40</v>
      </c>
      <c r="D3230" t="s">
        <v>40</v>
      </c>
      <c r="E3230" t="s">
        <v>40</v>
      </c>
      <c r="F3230" t="s">
        <v>40</v>
      </c>
      <c r="G3230" t="s">
        <v>40</v>
      </c>
      <c r="H3230" t="s">
        <v>40</v>
      </c>
      <c r="I3230" t="s">
        <v>40</v>
      </c>
      <c r="J3230" t="s">
        <v>40</v>
      </c>
      <c r="K3230" t="s">
        <v>40</v>
      </c>
      <c r="L3230" t="s">
        <v>40</v>
      </c>
      <c r="N3230" t="s">
        <v>40</v>
      </c>
      <c r="O3230" t="s">
        <v>40</v>
      </c>
    </row>
    <row r="3231" spans="1:15">
      <c r="A3231" s="22" t="s">
        <v>294</v>
      </c>
      <c r="B3231" s="22" t="str">
        <f ca="1">IF(ISBLANK(OFFSET(B3231,0,'Field labels'!$Q$1)),C3231,OFFSET(B3231,0,'Field labels'!$Q$1))</f>
        <v>Cambodia</v>
      </c>
      <c r="C3231" s="22" t="s">
        <v>41</v>
      </c>
      <c r="D3231" t="s">
        <v>41</v>
      </c>
      <c r="E3231" t="s">
        <v>41</v>
      </c>
      <c r="F3231" t="s">
        <v>41</v>
      </c>
      <c r="G3231" t="s">
        <v>41</v>
      </c>
      <c r="H3231" t="s">
        <v>41</v>
      </c>
      <c r="I3231" t="s">
        <v>41</v>
      </c>
      <c r="J3231" t="s">
        <v>41</v>
      </c>
      <c r="K3231" t="s">
        <v>41</v>
      </c>
      <c r="L3231" t="s">
        <v>41</v>
      </c>
      <c r="N3231" t="s">
        <v>41</v>
      </c>
      <c r="O3231" t="s">
        <v>41</v>
      </c>
    </row>
    <row r="3232" spans="1:15">
      <c r="A3232" s="22" t="s">
        <v>294</v>
      </c>
      <c r="B3232" s="22" t="str">
        <f ca="1">IF(ISBLANK(OFFSET(B3232,0,'Field labels'!$Q$1)),C3232,OFFSET(B3232,0,'Field labels'!$Q$1))</f>
        <v>Cameroon</v>
      </c>
      <c r="C3232" s="22" t="s">
        <v>42</v>
      </c>
      <c r="D3232" t="s">
        <v>42</v>
      </c>
      <c r="E3232" t="s">
        <v>42</v>
      </c>
      <c r="F3232" t="s">
        <v>42</v>
      </c>
      <c r="G3232" t="s">
        <v>42</v>
      </c>
      <c r="H3232" t="s">
        <v>42</v>
      </c>
      <c r="I3232" t="s">
        <v>42</v>
      </c>
      <c r="J3232" t="s">
        <v>42</v>
      </c>
      <c r="K3232" t="s">
        <v>42</v>
      </c>
      <c r="L3232" t="s">
        <v>42</v>
      </c>
      <c r="N3232" t="s">
        <v>42</v>
      </c>
      <c r="O3232" t="s">
        <v>42</v>
      </c>
    </row>
    <row r="3233" spans="1:15">
      <c r="A3233" s="22" t="s">
        <v>294</v>
      </c>
      <c r="B3233" s="22" t="str">
        <f ca="1">IF(ISBLANK(OFFSET(B3233,0,'Field labels'!$Q$1)),C3233,OFFSET(B3233,0,'Field labels'!$Q$1))</f>
        <v>Canada</v>
      </c>
      <c r="C3233" s="22" t="s">
        <v>333</v>
      </c>
      <c r="D3233" t="s">
        <v>333</v>
      </c>
      <c r="E3233" t="s">
        <v>333</v>
      </c>
      <c r="F3233" t="s">
        <v>333</v>
      </c>
      <c r="G3233" t="s">
        <v>953</v>
      </c>
      <c r="H3233" t="s">
        <v>953</v>
      </c>
      <c r="I3233" t="s">
        <v>333</v>
      </c>
      <c r="J3233" t="s">
        <v>333</v>
      </c>
      <c r="K3233" t="s">
        <v>953</v>
      </c>
      <c r="L3233" t="s">
        <v>954</v>
      </c>
      <c r="N3233" t="s">
        <v>333</v>
      </c>
      <c r="O3233" t="s">
        <v>953</v>
      </c>
    </row>
    <row r="3234" spans="1:15">
      <c r="A3234" s="22" t="s">
        <v>294</v>
      </c>
      <c r="B3234" s="22" t="str">
        <f ca="1">IF(ISBLANK(OFFSET(B3234,0,'Field labels'!$Q$1)),C3234,OFFSET(B3234,0,'Field labels'!$Q$1))</f>
        <v>Cape Verde</v>
      </c>
      <c r="C3234" s="22" t="s">
        <v>43</v>
      </c>
      <c r="D3234" t="s">
        <v>43</v>
      </c>
      <c r="E3234" t="s">
        <v>43</v>
      </c>
      <c r="F3234" t="s">
        <v>43</v>
      </c>
      <c r="G3234" t="s">
        <v>43</v>
      </c>
      <c r="H3234" t="s">
        <v>43</v>
      </c>
      <c r="I3234" t="s">
        <v>43</v>
      </c>
      <c r="J3234" t="s">
        <v>43</v>
      </c>
      <c r="K3234" t="s">
        <v>43</v>
      </c>
      <c r="L3234" t="s">
        <v>43</v>
      </c>
      <c r="N3234" t="s">
        <v>43</v>
      </c>
      <c r="O3234" t="s">
        <v>43</v>
      </c>
    </row>
    <row r="3235" spans="1:15">
      <c r="A3235" s="22" t="s">
        <v>294</v>
      </c>
      <c r="B3235" s="22" t="str">
        <f ca="1">IF(ISBLANK(OFFSET(B3235,0,'Field labels'!$Q$1)),C3235,OFFSET(B3235,0,'Field labels'!$Q$1))</f>
        <v>Cayman Islands</v>
      </c>
      <c r="C3235" s="22" t="s">
        <v>44</v>
      </c>
      <c r="D3235" t="s">
        <v>44</v>
      </c>
      <c r="E3235" t="s">
        <v>44</v>
      </c>
      <c r="F3235" t="s">
        <v>44</v>
      </c>
      <c r="G3235" t="s">
        <v>44</v>
      </c>
      <c r="H3235" t="s">
        <v>44</v>
      </c>
      <c r="I3235" t="s">
        <v>44</v>
      </c>
      <c r="J3235" t="s">
        <v>44</v>
      </c>
      <c r="K3235" t="s">
        <v>44</v>
      </c>
      <c r="L3235" t="s">
        <v>44</v>
      </c>
      <c r="N3235" t="s">
        <v>44</v>
      </c>
      <c r="O3235" t="s">
        <v>44</v>
      </c>
    </row>
    <row r="3236" spans="1:15">
      <c r="A3236" s="22" t="s">
        <v>294</v>
      </c>
      <c r="B3236" s="22" t="str">
        <f ca="1">IF(ISBLANK(OFFSET(B3236,0,'Field labels'!$Q$1)),C3236,OFFSET(B3236,0,'Field labels'!$Q$1))</f>
        <v>Central African Republic</v>
      </c>
      <c r="C3236" s="22" t="s">
        <v>45</v>
      </c>
      <c r="D3236" t="s">
        <v>45</v>
      </c>
      <c r="E3236" t="s">
        <v>45</v>
      </c>
      <c r="F3236" t="s">
        <v>45</v>
      </c>
      <c r="G3236" t="s">
        <v>45</v>
      </c>
      <c r="H3236" t="s">
        <v>45</v>
      </c>
      <c r="I3236" t="s">
        <v>45</v>
      </c>
      <c r="J3236" t="s">
        <v>45</v>
      </c>
      <c r="K3236" t="s">
        <v>45</v>
      </c>
      <c r="L3236" t="s">
        <v>45</v>
      </c>
      <c r="N3236" t="s">
        <v>45</v>
      </c>
      <c r="O3236" t="s">
        <v>45</v>
      </c>
    </row>
    <row r="3237" spans="1:15">
      <c r="A3237" s="22" t="s">
        <v>294</v>
      </c>
      <c r="B3237" s="22" t="str">
        <f ca="1">IF(ISBLANK(OFFSET(B3237,0,'Field labels'!$Q$1)),C3237,OFFSET(B3237,0,'Field labels'!$Q$1))</f>
        <v>Chad</v>
      </c>
      <c r="C3237" s="22" t="s">
        <v>46</v>
      </c>
      <c r="D3237" t="s">
        <v>46</v>
      </c>
      <c r="E3237" t="s">
        <v>46</v>
      </c>
      <c r="F3237" t="s">
        <v>46</v>
      </c>
      <c r="G3237" t="s">
        <v>46</v>
      </c>
      <c r="H3237" t="s">
        <v>46</v>
      </c>
      <c r="I3237" t="s">
        <v>46</v>
      </c>
      <c r="J3237" t="s">
        <v>46</v>
      </c>
      <c r="K3237" t="s">
        <v>46</v>
      </c>
      <c r="L3237" t="s">
        <v>46</v>
      </c>
      <c r="N3237" t="s">
        <v>46</v>
      </c>
      <c r="O3237" t="s">
        <v>46</v>
      </c>
    </row>
    <row r="3238" spans="1:15">
      <c r="A3238" s="22" t="s">
        <v>294</v>
      </c>
      <c r="B3238" s="22" t="str">
        <f ca="1">IF(ISBLANK(OFFSET(B3238,0,'Field labels'!$Q$1)),C3238,OFFSET(B3238,0,'Field labels'!$Q$1))</f>
        <v>Chile</v>
      </c>
      <c r="C3238" s="22" t="s">
        <v>47</v>
      </c>
      <c r="D3238" t="s">
        <v>955</v>
      </c>
      <c r="E3238" t="s">
        <v>47</v>
      </c>
      <c r="F3238" t="s">
        <v>955</v>
      </c>
      <c r="G3238" t="s">
        <v>47</v>
      </c>
      <c r="H3238" t="s">
        <v>47</v>
      </c>
      <c r="I3238" t="s">
        <v>956</v>
      </c>
      <c r="J3238" t="s">
        <v>47</v>
      </c>
      <c r="K3238" t="s">
        <v>47</v>
      </c>
      <c r="L3238" t="s">
        <v>47</v>
      </c>
      <c r="N3238" t="s">
        <v>47</v>
      </c>
      <c r="O3238" t="s">
        <v>957</v>
      </c>
    </row>
    <row r="3239" spans="1:15">
      <c r="A3239" s="22" t="s">
        <v>294</v>
      </c>
      <c r="B3239" s="22" t="str">
        <f ca="1">IF(ISBLANK(OFFSET(B3239,0,'Field labels'!$Q$1)),C3239,OFFSET(B3239,0,'Field labels'!$Q$1))</f>
        <v>China</v>
      </c>
      <c r="C3239" s="22" t="s">
        <v>334</v>
      </c>
      <c r="D3239" t="s">
        <v>334</v>
      </c>
      <c r="E3239" t="s">
        <v>334</v>
      </c>
      <c r="F3239" t="s">
        <v>958</v>
      </c>
      <c r="G3239" t="s">
        <v>334</v>
      </c>
      <c r="H3239" t="s">
        <v>959</v>
      </c>
      <c r="I3239" t="s">
        <v>960</v>
      </c>
      <c r="J3239" t="s">
        <v>334</v>
      </c>
      <c r="K3239" t="s">
        <v>961</v>
      </c>
      <c r="L3239" t="s">
        <v>334</v>
      </c>
      <c r="N3239" t="s">
        <v>334</v>
      </c>
      <c r="O3239" t="s">
        <v>962</v>
      </c>
    </row>
    <row r="3240" spans="1:15">
      <c r="A3240" s="22" t="s">
        <v>294</v>
      </c>
      <c r="B3240" s="22" t="str">
        <f ca="1">IF(ISBLANK(OFFSET(B3240,0,'Field labels'!$Q$1)),C3240,OFFSET(B3240,0,'Field labels'!$Q$1))</f>
        <v>Christmas Island</v>
      </c>
      <c r="C3240" s="22" t="s">
        <v>48</v>
      </c>
      <c r="D3240" t="s">
        <v>48</v>
      </c>
      <c r="E3240" t="s">
        <v>48</v>
      </c>
      <c r="F3240" t="s">
        <v>48</v>
      </c>
      <c r="G3240" t="s">
        <v>48</v>
      </c>
      <c r="H3240" t="s">
        <v>48</v>
      </c>
      <c r="I3240" t="s">
        <v>48</v>
      </c>
      <c r="J3240" t="s">
        <v>48</v>
      </c>
      <c r="K3240" t="s">
        <v>48</v>
      </c>
      <c r="L3240" t="s">
        <v>48</v>
      </c>
      <c r="N3240" t="s">
        <v>48</v>
      </c>
      <c r="O3240" t="s">
        <v>48</v>
      </c>
    </row>
    <row r="3241" spans="1:15">
      <c r="A3241" s="22" t="s">
        <v>294</v>
      </c>
      <c r="B3241" s="22" t="str">
        <f ca="1">IF(ISBLANK(OFFSET(B3241,0,'Field labels'!$Q$1)),C3241,OFFSET(B3241,0,'Field labels'!$Q$1))</f>
        <v>Cocos (Keeling) Islands</v>
      </c>
      <c r="C3241" s="22" t="s">
        <v>49</v>
      </c>
      <c r="D3241" t="s">
        <v>49</v>
      </c>
      <c r="E3241" t="s">
        <v>49</v>
      </c>
      <c r="F3241" t="s">
        <v>49</v>
      </c>
      <c r="G3241" t="s">
        <v>49</v>
      </c>
      <c r="H3241" t="s">
        <v>49</v>
      </c>
      <c r="I3241" t="s">
        <v>49</v>
      </c>
      <c r="J3241" t="s">
        <v>49</v>
      </c>
      <c r="K3241" t="s">
        <v>49</v>
      </c>
      <c r="L3241" t="s">
        <v>49</v>
      </c>
      <c r="N3241" t="s">
        <v>49</v>
      </c>
      <c r="O3241" t="s">
        <v>49</v>
      </c>
    </row>
    <row r="3242" spans="1:15">
      <c r="A3242" s="22" t="s">
        <v>294</v>
      </c>
      <c r="B3242" s="22" t="str">
        <f ca="1">IF(ISBLANK(OFFSET(B3242,0,'Field labels'!$Q$1)),C3242,OFFSET(B3242,0,'Field labels'!$Q$1))</f>
        <v>Colombia</v>
      </c>
      <c r="C3242" s="22" t="s">
        <v>335</v>
      </c>
      <c r="D3242" t="s">
        <v>335</v>
      </c>
      <c r="E3242" t="s">
        <v>335</v>
      </c>
      <c r="F3242" t="s">
        <v>963</v>
      </c>
      <c r="G3242" t="s">
        <v>964</v>
      </c>
      <c r="H3242" t="s">
        <v>965</v>
      </c>
      <c r="I3242" t="s">
        <v>335</v>
      </c>
      <c r="J3242" t="s">
        <v>335</v>
      </c>
      <c r="K3242" t="s">
        <v>965</v>
      </c>
      <c r="L3242" t="s">
        <v>966</v>
      </c>
      <c r="N3242" t="s">
        <v>335</v>
      </c>
      <c r="O3242" t="s">
        <v>967</v>
      </c>
    </row>
    <row r="3243" spans="1:15">
      <c r="A3243" s="22" t="s">
        <v>294</v>
      </c>
      <c r="B3243" s="22" t="str">
        <f ca="1">IF(ISBLANK(OFFSET(B3243,0,'Field labels'!$Q$1)),C3243,OFFSET(B3243,0,'Field labels'!$Q$1))</f>
        <v>Comoros</v>
      </c>
      <c r="C3243" s="22" t="s">
        <v>50</v>
      </c>
      <c r="D3243" t="s">
        <v>50</v>
      </c>
      <c r="E3243" t="s">
        <v>50</v>
      </c>
      <c r="F3243" t="s">
        <v>50</v>
      </c>
      <c r="G3243" t="s">
        <v>50</v>
      </c>
      <c r="H3243" t="s">
        <v>50</v>
      </c>
      <c r="I3243" t="s">
        <v>50</v>
      </c>
      <c r="J3243" t="s">
        <v>50</v>
      </c>
      <c r="K3243" t="s">
        <v>50</v>
      </c>
      <c r="L3243" t="s">
        <v>50</v>
      </c>
      <c r="N3243" t="s">
        <v>50</v>
      </c>
      <c r="O3243" t="s">
        <v>50</v>
      </c>
    </row>
    <row r="3244" spans="1:15">
      <c r="A3244" s="22" t="s">
        <v>294</v>
      </c>
      <c r="B3244" s="22" t="str">
        <f ca="1">IF(ISBLANK(OFFSET(B3244,0,'Field labels'!$Q$1)),C3244,OFFSET(B3244,0,'Field labels'!$Q$1))</f>
        <v>Congo</v>
      </c>
      <c r="C3244" s="22" t="s">
        <v>51</v>
      </c>
      <c r="D3244" t="s">
        <v>51</v>
      </c>
      <c r="E3244" t="s">
        <v>51</v>
      </c>
      <c r="F3244" t="s">
        <v>51</v>
      </c>
      <c r="G3244" t="s">
        <v>51</v>
      </c>
      <c r="H3244" t="s">
        <v>51</v>
      </c>
      <c r="I3244" t="s">
        <v>51</v>
      </c>
      <c r="J3244" t="s">
        <v>51</v>
      </c>
      <c r="K3244" t="s">
        <v>51</v>
      </c>
      <c r="L3244" t="s">
        <v>51</v>
      </c>
      <c r="N3244" t="s">
        <v>51</v>
      </c>
      <c r="O3244" t="s">
        <v>51</v>
      </c>
    </row>
    <row r="3245" spans="1:15">
      <c r="A3245" s="22" t="s">
        <v>294</v>
      </c>
      <c r="B3245" s="22" t="str">
        <f ca="1">IF(ISBLANK(OFFSET(B3245,0,'Field labels'!$Q$1)),C3245,OFFSET(B3245,0,'Field labels'!$Q$1))</f>
        <v>Congo, the Democratic Republic of the</v>
      </c>
      <c r="C3245" s="22" t="s">
        <v>52</v>
      </c>
      <c r="D3245" t="s">
        <v>52</v>
      </c>
      <c r="E3245" t="s">
        <v>52</v>
      </c>
      <c r="F3245" t="s">
        <v>52</v>
      </c>
      <c r="G3245" t="s">
        <v>52</v>
      </c>
      <c r="H3245" t="s">
        <v>52</v>
      </c>
      <c r="I3245" t="s">
        <v>52</v>
      </c>
      <c r="J3245" t="s">
        <v>52</v>
      </c>
      <c r="K3245" t="s">
        <v>52</v>
      </c>
      <c r="L3245" t="s">
        <v>52</v>
      </c>
      <c r="N3245" t="s">
        <v>52</v>
      </c>
      <c r="O3245" t="s">
        <v>52</v>
      </c>
    </row>
    <row r="3246" spans="1:15">
      <c r="A3246" s="22" t="s">
        <v>294</v>
      </c>
      <c r="B3246" s="22" t="str">
        <f ca="1">IF(ISBLANK(OFFSET(B3246,0,'Field labels'!$Q$1)),C3246,OFFSET(B3246,0,'Field labels'!$Q$1))</f>
        <v>Cook Islands</v>
      </c>
      <c r="C3246" s="22" t="s">
        <v>53</v>
      </c>
      <c r="D3246" t="s">
        <v>53</v>
      </c>
      <c r="E3246" t="s">
        <v>53</v>
      </c>
      <c r="F3246" t="s">
        <v>53</v>
      </c>
      <c r="G3246" t="s">
        <v>53</v>
      </c>
      <c r="H3246" t="s">
        <v>53</v>
      </c>
      <c r="I3246" t="s">
        <v>53</v>
      </c>
      <c r="J3246" t="s">
        <v>53</v>
      </c>
      <c r="K3246" t="s">
        <v>53</v>
      </c>
      <c r="L3246" t="s">
        <v>53</v>
      </c>
      <c r="N3246" t="s">
        <v>53</v>
      </c>
      <c r="O3246" t="s">
        <v>53</v>
      </c>
    </row>
    <row r="3247" spans="1:15">
      <c r="A3247" s="22" t="s">
        <v>294</v>
      </c>
      <c r="B3247" s="22" t="str">
        <f ca="1">IF(ISBLANK(OFFSET(B3247,0,'Field labels'!$Q$1)),C3247,OFFSET(B3247,0,'Field labels'!$Q$1))</f>
        <v>Costa Rica</v>
      </c>
      <c r="C3247" s="22" t="s">
        <v>336</v>
      </c>
      <c r="D3247" t="s">
        <v>336</v>
      </c>
      <c r="E3247" t="s">
        <v>336</v>
      </c>
      <c r="F3247" t="s">
        <v>336</v>
      </c>
      <c r="G3247" t="s">
        <v>336</v>
      </c>
      <c r="H3247" t="s">
        <v>336</v>
      </c>
      <c r="I3247" t="s">
        <v>336</v>
      </c>
      <c r="J3247" t="s">
        <v>336</v>
      </c>
      <c r="K3247" t="s">
        <v>968</v>
      </c>
      <c r="L3247" t="s">
        <v>336</v>
      </c>
      <c r="N3247" t="s">
        <v>336</v>
      </c>
      <c r="O3247" t="s">
        <v>969</v>
      </c>
    </row>
    <row r="3248" spans="1:15">
      <c r="A3248" s="22" t="s">
        <v>294</v>
      </c>
      <c r="B3248" s="22" t="str">
        <f ca="1">IF(ISBLANK(OFFSET(B3248,0,'Field labels'!$Q$1)),C3248,OFFSET(B3248,0,'Field labels'!$Q$1))</f>
        <v>Côte d’Ivoire</v>
      </c>
      <c r="C3248" s="22" t="s">
        <v>709</v>
      </c>
      <c r="D3248" t="s">
        <v>709</v>
      </c>
      <c r="E3248" t="s">
        <v>709</v>
      </c>
      <c r="F3248" t="s">
        <v>709</v>
      </c>
      <c r="G3248" t="s">
        <v>709</v>
      </c>
      <c r="H3248" t="s">
        <v>709</v>
      </c>
      <c r="I3248" t="s">
        <v>709</v>
      </c>
      <c r="J3248" t="s">
        <v>709</v>
      </c>
      <c r="K3248" t="s">
        <v>709</v>
      </c>
      <c r="L3248" t="s">
        <v>709</v>
      </c>
      <c r="N3248" t="s">
        <v>709</v>
      </c>
      <c r="O3248" t="s">
        <v>709</v>
      </c>
    </row>
    <row r="3249" spans="1:15">
      <c r="A3249" s="22" t="s">
        <v>294</v>
      </c>
      <c r="B3249" s="22" t="str">
        <f ca="1">IF(ISBLANK(OFFSET(B3249,0,'Field labels'!$Q$1)),C3249,OFFSET(B3249,0,'Field labels'!$Q$1))</f>
        <v>Croatia</v>
      </c>
      <c r="C3249" s="22" t="s">
        <v>337</v>
      </c>
      <c r="D3249" t="s">
        <v>970</v>
      </c>
      <c r="E3249" t="s">
        <v>337</v>
      </c>
      <c r="F3249" t="s">
        <v>971</v>
      </c>
      <c r="G3249" t="s">
        <v>972</v>
      </c>
      <c r="H3249" t="s">
        <v>973</v>
      </c>
      <c r="I3249" t="s">
        <v>974</v>
      </c>
      <c r="J3249" t="s">
        <v>337</v>
      </c>
      <c r="K3249" t="s">
        <v>975</v>
      </c>
      <c r="L3249" t="s">
        <v>976</v>
      </c>
      <c r="N3249" t="s">
        <v>337</v>
      </c>
      <c r="O3249" t="s">
        <v>977</v>
      </c>
    </row>
    <row r="3250" spans="1:15">
      <c r="A3250" s="22" t="s">
        <v>294</v>
      </c>
      <c r="B3250" s="22" t="str">
        <f ca="1">IF(ISBLANK(OFFSET(B3250,0,'Field labels'!$Q$1)),C3250,OFFSET(B3250,0,'Field labels'!$Q$1))</f>
        <v>Cuba</v>
      </c>
      <c r="C3250" s="22" t="s">
        <v>54</v>
      </c>
      <c r="D3250" t="s">
        <v>54</v>
      </c>
      <c r="E3250" t="s">
        <v>54</v>
      </c>
      <c r="F3250" t="s">
        <v>54</v>
      </c>
      <c r="G3250" t="s">
        <v>54</v>
      </c>
      <c r="H3250" t="s">
        <v>54</v>
      </c>
      <c r="I3250" t="s">
        <v>54</v>
      </c>
      <c r="J3250" t="s">
        <v>54</v>
      </c>
      <c r="K3250" t="s">
        <v>54</v>
      </c>
      <c r="L3250" t="s">
        <v>54</v>
      </c>
      <c r="N3250" t="s">
        <v>54</v>
      </c>
      <c r="O3250" t="s">
        <v>54</v>
      </c>
    </row>
    <row r="3251" spans="1:15">
      <c r="A3251" s="22" t="s">
        <v>294</v>
      </c>
      <c r="B3251" s="22" t="str">
        <f ca="1">IF(ISBLANK(OFFSET(B3251,0,'Field labels'!$Q$1)),C3251,OFFSET(B3251,0,'Field labels'!$Q$1))</f>
        <v>Cyprus</v>
      </c>
      <c r="C3251" s="22" t="s">
        <v>338</v>
      </c>
      <c r="D3251" t="s">
        <v>338</v>
      </c>
      <c r="E3251" t="s">
        <v>338</v>
      </c>
      <c r="F3251" t="s">
        <v>978</v>
      </c>
      <c r="G3251" t="s">
        <v>979</v>
      </c>
      <c r="H3251" t="s">
        <v>980</v>
      </c>
      <c r="I3251" t="s">
        <v>981</v>
      </c>
      <c r="J3251" t="s">
        <v>338</v>
      </c>
      <c r="K3251" t="s">
        <v>982</v>
      </c>
      <c r="L3251" t="s">
        <v>983</v>
      </c>
      <c r="N3251" t="s">
        <v>338</v>
      </c>
      <c r="O3251" t="s">
        <v>984</v>
      </c>
    </row>
    <row r="3252" spans="1:15">
      <c r="A3252" s="22" t="s">
        <v>294</v>
      </c>
      <c r="B3252" s="22" t="str">
        <f ca="1">IF(ISBLANK(OFFSET(B3252,0,'Field labels'!$Q$1)),C3252,OFFSET(B3252,0,'Field labels'!$Q$1))</f>
        <v>Czech Republic</v>
      </c>
      <c r="C3252" s="22" t="s">
        <v>339</v>
      </c>
      <c r="D3252" t="s">
        <v>985</v>
      </c>
      <c r="E3252" t="s">
        <v>339</v>
      </c>
      <c r="F3252" t="s">
        <v>986</v>
      </c>
      <c r="G3252" t="s">
        <v>987</v>
      </c>
      <c r="H3252" t="s">
        <v>988</v>
      </c>
      <c r="I3252" t="s">
        <v>989</v>
      </c>
      <c r="J3252" t="s">
        <v>339</v>
      </c>
      <c r="K3252" t="s">
        <v>990</v>
      </c>
      <c r="L3252" t="s">
        <v>991</v>
      </c>
      <c r="N3252" t="s">
        <v>339</v>
      </c>
      <c r="O3252" t="s">
        <v>992</v>
      </c>
    </row>
    <row r="3253" spans="1:15">
      <c r="A3253" s="22" t="s">
        <v>294</v>
      </c>
      <c r="B3253" s="22" t="str">
        <f ca="1">IF(ISBLANK(OFFSET(B3253,0,'Field labels'!$Q$1)),C3253,OFFSET(B3253,0,'Field labels'!$Q$1))</f>
        <v>Denmark</v>
      </c>
      <c r="C3253" s="22" t="s">
        <v>340</v>
      </c>
      <c r="D3253" t="s">
        <v>993</v>
      </c>
      <c r="E3253" t="s">
        <v>340</v>
      </c>
      <c r="F3253" t="s">
        <v>994</v>
      </c>
      <c r="G3253" t="s">
        <v>995</v>
      </c>
      <c r="H3253" t="s">
        <v>996</v>
      </c>
      <c r="I3253" t="s">
        <v>997</v>
      </c>
      <c r="J3253" t="s">
        <v>340</v>
      </c>
      <c r="K3253" t="s">
        <v>998</v>
      </c>
      <c r="L3253" t="s">
        <v>999</v>
      </c>
      <c r="N3253" t="s">
        <v>340</v>
      </c>
      <c r="O3253" t="s">
        <v>1000</v>
      </c>
    </row>
    <row r="3254" spans="1:15">
      <c r="A3254" s="22" t="s">
        <v>294</v>
      </c>
      <c r="B3254" s="22" t="str">
        <f ca="1">IF(ISBLANK(OFFSET(B3254,0,'Field labels'!$Q$1)),C3254,OFFSET(B3254,0,'Field labels'!$Q$1))</f>
        <v>Djibouti</v>
      </c>
      <c r="C3254" s="22" t="s">
        <v>55</v>
      </c>
      <c r="D3254" t="s">
        <v>55</v>
      </c>
      <c r="E3254" t="s">
        <v>55</v>
      </c>
      <c r="F3254" t="s">
        <v>55</v>
      </c>
      <c r="G3254" t="s">
        <v>55</v>
      </c>
      <c r="H3254" t="s">
        <v>55</v>
      </c>
      <c r="I3254" t="s">
        <v>55</v>
      </c>
      <c r="J3254" t="s">
        <v>55</v>
      </c>
      <c r="K3254" t="s">
        <v>55</v>
      </c>
      <c r="L3254" t="s">
        <v>55</v>
      </c>
      <c r="N3254" t="s">
        <v>55</v>
      </c>
      <c r="O3254" t="s">
        <v>55</v>
      </c>
    </row>
    <row r="3255" spans="1:15">
      <c r="A3255" s="22" t="s">
        <v>294</v>
      </c>
      <c r="B3255" s="22" t="str">
        <f ca="1">IF(ISBLANK(OFFSET(B3255,0,'Field labels'!$Q$1)),C3255,OFFSET(B3255,0,'Field labels'!$Q$1))</f>
        <v>Dominica</v>
      </c>
      <c r="C3255" s="22" t="s">
        <v>56</v>
      </c>
      <c r="D3255" t="s">
        <v>56</v>
      </c>
      <c r="E3255" t="s">
        <v>56</v>
      </c>
      <c r="F3255" t="s">
        <v>56</v>
      </c>
      <c r="G3255" t="s">
        <v>56</v>
      </c>
      <c r="H3255" t="s">
        <v>56</v>
      </c>
      <c r="I3255" t="s">
        <v>56</v>
      </c>
      <c r="J3255" t="s">
        <v>56</v>
      </c>
      <c r="K3255" t="s">
        <v>56</v>
      </c>
      <c r="L3255" t="s">
        <v>56</v>
      </c>
      <c r="N3255" t="s">
        <v>56</v>
      </c>
      <c r="O3255" t="s">
        <v>56</v>
      </c>
    </row>
    <row r="3256" spans="1:15">
      <c r="A3256" s="22" t="s">
        <v>294</v>
      </c>
      <c r="B3256" s="22" t="str">
        <f ca="1">IF(ISBLANK(OFFSET(B3256,0,'Field labels'!$Q$1)),C3256,OFFSET(B3256,0,'Field labels'!$Q$1))</f>
        <v>Dominican Republic</v>
      </c>
      <c r="C3256" s="22" t="s">
        <v>341</v>
      </c>
      <c r="D3256" t="s">
        <v>1001</v>
      </c>
      <c r="E3256" t="s">
        <v>341</v>
      </c>
      <c r="F3256" t="s">
        <v>1002</v>
      </c>
      <c r="G3256" t="s">
        <v>1003</v>
      </c>
      <c r="H3256" t="s">
        <v>1004</v>
      </c>
      <c r="I3256" t="s">
        <v>1005</v>
      </c>
      <c r="J3256" t="s">
        <v>341</v>
      </c>
      <c r="K3256" t="s">
        <v>1006</v>
      </c>
      <c r="L3256" t="s">
        <v>1007</v>
      </c>
      <c r="N3256" t="s">
        <v>341</v>
      </c>
      <c r="O3256" t="s">
        <v>1008</v>
      </c>
    </row>
    <row r="3257" spans="1:15">
      <c r="A3257" s="22" t="s">
        <v>294</v>
      </c>
      <c r="B3257" s="22" t="str">
        <f ca="1">IF(ISBLANK(OFFSET(B3257,0,'Field labels'!$Q$1)),C3257,OFFSET(B3257,0,'Field labels'!$Q$1))</f>
        <v>Ecuador</v>
      </c>
      <c r="C3257" s="22" t="s">
        <v>342</v>
      </c>
      <c r="D3257" t="s">
        <v>342</v>
      </c>
      <c r="E3257" t="s">
        <v>342</v>
      </c>
      <c r="F3257" t="s">
        <v>1009</v>
      </c>
      <c r="G3257" t="s">
        <v>342</v>
      </c>
      <c r="H3257" t="s">
        <v>342</v>
      </c>
      <c r="I3257" t="s">
        <v>342</v>
      </c>
      <c r="J3257" t="s">
        <v>342</v>
      </c>
      <c r="K3257" t="s">
        <v>1010</v>
      </c>
      <c r="L3257" t="s">
        <v>1011</v>
      </c>
      <c r="N3257" t="s">
        <v>342</v>
      </c>
      <c r="O3257" t="s">
        <v>1012</v>
      </c>
    </row>
    <row r="3258" spans="1:15">
      <c r="A3258" s="22" t="s">
        <v>294</v>
      </c>
      <c r="B3258" s="22" t="str">
        <f ca="1">IF(ISBLANK(OFFSET(B3258,0,'Field labels'!$Q$1)),C3258,OFFSET(B3258,0,'Field labels'!$Q$1))</f>
        <v>Egypt</v>
      </c>
      <c r="C3258" s="22" t="s">
        <v>343</v>
      </c>
      <c r="D3258" t="s">
        <v>1013</v>
      </c>
      <c r="E3258" t="s">
        <v>343</v>
      </c>
      <c r="F3258" t="s">
        <v>1014</v>
      </c>
      <c r="G3258" t="s">
        <v>1015</v>
      </c>
      <c r="H3258" t="s">
        <v>1016</v>
      </c>
      <c r="I3258" t="s">
        <v>1017</v>
      </c>
      <c r="J3258" t="s">
        <v>343</v>
      </c>
      <c r="K3258" t="s">
        <v>1018</v>
      </c>
      <c r="L3258" t="s">
        <v>1019</v>
      </c>
      <c r="N3258" t="s">
        <v>343</v>
      </c>
      <c r="O3258" t="s">
        <v>1020</v>
      </c>
    </row>
    <row r="3259" spans="1:15">
      <c r="A3259" s="22" t="s">
        <v>294</v>
      </c>
      <c r="B3259" s="22" t="str">
        <f ca="1">IF(ISBLANK(OFFSET(B3259,0,'Field labels'!$Q$1)),C3259,OFFSET(B3259,0,'Field labels'!$Q$1))</f>
        <v>El Salvador</v>
      </c>
      <c r="C3259" s="22" t="s">
        <v>57</v>
      </c>
      <c r="D3259" t="s">
        <v>57</v>
      </c>
      <c r="E3259" t="s">
        <v>57</v>
      </c>
      <c r="F3259" t="s">
        <v>57</v>
      </c>
      <c r="G3259" t="s">
        <v>57</v>
      </c>
      <c r="H3259" t="s">
        <v>57</v>
      </c>
      <c r="I3259" t="s">
        <v>57</v>
      </c>
      <c r="J3259" t="s">
        <v>57</v>
      </c>
      <c r="K3259" t="s">
        <v>57</v>
      </c>
      <c r="L3259" t="s">
        <v>57</v>
      </c>
      <c r="N3259" t="s">
        <v>57</v>
      </c>
      <c r="O3259" t="s">
        <v>57</v>
      </c>
    </row>
    <row r="3260" spans="1:15">
      <c r="A3260" s="22" t="s">
        <v>294</v>
      </c>
      <c r="B3260" s="22" t="str">
        <f ca="1">IF(ISBLANK(OFFSET(B3260,0,'Field labels'!$Q$1)),C3260,OFFSET(B3260,0,'Field labels'!$Q$1))</f>
        <v>Equatorial Guinea</v>
      </c>
      <c r="C3260" s="22" t="s">
        <v>58</v>
      </c>
      <c r="D3260" t="s">
        <v>58</v>
      </c>
      <c r="E3260" t="s">
        <v>58</v>
      </c>
      <c r="F3260" t="s">
        <v>58</v>
      </c>
      <c r="G3260" t="s">
        <v>58</v>
      </c>
      <c r="H3260" t="s">
        <v>58</v>
      </c>
      <c r="I3260" t="s">
        <v>58</v>
      </c>
      <c r="J3260" t="s">
        <v>58</v>
      </c>
      <c r="K3260" t="s">
        <v>58</v>
      </c>
      <c r="L3260" t="s">
        <v>58</v>
      </c>
      <c r="N3260" t="s">
        <v>58</v>
      </c>
      <c r="O3260" t="s">
        <v>58</v>
      </c>
    </row>
    <row r="3261" spans="1:15">
      <c r="A3261" s="22" t="s">
        <v>294</v>
      </c>
      <c r="B3261" s="22" t="str">
        <f ca="1">IF(ISBLANK(OFFSET(B3261,0,'Field labels'!$Q$1)),C3261,OFFSET(B3261,0,'Field labels'!$Q$1))</f>
        <v>Eritrea</v>
      </c>
      <c r="C3261" s="22" t="s">
        <v>59</v>
      </c>
      <c r="D3261" t="s">
        <v>59</v>
      </c>
      <c r="E3261" t="s">
        <v>59</v>
      </c>
      <c r="F3261" t="s">
        <v>59</v>
      </c>
      <c r="G3261" t="s">
        <v>59</v>
      </c>
      <c r="H3261" t="s">
        <v>59</v>
      </c>
      <c r="I3261" t="s">
        <v>59</v>
      </c>
      <c r="J3261" t="s">
        <v>59</v>
      </c>
      <c r="K3261" t="s">
        <v>59</v>
      </c>
      <c r="L3261" t="s">
        <v>59</v>
      </c>
      <c r="N3261" t="s">
        <v>59</v>
      </c>
      <c r="O3261" t="s">
        <v>59</v>
      </c>
    </row>
    <row r="3262" spans="1:15">
      <c r="A3262" s="22" t="s">
        <v>294</v>
      </c>
      <c r="B3262" s="22" t="str">
        <f ca="1">IF(ISBLANK(OFFSET(B3262,0,'Field labels'!$Q$1)),C3262,OFFSET(B3262,0,'Field labels'!$Q$1))</f>
        <v>Estonia</v>
      </c>
      <c r="C3262" s="22" t="s">
        <v>60</v>
      </c>
      <c r="D3262" t="s">
        <v>60</v>
      </c>
      <c r="E3262" t="s">
        <v>60</v>
      </c>
      <c r="F3262" t="s">
        <v>60</v>
      </c>
      <c r="G3262" t="s">
        <v>60</v>
      </c>
      <c r="H3262" t="s">
        <v>60</v>
      </c>
      <c r="I3262" t="s">
        <v>60</v>
      </c>
      <c r="J3262" t="s">
        <v>60</v>
      </c>
      <c r="K3262" t="s">
        <v>60</v>
      </c>
      <c r="L3262" t="s">
        <v>60</v>
      </c>
      <c r="N3262" t="s">
        <v>60</v>
      </c>
      <c r="O3262" t="s">
        <v>60</v>
      </c>
    </row>
    <row r="3263" spans="1:15">
      <c r="A3263" s="22" t="s">
        <v>294</v>
      </c>
      <c r="B3263" s="22" t="str">
        <f ca="1">IF(ISBLANK(OFFSET(B3263,0,'Field labels'!$Q$1)),C3263,OFFSET(B3263,0,'Field labels'!$Q$1))</f>
        <v>Ethiopia</v>
      </c>
      <c r="C3263" s="22" t="s">
        <v>61</v>
      </c>
      <c r="D3263" t="s">
        <v>61</v>
      </c>
      <c r="E3263" t="s">
        <v>61</v>
      </c>
      <c r="F3263" t="s">
        <v>61</v>
      </c>
      <c r="G3263" t="s">
        <v>61</v>
      </c>
      <c r="H3263" t="s">
        <v>61</v>
      </c>
      <c r="I3263" t="s">
        <v>61</v>
      </c>
      <c r="J3263" t="s">
        <v>61</v>
      </c>
      <c r="K3263" t="s">
        <v>61</v>
      </c>
      <c r="L3263" t="s">
        <v>61</v>
      </c>
      <c r="N3263" t="s">
        <v>61</v>
      </c>
      <c r="O3263" t="s">
        <v>61</v>
      </c>
    </row>
    <row r="3264" spans="1:15">
      <c r="A3264" s="22" t="s">
        <v>294</v>
      </c>
      <c r="B3264" s="22" t="str">
        <f ca="1">IF(ISBLANK(OFFSET(B3264,0,'Field labels'!$Q$1)),C3264,OFFSET(B3264,0,'Field labels'!$Q$1))</f>
        <v>Falkland Islands (Malvinas)</v>
      </c>
      <c r="C3264" s="22" t="s">
        <v>62</v>
      </c>
      <c r="D3264" t="s">
        <v>62</v>
      </c>
      <c r="E3264" t="s">
        <v>62</v>
      </c>
      <c r="F3264" t="s">
        <v>62</v>
      </c>
      <c r="G3264" t="s">
        <v>62</v>
      </c>
      <c r="H3264" t="s">
        <v>62</v>
      </c>
      <c r="I3264" t="s">
        <v>62</v>
      </c>
      <c r="J3264" t="s">
        <v>62</v>
      </c>
      <c r="K3264" t="s">
        <v>62</v>
      </c>
      <c r="L3264" t="s">
        <v>62</v>
      </c>
      <c r="N3264" t="s">
        <v>62</v>
      </c>
      <c r="O3264" t="s">
        <v>62</v>
      </c>
    </row>
    <row r="3265" spans="1:15">
      <c r="A3265" s="22" t="s">
        <v>294</v>
      </c>
      <c r="B3265" s="22" t="str">
        <f ca="1">IF(ISBLANK(OFFSET(B3265,0,'Field labels'!$Q$1)),C3265,OFFSET(B3265,0,'Field labels'!$Q$1))</f>
        <v>Faroe Islands</v>
      </c>
      <c r="C3265" s="22" t="s">
        <v>63</v>
      </c>
      <c r="D3265" t="s">
        <v>63</v>
      </c>
      <c r="E3265" t="s">
        <v>63</v>
      </c>
      <c r="F3265" t="s">
        <v>63</v>
      </c>
      <c r="G3265" t="s">
        <v>63</v>
      </c>
      <c r="H3265" t="s">
        <v>63</v>
      </c>
      <c r="I3265" t="s">
        <v>63</v>
      </c>
      <c r="J3265" t="s">
        <v>63</v>
      </c>
      <c r="K3265" t="s">
        <v>63</v>
      </c>
      <c r="L3265" t="s">
        <v>63</v>
      </c>
      <c r="N3265" t="s">
        <v>63</v>
      </c>
      <c r="O3265" t="s">
        <v>63</v>
      </c>
    </row>
    <row r="3266" spans="1:15">
      <c r="A3266" s="22" t="s">
        <v>294</v>
      </c>
      <c r="B3266" s="22" t="str">
        <f ca="1">IF(ISBLANK(OFFSET(B3266,0,'Field labels'!$Q$1)),C3266,OFFSET(B3266,0,'Field labels'!$Q$1))</f>
        <v>Fiji</v>
      </c>
      <c r="C3266" s="22" t="s">
        <v>64</v>
      </c>
      <c r="D3266" t="s">
        <v>64</v>
      </c>
      <c r="E3266" t="s">
        <v>64</v>
      </c>
      <c r="F3266" t="s">
        <v>64</v>
      </c>
      <c r="G3266" t="s">
        <v>64</v>
      </c>
      <c r="H3266" t="s">
        <v>64</v>
      </c>
      <c r="I3266" t="s">
        <v>64</v>
      </c>
      <c r="J3266" t="s">
        <v>64</v>
      </c>
      <c r="K3266" t="s">
        <v>64</v>
      </c>
      <c r="L3266" t="s">
        <v>64</v>
      </c>
      <c r="N3266" t="s">
        <v>64</v>
      </c>
      <c r="O3266" t="s">
        <v>64</v>
      </c>
    </row>
    <row r="3267" spans="1:15">
      <c r="A3267" s="22" t="s">
        <v>294</v>
      </c>
      <c r="B3267" s="22" t="str">
        <f ca="1">IF(ISBLANK(OFFSET(B3267,0,'Field labels'!$Q$1)),C3267,OFFSET(B3267,0,'Field labels'!$Q$1))</f>
        <v>Finland</v>
      </c>
      <c r="C3267" s="22" t="s">
        <v>344</v>
      </c>
      <c r="D3267" t="s">
        <v>344</v>
      </c>
      <c r="E3267" t="s">
        <v>344</v>
      </c>
      <c r="F3267" t="s">
        <v>1021</v>
      </c>
      <c r="G3267" t="s">
        <v>1022</v>
      </c>
      <c r="H3267" t="s">
        <v>1023</v>
      </c>
      <c r="I3267" t="s">
        <v>1024</v>
      </c>
      <c r="J3267" t="s">
        <v>344</v>
      </c>
      <c r="K3267" t="s">
        <v>1024</v>
      </c>
      <c r="L3267" t="s">
        <v>1025</v>
      </c>
      <c r="N3267" t="s">
        <v>344</v>
      </c>
      <c r="O3267" t="s">
        <v>1026</v>
      </c>
    </row>
    <row r="3268" spans="1:15">
      <c r="A3268" s="22" t="s">
        <v>294</v>
      </c>
      <c r="B3268" s="22" t="str">
        <f ca="1">IF(ISBLANK(OFFSET(B3268,0,'Field labels'!$Q$1)),C3268,OFFSET(B3268,0,'Field labels'!$Q$1))</f>
        <v>France</v>
      </c>
      <c r="C3268" s="22" t="s">
        <v>345</v>
      </c>
      <c r="D3268" t="s">
        <v>1027</v>
      </c>
      <c r="E3268" t="s">
        <v>345</v>
      </c>
      <c r="F3268" t="s">
        <v>345</v>
      </c>
      <c r="G3268" t="s">
        <v>1028</v>
      </c>
      <c r="H3268" t="s">
        <v>1029</v>
      </c>
      <c r="I3268" t="s">
        <v>1030</v>
      </c>
      <c r="J3268" t="s">
        <v>345</v>
      </c>
      <c r="K3268" t="s">
        <v>1031</v>
      </c>
      <c r="L3268" t="s">
        <v>1032</v>
      </c>
      <c r="N3268" t="s">
        <v>345</v>
      </c>
      <c r="O3268" t="s">
        <v>1033</v>
      </c>
    </row>
    <row r="3269" spans="1:15">
      <c r="A3269" s="22" t="s">
        <v>294</v>
      </c>
      <c r="B3269" s="22" t="str">
        <f ca="1">IF(ISBLANK(OFFSET(B3269,0,'Field labels'!$Q$1)),C3269,OFFSET(B3269,0,'Field labels'!$Q$1))</f>
        <v>French Guiana</v>
      </c>
      <c r="C3269" s="22" t="s">
        <v>65</v>
      </c>
      <c r="D3269" t="s">
        <v>1034</v>
      </c>
      <c r="E3269" t="s">
        <v>65</v>
      </c>
      <c r="F3269" t="s">
        <v>1035</v>
      </c>
      <c r="G3269" t="s">
        <v>1036</v>
      </c>
      <c r="H3269" t="s">
        <v>1037</v>
      </c>
      <c r="I3269" t="s">
        <v>1038</v>
      </c>
      <c r="K3269" t="s">
        <v>1039</v>
      </c>
      <c r="L3269" t="s">
        <v>1040</v>
      </c>
      <c r="N3269" t="s">
        <v>1041</v>
      </c>
      <c r="O3269" t="s">
        <v>65</v>
      </c>
    </row>
    <row r="3270" spans="1:15">
      <c r="A3270" s="22" t="s">
        <v>294</v>
      </c>
      <c r="B3270" s="22" t="str">
        <f ca="1">IF(ISBLANK(OFFSET(B3270,0,'Field labels'!$Q$1)),C3270,OFFSET(B3270,0,'Field labels'!$Q$1))</f>
        <v>French Polynesia</v>
      </c>
      <c r="C3270" s="22" t="s">
        <v>66</v>
      </c>
      <c r="D3270" t="s">
        <v>1042</v>
      </c>
      <c r="E3270" t="s">
        <v>66</v>
      </c>
      <c r="F3270" t="s">
        <v>1043</v>
      </c>
      <c r="G3270" t="s">
        <v>1044</v>
      </c>
      <c r="H3270" t="s">
        <v>1045</v>
      </c>
      <c r="I3270" t="s">
        <v>1046</v>
      </c>
      <c r="K3270" t="s">
        <v>1047</v>
      </c>
      <c r="L3270" t="s">
        <v>1048</v>
      </c>
      <c r="N3270" t="s">
        <v>1049</v>
      </c>
      <c r="O3270" t="s">
        <v>66</v>
      </c>
    </row>
    <row r="3271" spans="1:15">
      <c r="A3271" s="22" t="s">
        <v>294</v>
      </c>
      <c r="B3271" s="22" t="str">
        <f ca="1">IF(ISBLANK(OFFSET(B3271,0,'Field labels'!$Q$1)),C3271,OFFSET(B3271,0,'Field labels'!$Q$1))</f>
        <v>French Southern Territories</v>
      </c>
      <c r="C3271" s="22" t="s">
        <v>67</v>
      </c>
      <c r="D3271" t="s">
        <v>1050</v>
      </c>
      <c r="E3271" t="s">
        <v>67</v>
      </c>
      <c r="F3271" t="s">
        <v>1051</v>
      </c>
      <c r="G3271" t="s">
        <v>1052</v>
      </c>
      <c r="H3271" t="s">
        <v>1053</v>
      </c>
      <c r="I3271" t="s">
        <v>1054</v>
      </c>
      <c r="K3271" t="s">
        <v>1055</v>
      </c>
      <c r="L3271" t="s">
        <v>1056</v>
      </c>
      <c r="N3271" t="s">
        <v>1057</v>
      </c>
      <c r="O3271" t="s">
        <v>67</v>
      </c>
    </row>
    <row r="3272" spans="1:15">
      <c r="A3272" s="22" t="s">
        <v>294</v>
      </c>
      <c r="B3272" s="22" t="str">
        <f ca="1">IF(ISBLANK(OFFSET(B3272,0,'Field labels'!$Q$1)),C3272,OFFSET(B3272,0,'Field labels'!$Q$1))</f>
        <v>Gabon</v>
      </c>
      <c r="C3272" s="22" t="s">
        <v>68</v>
      </c>
      <c r="D3272" t="s">
        <v>68</v>
      </c>
      <c r="E3272" t="s">
        <v>68</v>
      </c>
      <c r="F3272" t="s">
        <v>68</v>
      </c>
      <c r="G3272" t="s">
        <v>68</v>
      </c>
      <c r="H3272" t="s">
        <v>68</v>
      </c>
      <c r="I3272" t="s">
        <v>68</v>
      </c>
      <c r="J3272" t="s">
        <v>68</v>
      </c>
      <c r="K3272" t="s">
        <v>68</v>
      </c>
      <c r="L3272" t="s">
        <v>68</v>
      </c>
      <c r="N3272" t="s">
        <v>68</v>
      </c>
      <c r="O3272" t="s">
        <v>68</v>
      </c>
    </row>
    <row r="3273" spans="1:15">
      <c r="A3273" s="22" t="s">
        <v>294</v>
      </c>
      <c r="B3273" s="22" t="str">
        <f ca="1">IF(ISBLANK(OFFSET(B3273,0,'Field labels'!$Q$1)),C3273,OFFSET(B3273,0,'Field labels'!$Q$1))</f>
        <v>Gambia</v>
      </c>
      <c r="C3273" s="22" t="s">
        <v>69</v>
      </c>
      <c r="D3273" t="s">
        <v>69</v>
      </c>
      <c r="E3273" t="s">
        <v>69</v>
      </c>
      <c r="F3273" t="s">
        <v>69</v>
      </c>
      <c r="G3273" t="s">
        <v>69</v>
      </c>
      <c r="H3273" t="s">
        <v>69</v>
      </c>
      <c r="I3273" t="s">
        <v>69</v>
      </c>
      <c r="J3273" t="s">
        <v>69</v>
      </c>
      <c r="K3273" t="s">
        <v>69</v>
      </c>
      <c r="L3273" t="s">
        <v>69</v>
      </c>
      <c r="N3273" t="s">
        <v>69</v>
      </c>
      <c r="O3273" t="s">
        <v>69</v>
      </c>
    </row>
    <row r="3274" spans="1:15">
      <c r="A3274" s="22" t="s">
        <v>294</v>
      </c>
      <c r="B3274" s="22" t="str">
        <f ca="1">IF(ISBLANK(OFFSET(B3274,0,'Field labels'!$Q$1)),C3274,OFFSET(B3274,0,'Field labels'!$Q$1))</f>
        <v>Georgia</v>
      </c>
      <c r="C3274" s="22" t="s">
        <v>70</v>
      </c>
      <c r="D3274" t="s">
        <v>70</v>
      </c>
      <c r="E3274" t="s">
        <v>70</v>
      </c>
      <c r="F3274" t="s">
        <v>70</v>
      </c>
      <c r="G3274" t="s">
        <v>70</v>
      </c>
      <c r="H3274" t="s">
        <v>70</v>
      </c>
      <c r="I3274" t="s">
        <v>70</v>
      </c>
      <c r="J3274" t="s">
        <v>70</v>
      </c>
      <c r="K3274" t="s">
        <v>70</v>
      </c>
      <c r="L3274" t="s">
        <v>70</v>
      </c>
      <c r="N3274" t="s">
        <v>70</v>
      </c>
      <c r="O3274" t="s">
        <v>70</v>
      </c>
    </row>
    <row r="3275" spans="1:15">
      <c r="A3275" s="22" t="s">
        <v>294</v>
      </c>
      <c r="B3275" s="22" t="str">
        <f ca="1">IF(ISBLANK(OFFSET(B3275,0,'Field labels'!$Q$1)),C3275,OFFSET(B3275,0,'Field labels'!$Q$1))</f>
        <v>Germany</v>
      </c>
      <c r="C3275" s="22" t="s">
        <v>346</v>
      </c>
      <c r="D3275" t="s">
        <v>1058</v>
      </c>
      <c r="E3275" t="s">
        <v>346</v>
      </c>
      <c r="F3275" t="s">
        <v>1059</v>
      </c>
      <c r="G3275" t="s">
        <v>1060</v>
      </c>
      <c r="H3275" t="s">
        <v>1061</v>
      </c>
      <c r="I3275" t="s">
        <v>1062</v>
      </c>
      <c r="J3275" t="s">
        <v>346</v>
      </c>
      <c r="K3275" t="s">
        <v>1063</v>
      </c>
      <c r="L3275" t="s">
        <v>1064</v>
      </c>
      <c r="N3275" t="s">
        <v>346</v>
      </c>
      <c r="O3275" t="s">
        <v>1065</v>
      </c>
    </row>
    <row r="3276" spans="1:15">
      <c r="A3276" s="22" t="s">
        <v>294</v>
      </c>
      <c r="B3276" s="22" t="str">
        <f ca="1">IF(ISBLANK(OFFSET(B3276,0,'Field labels'!$Q$1)),C3276,OFFSET(B3276,0,'Field labels'!$Q$1))</f>
        <v>Ghana</v>
      </c>
      <c r="C3276" s="22" t="s">
        <v>71</v>
      </c>
      <c r="D3276" t="s">
        <v>71</v>
      </c>
      <c r="E3276" t="s">
        <v>71</v>
      </c>
      <c r="F3276" t="s">
        <v>71</v>
      </c>
      <c r="G3276" t="s">
        <v>71</v>
      </c>
      <c r="H3276" t="s">
        <v>71</v>
      </c>
      <c r="I3276" t="s">
        <v>71</v>
      </c>
      <c r="J3276" t="s">
        <v>71</v>
      </c>
      <c r="K3276" t="s">
        <v>71</v>
      </c>
      <c r="L3276" t="s">
        <v>71</v>
      </c>
      <c r="N3276" t="s">
        <v>71</v>
      </c>
      <c r="O3276" t="s">
        <v>71</v>
      </c>
    </row>
    <row r="3277" spans="1:15">
      <c r="A3277" s="22" t="s">
        <v>294</v>
      </c>
      <c r="B3277" s="22" t="str">
        <f ca="1">IF(ISBLANK(OFFSET(B3277,0,'Field labels'!$Q$1)),C3277,OFFSET(B3277,0,'Field labels'!$Q$1))</f>
        <v>Gibraltar</v>
      </c>
      <c r="C3277" s="22" t="s">
        <v>72</v>
      </c>
      <c r="D3277" t="s">
        <v>72</v>
      </c>
      <c r="E3277" t="s">
        <v>72</v>
      </c>
      <c r="F3277" t="s">
        <v>72</v>
      </c>
      <c r="G3277" t="s">
        <v>72</v>
      </c>
      <c r="H3277" t="s">
        <v>72</v>
      </c>
      <c r="I3277" t="s">
        <v>72</v>
      </c>
      <c r="J3277" t="s">
        <v>72</v>
      </c>
      <c r="K3277" t="s">
        <v>72</v>
      </c>
      <c r="L3277" t="s">
        <v>72</v>
      </c>
      <c r="N3277" t="s">
        <v>72</v>
      </c>
      <c r="O3277" t="s">
        <v>72</v>
      </c>
    </row>
    <row r="3278" spans="1:15">
      <c r="A3278" s="22" t="s">
        <v>294</v>
      </c>
      <c r="B3278" s="22" t="str">
        <f ca="1">IF(ISBLANK(OFFSET(B3278,0,'Field labels'!$Q$1)),C3278,OFFSET(B3278,0,'Field labels'!$Q$1))</f>
        <v>Greater China - Hong Kong</v>
      </c>
      <c r="C3278" s="22" t="s">
        <v>7719</v>
      </c>
      <c r="D3278" t="s">
        <v>7719</v>
      </c>
      <c r="E3278" t="s">
        <v>7719</v>
      </c>
      <c r="F3278" t="s">
        <v>7719</v>
      </c>
      <c r="G3278" t="s">
        <v>7719</v>
      </c>
      <c r="H3278" t="s">
        <v>7719</v>
      </c>
      <c r="I3278" t="s">
        <v>7719</v>
      </c>
      <c r="J3278" t="s">
        <v>7719</v>
      </c>
      <c r="K3278" t="s">
        <v>7719</v>
      </c>
      <c r="L3278" t="s">
        <v>7719</v>
      </c>
      <c r="N3278" t="s">
        <v>7719</v>
      </c>
      <c r="O3278" t="s">
        <v>7719</v>
      </c>
    </row>
    <row r="3279" spans="1:15">
      <c r="A3279" s="22" t="s">
        <v>294</v>
      </c>
      <c r="B3279" s="22" t="str">
        <f ca="1">IF(ISBLANK(OFFSET(B3279,0,'Field labels'!$Q$1)),C3279,OFFSET(B3279,0,'Field labels'!$Q$1))</f>
        <v>Greater China - Macao</v>
      </c>
      <c r="C3279" s="22" t="s">
        <v>7721</v>
      </c>
      <c r="D3279" s="22" t="s">
        <v>7721</v>
      </c>
      <c r="E3279" s="22" t="s">
        <v>7721</v>
      </c>
      <c r="F3279" s="22" t="s">
        <v>7721</v>
      </c>
      <c r="G3279" s="22" t="s">
        <v>7721</v>
      </c>
      <c r="H3279" s="22" t="s">
        <v>7721</v>
      </c>
      <c r="I3279" s="22" t="s">
        <v>7721</v>
      </c>
      <c r="J3279" s="22" t="s">
        <v>7721</v>
      </c>
      <c r="K3279" s="22" t="s">
        <v>7721</v>
      </c>
      <c r="L3279" s="22" t="s">
        <v>7721</v>
      </c>
      <c r="N3279" s="22" t="s">
        <v>7721</v>
      </c>
      <c r="O3279" s="22" t="s">
        <v>7721</v>
      </c>
    </row>
    <row r="3280" spans="1:15">
      <c r="A3280" s="22" t="s">
        <v>294</v>
      </c>
      <c r="B3280" s="22" t="str">
        <f ca="1">IF(ISBLANK(OFFSET(B3280,0,'Field labels'!$Q$1)),C3280,OFFSET(B3280,0,'Field labels'!$Q$1))</f>
        <v>Greater China - Taiwan</v>
      </c>
      <c r="C3280" s="22" t="s">
        <v>7720</v>
      </c>
      <c r="D3280" s="22" t="s">
        <v>7720</v>
      </c>
      <c r="E3280" s="22" t="s">
        <v>7720</v>
      </c>
      <c r="F3280" s="22" t="s">
        <v>7720</v>
      </c>
      <c r="G3280" s="22" t="s">
        <v>7720</v>
      </c>
      <c r="H3280" s="22" t="s">
        <v>7720</v>
      </c>
      <c r="I3280" s="22" t="s">
        <v>7720</v>
      </c>
      <c r="J3280" s="22" t="s">
        <v>7720</v>
      </c>
      <c r="K3280" s="22" t="s">
        <v>7720</v>
      </c>
      <c r="L3280" s="22" t="s">
        <v>7720</v>
      </c>
      <c r="N3280" s="22" t="s">
        <v>7720</v>
      </c>
      <c r="O3280" s="22" t="s">
        <v>7720</v>
      </c>
    </row>
    <row r="3281" spans="1:15">
      <c r="A3281" s="22" t="s">
        <v>294</v>
      </c>
      <c r="B3281" s="22" t="str">
        <f ca="1">IF(ISBLANK(OFFSET(B3281,0,'Field labels'!$Q$1)),C3281,OFFSET(B3281,0,'Field labels'!$Q$1))</f>
        <v>Greece</v>
      </c>
      <c r="C3281" s="22" t="s">
        <v>73</v>
      </c>
      <c r="D3281" t="s">
        <v>73</v>
      </c>
      <c r="E3281" t="s">
        <v>73</v>
      </c>
      <c r="F3281" t="s">
        <v>73</v>
      </c>
      <c r="G3281" t="s">
        <v>73</v>
      </c>
      <c r="H3281" t="s">
        <v>73</v>
      </c>
      <c r="I3281" t="s">
        <v>73</v>
      </c>
      <c r="J3281" t="s">
        <v>73</v>
      </c>
      <c r="K3281" t="s">
        <v>73</v>
      </c>
      <c r="L3281" t="s">
        <v>73</v>
      </c>
      <c r="N3281" t="s">
        <v>73</v>
      </c>
      <c r="O3281" t="s">
        <v>73</v>
      </c>
    </row>
    <row r="3282" spans="1:15">
      <c r="A3282" s="22" t="s">
        <v>294</v>
      </c>
      <c r="B3282" s="22" t="str">
        <f ca="1">IF(ISBLANK(OFFSET(B3282,0,'Field labels'!$Q$1)),C3282,OFFSET(B3282,0,'Field labels'!$Q$1))</f>
        <v>Greenland</v>
      </c>
      <c r="C3282" s="22" t="s">
        <v>74</v>
      </c>
      <c r="D3282" t="s">
        <v>74</v>
      </c>
      <c r="E3282" t="s">
        <v>74</v>
      </c>
      <c r="F3282" t="s">
        <v>74</v>
      </c>
      <c r="G3282" t="s">
        <v>74</v>
      </c>
      <c r="H3282" t="s">
        <v>74</v>
      </c>
      <c r="I3282" t="s">
        <v>74</v>
      </c>
      <c r="J3282" t="s">
        <v>74</v>
      </c>
      <c r="K3282" t="s">
        <v>74</v>
      </c>
      <c r="L3282" t="s">
        <v>74</v>
      </c>
      <c r="N3282" t="s">
        <v>74</v>
      </c>
      <c r="O3282" t="s">
        <v>74</v>
      </c>
    </row>
    <row r="3283" spans="1:15">
      <c r="A3283" s="22" t="s">
        <v>294</v>
      </c>
      <c r="B3283" s="22" t="str">
        <f ca="1">IF(ISBLANK(OFFSET(B3283,0,'Field labels'!$Q$1)),C3283,OFFSET(B3283,0,'Field labels'!$Q$1))</f>
        <v>Grenada</v>
      </c>
      <c r="C3283" s="22" t="s">
        <v>75</v>
      </c>
      <c r="D3283" t="s">
        <v>75</v>
      </c>
      <c r="E3283" t="s">
        <v>75</v>
      </c>
      <c r="F3283" t="s">
        <v>75</v>
      </c>
      <c r="G3283" t="s">
        <v>75</v>
      </c>
      <c r="H3283" t="s">
        <v>75</v>
      </c>
      <c r="I3283" t="s">
        <v>75</v>
      </c>
      <c r="J3283" t="s">
        <v>75</v>
      </c>
      <c r="K3283" t="s">
        <v>75</v>
      </c>
      <c r="L3283" t="s">
        <v>75</v>
      </c>
      <c r="N3283" t="s">
        <v>75</v>
      </c>
      <c r="O3283" t="s">
        <v>75</v>
      </c>
    </row>
    <row r="3284" spans="1:15">
      <c r="A3284" s="22" t="s">
        <v>294</v>
      </c>
      <c r="B3284" s="22" t="str">
        <f ca="1">IF(ISBLANK(OFFSET(B3284,0,'Field labels'!$Q$1)),C3284,OFFSET(B3284,0,'Field labels'!$Q$1))</f>
        <v>Guadeloupe</v>
      </c>
      <c r="C3284" s="22" t="s">
        <v>76</v>
      </c>
      <c r="D3284" t="s">
        <v>76</v>
      </c>
      <c r="E3284" t="s">
        <v>76</v>
      </c>
      <c r="F3284" t="s">
        <v>76</v>
      </c>
      <c r="G3284" t="s">
        <v>76</v>
      </c>
      <c r="H3284" t="s">
        <v>76</v>
      </c>
      <c r="I3284" t="s">
        <v>76</v>
      </c>
      <c r="J3284" t="s">
        <v>76</v>
      </c>
      <c r="K3284" t="s">
        <v>76</v>
      </c>
      <c r="L3284" t="s">
        <v>76</v>
      </c>
      <c r="N3284" t="s">
        <v>76</v>
      </c>
      <c r="O3284" t="s">
        <v>76</v>
      </c>
    </row>
    <row r="3285" spans="1:15">
      <c r="A3285" s="22" t="s">
        <v>294</v>
      </c>
      <c r="B3285" s="22" t="str">
        <f ca="1">IF(ISBLANK(OFFSET(B3285,0,'Field labels'!$Q$1)),C3285,OFFSET(B3285,0,'Field labels'!$Q$1))</f>
        <v>Guam</v>
      </c>
      <c r="C3285" s="22" t="s">
        <v>77</v>
      </c>
      <c r="D3285" t="s">
        <v>77</v>
      </c>
      <c r="E3285" t="s">
        <v>77</v>
      </c>
      <c r="F3285" t="s">
        <v>77</v>
      </c>
      <c r="G3285" t="s">
        <v>77</v>
      </c>
      <c r="H3285" t="s">
        <v>77</v>
      </c>
      <c r="I3285" t="s">
        <v>77</v>
      </c>
      <c r="J3285" t="s">
        <v>77</v>
      </c>
      <c r="K3285" t="s">
        <v>77</v>
      </c>
      <c r="L3285" t="s">
        <v>77</v>
      </c>
      <c r="N3285" t="s">
        <v>77</v>
      </c>
      <c r="O3285" t="s">
        <v>77</v>
      </c>
    </row>
    <row r="3286" spans="1:15">
      <c r="A3286" s="22" t="s">
        <v>294</v>
      </c>
      <c r="B3286" s="22" t="str">
        <f ca="1">IF(ISBLANK(OFFSET(B3286,0,'Field labels'!$Q$1)),C3286,OFFSET(B3286,0,'Field labels'!$Q$1))</f>
        <v>Guatemala</v>
      </c>
      <c r="C3286" s="22" t="s">
        <v>78</v>
      </c>
      <c r="D3286" t="s">
        <v>78</v>
      </c>
      <c r="E3286" t="s">
        <v>78</v>
      </c>
      <c r="F3286" t="s">
        <v>78</v>
      </c>
      <c r="G3286" t="s">
        <v>78</v>
      </c>
      <c r="H3286" t="s">
        <v>78</v>
      </c>
      <c r="I3286" t="s">
        <v>78</v>
      </c>
      <c r="J3286" t="s">
        <v>78</v>
      </c>
      <c r="K3286" t="s">
        <v>78</v>
      </c>
      <c r="L3286" t="s">
        <v>78</v>
      </c>
      <c r="N3286" t="s">
        <v>78</v>
      </c>
      <c r="O3286" t="s">
        <v>78</v>
      </c>
    </row>
    <row r="3287" spans="1:15">
      <c r="A3287" s="22" t="s">
        <v>294</v>
      </c>
      <c r="B3287" s="22" t="str">
        <f ca="1">IF(ISBLANK(OFFSET(B3287,0,'Field labels'!$Q$1)),C3287,OFFSET(B3287,0,'Field labels'!$Q$1))</f>
        <v>Guernsey</v>
      </c>
      <c r="C3287" s="22" t="s">
        <v>79</v>
      </c>
      <c r="D3287" t="s">
        <v>79</v>
      </c>
      <c r="E3287" t="s">
        <v>79</v>
      </c>
      <c r="F3287" t="s">
        <v>79</v>
      </c>
      <c r="G3287" t="s">
        <v>79</v>
      </c>
      <c r="H3287" t="s">
        <v>79</v>
      </c>
      <c r="I3287" t="s">
        <v>79</v>
      </c>
      <c r="J3287" t="s">
        <v>79</v>
      </c>
      <c r="K3287" t="s">
        <v>79</v>
      </c>
      <c r="L3287" t="s">
        <v>79</v>
      </c>
      <c r="N3287" t="s">
        <v>79</v>
      </c>
      <c r="O3287" t="s">
        <v>79</v>
      </c>
    </row>
    <row r="3288" spans="1:15">
      <c r="A3288" s="22" t="s">
        <v>294</v>
      </c>
      <c r="B3288" s="22" t="str">
        <f ca="1">IF(ISBLANK(OFFSET(B3288,0,'Field labels'!$Q$1)),C3288,OFFSET(B3288,0,'Field labels'!$Q$1))</f>
        <v>Guinea</v>
      </c>
      <c r="C3288" s="22" t="s">
        <v>80</v>
      </c>
      <c r="D3288" t="s">
        <v>80</v>
      </c>
      <c r="E3288" t="s">
        <v>80</v>
      </c>
      <c r="F3288" t="s">
        <v>80</v>
      </c>
      <c r="G3288" t="s">
        <v>80</v>
      </c>
      <c r="H3288" t="s">
        <v>80</v>
      </c>
      <c r="I3288" t="s">
        <v>80</v>
      </c>
      <c r="J3288" t="s">
        <v>80</v>
      </c>
      <c r="K3288" t="s">
        <v>80</v>
      </c>
      <c r="L3288" t="s">
        <v>80</v>
      </c>
      <c r="N3288" t="s">
        <v>80</v>
      </c>
      <c r="O3288" t="s">
        <v>80</v>
      </c>
    </row>
    <row r="3289" spans="1:15">
      <c r="A3289" s="22" t="s">
        <v>294</v>
      </c>
      <c r="B3289" s="22" t="str">
        <f ca="1">IF(ISBLANK(OFFSET(B3289,0,'Field labels'!$Q$1)),C3289,OFFSET(B3289,0,'Field labels'!$Q$1))</f>
        <v>Guinea-Bissau</v>
      </c>
      <c r="C3289" s="22" t="s">
        <v>81</v>
      </c>
      <c r="D3289" t="s">
        <v>81</v>
      </c>
      <c r="E3289" t="s">
        <v>81</v>
      </c>
      <c r="F3289" t="s">
        <v>81</v>
      </c>
      <c r="G3289" t="s">
        <v>81</v>
      </c>
      <c r="H3289" t="s">
        <v>81</v>
      </c>
      <c r="I3289" t="s">
        <v>81</v>
      </c>
      <c r="J3289" t="s">
        <v>81</v>
      </c>
      <c r="K3289" t="s">
        <v>81</v>
      </c>
      <c r="L3289" t="s">
        <v>81</v>
      </c>
      <c r="N3289" t="s">
        <v>81</v>
      </c>
      <c r="O3289" t="s">
        <v>81</v>
      </c>
    </row>
    <row r="3290" spans="1:15">
      <c r="A3290" s="22" t="s">
        <v>294</v>
      </c>
      <c r="B3290" s="22" t="str">
        <f ca="1">IF(ISBLANK(OFFSET(B3290,0,'Field labels'!$Q$1)),C3290,OFFSET(B3290,0,'Field labels'!$Q$1))</f>
        <v>Guyana</v>
      </c>
      <c r="C3290" s="22" t="s">
        <v>82</v>
      </c>
      <c r="D3290" t="s">
        <v>82</v>
      </c>
      <c r="E3290" t="s">
        <v>82</v>
      </c>
      <c r="F3290" t="s">
        <v>82</v>
      </c>
      <c r="G3290" t="s">
        <v>82</v>
      </c>
      <c r="H3290" t="s">
        <v>82</v>
      </c>
      <c r="I3290" t="s">
        <v>82</v>
      </c>
      <c r="J3290" t="s">
        <v>82</v>
      </c>
      <c r="K3290" t="s">
        <v>82</v>
      </c>
      <c r="L3290" t="s">
        <v>82</v>
      </c>
      <c r="N3290" t="s">
        <v>82</v>
      </c>
      <c r="O3290" t="s">
        <v>82</v>
      </c>
    </row>
    <row r="3291" spans="1:15">
      <c r="A3291" s="22" t="s">
        <v>294</v>
      </c>
      <c r="B3291" s="22" t="str">
        <f ca="1">IF(ISBLANK(OFFSET(B3291,0,'Field labels'!$Q$1)),C3291,OFFSET(B3291,0,'Field labels'!$Q$1))</f>
        <v>Haiti</v>
      </c>
      <c r="C3291" s="22" t="s">
        <v>83</v>
      </c>
      <c r="D3291" t="s">
        <v>83</v>
      </c>
      <c r="E3291" t="s">
        <v>83</v>
      </c>
      <c r="F3291" t="s">
        <v>83</v>
      </c>
      <c r="G3291" t="s">
        <v>83</v>
      </c>
      <c r="H3291" t="s">
        <v>83</v>
      </c>
      <c r="I3291" t="s">
        <v>83</v>
      </c>
      <c r="J3291" t="s">
        <v>83</v>
      </c>
      <c r="K3291" t="s">
        <v>83</v>
      </c>
      <c r="L3291" t="s">
        <v>83</v>
      </c>
      <c r="N3291" t="s">
        <v>83</v>
      </c>
      <c r="O3291" t="s">
        <v>83</v>
      </c>
    </row>
    <row r="3292" spans="1:15">
      <c r="A3292" s="22" t="s">
        <v>294</v>
      </c>
      <c r="B3292" s="22" t="str">
        <f ca="1">IF(ISBLANK(OFFSET(B3292,0,'Field labels'!$Q$1)),C3292,OFFSET(B3292,0,'Field labels'!$Q$1))</f>
        <v>Heard Island and McDonald Islands</v>
      </c>
      <c r="C3292" s="22" t="s">
        <v>84</v>
      </c>
      <c r="D3292" t="s">
        <v>84</v>
      </c>
      <c r="E3292" t="s">
        <v>84</v>
      </c>
      <c r="F3292" t="s">
        <v>84</v>
      </c>
      <c r="G3292" t="s">
        <v>84</v>
      </c>
      <c r="H3292" t="s">
        <v>84</v>
      </c>
      <c r="I3292" t="s">
        <v>84</v>
      </c>
      <c r="J3292" t="s">
        <v>84</v>
      </c>
      <c r="K3292" t="s">
        <v>84</v>
      </c>
      <c r="L3292" t="s">
        <v>84</v>
      </c>
      <c r="N3292" t="s">
        <v>84</v>
      </c>
      <c r="O3292" t="s">
        <v>84</v>
      </c>
    </row>
    <row r="3293" spans="1:15">
      <c r="A3293" s="22" t="s">
        <v>294</v>
      </c>
      <c r="B3293" s="22" t="str">
        <f ca="1">IF(ISBLANK(OFFSET(B3293,0,'Field labels'!$Q$1)),C3293,OFFSET(B3293,0,'Field labels'!$Q$1))</f>
        <v>Holy See (Vatican City State)</v>
      </c>
      <c r="C3293" s="22" t="s">
        <v>85</v>
      </c>
      <c r="D3293" t="s">
        <v>85</v>
      </c>
      <c r="E3293" t="s">
        <v>85</v>
      </c>
      <c r="F3293" t="s">
        <v>85</v>
      </c>
      <c r="G3293" t="s">
        <v>85</v>
      </c>
      <c r="H3293" t="s">
        <v>85</v>
      </c>
      <c r="I3293" t="s">
        <v>85</v>
      </c>
      <c r="J3293" t="s">
        <v>85</v>
      </c>
      <c r="K3293" t="s">
        <v>85</v>
      </c>
      <c r="L3293" t="s">
        <v>85</v>
      </c>
      <c r="N3293" t="s">
        <v>85</v>
      </c>
      <c r="O3293" t="s">
        <v>85</v>
      </c>
    </row>
    <row r="3294" spans="1:15">
      <c r="A3294" s="22" t="s">
        <v>294</v>
      </c>
      <c r="B3294" s="22" t="str">
        <f ca="1">IF(ISBLANK(OFFSET(B3294,0,'Field labels'!$Q$1)),C3294,OFFSET(B3294,0,'Field labels'!$Q$1))</f>
        <v>Honduras</v>
      </c>
      <c r="C3294" s="22" t="s">
        <v>86</v>
      </c>
      <c r="D3294" t="s">
        <v>86</v>
      </c>
      <c r="E3294" t="s">
        <v>86</v>
      </c>
      <c r="F3294" t="s">
        <v>86</v>
      </c>
      <c r="G3294" t="s">
        <v>86</v>
      </c>
      <c r="H3294" t="s">
        <v>86</v>
      </c>
      <c r="I3294" t="s">
        <v>86</v>
      </c>
      <c r="J3294" t="s">
        <v>86</v>
      </c>
      <c r="K3294" t="s">
        <v>86</v>
      </c>
      <c r="L3294" t="s">
        <v>86</v>
      </c>
      <c r="N3294" t="s">
        <v>86</v>
      </c>
      <c r="O3294" t="s">
        <v>86</v>
      </c>
    </row>
    <row r="3295" spans="1:15">
      <c r="A3295" s="22" t="s">
        <v>294</v>
      </c>
      <c r="B3295" s="22" t="str">
        <f ca="1">IF(ISBLANK(OFFSET(B3295,0,'Field labels'!$Q$1)),C3295,OFFSET(B3295,0,'Field labels'!$Q$1))</f>
        <v>Hungary</v>
      </c>
      <c r="C3295" s="22" t="s">
        <v>347</v>
      </c>
      <c r="D3295" t="s">
        <v>1066</v>
      </c>
      <c r="E3295" t="s">
        <v>347</v>
      </c>
      <c r="F3295" t="s">
        <v>1067</v>
      </c>
      <c r="G3295" t="s">
        <v>1068</v>
      </c>
      <c r="H3295" t="s">
        <v>1069</v>
      </c>
      <c r="I3295" t="s">
        <v>1070</v>
      </c>
      <c r="J3295" t="s">
        <v>347</v>
      </c>
      <c r="K3295" t="s">
        <v>1071</v>
      </c>
      <c r="L3295" t="s">
        <v>1072</v>
      </c>
      <c r="N3295" t="s">
        <v>347</v>
      </c>
      <c r="O3295" t="s">
        <v>1073</v>
      </c>
    </row>
    <row r="3296" spans="1:15">
      <c r="A3296" s="22" t="s">
        <v>294</v>
      </c>
      <c r="B3296" s="22" t="str">
        <f ca="1">IF(ISBLANK(OFFSET(B3296,0,'Field labels'!$Q$1)),C3296,OFFSET(B3296,0,'Field labels'!$Q$1))</f>
        <v>Iceland</v>
      </c>
      <c r="C3296" s="22" t="s">
        <v>88</v>
      </c>
      <c r="D3296" t="s">
        <v>88</v>
      </c>
      <c r="E3296" t="s">
        <v>88</v>
      </c>
      <c r="F3296" t="s">
        <v>88</v>
      </c>
      <c r="G3296" t="s">
        <v>88</v>
      </c>
      <c r="H3296" t="s">
        <v>88</v>
      </c>
      <c r="I3296" t="s">
        <v>88</v>
      </c>
      <c r="J3296" t="s">
        <v>88</v>
      </c>
      <c r="K3296" t="s">
        <v>88</v>
      </c>
      <c r="L3296" t="s">
        <v>88</v>
      </c>
      <c r="N3296" t="s">
        <v>88</v>
      </c>
      <c r="O3296" t="s">
        <v>88</v>
      </c>
    </row>
    <row r="3297" spans="1:15">
      <c r="A3297" s="22" t="s">
        <v>294</v>
      </c>
      <c r="B3297" s="22" t="str">
        <f ca="1">IF(ISBLANK(OFFSET(B3297,0,'Field labels'!$Q$1)),C3297,OFFSET(B3297,0,'Field labels'!$Q$1))</f>
        <v>India</v>
      </c>
      <c r="C3297" s="22" t="s">
        <v>348</v>
      </c>
      <c r="D3297" t="s">
        <v>348</v>
      </c>
      <c r="E3297" t="s">
        <v>348</v>
      </c>
      <c r="F3297" t="s">
        <v>1074</v>
      </c>
      <c r="G3297" t="s">
        <v>1075</v>
      </c>
      <c r="H3297" t="s">
        <v>348</v>
      </c>
      <c r="I3297" t="s">
        <v>348</v>
      </c>
      <c r="J3297" t="s">
        <v>348</v>
      </c>
      <c r="K3297" t="s">
        <v>1076</v>
      </c>
      <c r="L3297" t="s">
        <v>1077</v>
      </c>
      <c r="N3297" t="s">
        <v>348</v>
      </c>
      <c r="O3297" t="s">
        <v>1078</v>
      </c>
    </row>
    <row r="3298" spans="1:15">
      <c r="A3298" s="22" t="s">
        <v>294</v>
      </c>
      <c r="B3298" s="22" t="str">
        <f ca="1">IF(ISBLANK(OFFSET(B3298,0,'Field labels'!$Q$1)),C3298,OFFSET(B3298,0,'Field labels'!$Q$1))</f>
        <v>Indonesia</v>
      </c>
      <c r="C3298" s="22" t="s">
        <v>349</v>
      </c>
      <c r="D3298" t="s">
        <v>1079</v>
      </c>
      <c r="E3298" t="s">
        <v>349</v>
      </c>
      <c r="F3298" t="s">
        <v>1080</v>
      </c>
      <c r="G3298" t="s">
        <v>1081</v>
      </c>
      <c r="H3298" t="s">
        <v>1082</v>
      </c>
      <c r="I3298" t="s">
        <v>349</v>
      </c>
      <c r="J3298" t="s">
        <v>349</v>
      </c>
      <c r="K3298" t="s">
        <v>1083</v>
      </c>
      <c r="L3298" t="s">
        <v>1084</v>
      </c>
      <c r="N3298" t="s">
        <v>349</v>
      </c>
      <c r="O3298" t="s">
        <v>1085</v>
      </c>
    </row>
    <row r="3299" spans="1:15">
      <c r="A3299" s="22" t="s">
        <v>294</v>
      </c>
      <c r="B3299" s="22" t="str">
        <f ca="1">IF(ISBLANK(OFFSET(B3299,0,'Field labels'!$Q$1)),C3299,OFFSET(B3299,0,'Field labels'!$Q$1))</f>
        <v>Iran, Islamic Republic of</v>
      </c>
      <c r="C3299" s="22" t="s">
        <v>89</v>
      </c>
      <c r="D3299" t="s">
        <v>89</v>
      </c>
      <c r="E3299" t="s">
        <v>89</v>
      </c>
      <c r="F3299" t="s">
        <v>89</v>
      </c>
      <c r="G3299" t="s">
        <v>89</v>
      </c>
      <c r="H3299" t="s">
        <v>89</v>
      </c>
      <c r="I3299" t="s">
        <v>89</v>
      </c>
      <c r="J3299" t="s">
        <v>89</v>
      </c>
      <c r="K3299" t="s">
        <v>89</v>
      </c>
      <c r="L3299" t="s">
        <v>89</v>
      </c>
      <c r="N3299" t="s">
        <v>89</v>
      </c>
      <c r="O3299" t="s">
        <v>89</v>
      </c>
    </row>
    <row r="3300" spans="1:15">
      <c r="A3300" s="22" t="s">
        <v>294</v>
      </c>
      <c r="B3300" s="22" t="str">
        <f ca="1">IF(ISBLANK(OFFSET(B3300,0,'Field labels'!$Q$1)),C3300,OFFSET(B3300,0,'Field labels'!$Q$1))</f>
        <v>Iraq</v>
      </c>
      <c r="C3300" s="22" t="s">
        <v>90</v>
      </c>
      <c r="D3300" t="s">
        <v>90</v>
      </c>
      <c r="E3300" t="s">
        <v>90</v>
      </c>
      <c r="F3300" t="s">
        <v>90</v>
      </c>
      <c r="G3300" t="s">
        <v>90</v>
      </c>
      <c r="H3300" t="s">
        <v>90</v>
      </c>
      <c r="I3300" t="s">
        <v>90</v>
      </c>
      <c r="J3300" t="s">
        <v>90</v>
      </c>
      <c r="K3300" t="s">
        <v>90</v>
      </c>
      <c r="L3300" t="s">
        <v>90</v>
      </c>
      <c r="N3300" t="s">
        <v>90</v>
      </c>
      <c r="O3300" t="s">
        <v>90</v>
      </c>
    </row>
    <row r="3301" spans="1:15">
      <c r="A3301" s="22" t="s">
        <v>294</v>
      </c>
      <c r="B3301" s="22" t="str">
        <f ca="1">IF(ISBLANK(OFFSET(B3301,0,'Field labels'!$Q$1)),C3301,OFFSET(B3301,0,'Field labels'!$Q$1))</f>
        <v>Ireland</v>
      </c>
      <c r="C3301" s="22" t="s">
        <v>350</v>
      </c>
      <c r="D3301" t="s">
        <v>1086</v>
      </c>
      <c r="E3301" t="s">
        <v>350</v>
      </c>
      <c r="F3301" t="s">
        <v>1087</v>
      </c>
      <c r="G3301" t="s">
        <v>1088</v>
      </c>
      <c r="H3301" t="s">
        <v>1089</v>
      </c>
      <c r="I3301" t="s">
        <v>1090</v>
      </c>
      <c r="J3301" t="s">
        <v>350</v>
      </c>
      <c r="K3301" t="s">
        <v>1091</v>
      </c>
      <c r="L3301" t="s">
        <v>1090</v>
      </c>
      <c r="N3301" t="s">
        <v>350</v>
      </c>
      <c r="O3301" t="s">
        <v>1092</v>
      </c>
    </row>
    <row r="3302" spans="1:15">
      <c r="A3302" s="22" t="s">
        <v>294</v>
      </c>
      <c r="B3302" s="22" t="str">
        <f ca="1">IF(ISBLANK(OFFSET(B3302,0,'Field labels'!$Q$1)),C3302,OFFSET(B3302,0,'Field labels'!$Q$1))</f>
        <v>Isle of Man</v>
      </c>
      <c r="C3302" s="22" t="s">
        <v>91</v>
      </c>
      <c r="D3302" t="s">
        <v>91</v>
      </c>
      <c r="E3302" t="s">
        <v>91</v>
      </c>
      <c r="F3302" t="s">
        <v>91</v>
      </c>
      <c r="G3302" t="s">
        <v>91</v>
      </c>
      <c r="H3302" t="s">
        <v>91</v>
      </c>
      <c r="I3302" t="s">
        <v>91</v>
      </c>
      <c r="J3302" t="s">
        <v>91</v>
      </c>
      <c r="K3302" t="s">
        <v>91</v>
      </c>
      <c r="L3302" t="s">
        <v>91</v>
      </c>
      <c r="N3302" t="s">
        <v>91</v>
      </c>
      <c r="O3302" t="s">
        <v>91</v>
      </c>
    </row>
    <row r="3303" spans="1:15">
      <c r="A3303" s="22" t="s">
        <v>294</v>
      </c>
      <c r="B3303" s="22" t="str">
        <f ca="1">IF(ISBLANK(OFFSET(B3303,0,'Field labels'!$Q$1)),C3303,OFFSET(B3303,0,'Field labels'!$Q$1))</f>
        <v>Israel</v>
      </c>
      <c r="C3303" s="22" t="s">
        <v>351</v>
      </c>
      <c r="D3303" t="s">
        <v>1093</v>
      </c>
      <c r="E3303" t="s">
        <v>351</v>
      </c>
      <c r="F3303" t="s">
        <v>1093</v>
      </c>
      <c r="G3303" t="s">
        <v>351</v>
      </c>
      <c r="H3303" t="s">
        <v>1094</v>
      </c>
      <c r="I3303" t="s">
        <v>1095</v>
      </c>
      <c r="J3303" t="s">
        <v>351</v>
      </c>
      <c r="K3303" t="s">
        <v>1094</v>
      </c>
      <c r="L3303" t="s">
        <v>351</v>
      </c>
      <c r="N3303" t="s">
        <v>351</v>
      </c>
      <c r="O3303" t="s">
        <v>1096</v>
      </c>
    </row>
    <row r="3304" spans="1:15">
      <c r="A3304" s="22" t="s">
        <v>294</v>
      </c>
      <c r="B3304" s="22" t="str">
        <f ca="1">IF(ISBLANK(OFFSET(B3304,0,'Field labels'!$Q$1)),C3304,OFFSET(B3304,0,'Field labels'!$Q$1))</f>
        <v>Italy</v>
      </c>
      <c r="C3304" s="22" t="s">
        <v>352</v>
      </c>
      <c r="D3304" t="s">
        <v>1097</v>
      </c>
      <c r="E3304" t="s">
        <v>352</v>
      </c>
      <c r="F3304" t="s">
        <v>1098</v>
      </c>
      <c r="G3304" t="s">
        <v>1099</v>
      </c>
      <c r="H3304" t="s">
        <v>1100</v>
      </c>
      <c r="I3304" t="s">
        <v>1101</v>
      </c>
      <c r="J3304" t="s">
        <v>352</v>
      </c>
      <c r="K3304" t="s">
        <v>1102</v>
      </c>
      <c r="L3304" t="s">
        <v>1103</v>
      </c>
      <c r="N3304" t="s">
        <v>352</v>
      </c>
      <c r="O3304" t="s">
        <v>1104</v>
      </c>
    </row>
    <row r="3305" spans="1:15">
      <c r="A3305" s="22" t="s">
        <v>294</v>
      </c>
      <c r="B3305" s="22" t="str">
        <f ca="1">IF(ISBLANK(OFFSET(B3305,0,'Field labels'!$Q$1)),C3305,OFFSET(B3305,0,'Field labels'!$Q$1))</f>
        <v>Jamaica</v>
      </c>
      <c r="C3305" s="22" t="s">
        <v>92</v>
      </c>
      <c r="D3305" t="s">
        <v>92</v>
      </c>
      <c r="E3305" t="s">
        <v>92</v>
      </c>
      <c r="F3305" t="s">
        <v>92</v>
      </c>
      <c r="G3305" t="s">
        <v>92</v>
      </c>
      <c r="H3305" t="s">
        <v>92</v>
      </c>
      <c r="I3305" t="s">
        <v>92</v>
      </c>
      <c r="J3305" t="s">
        <v>92</v>
      </c>
      <c r="K3305" t="s">
        <v>92</v>
      </c>
      <c r="L3305" t="s">
        <v>92</v>
      </c>
      <c r="N3305" t="s">
        <v>92</v>
      </c>
      <c r="O3305" t="s">
        <v>92</v>
      </c>
    </row>
    <row r="3306" spans="1:15">
      <c r="A3306" s="22" t="s">
        <v>294</v>
      </c>
      <c r="B3306" s="22" t="str">
        <f ca="1">IF(ISBLANK(OFFSET(B3306,0,'Field labels'!$Q$1)),C3306,OFFSET(B3306,0,'Field labels'!$Q$1))</f>
        <v>Japan</v>
      </c>
      <c r="C3306" s="22" t="s">
        <v>353</v>
      </c>
      <c r="D3306" t="s">
        <v>353</v>
      </c>
      <c r="E3306" t="s">
        <v>353</v>
      </c>
      <c r="F3306" t="s">
        <v>1105</v>
      </c>
      <c r="G3306" t="s">
        <v>353</v>
      </c>
      <c r="H3306" t="s">
        <v>1106</v>
      </c>
      <c r="I3306" t="s">
        <v>1107</v>
      </c>
      <c r="J3306" t="s">
        <v>353</v>
      </c>
      <c r="K3306" t="s">
        <v>1108</v>
      </c>
      <c r="L3306" t="s">
        <v>1109</v>
      </c>
      <c r="N3306" t="s">
        <v>353</v>
      </c>
      <c r="O3306" t="s">
        <v>1110</v>
      </c>
    </row>
    <row r="3307" spans="1:15">
      <c r="A3307" s="22" t="s">
        <v>294</v>
      </c>
      <c r="B3307" s="22" t="str">
        <f ca="1">IF(ISBLANK(OFFSET(B3307,0,'Field labels'!$Q$1)),C3307,OFFSET(B3307,0,'Field labels'!$Q$1))</f>
        <v>Jersey</v>
      </c>
      <c r="C3307" s="22" t="s">
        <v>93</v>
      </c>
      <c r="D3307" t="s">
        <v>93</v>
      </c>
      <c r="E3307" t="s">
        <v>93</v>
      </c>
      <c r="F3307" t="s">
        <v>93</v>
      </c>
      <c r="G3307" t="s">
        <v>93</v>
      </c>
      <c r="H3307" t="s">
        <v>93</v>
      </c>
      <c r="I3307" t="s">
        <v>93</v>
      </c>
      <c r="J3307" t="s">
        <v>93</v>
      </c>
      <c r="K3307" t="s">
        <v>93</v>
      </c>
      <c r="L3307" t="s">
        <v>93</v>
      </c>
      <c r="N3307" t="s">
        <v>93</v>
      </c>
      <c r="O3307" t="s">
        <v>93</v>
      </c>
    </row>
    <row r="3308" spans="1:15">
      <c r="A3308" s="22" t="s">
        <v>294</v>
      </c>
      <c r="B3308" s="22" t="str">
        <f ca="1">IF(ISBLANK(OFFSET(B3308,0,'Field labels'!$Q$1)),C3308,OFFSET(B3308,0,'Field labels'!$Q$1))</f>
        <v>Jordan</v>
      </c>
      <c r="C3308" s="22" t="s">
        <v>94</v>
      </c>
      <c r="D3308" t="s">
        <v>94</v>
      </c>
      <c r="E3308" t="s">
        <v>94</v>
      </c>
      <c r="F3308" t="s">
        <v>94</v>
      </c>
      <c r="G3308" t="s">
        <v>94</v>
      </c>
      <c r="H3308" t="s">
        <v>94</v>
      </c>
      <c r="I3308" t="s">
        <v>94</v>
      </c>
      <c r="J3308" t="s">
        <v>94</v>
      </c>
      <c r="K3308" t="s">
        <v>94</v>
      </c>
      <c r="L3308" t="s">
        <v>94</v>
      </c>
      <c r="N3308" t="s">
        <v>94</v>
      </c>
      <c r="O3308" t="s">
        <v>94</v>
      </c>
    </row>
    <row r="3309" spans="1:15">
      <c r="A3309" s="22" t="s">
        <v>294</v>
      </c>
      <c r="B3309" s="22" t="str">
        <f ca="1">IF(ISBLANK(OFFSET(B3309,0,'Field labels'!$Q$1)),C3309,OFFSET(B3309,0,'Field labels'!$Q$1))</f>
        <v>Kazakhstan</v>
      </c>
      <c r="C3309" s="22" t="s">
        <v>95</v>
      </c>
      <c r="D3309" t="s">
        <v>95</v>
      </c>
      <c r="E3309" t="s">
        <v>95</v>
      </c>
      <c r="F3309" t="s">
        <v>95</v>
      </c>
      <c r="G3309" t="s">
        <v>95</v>
      </c>
      <c r="H3309" t="s">
        <v>95</v>
      </c>
      <c r="I3309" t="s">
        <v>95</v>
      </c>
      <c r="J3309" t="s">
        <v>95</v>
      </c>
      <c r="K3309" t="s">
        <v>95</v>
      </c>
      <c r="L3309" t="s">
        <v>95</v>
      </c>
      <c r="N3309" t="s">
        <v>95</v>
      </c>
      <c r="O3309" t="s">
        <v>95</v>
      </c>
    </row>
    <row r="3310" spans="1:15">
      <c r="A3310" s="22" t="s">
        <v>294</v>
      </c>
      <c r="B3310" s="22" t="str">
        <f ca="1">IF(ISBLANK(OFFSET(B3310,0,'Field labels'!$Q$1)),C3310,OFFSET(B3310,0,'Field labels'!$Q$1))</f>
        <v>Kenya</v>
      </c>
      <c r="C3310" s="22" t="s">
        <v>96</v>
      </c>
      <c r="D3310" t="s">
        <v>96</v>
      </c>
      <c r="E3310" t="s">
        <v>96</v>
      </c>
      <c r="F3310" t="s">
        <v>96</v>
      </c>
      <c r="G3310" t="s">
        <v>96</v>
      </c>
      <c r="H3310" t="s">
        <v>96</v>
      </c>
      <c r="I3310" t="s">
        <v>96</v>
      </c>
      <c r="J3310" t="s">
        <v>96</v>
      </c>
      <c r="K3310" t="s">
        <v>96</v>
      </c>
      <c r="L3310" t="s">
        <v>96</v>
      </c>
      <c r="N3310" t="s">
        <v>96</v>
      </c>
      <c r="O3310" t="s">
        <v>96</v>
      </c>
    </row>
    <row r="3311" spans="1:15">
      <c r="A3311" s="22" t="s">
        <v>294</v>
      </c>
      <c r="B3311" s="22" t="str">
        <f ca="1">IF(ISBLANK(OFFSET(B3311,0,'Field labels'!$Q$1)),C3311,OFFSET(B3311,0,'Field labels'!$Q$1))</f>
        <v>Kiribati</v>
      </c>
      <c r="C3311" s="22" t="s">
        <v>97</v>
      </c>
      <c r="D3311" t="s">
        <v>97</v>
      </c>
      <c r="E3311" t="s">
        <v>97</v>
      </c>
      <c r="F3311" t="s">
        <v>97</v>
      </c>
      <c r="G3311" t="s">
        <v>97</v>
      </c>
      <c r="H3311" t="s">
        <v>97</v>
      </c>
      <c r="I3311" t="s">
        <v>97</v>
      </c>
      <c r="J3311" t="s">
        <v>97</v>
      </c>
      <c r="K3311" t="s">
        <v>97</v>
      </c>
      <c r="L3311" t="s">
        <v>97</v>
      </c>
      <c r="N3311" t="s">
        <v>97</v>
      </c>
      <c r="O3311" t="s">
        <v>97</v>
      </c>
    </row>
    <row r="3312" spans="1:15">
      <c r="A3312" s="22" t="s">
        <v>294</v>
      </c>
      <c r="B3312" s="22" t="str">
        <f ca="1">IF(ISBLANK(OFFSET(B3312,0,'Field labels'!$Q$1)),C3312,OFFSET(B3312,0,'Field labels'!$Q$1))</f>
        <v>Korea, Democratic People's Republic of</v>
      </c>
      <c r="C3312" s="22" t="s">
        <v>98</v>
      </c>
      <c r="D3312" t="s">
        <v>98</v>
      </c>
      <c r="E3312" t="s">
        <v>98</v>
      </c>
      <c r="F3312" t="s">
        <v>98</v>
      </c>
      <c r="G3312" t="s">
        <v>98</v>
      </c>
      <c r="H3312" t="s">
        <v>98</v>
      </c>
      <c r="I3312" t="s">
        <v>98</v>
      </c>
      <c r="J3312" t="s">
        <v>98</v>
      </c>
      <c r="K3312" t="s">
        <v>98</v>
      </c>
      <c r="L3312" t="s">
        <v>98</v>
      </c>
      <c r="N3312" t="s">
        <v>98</v>
      </c>
      <c r="O3312" t="s">
        <v>98</v>
      </c>
    </row>
    <row r="3313" spans="1:15">
      <c r="A3313" s="22" t="s">
        <v>294</v>
      </c>
      <c r="B3313" s="22" t="str">
        <f ca="1">IF(ISBLANK(OFFSET(B3313,0,'Field labels'!$Q$1)),C3313,OFFSET(B3313,0,'Field labels'!$Q$1))</f>
        <v>Korea, Republic of</v>
      </c>
      <c r="C3313" s="22" t="s">
        <v>99</v>
      </c>
      <c r="D3313" t="s">
        <v>99</v>
      </c>
      <c r="E3313" t="s">
        <v>99</v>
      </c>
      <c r="F3313" t="s">
        <v>99</v>
      </c>
      <c r="G3313" t="s">
        <v>99</v>
      </c>
      <c r="H3313" t="s">
        <v>99</v>
      </c>
      <c r="I3313" t="s">
        <v>99</v>
      </c>
      <c r="J3313" t="s">
        <v>99</v>
      </c>
      <c r="K3313" t="s">
        <v>99</v>
      </c>
      <c r="L3313" t="s">
        <v>99</v>
      </c>
      <c r="N3313" t="s">
        <v>99</v>
      </c>
      <c r="O3313" t="s">
        <v>99</v>
      </c>
    </row>
    <row r="3314" spans="1:15">
      <c r="A3314" s="22" t="s">
        <v>294</v>
      </c>
      <c r="B3314" s="22" t="str">
        <f ca="1">IF(ISBLANK(OFFSET(B3314,0,'Field labels'!$Q$1)),C3314,OFFSET(B3314,0,'Field labels'!$Q$1))</f>
        <v>Kuwait</v>
      </c>
      <c r="C3314" s="22" t="s">
        <v>354</v>
      </c>
      <c r="D3314" t="s">
        <v>1111</v>
      </c>
      <c r="E3314" t="s">
        <v>354</v>
      </c>
      <c r="F3314" t="s">
        <v>1112</v>
      </c>
      <c r="G3314" t="s">
        <v>354</v>
      </c>
      <c r="H3314" t="s">
        <v>1113</v>
      </c>
      <c r="I3314" t="s">
        <v>354</v>
      </c>
      <c r="J3314" t="s">
        <v>354</v>
      </c>
      <c r="K3314" t="s">
        <v>1114</v>
      </c>
      <c r="L3314" t="s">
        <v>354</v>
      </c>
      <c r="N3314" t="s">
        <v>354</v>
      </c>
      <c r="O3314" t="s">
        <v>1115</v>
      </c>
    </row>
    <row r="3315" spans="1:15">
      <c r="A3315" s="22" t="s">
        <v>294</v>
      </c>
      <c r="B3315" s="22" t="str">
        <f ca="1">IF(ISBLANK(OFFSET(B3315,0,'Field labels'!$Q$1)),C3315,OFFSET(B3315,0,'Field labels'!$Q$1))</f>
        <v>Kyrgyzstan</v>
      </c>
      <c r="C3315" s="22" t="s">
        <v>100</v>
      </c>
      <c r="D3315" t="s">
        <v>100</v>
      </c>
      <c r="E3315" t="s">
        <v>100</v>
      </c>
      <c r="F3315" t="s">
        <v>100</v>
      </c>
      <c r="G3315" t="s">
        <v>100</v>
      </c>
      <c r="H3315" t="s">
        <v>100</v>
      </c>
      <c r="I3315" t="s">
        <v>100</v>
      </c>
      <c r="J3315" t="s">
        <v>100</v>
      </c>
      <c r="K3315" t="s">
        <v>100</v>
      </c>
      <c r="L3315" t="s">
        <v>100</v>
      </c>
      <c r="N3315" t="s">
        <v>100</v>
      </c>
      <c r="O3315" t="s">
        <v>100</v>
      </c>
    </row>
    <row r="3316" spans="1:15">
      <c r="A3316" s="22" t="s">
        <v>294</v>
      </c>
      <c r="B3316" s="22" t="str">
        <f ca="1">IF(ISBLANK(OFFSET(B3316,0,'Field labels'!$Q$1)),C3316,OFFSET(B3316,0,'Field labels'!$Q$1))</f>
        <v>Lao People's Democratic Republic</v>
      </c>
      <c r="C3316" s="22" t="s">
        <v>101</v>
      </c>
      <c r="D3316" t="s">
        <v>101</v>
      </c>
      <c r="E3316" t="s">
        <v>101</v>
      </c>
      <c r="F3316" t="s">
        <v>101</v>
      </c>
      <c r="G3316" t="s">
        <v>101</v>
      </c>
      <c r="H3316" t="s">
        <v>101</v>
      </c>
      <c r="I3316" t="s">
        <v>101</v>
      </c>
      <c r="J3316" t="s">
        <v>101</v>
      </c>
      <c r="K3316" t="s">
        <v>101</v>
      </c>
      <c r="L3316" t="s">
        <v>101</v>
      </c>
      <c r="N3316" t="s">
        <v>101</v>
      </c>
      <c r="O3316" t="s">
        <v>101</v>
      </c>
    </row>
    <row r="3317" spans="1:15">
      <c r="A3317" s="22" t="s">
        <v>294</v>
      </c>
      <c r="B3317" s="22" t="str">
        <f ca="1">IF(ISBLANK(OFFSET(B3317,0,'Field labels'!$Q$1)),C3317,OFFSET(B3317,0,'Field labels'!$Q$1))</f>
        <v>Latvia</v>
      </c>
      <c r="C3317" s="22" t="s">
        <v>102</v>
      </c>
      <c r="D3317" t="s">
        <v>102</v>
      </c>
      <c r="E3317" t="s">
        <v>102</v>
      </c>
      <c r="F3317" t="s">
        <v>102</v>
      </c>
      <c r="G3317" t="s">
        <v>102</v>
      </c>
      <c r="H3317" t="s">
        <v>102</v>
      </c>
      <c r="I3317" t="s">
        <v>102</v>
      </c>
      <c r="J3317" t="s">
        <v>102</v>
      </c>
      <c r="K3317" t="s">
        <v>102</v>
      </c>
      <c r="L3317" t="s">
        <v>102</v>
      </c>
      <c r="N3317" t="s">
        <v>102</v>
      </c>
      <c r="O3317" t="s">
        <v>102</v>
      </c>
    </row>
    <row r="3318" spans="1:15">
      <c r="A3318" s="22" t="s">
        <v>294</v>
      </c>
      <c r="B3318" s="22" t="str">
        <f ca="1">IF(ISBLANK(OFFSET(B3318,0,'Field labels'!$Q$1)),C3318,OFFSET(B3318,0,'Field labels'!$Q$1))</f>
        <v>Lebanon</v>
      </c>
      <c r="C3318" s="22" t="s">
        <v>103</v>
      </c>
      <c r="D3318" t="s">
        <v>103</v>
      </c>
      <c r="E3318" t="s">
        <v>103</v>
      </c>
      <c r="F3318" t="s">
        <v>103</v>
      </c>
      <c r="G3318" t="s">
        <v>103</v>
      </c>
      <c r="H3318" t="s">
        <v>103</v>
      </c>
      <c r="I3318" t="s">
        <v>103</v>
      </c>
      <c r="J3318" t="s">
        <v>103</v>
      </c>
      <c r="K3318" t="s">
        <v>103</v>
      </c>
      <c r="L3318" t="s">
        <v>103</v>
      </c>
      <c r="N3318" t="s">
        <v>103</v>
      </c>
      <c r="O3318" t="s">
        <v>103</v>
      </c>
    </row>
    <row r="3319" spans="1:15">
      <c r="A3319" s="22" t="s">
        <v>294</v>
      </c>
      <c r="B3319" s="22" t="str">
        <f ca="1">IF(ISBLANK(OFFSET(B3319,0,'Field labels'!$Q$1)),C3319,OFFSET(B3319,0,'Field labels'!$Q$1))</f>
        <v>Lesotho</v>
      </c>
      <c r="C3319" s="22" t="s">
        <v>104</v>
      </c>
      <c r="D3319" t="s">
        <v>104</v>
      </c>
      <c r="E3319" t="s">
        <v>104</v>
      </c>
      <c r="F3319" t="s">
        <v>104</v>
      </c>
      <c r="G3319" t="s">
        <v>104</v>
      </c>
      <c r="H3319" t="s">
        <v>104</v>
      </c>
      <c r="I3319" t="s">
        <v>104</v>
      </c>
      <c r="J3319" t="s">
        <v>104</v>
      </c>
      <c r="K3319" t="s">
        <v>104</v>
      </c>
      <c r="L3319" t="s">
        <v>104</v>
      </c>
      <c r="N3319" t="s">
        <v>104</v>
      </c>
      <c r="O3319" t="s">
        <v>104</v>
      </c>
    </row>
    <row r="3320" spans="1:15">
      <c r="A3320" s="22" t="s">
        <v>294</v>
      </c>
      <c r="B3320" s="22" t="str">
        <f ca="1">IF(ISBLANK(OFFSET(B3320,0,'Field labels'!$Q$1)),C3320,OFFSET(B3320,0,'Field labels'!$Q$1))</f>
        <v>Liberia</v>
      </c>
      <c r="C3320" s="22" t="s">
        <v>105</v>
      </c>
      <c r="D3320" t="s">
        <v>105</v>
      </c>
      <c r="E3320" t="s">
        <v>105</v>
      </c>
      <c r="F3320" t="s">
        <v>105</v>
      </c>
      <c r="G3320" t="s">
        <v>105</v>
      </c>
      <c r="H3320" t="s">
        <v>105</v>
      </c>
      <c r="I3320" t="s">
        <v>105</v>
      </c>
      <c r="J3320" t="s">
        <v>105</v>
      </c>
      <c r="K3320" t="s">
        <v>105</v>
      </c>
      <c r="L3320" t="s">
        <v>105</v>
      </c>
      <c r="N3320" t="s">
        <v>105</v>
      </c>
      <c r="O3320" t="s">
        <v>105</v>
      </c>
    </row>
    <row r="3321" spans="1:15">
      <c r="A3321" s="22" t="s">
        <v>294</v>
      </c>
      <c r="B3321" s="22" t="str">
        <f ca="1">IF(ISBLANK(OFFSET(B3321,0,'Field labels'!$Q$1)),C3321,OFFSET(B3321,0,'Field labels'!$Q$1))</f>
        <v>Libyan Arab Jamahiriya</v>
      </c>
      <c r="C3321" s="22" t="s">
        <v>106</v>
      </c>
      <c r="D3321" t="s">
        <v>106</v>
      </c>
      <c r="E3321" t="s">
        <v>106</v>
      </c>
      <c r="F3321" t="s">
        <v>106</v>
      </c>
      <c r="G3321" t="s">
        <v>106</v>
      </c>
      <c r="H3321" t="s">
        <v>106</v>
      </c>
      <c r="I3321" t="s">
        <v>106</v>
      </c>
      <c r="J3321" t="s">
        <v>106</v>
      </c>
      <c r="K3321" t="s">
        <v>106</v>
      </c>
      <c r="L3321" t="s">
        <v>106</v>
      </c>
      <c r="N3321" t="s">
        <v>106</v>
      </c>
      <c r="O3321" t="s">
        <v>106</v>
      </c>
    </row>
    <row r="3322" spans="1:15">
      <c r="A3322" s="22" t="s">
        <v>294</v>
      </c>
      <c r="B3322" s="22" t="str">
        <f ca="1">IF(ISBLANK(OFFSET(B3322,0,'Field labels'!$Q$1)),C3322,OFFSET(B3322,0,'Field labels'!$Q$1))</f>
        <v>Liechtenstein</v>
      </c>
      <c r="C3322" s="22" t="s">
        <v>107</v>
      </c>
      <c r="D3322" t="s">
        <v>107</v>
      </c>
      <c r="E3322" t="s">
        <v>107</v>
      </c>
      <c r="F3322" t="s">
        <v>107</v>
      </c>
      <c r="G3322" t="s">
        <v>107</v>
      </c>
      <c r="H3322" t="s">
        <v>107</v>
      </c>
      <c r="I3322" t="s">
        <v>107</v>
      </c>
      <c r="J3322" t="s">
        <v>107</v>
      </c>
      <c r="K3322" t="s">
        <v>107</v>
      </c>
      <c r="L3322" t="s">
        <v>107</v>
      </c>
      <c r="N3322" t="s">
        <v>107</v>
      </c>
      <c r="O3322" t="s">
        <v>107</v>
      </c>
    </row>
    <row r="3323" spans="1:15">
      <c r="A3323" s="22" t="s">
        <v>294</v>
      </c>
      <c r="B3323" s="22" t="str">
        <f ca="1">IF(ISBLANK(OFFSET(B3323,0,'Field labels'!$Q$1)),C3323,OFFSET(B3323,0,'Field labels'!$Q$1))</f>
        <v>Lithuania</v>
      </c>
      <c r="C3323" s="22" t="s">
        <v>108</v>
      </c>
      <c r="D3323" t="s">
        <v>108</v>
      </c>
      <c r="E3323" t="s">
        <v>108</v>
      </c>
      <c r="F3323" t="s">
        <v>108</v>
      </c>
      <c r="G3323" t="s">
        <v>108</v>
      </c>
      <c r="H3323" t="s">
        <v>108</v>
      </c>
      <c r="I3323" t="s">
        <v>108</v>
      </c>
      <c r="J3323" t="s">
        <v>108</v>
      </c>
      <c r="K3323" t="s">
        <v>108</v>
      </c>
      <c r="L3323" t="s">
        <v>108</v>
      </c>
      <c r="N3323" t="s">
        <v>108</v>
      </c>
      <c r="O3323" t="s">
        <v>108</v>
      </c>
    </row>
    <row r="3324" spans="1:15">
      <c r="A3324" s="22" t="s">
        <v>294</v>
      </c>
      <c r="B3324" s="22" t="str">
        <f ca="1">IF(ISBLANK(OFFSET(B3324,0,'Field labels'!$Q$1)),C3324,OFFSET(B3324,0,'Field labels'!$Q$1))</f>
        <v>Luxembourg</v>
      </c>
      <c r="C3324" s="22" t="s">
        <v>355</v>
      </c>
      <c r="D3324" t="s">
        <v>1116</v>
      </c>
      <c r="E3324" t="s">
        <v>355</v>
      </c>
      <c r="F3324" t="s">
        <v>355</v>
      </c>
      <c r="G3324" t="s">
        <v>1116</v>
      </c>
      <c r="H3324" t="s">
        <v>1116</v>
      </c>
      <c r="I3324" t="s">
        <v>1117</v>
      </c>
      <c r="J3324" t="s">
        <v>355</v>
      </c>
      <c r="K3324" t="s">
        <v>1118</v>
      </c>
      <c r="L3324" t="s">
        <v>1119</v>
      </c>
      <c r="N3324" t="s">
        <v>355</v>
      </c>
      <c r="O3324" t="s">
        <v>1120</v>
      </c>
    </row>
    <row r="3325" spans="1:15">
      <c r="A3325" s="22" t="s">
        <v>294</v>
      </c>
      <c r="B3325" s="22" t="str">
        <f ca="1">IF(ISBLANK(OFFSET(B3325,0,'Field labels'!$Q$1)),C3325,OFFSET(B3325,0,'Field labels'!$Q$1))</f>
        <v>Macedonia, the former Yugoslav Republic of</v>
      </c>
      <c r="C3325" s="22" t="s">
        <v>109</v>
      </c>
      <c r="D3325" t="s">
        <v>109</v>
      </c>
      <c r="E3325" t="s">
        <v>109</v>
      </c>
      <c r="F3325" t="s">
        <v>109</v>
      </c>
      <c r="G3325" t="s">
        <v>109</v>
      </c>
      <c r="H3325" t="s">
        <v>109</v>
      </c>
      <c r="I3325" t="s">
        <v>109</v>
      </c>
      <c r="J3325" t="s">
        <v>109</v>
      </c>
      <c r="K3325" t="s">
        <v>109</v>
      </c>
      <c r="L3325" t="s">
        <v>109</v>
      </c>
      <c r="N3325" t="s">
        <v>109</v>
      </c>
      <c r="O3325" t="s">
        <v>109</v>
      </c>
    </row>
    <row r="3326" spans="1:15">
      <c r="A3326" s="22" t="s">
        <v>294</v>
      </c>
      <c r="B3326" s="22" t="str">
        <f ca="1">IF(ISBLANK(OFFSET(B3326,0,'Field labels'!$Q$1)),C3326,OFFSET(B3326,0,'Field labels'!$Q$1))</f>
        <v>Madagascar</v>
      </c>
      <c r="C3326" s="22" t="s">
        <v>110</v>
      </c>
      <c r="D3326" t="s">
        <v>110</v>
      </c>
      <c r="E3326" t="s">
        <v>110</v>
      </c>
      <c r="F3326" t="s">
        <v>110</v>
      </c>
      <c r="G3326" t="s">
        <v>110</v>
      </c>
      <c r="H3326" t="s">
        <v>110</v>
      </c>
      <c r="I3326" t="s">
        <v>110</v>
      </c>
      <c r="J3326" t="s">
        <v>110</v>
      </c>
      <c r="K3326" t="s">
        <v>110</v>
      </c>
      <c r="L3326" t="s">
        <v>110</v>
      </c>
      <c r="N3326" t="s">
        <v>110</v>
      </c>
      <c r="O3326" t="s">
        <v>110</v>
      </c>
    </row>
    <row r="3327" spans="1:15">
      <c r="A3327" s="22" t="s">
        <v>294</v>
      </c>
      <c r="B3327" s="22" t="str">
        <f ca="1">IF(ISBLANK(OFFSET(B3327,0,'Field labels'!$Q$1)),C3327,OFFSET(B3327,0,'Field labels'!$Q$1))</f>
        <v>Malawi</v>
      </c>
      <c r="C3327" s="22" t="s">
        <v>111</v>
      </c>
      <c r="D3327" t="s">
        <v>111</v>
      </c>
      <c r="E3327" t="s">
        <v>111</v>
      </c>
      <c r="F3327" t="s">
        <v>111</v>
      </c>
      <c r="G3327" t="s">
        <v>111</v>
      </c>
      <c r="H3327" t="s">
        <v>111</v>
      </c>
      <c r="I3327" t="s">
        <v>111</v>
      </c>
      <c r="J3327" t="s">
        <v>111</v>
      </c>
      <c r="K3327" t="s">
        <v>111</v>
      </c>
      <c r="L3327" t="s">
        <v>111</v>
      </c>
      <c r="N3327" t="s">
        <v>111</v>
      </c>
      <c r="O3327" t="s">
        <v>111</v>
      </c>
    </row>
    <row r="3328" spans="1:15">
      <c r="A3328" s="22" t="s">
        <v>294</v>
      </c>
      <c r="B3328" s="22" t="str">
        <f ca="1">IF(ISBLANK(OFFSET(B3328,0,'Field labels'!$Q$1)),C3328,OFFSET(B3328,0,'Field labels'!$Q$1))</f>
        <v>Malaysia</v>
      </c>
      <c r="C3328" s="22" t="s">
        <v>356</v>
      </c>
      <c r="D3328" t="s">
        <v>1121</v>
      </c>
      <c r="E3328" t="s">
        <v>356</v>
      </c>
      <c r="F3328" t="s">
        <v>1122</v>
      </c>
      <c r="G3328" t="s">
        <v>356</v>
      </c>
      <c r="H3328" t="s">
        <v>1123</v>
      </c>
      <c r="I3328" t="s">
        <v>1124</v>
      </c>
      <c r="J3328" t="s">
        <v>356</v>
      </c>
      <c r="K3328" t="s">
        <v>1125</v>
      </c>
      <c r="L3328" t="s">
        <v>1126</v>
      </c>
      <c r="N3328" t="s">
        <v>356</v>
      </c>
      <c r="O3328" t="s">
        <v>1127</v>
      </c>
    </row>
    <row r="3329" spans="1:15">
      <c r="A3329" s="22" t="s">
        <v>294</v>
      </c>
      <c r="B3329" s="22" t="str">
        <f ca="1">IF(ISBLANK(OFFSET(B3329,0,'Field labels'!$Q$1)),C3329,OFFSET(B3329,0,'Field labels'!$Q$1))</f>
        <v>Maldives</v>
      </c>
      <c r="C3329" s="22" t="s">
        <v>112</v>
      </c>
      <c r="D3329" t="s">
        <v>112</v>
      </c>
      <c r="E3329" t="s">
        <v>112</v>
      </c>
      <c r="F3329" t="s">
        <v>112</v>
      </c>
      <c r="G3329" t="s">
        <v>112</v>
      </c>
      <c r="H3329" t="s">
        <v>112</v>
      </c>
      <c r="I3329" t="s">
        <v>112</v>
      </c>
      <c r="J3329" t="s">
        <v>112</v>
      </c>
      <c r="K3329" t="s">
        <v>112</v>
      </c>
      <c r="L3329" t="s">
        <v>112</v>
      </c>
      <c r="N3329" t="s">
        <v>112</v>
      </c>
      <c r="O3329" t="s">
        <v>112</v>
      </c>
    </row>
    <row r="3330" spans="1:15">
      <c r="A3330" s="22" t="s">
        <v>294</v>
      </c>
      <c r="B3330" s="22" t="str">
        <f ca="1">IF(ISBLANK(OFFSET(B3330,0,'Field labels'!$Q$1)),C3330,OFFSET(B3330,0,'Field labels'!$Q$1))</f>
        <v>Mali</v>
      </c>
      <c r="C3330" s="22" t="s">
        <v>113</v>
      </c>
      <c r="D3330" t="s">
        <v>113</v>
      </c>
      <c r="E3330" t="s">
        <v>113</v>
      </c>
      <c r="F3330" t="s">
        <v>113</v>
      </c>
      <c r="G3330" t="s">
        <v>113</v>
      </c>
      <c r="H3330" t="s">
        <v>113</v>
      </c>
      <c r="I3330" t="s">
        <v>113</v>
      </c>
      <c r="J3330" t="s">
        <v>113</v>
      </c>
      <c r="K3330" t="s">
        <v>113</v>
      </c>
      <c r="L3330" t="s">
        <v>113</v>
      </c>
      <c r="N3330" t="s">
        <v>113</v>
      </c>
      <c r="O3330" t="s">
        <v>113</v>
      </c>
    </row>
    <row r="3331" spans="1:15">
      <c r="A3331" s="22" t="s">
        <v>294</v>
      </c>
      <c r="B3331" s="22" t="str">
        <f ca="1">IF(ISBLANK(OFFSET(B3331,0,'Field labels'!$Q$1)),C3331,OFFSET(B3331,0,'Field labels'!$Q$1))</f>
        <v>Malta</v>
      </c>
      <c r="C3331" s="22" t="s">
        <v>114</v>
      </c>
      <c r="D3331" t="s">
        <v>114</v>
      </c>
      <c r="E3331" t="s">
        <v>114</v>
      </c>
      <c r="F3331" t="s">
        <v>114</v>
      </c>
      <c r="G3331" t="s">
        <v>114</v>
      </c>
      <c r="H3331" t="s">
        <v>114</v>
      </c>
      <c r="I3331" t="s">
        <v>114</v>
      </c>
      <c r="J3331" t="s">
        <v>114</v>
      </c>
      <c r="K3331" t="s">
        <v>114</v>
      </c>
      <c r="L3331" t="s">
        <v>114</v>
      </c>
      <c r="N3331" t="s">
        <v>114</v>
      </c>
      <c r="O3331" t="s">
        <v>114</v>
      </c>
    </row>
    <row r="3332" spans="1:15">
      <c r="A3332" s="22" t="s">
        <v>294</v>
      </c>
      <c r="B3332" s="22" t="str">
        <f ca="1">IF(ISBLANK(OFFSET(B3332,0,'Field labels'!$Q$1)),C3332,OFFSET(B3332,0,'Field labels'!$Q$1))</f>
        <v>Marshall Islands</v>
      </c>
      <c r="C3332" s="22" t="s">
        <v>115</v>
      </c>
      <c r="D3332" t="s">
        <v>115</v>
      </c>
      <c r="E3332" t="s">
        <v>115</v>
      </c>
      <c r="F3332" t="s">
        <v>115</v>
      </c>
      <c r="G3332" t="s">
        <v>115</v>
      </c>
      <c r="H3332" t="s">
        <v>115</v>
      </c>
      <c r="I3332" t="s">
        <v>115</v>
      </c>
      <c r="J3332" t="s">
        <v>115</v>
      </c>
      <c r="K3332" t="s">
        <v>115</v>
      </c>
      <c r="L3332" t="s">
        <v>115</v>
      </c>
      <c r="N3332" t="s">
        <v>115</v>
      </c>
      <c r="O3332" t="s">
        <v>115</v>
      </c>
    </row>
    <row r="3333" spans="1:15">
      <c r="A3333" s="22" t="s">
        <v>294</v>
      </c>
      <c r="B3333" s="22" t="str">
        <f ca="1">IF(ISBLANK(OFFSET(B3333,0,'Field labels'!$Q$1)),C3333,OFFSET(B3333,0,'Field labels'!$Q$1))</f>
        <v>Martinique</v>
      </c>
      <c r="C3333" s="22" t="s">
        <v>116</v>
      </c>
      <c r="D3333" t="s">
        <v>116</v>
      </c>
      <c r="E3333" t="s">
        <v>116</v>
      </c>
      <c r="F3333" t="s">
        <v>116</v>
      </c>
      <c r="G3333" t="s">
        <v>116</v>
      </c>
      <c r="H3333" t="s">
        <v>116</v>
      </c>
      <c r="I3333" t="s">
        <v>116</v>
      </c>
      <c r="J3333" t="s">
        <v>116</v>
      </c>
      <c r="K3333" t="s">
        <v>116</v>
      </c>
      <c r="L3333" t="s">
        <v>116</v>
      </c>
      <c r="N3333" t="s">
        <v>116</v>
      </c>
      <c r="O3333" t="s">
        <v>116</v>
      </c>
    </row>
    <row r="3334" spans="1:15">
      <c r="A3334" s="22" t="s">
        <v>294</v>
      </c>
      <c r="B3334" s="22" t="str">
        <f ca="1">IF(ISBLANK(OFFSET(B3334,0,'Field labels'!$Q$1)),C3334,OFFSET(B3334,0,'Field labels'!$Q$1))</f>
        <v>Mauritania</v>
      </c>
      <c r="C3334" s="22" t="s">
        <v>117</v>
      </c>
      <c r="D3334" t="s">
        <v>117</v>
      </c>
      <c r="E3334" t="s">
        <v>117</v>
      </c>
      <c r="F3334" t="s">
        <v>117</v>
      </c>
      <c r="G3334" t="s">
        <v>117</v>
      </c>
      <c r="H3334" t="s">
        <v>117</v>
      </c>
      <c r="I3334" t="s">
        <v>117</v>
      </c>
      <c r="J3334" t="s">
        <v>117</v>
      </c>
      <c r="K3334" t="s">
        <v>117</v>
      </c>
      <c r="L3334" t="s">
        <v>117</v>
      </c>
      <c r="N3334" t="s">
        <v>117</v>
      </c>
      <c r="O3334" t="s">
        <v>117</v>
      </c>
    </row>
    <row r="3335" spans="1:15">
      <c r="A3335" s="22" t="s">
        <v>294</v>
      </c>
      <c r="B3335" s="22" t="str">
        <f ca="1">IF(ISBLANK(OFFSET(B3335,0,'Field labels'!$Q$1)),C3335,OFFSET(B3335,0,'Field labels'!$Q$1))</f>
        <v>Mauritius</v>
      </c>
      <c r="C3335" s="22" t="s">
        <v>118</v>
      </c>
      <c r="D3335" t="s">
        <v>118</v>
      </c>
      <c r="E3335" t="s">
        <v>118</v>
      </c>
      <c r="F3335" t="s">
        <v>118</v>
      </c>
      <c r="G3335" t="s">
        <v>118</v>
      </c>
      <c r="H3335" t="s">
        <v>118</v>
      </c>
      <c r="I3335" t="s">
        <v>118</v>
      </c>
      <c r="J3335" t="s">
        <v>118</v>
      </c>
      <c r="K3335" t="s">
        <v>118</v>
      </c>
      <c r="L3335" t="s">
        <v>118</v>
      </c>
      <c r="N3335" t="s">
        <v>118</v>
      </c>
      <c r="O3335" t="s">
        <v>118</v>
      </c>
    </row>
    <row r="3336" spans="1:15">
      <c r="A3336" s="22" t="s">
        <v>294</v>
      </c>
      <c r="B3336" s="22" t="str">
        <f ca="1">IF(ISBLANK(OFFSET(B3336,0,'Field labels'!$Q$1)),C3336,OFFSET(B3336,0,'Field labels'!$Q$1))</f>
        <v>Mayotte</v>
      </c>
      <c r="C3336" s="22" t="s">
        <v>119</v>
      </c>
      <c r="D3336" t="s">
        <v>119</v>
      </c>
      <c r="E3336" t="s">
        <v>119</v>
      </c>
      <c r="F3336" t="s">
        <v>119</v>
      </c>
      <c r="G3336" t="s">
        <v>119</v>
      </c>
      <c r="H3336" t="s">
        <v>119</v>
      </c>
      <c r="I3336" t="s">
        <v>119</v>
      </c>
      <c r="J3336" t="s">
        <v>119</v>
      </c>
      <c r="K3336" t="s">
        <v>119</v>
      </c>
      <c r="L3336" t="s">
        <v>119</v>
      </c>
      <c r="N3336" t="s">
        <v>119</v>
      </c>
      <c r="O3336" t="s">
        <v>119</v>
      </c>
    </row>
    <row r="3337" spans="1:15">
      <c r="A3337" s="22" t="s">
        <v>294</v>
      </c>
      <c r="B3337" s="22" t="str">
        <f ca="1">IF(ISBLANK(OFFSET(B3337,0,'Field labels'!$Q$1)),C3337,OFFSET(B3337,0,'Field labels'!$Q$1))</f>
        <v>Mexico</v>
      </c>
      <c r="C3337" s="22" t="s">
        <v>357</v>
      </c>
      <c r="D3337" t="s">
        <v>357</v>
      </c>
      <c r="E3337" t="s">
        <v>357</v>
      </c>
      <c r="F3337" t="s">
        <v>1128</v>
      </c>
      <c r="G3337" t="s">
        <v>1129</v>
      </c>
      <c r="H3337" t="s">
        <v>1130</v>
      </c>
      <c r="I3337" t="s">
        <v>1131</v>
      </c>
      <c r="J3337" t="s">
        <v>357</v>
      </c>
      <c r="K3337" t="s">
        <v>1132</v>
      </c>
      <c r="L3337" t="s">
        <v>1133</v>
      </c>
      <c r="N3337" t="s">
        <v>357</v>
      </c>
      <c r="O3337" t="s">
        <v>1134</v>
      </c>
    </row>
    <row r="3338" spans="1:15">
      <c r="A3338" s="22" t="s">
        <v>294</v>
      </c>
      <c r="B3338" s="22" t="str">
        <f ca="1">IF(ISBLANK(OFFSET(B3338,0,'Field labels'!$Q$1)),C3338,OFFSET(B3338,0,'Field labels'!$Q$1))</f>
        <v>Micronesia, Federated States of</v>
      </c>
      <c r="C3338" s="22" t="s">
        <v>120</v>
      </c>
      <c r="D3338" t="s">
        <v>120</v>
      </c>
      <c r="E3338" t="s">
        <v>120</v>
      </c>
      <c r="F3338" t="s">
        <v>120</v>
      </c>
      <c r="G3338" t="s">
        <v>120</v>
      </c>
      <c r="H3338" t="s">
        <v>120</v>
      </c>
      <c r="I3338" t="s">
        <v>120</v>
      </c>
      <c r="J3338" t="s">
        <v>120</v>
      </c>
      <c r="K3338" t="s">
        <v>120</v>
      </c>
      <c r="L3338" t="s">
        <v>120</v>
      </c>
      <c r="N3338" t="s">
        <v>120</v>
      </c>
      <c r="O3338" t="s">
        <v>120</v>
      </c>
    </row>
    <row r="3339" spans="1:15">
      <c r="A3339" s="22" t="s">
        <v>294</v>
      </c>
      <c r="B3339" s="22" t="str">
        <f ca="1">IF(ISBLANK(OFFSET(B3339,0,'Field labels'!$Q$1)),C3339,OFFSET(B3339,0,'Field labels'!$Q$1))</f>
        <v>Moldova, Republic of</v>
      </c>
      <c r="C3339" s="22" t="s">
        <v>121</v>
      </c>
      <c r="D3339" t="s">
        <v>121</v>
      </c>
      <c r="E3339" t="s">
        <v>121</v>
      </c>
      <c r="F3339" t="s">
        <v>121</v>
      </c>
      <c r="G3339" t="s">
        <v>121</v>
      </c>
      <c r="H3339" t="s">
        <v>121</v>
      </c>
      <c r="I3339" t="s">
        <v>121</v>
      </c>
      <c r="J3339" t="s">
        <v>121</v>
      </c>
      <c r="K3339" t="s">
        <v>121</v>
      </c>
      <c r="L3339" t="s">
        <v>121</v>
      </c>
      <c r="N3339" t="s">
        <v>121</v>
      </c>
      <c r="O3339" t="s">
        <v>121</v>
      </c>
    </row>
    <row r="3340" spans="1:15">
      <c r="A3340" s="22" t="s">
        <v>294</v>
      </c>
      <c r="B3340" s="22" t="str">
        <f ca="1">IF(ISBLANK(OFFSET(B3340,0,'Field labels'!$Q$1)),C3340,OFFSET(B3340,0,'Field labels'!$Q$1))</f>
        <v>Monaco</v>
      </c>
      <c r="C3340" s="22" t="s">
        <v>122</v>
      </c>
      <c r="D3340" t="s">
        <v>122</v>
      </c>
      <c r="E3340" t="s">
        <v>122</v>
      </c>
      <c r="F3340" t="s">
        <v>122</v>
      </c>
      <c r="G3340" t="s">
        <v>122</v>
      </c>
      <c r="H3340" t="s">
        <v>122</v>
      </c>
      <c r="I3340" t="s">
        <v>122</v>
      </c>
      <c r="J3340" t="s">
        <v>122</v>
      </c>
      <c r="K3340" t="s">
        <v>122</v>
      </c>
      <c r="L3340" t="s">
        <v>122</v>
      </c>
      <c r="N3340" t="s">
        <v>122</v>
      </c>
      <c r="O3340" t="s">
        <v>122</v>
      </c>
    </row>
    <row r="3341" spans="1:15">
      <c r="A3341" s="22" t="s">
        <v>294</v>
      </c>
      <c r="B3341" s="22" t="str">
        <f ca="1">IF(ISBLANK(OFFSET(B3341,0,'Field labels'!$Q$1)),C3341,OFFSET(B3341,0,'Field labels'!$Q$1))</f>
        <v>Mongolia</v>
      </c>
      <c r="C3341" s="22" t="s">
        <v>123</v>
      </c>
      <c r="D3341" t="s">
        <v>123</v>
      </c>
      <c r="E3341" t="s">
        <v>123</v>
      </c>
      <c r="F3341" t="s">
        <v>123</v>
      </c>
      <c r="G3341" t="s">
        <v>123</v>
      </c>
      <c r="H3341" t="s">
        <v>123</v>
      </c>
      <c r="I3341" t="s">
        <v>123</v>
      </c>
      <c r="J3341" t="s">
        <v>123</v>
      </c>
      <c r="K3341" t="s">
        <v>123</v>
      </c>
      <c r="L3341" t="s">
        <v>123</v>
      </c>
      <c r="N3341" t="s">
        <v>123</v>
      </c>
      <c r="O3341" t="s">
        <v>123</v>
      </c>
    </row>
    <row r="3342" spans="1:15">
      <c r="A3342" s="22" t="s">
        <v>294</v>
      </c>
      <c r="B3342" s="22" t="str">
        <f ca="1">IF(ISBLANK(OFFSET(B3342,0,'Field labels'!$Q$1)),C3342,OFFSET(B3342,0,'Field labels'!$Q$1))</f>
        <v>Montenegro</v>
      </c>
      <c r="C3342" s="22" t="s">
        <v>124</v>
      </c>
      <c r="D3342" t="s">
        <v>124</v>
      </c>
      <c r="E3342" t="s">
        <v>124</v>
      </c>
      <c r="F3342" t="s">
        <v>124</v>
      </c>
      <c r="G3342" t="s">
        <v>124</v>
      </c>
      <c r="H3342" t="s">
        <v>124</v>
      </c>
      <c r="I3342" t="s">
        <v>124</v>
      </c>
      <c r="J3342" t="s">
        <v>124</v>
      </c>
      <c r="K3342" t="s">
        <v>124</v>
      </c>
      <c r="L3342" t="s">
        <v>124</v>
      </c>
      <c r="N3342" t="s">
        <v>124</v>
      </c>
      <c r="O3342" t="s">
        <v>124</v>
      </c>
    </row>
    <row r="3343" spans="1:15">
      <c r="A3343" s="22" t="s">
        <v>294</v>
      </c>
      <c r="B3343" s="22" t="str">
        <f ca="1">IF(ISBLANK(OFFSET(B3343,0,'Field labels'!$Q$1)),C3343,OFFSET(B3343,0,'Field labels'!$Q$1))</f>
        <v>Montserrat</v>
      </c>
      <c r="C3343" s="22" t="s">
        <v>125</v>
      </c>
      <c r="D3343" t="s">
        <v>125</v>
      </c>
      <c r="E3343" t="s">
        <v>125</v>
      </c>
      <c r="F3343" t="s">
        <v>125</v>
      </c>
      <c r="G3343" t="s">
        <v>125</v>
      </c>
      <c r="H3343" t="s">
        <v>125</v>
      </c>
      <c r="I3343" t="s">
        <v>125</v>
      </c>
      <c r="J3343" t="s">
        <v>125</v>
      </c>
      <c r="K3343" t="s">
        <v>125</v>
      </c>
      <c r="L3343" t="s">
        <v>125</v>
      </c>
      <c r="N3343" t="s">
        <v>125</v>
      </c>
      <c r="O3343" t="s">
        <v>125</v>
      </c>
    </row>
    <row r="3344" spans="1:15">
      <c r="A3344" s="22" t="s">
        <v>294</v>
      </c>
      <c r="B3344" s="22" t="str">
        <f ca="1">IF(ISBLANK(OFFSET(B3344,0,'Field labels'!$Q$1)),C3344,OFFSET(B3344,0,'Field labels'!$Q$1))</f>
        <v>Morocco</v>
      </c>
      <c r="C3344" s="22" t="s">
        <v>126</v>
      </c>
      <c r="D3344" t="s">
        <v>126</v>
      </c>
      <c r="E3344" t="s">
        <v>126</v>
      </c>
      <c r="F3344" t="s">
        <v>126</v>
      </c>
      <c r="G3344" t="s">
        <v>126</v>
      </c>
      <c r="H3344" t="s">
        <v>126</v>
      </c>
      <c r="I3344" t="s">
        <v>126</v>
      </c>
      <c r="J3344" t="s">
        <v>126</v>
      </c>
      <c r="K3344" t="s">
        <v>126</v>
      </c>
      <c r="L3344" t="s">
        <v>126</v>
      </c>
      <c r="N3344" t="s">
        <v>126</v>
      </c>
      <c r="O3344" t="s">
        <v>126</v>
      </c>
    </row>
    <row r="3345" spans="1:15">
      <c r="A3345" s="22" t="s">
        <v>294</v>
      </c>
      <c r="B3345" s="22" t="str">
        <f ca="1">IF(ISBLANK(OFFSET(B3345,0,'Field labels'!$Q$1)),C3345,OFFSET(B3345,0,'Field labels'!$Q$1))</f>
        <v>Mozambique</v>
      </c>
      <c r="C3345" s="22" t="s">
        <v>127</v>
      </c>
      <c r="D3345" t="s">
        <v>127</v>
      </c>
      <c r="E3345" t="s">
        <v>127</v>
      </c>
      <c r="F3345" t="s">
        <v>127</v>
      </c>
      <c r="G3345" t="s">
        <v>127</v>
      </c>
      <c r="H3345" t="s">
        <v>127</v>
      </c>
      <c r="I3345" t="s">
        <v>127</v>
      </c>
      <c r="J3345" t="s">
        <v>127</v>
      </c>
      <c r="K3345" t="s">
        <v>127</v>
      </c>
      <c r="L3345" t="s">
        <v>127</v>
      </c>
      <c r="N3345" t="s">
        <v>127</v>
      </c>
      <c r="O3345" t="s">
        <v>127</v>
      </c>
    </row>
    <row r="3346" spans="1:15">
      <c r="A3346" s="29" t="s">
        <v>294</v>
      </c>
      <c r="B3346" t="str">
        <f ca="1">IF(ISBLANK(OFFSET(B3346,0,'Field labels'!$Q$1)),C3346,OFFSET(B3346,0,'Field labels'!$Q$1))</f>
        <v>Myanmar</v>
      </c>
      <c r="C3346" t="s">
        <v>128</v>
      </c>
      <c r="D3346" t="s">
        <v>128</v>
      </c>
      <c r="E3346" t="s">
        <v>128</v>
      </c>
      <c r="F3346" t="s">
        <v>128</v>
      </c>
      <c r="G3346" t="s">
        <v>128</v>
      </c>
      <c r="H3346" t="s">
        <v>128</v>
      </c>
      <c r="I3346" t="s">
        <v>128</v>
      </c>
      <c r="J3346" t="s">
        <v>128</v>
      </c>
      <c r="K3346" t="s">
        <v>128</v>
      </c>
      <c r="L3346" t="s">
        <v>128</v>
      </c>
      <c r="N3346" t="s">
        <v>128</v>
      </c>
      <c r="O3346" t="s">
        <v>128</v>
      </c>
    </row>
    <row r="3347" spans="1:15">
      <c r="A3347" s="29" t="s">
        <v>294</v>
      </c>
      <c r="B3347" t="str">
        <f ca="1">IF(ISBLANK(OFFSET(B3347,0,'Field labels'!$Q$1)),C3347,OFFSET(B3347,0,'Field labels'!$Q$1))</f>
        <v>Namibia</v>
      </c>
      <c r="C3347" t="s">
        <v>129</v>
      </c>
      <c r="D3347" t="s">
        <v>129</v>
      </c>
      <c r="E3347" t="s">
        <v>129</v>
      </c>
      <c r="F3347" t="s">
        <v>129</v>
      </c>
      <c r="G3347" t="s">
        <v>129</v>
      </c>
      <c r="H3347" t="s">
        <v>129</v>
      </c>
      <c r="I3347" t="s">
        <v>129</v>
      </c>
      <c r="J3347" t="s">
        <v>129</v>
      </c>
      <c r="K3347" t="s">
        <v>129</v>
      </c>
      <c r="L3347" t="s">
        <v>129</v>
      </c>
      <c r="N3347" t="s">
        <v>129</v>
      </c>
      <c r="O3347" t="s">
        <v>129</v>
      </c>
    </row>
    <row r="3348" spans="1:15">
      <c r="A3348" s="29" t="s">
        <v>294</v>
      </c>
      <c r="B3348" t="str">
        <f ca="1">IF(ISBLANK(OFFSET(B3348,0,'Field labels'!$Q$1)),C3348,OFFSET(B3348,0,'Field labels'!$Q$1))</f>
        <v>Nauru</v>
      </c>
      <c r="C3348" t="s">
        <v>130</v>
      </c>
      <c r="D3348" t="s">
        <v>130</v>
      </c>
      <c r="E3348" t="s">
        <v>130</v>
      </c>
      <c r="F3348" t="s">
        <v>130</v>
      </c>
      <c r="G3348" t="s">
        <v>130</v>
      </c>
      <c r="H3348" t="s">
        <v>130</v>
      </c>
      <c r="I3348" t="s">
        <v>130</v>
      </c>
      <c r="J3348" t="s">
        <v>130</v>
      </c>
      <c r="K3348" t="s">
        <v>130</v>
      </c>
      <c r="L3348" t="s">
        <v>130</v>
      </c>
      <c r="N3348" t="s">
        <v>130</v>
      </c>
      <c r="O3348" t="s">
        <v>130</v>
      </c>
    </row>
    <row r="3349" spans="1:15">
      <c r="A3349" s="29" t="s">
        <v>294</v>
      </c>
      <c r="B3349" t="str">
        <f ca="1">IF(ISBLANK(OFFSET(B3349,0,'Field labels'!$Q$1)),C3349,OFFSET(B3349,0,'Field labels'!$Q$1))</f>
        <v>Nepal</v>
      </c>
      <c r="C3349" t="s">
        <v>131</v>
      </c>
      <c r="D3349" t="s">
        <v>131</v>
      </c>
      <c r="E3349" t="s">
        <v>131</v>
      </c>
      <c r="F3349" t="s">
        <v>1135</v>
      </c>
      <c r="G3349" t="s">
        <v>131</v>
      </c>
      <c r="H3349" t="s">
        <v>1136</v>
      </c>
      <c r="I3349" t="s">
        <v>131</v>
      </c>
      <c r="J3349" t="s">
        <v>131</v>
      </c>
      <c r="K3349" t="s">
        <v>131</v>
      </c>
      <c r="L3349" t="s">
        <v>131</v>
      </c>
      <c r="N3349" t="s">
        <v>131</v>
      </c>
      <c r="O3349" t="s">
        <v>131</v>
      </c>
    </row>
    <row r="3350" spans="1:15">
      <c r="A3350" s="29" t="s">
        <v>294</v>
      </c>
      <c r="B3350" t="str">
        <f ca="1">IF(ISBLANK(OFFSET(B3350,0,'Field labels'!$Q$1)),C3350,OFFSET(B3350,0,'Field labels'!$Q$1))</f>
        <v>Netherlands</v>
      </c>
      <c r="C3350" t="s">
        <v>358</v>
      </c>
      <c r="D3350" t="s">
        <v>1137</v>
      </c>
      <c r="E3350" t="s">
        <v>358</v>
      </c>
      <c r="F3350" t="s">
        <v>1138</v>
      </c>
      <c r="G3350" t="s">
        <v>1139</v>
      </c>
      <c r="H3350" t="s">
        <v>1140</v>
      </c>
      <c r="I3350" t="s">
        <v>1141</v>
      </c>
      <c r="J3350" t="s">
        <v>358</v>
      </c>
      <c r="K3350" t="s">
        <v>1142</v>
      </c>
      <c r="L3350" t="s">
        <v>1143</v>
      </c>
      <c r="N3350" t="s">
        <v>358</v>
      </c>
      <c r="O3350" t="s">
        <v>1144</v>
      </c>
    </row>
    <row r="3351" spans="1:15">
      <c r="A3351" s="29" t="s">
        <v>294</v>
      </c>
      <c r="B3351" t="str">
        <f ca="1">IF(ISBLANK(OFFSET(B3351,0,'Field labels'!$Q$1)),C3351,OFFSET(B3351,0,'Field labels'!$Q$1))</f>
        <v>Netherlands Antilles</v>
      </c>
      <c r="C3351" t="s">
        <v>132</v>
      </c>
      <c r="D3351" t="s">
        <v>132</v>
      </c>
      <c r="E3351" t="s">
        <v>132</v>
      </c>
      <c r="F3351" t="s">
        <v>132</v>
      </c>
      <c r="G3351" t="s">
        <v>132</v>
      </c>
      <c r="H3351" t="s">
        <v>132</v>
      </c>
      <c r="I3351" t="s">
        <v>132</v>
      </c>
      <c r="J3351" t="s">
        <v>132</v>
      </c>
      <c r="K3351" t="s">
        <v>132</v>
      </c>
      <c r="L3351" t="s">
        <v>132</v>
      </c>
      <c r="N3351" t="s">
        <v>132</v>
      </c>
      <c r="O3351" t="s">
        <v>132</v>
      </c>
    </row>
    <row r="3352" spans="1:15">
      <c r="A3352" s="29" t="s">
        <v>294</v>
      </c>
      <c r="B3352" t="str">
        <f ca="1">IF(ISBLANK(OFFSET(B3352,0,'Field labels'!$Q$1)),C3352,OFFSET(B3352,0,'Field labels'!$Q$1))</f>
        <v>New Caledonia</v>
      </c>
      <c r="C3352" t="s">
        <v>133</v>
      </c>
      <c r="D3352" t="s">
        <v>1145</v>
      </c>
      <c r="E3352" t="s">
        <v>133</v>
      </c>
      <c r="F3352" t="s">
        <v>1146</v>
      </c>
      <c r="G3352" t="s">
        <v>1147</v>
      </c>
      <c r="H3352" t="s">
        <v>1148</v>
      </c>
      <c r="I3352" t="s">
        <v>1149</v>
      </c>
      <c r="K3352" t="s">
        <v>1150</v>
      </c>
      <c r="L3352" t="s">
        <v>1151</v>
      </c>
      <c r="N3352" t="s">
        <v>1152</v>
      </c>
      <c r="O3352" t="s">
        <v>133</v>
      </c>
    </row>
    <row r="3353" spans="1:15">
      <c r="A3353" s="29" t="s">
        <v>294</v>
      </c>
      <c r="B3353" t="str">
        <f ca="1">IF(ISBLANK(OFFSET(B3353,0,'Field labels'!$Q$1)),C3353,OFFSET(B3353,0,'Field labels'!$Q$1))</f>
        <v>New Zealand</v>
      </c>
      <c r="C3353" t="s">
        <v>359</v>
      </c>
      <c r="D3353" t="s">
        <v>1153</v>
      </c>
      <c r="E3353" t="s">
        <v>359</v>
      </c>
      <c r="F3353" t="s">
        <v>1154</v>
      </c>
      <c r="G3353" t="s">
        <v>1155</v>
      </c>
      <c r="H3353" t="s">
        <v>1156</v>
      </c>
      <c r="I3353" t="s">
        <v>1157</v>
      </c>
      <c r="J3353" t="s">
        <v>359</v>
      </c>
      <c r="K3353" t="s">
        <v>1158</v>
      </c>
      <c r="L3353" t="s">
        <v>1159</v>
      </c>
      <c r="N3353" t="s">
        <v>359</v>
      </c>
      <c r="O3353" t="s">
        <v>1160</v>
      </c>
    </row>
    <row r="3354" spans="1:15">
      <c r="A3354" s="29" t="s">
        <v>294</v>
      </c>
      <c r="B3354" t="str">
        <f ca="1">IF(ISBLANK(OFFSET(B3354,0,'Field labels'!$Q$1)),C3354,OFFSET(B3354,0,'Field labels'!$Q$1))</f>
        <v>Nicaragua</v>
      </c>
      <c r="C3354" t="s">
        <v>134</v>
      </c>
      <c r="D3354" t="s">
        <v>134</v>
      </c>
      <c r="E3354" t="s">
        <v>134</v>
      </c>
      <c r="F3354" t="s">
        <v>134</v>
      </c>
      <c r="G3354" t="s">
        <v>134</v>
      </c>
      <c r="H3354" t="s">
        <v>134</v>
      </c>
      <c r="I3354" t="s">
        <v>134</v>
      </c>
      <c r="J3354" t="s">
        <v>134</v>
      </c>
      <c r="K3354" t="s">
        <v>134</v>
      </c>
      <c r="L3354" t="s">
        <v>134</v>
      </c>
      <c r="N3354" t="s">
        <v>134</v>
      </c>
      <c r="O3354" t="s">
        <v>134</v>
      </c>
    </row>
    <row r="3355" spans="1:15">
      <c r="A3355" s="29" t="s">
        <v>294</v>
      </c>
      <c r="B3355" t="str">
        <f ca="1">IF(ISBLANK(OFFSET(B3355,0,'Field labels'!$Q$1)),C3355,OFFSET(B3355,0,'Field labels'!$Q$1))</f>
        <v>Niger</v>
      </c>
      <c r="C3355" t="s">
        <v>135</v>
      </c>
      <c r="D3355" t="s">
        <v>135</v>
      </c>
      <c r="E3355" t="s">
        <v>135</v>
      </c>
      <c r="F3355" t="s">
        <v>135</v>
      </c>
      <c r="G3355" t="s">
        <v>135</v>
      </c>
      <c r="H3355" t="s">
        <v>135</v>
      </c>
      <c r="I3355" t="s">
        <v>135</v>
      </c>
      <c r="J3355" t="s">
        <v>135</v>
      </c>
      <c r="K3355" t="s">
        <v>135</v>
      </c>
      <c r="L3355" t="s">
        <v>135</v>
      </c>
      <c r="N3355" t="s">
        <v>135</v>
      </c>
      <c r="O3355" t="s">
        <v>135</v>
      </c>
    </row>
    <row r="3356" spans="1:15">
      <c r="A3356" s="29" t="s">
        <v>294</v>
      </c>
      <c r="B3356" t="str">
        <f ca="1">IF(ISBLANK(OFFSET(B3356,0,'Field labels'!$Q$1)),C3356,OFFSET(B3356,0,'Field labels'!$Q$1))</f>
        <v>Nigeria</v>
      </c>
      <c r="C3356" t="s">
        <v>136</v>
      </c>
      <c r="D3356" t="s">
        <v>136</v>
      </c>
      <c r="E3356" t="s">
        <v>136</v>
      </c>
      <c r="F3356" t="s">
        <v>136</v>
      </c>
      <c r="G3356" t="s">
        <v>136</v>
      </c>
      <c r="H3356" t="s">
        <v>136</v>
      </c>
      <c r="I3356" t="s">
        <v>136</v>
      </c>
      <c r="J3356" t="s">
        <v>136</v>
      </c>
      <c r="K3356" t="s">
        <v>136</v>
      </c>
      <c r="L3356" t="s">
        <v>136</v>
      </c>
      <c r="N3356" t="s">
        <v>136</v>
      </c>
      <c r="O3356" t="s">
        <v>136</v>
      </c>
    </row>
    <row r="3357" spans="1:15">
      <c r="A3357" s="29" t="s">
        <v>294</v>
      </c>
      <c r="B3357" t="str">
        <f ca="1">IF(ISBLANK(OFFSET(B3357,0,'Field labels'!$Q$1)),C3357,OFFSET(B3357,0,'Field labels'!$Q$1))</f>
        <v>Niue</v>
      </c>
      <c r="C3357" t="s">
        <v>137</v>
      </c>
      <c r="D3357" t="s">
        <v>137</v>
      </c>
      <c r="E3357" t="s">
        <v>137</v>
      </c>
      <c r="F3357" t="s">
        <v>137</v>
      </c>
      <c r="G3357" t="s">
        <v>137</v>
      </c>
      <c r="H3357" t="s">
        <v>137</v>
      </c>
      <c r="I3357" t="s">
        <v>137</v>
      </c>
      <c r="J3357" t="s">
        <v>137</v>
      </c>
      <c r="K3357" t="s">
        <v>137</v>
      </c>
      <c r="L3357" t="s">
        <v>137</v>
      </c>
      <c r="N3357" t="s">
        <v>137</v>
      </c>
      <c r="O3357" t="s">
        <v>137</v>
      </c>
    </row>
    <row r="3358" spans="1:15">
      <c r="A3358" s="29" t="s">
        <v>294</v>
      </c>
      <c r="B3358" t="str">
        <f ca="1">IF(ISBLANK(OFFSET(B3358,0,'Field labels'!$Q$1)),C3358,OFFSET(B3358,0,'Field labels'!$Q$1))</f>
        <v>Norfolk Island</v>
      </c>
      <c r="C3358" t="s">
        <v>138</v>
      </c>
      <c r="D3358" t="s">
        <v>138</v>
      </c>
      <c r="E3358" t="s">
        <v>138</v>
      </c>
      <c r="F3358" t="s">
        <v>138</v>
      </c>
      <c r="G3358" t="s">
        <v>138</v>
      </c>
      <c r="H3358" t="s">
        <v>138</v>
      </c>
      <c r="I3358" t="s">
        <v>138</v>
      </c>
      <c r="J3358" t="s">
        <v>138</v>
      </c>
      <c r="K3358" t="s">
        <v>138</v>
      </c>
      <c r="L3358" t="s">
        <v>138</v>
      </c>
      <c r="N3358" t="s">
        <v>138</v>
      </c>
      <c r="O3358" t="s">
        <v>138</v>
      </c>
    </row>
    <row r="3359" spans="1:15">
      <c r="A3359" s="22" t="s">
        <v>294</v>
      </c>
      <c r="B3359" s="22" t="str">
        <f ca="1">IF(ISBLANK(OFFSET(B3359,0,'Field labels'!$Q$1)),C3359,OFFSET(B3359,0,'Field labels'!$Q$1))</f>
        <v>Northern Mariana Islands</v>
      </c>
      <c r="C3359" s="22" t="s">
        <v>139</v>
      </c>
      <c r="D3359" t="s">
        <v>139</v>
      </c>
      <c r="E3359" t="s">
        <v>139</v>
      </c>
      <c r="F3359" t="s">
        <v>139</v>
      </c>
      <c r="G3359" t="s">
        <v>139</v>
      </c>
      <c r="H3359" t="s">
        <v>139</v>
      </c>
      <c r="I3359" t="s">
        <v>139</v>
      </c>
      <c r="J3359" t="s">
        <v>139</v>
      </c>
      <c r="K3359" t="s">
        <v>139</v>
      </c>
      <c r="L3359" t="s">
        <v>139</v>
      </c>
      <c r="N3359" t="s">
        <v>139</v>
      </c>
      <c r="O3359" t="s">
        <v>139</v>
      </c>
    </row>
    <row r="3360" spans="1:15">
      <c r="A3360" s="22" t="s">
        <v>294</v>
      </c>
      <c r="B3360" s="22" t="str">
        <f ca="1">IF(ISBLANK(OFFSET(B3360,0,'Field labels'!$Q$1)),C3360,OFFSET(B3360,0,'Field labels'!$Q$1))</f>
        <v>Norway</v>
      </c>
      <c r="C3360" s="22" t="s">
        <v>360</v>
      </c>
      <c r="D3360" t="s">
        <v>1161</v>
      </c>
      <c r="E3360" t="s">
        <v>360</v>
      </c>
      <c r="F3360" t="s">
        <v>1162</v>
      </c>
      <c r="G3360" t="s">
        <v>1163</v>
      </c>
      <c r="H3360" t="s">
        <v>1164</v>
      </c>
      <c r="I3360" t="s">
        <v>1165</v>
      </c>
      <c r="J3360" t="s">
        <v>360</v>
      </c>
      <c r="K3360" t="s">
        <v>1166</v>
      </c>
      <c r="L3360" t="s">
        <v>1167</v>
      </c>
      <c r="N3360" t="s">
        <v>360</v>
      </c>
      <c r="O3360" t="s">
        <v>1168</v>
      </c>
    </row>
    <row r="3361" spans="1:15">
      <c r="A3361" s="22" t="s">
        <v>294</v>
      </c>
      <c r="B3361" s="22" t="str">
        <f ca="1">IF(ISBLANK(OFFSET(B3361,0,'Field labels'!$Q$1)),C3361,OFFSET(B3361,0,'Field labels'!$Q$1))</f>
        <v>Oman</v>
      </c>
      <c r="C3361" s="22" t="s">
        <v>140</v>
      </c>
      <c r="D3361" t="s">
        <v>140</v>
      </c>
      <c r="E3361" t="s">
        <v>140</v>
      </c>
      <c r="F3361" t="s">
        <v>140</v>
      </c>
      <c r="G3361" t="s">
        <v>140</v>
      </c>
      <c r="H3361" t="s">
        <v>140</v>
      </c>
      <c r="I3361" t="s">
        <v>140</v>
      </c>
      <c r="J3361" t="s">
        <v>140</v>
      </c>
      <c r="K3361" t="s">
        <v>140</v>
      </c>
      <c r="L3361" t="s">
        <v>140</v>
      </c>
      <c r="N3361" t="s">
        <v>140</v>
      </c>
      <c r="O3361" t="s">
        <v>140</v>
      </c>
    </row>
    <row r="3362" spans="1:15">
      <c r="A3362" s="22" t="s">
        <v>294</v>
      </c>
      <c r="B3362" s="22" t="str">
        <f ca="1">IF(ISBLANK(OFFSET(B3362,0,'Field labels'!$Q$1)),C3362,OFFSET(B3362,0,'Field labels'!$Q$1))</f>
        <v>Pakistan</v>
      </c>
      <c r="C3362" s="22" t="s">
        <v>141</v>
      </c>
      <c r="D3362" t="s">
        <v>141</v>
      </c>
      <c r="E3362" t="s">
        <v>141</v>
      </c>
      <c r="F3362" t="s">
        <v>141</v>
      </c>
      <c r="G3362" t="s">
        <v>141</v>
      </c>
      <c r="H3362" t="s">
        <v>1169</v>
      </c>
      <c r="I3362" t="s">
        <v>141</v>
      </c>
      <c r="J3362" t="s">
        <v>141</v>
      </c>
      <c r="K3362" t="s">
        <v>141</v>
      </c>
      <c r="L3362" t="s">
        <v>1170</v>
      </c>
      <c r="N3362" t="s">
        <v>141</v>
      </c>
      <c r="O3362" t="s">
        <v>141</v>
      </c>
    </row>
    <row r="3363" spans="1:15">
      <c r="A3363" s="22" t="s">
        <v>294</v>
      </c>
      <c r="B3363" s="22" t="str">
        <f ca="1">IF(ISBLANK(OFFSET(B3363,0,'Field labels'!$Q$1)),C3363,OFFSET(B3363,0,'Field labels'!$Q$1))</f>
        <v>Palau</v>
      </c>
      <c r="C3363" s="22" t="s">
        <v>142</v>
      </c>
      <c r="D3363" t="s">
        <v>142</v>
      </c>
      <c r="E3363" t="s">
        <v>142</v>
      </c>
      <c r="F3363" t="s">
        <v>142</v>
      </c>
      <c r="G3363" t="s">
        <v>142</v>
      </c>
      <c r="H3363" t="s">
        <v>142</v>
      </c>
      <c r="I3363" t="s">
        <v>142</v>
      </c>
      <c r="J3363" t="s">
        <v>142</v>
      </c>
      <c r="K3363" t="s">
        <v>142</v>
      </c>
      <c r="L3363" t="s">
        <v>142</v>
      </c>
      <c r="N3363" t="s">
        <v>142</v>
      </c>
      <c r="O3363" t="s">
        <v>142</v>
      </c>
    </row>
    <row r="3364" spans="1:15">
      <c r="A3364" s="22" t="s">
        <v>294</v>
      </c>
      <c r="B3364" s="22" t="str">
        <f ca="1">IF(ISBLANK(OFFSET(B3364,0,'Field labels'!$Q$1)),C3364,OFFSET(B3364,0,'Field labels'!$Q$1))</f>
        <v>Palestinian Territory, Occupied</v>
      </c>
      <c r="C3364" s="22" t="s">
        <v>143</v>
      </c>
    </row>
    <row r="3365" spans="1:15">
      <c r="A3365" s="22" t="s">
        <v>294</v>
      </c>
      <c r="B3365" s="22" t="str">
        <f ca="1">IF(ISBLANK(OFFSET(B3365,0,'Field labels'!$Q$1)),C3365,OFFSET(B3365,0,'Field labels'!$Q$1))</f>
        <v>Panama</v>
      </c>
      <c r="C3365" s="22" t="s">
        <v>144</v>
      </c>
      <c r="D3365" t="s">
        <v>144</v>
      </c>
      <c r="E3365" t="s">
        <v>144</v>
      </c>
      <c r="F3365" t="s">
        <v>144</v>
      </c>
      <c r="G3365" t="s">
        <v>144</v>
      </c>
      <c r="H3365" t="s">
        <v>144</v>
      </c>
      <c r="I3365" t="s">
        <v>144</v>
      </c>
      <c r="J3365" t="s">
        <v>144</v>
      </c>
      <c r="K3365" t="s">
        <v>144</v>
      </c>
      <c r="L3365" t="s">
        <v>144</v>
      </c>
      <c r="N3365" t="s">
        <v>144</v>
      </c>
      <c r="O3365" t="s">
        <v>144</v>
      </c>
    </row>
    <row r="3366" spans="1:15">
      <c r="A3366" s="22" t="s">
        <v>294</v>
      </c>
      <c r="B3366" s="22" t="str">
        <f ca="1">IF(ISBLANK(OFFSET(B3366,0,'Field labels'!$Q$1)),C3366,OFFSET(B3366,0,'Field labels'!$Q$1))</f>
        <v>Papua New Guinea</v>
      </c>
      <c r="C3366" s="22" t="s">
        <v>145</v>
      </c>
      <c r="D3366" t="s">
        <v>145</v>
      </c>
      <c r="E3366" t="s">
        <v>145</v>
      </c>
      <c r="F3366" t="s">
        <v>145</v>
      </c>
      <c r="G3366" t="s">
        <v>145</v>
      </c>
      <c r="H3366" t="s">
        <v>145</v>
      </c>
      <c r="I3366" t="s">
        <v>145</v>
      </c>
      <c r="J3366" t="s">
        <v>145</v>
      </c>
      <c r="K3366" t="s">
        <v>145</v>
      </c>
      <c r="L3366" t="s">
        <v>145</v>
      </c>
      <c r="N3366" t="s">
        <v>145</v>
      </c>
      <c r="O3366" t="s">
        <v>145</v>
      </c>
    </row>
    <row r="3367" spans="1:15">
      <c r="A3367" s="22" t="s">
        <v>294</v>
      </c>
      <c r="B3367" s="22" t="str">
        <f ca="1">IF(ISBLANK(OFFSET(B3367,0,'Field labels'!$Q$1)),C3367,OFFSET(B3367,0,'Field labels'!$Q$1))</f>
        <v>Paraguay</v>
      </c>
      <c r="C3367" s="22" t="s">
        <v>146</v>
      </c>
      <c r="D3367" t="s">
        <v>146</v>
      </c>
      <c r="E3367" t="s">
        <v>146</v>
      </c>
      <c r="F3367" t="s">
        <v>146</v>
      </c>
      <c r="G3367" t="s">
        <v>146</v>
      </c>
      <c r="H3367" t="s">
        <v>146</v>
      </c>
      <c r="I3367" t="s">
        <v>146</v>
      </c>
      <c r="J3367" t="s">
        <v>146</v>
      </c>
      <c r="K3367" t="s">
        <v>146</v>
      </c>
      <c r="L3367" t="s">
        <v>146</v>
      </c>
      <c r="N3367" t="s">
        <v>146</v>
      </c>
      <c r="O3367" t="s">
        <v>146</v>
      </c>
    </row>
    <row r="3368" spans="1:15">
      <c r="A3368" s="22" t="s">
        <v>294</v>
      </c>
      <c r="B3368" s="22" t="str">
        <f ca="1">IF(ISBLANK(OFFSET(B3368,0,'Field labels'!$Q$1)),C3368,OFFSET(B3368,0,'Field labels'!$Q$1))</f>
        <v>Peru</v>
      </c>
      <c r="C3368" s="22" t="s">
        <v>147</v>
      </c>
      <c r="D3368" t="s">
        <v>147</v>
      </c>
      <c r="E3368" t="s">
        <v>147</v>
      </c>
      <c r="F3368" t="s">
        <v>1171</v>
      </c>
      <c r="G3368" t="s">
        <v>147</v>
      </c>
      <c r="H3368" t="s">
        <v>147</v>
      </c>
      <c r="I3368" t="s">
        <v>147</v>
      </c>
      <c r="J3368" t="s">
        <v>147</v>
      </c>
      <c r="K3368" t="s">
        <v>147</v>
      </c>
      <c r="L3368" t="s">
        <v>147</v>
      </c>
      <c r="N3368" t="s">
        <v>147</v>
      </c>
      <c r="O3368" t="s">
        <v>147</v>
      </c>
    </row>
    <row r="3369" spans="1:15">
      <c r="A3369" s="22" t="s">
        <v>294</v>
      </c>
      <c r="B3369" s="22" t="str">
        <f ca="1">IF(ISBLANK(OFFSET(B3369,0,'Field labels'!$Q$1)),C3369,OFFSET(B3369,0,'Field labels'!$Q$1))</f>
        <v>Philippines</v>
      </c>
      <c r="C3369" s="22" t="s">
        <v>361</v>
      </c>
      <c r="D3369" t="s">
        <v>1172</v>
      </c>
      <c r="E3369" t="s">
        <v>361</v>
      </c>
      <c r="F3369" t="s">
        <v>361</v>
      </c>
      <c r="G3369" t="s">
        <v>1173</v>
      </c>
      <c r="H3369" t="s">
        <v>1174</v>
      </c>
      <c r="I3369" t="s">
        <v>1175</v>
      </c>
      <c r="J3369" t="s">
        <v>361</v>
      </c>
      <c r="K3369" t="s">
        <v>1176</v>
      </c>
      <c r="L3369" t="s">
        <v>1177</v>
      </c>
      <c r="N3369" t="s">
        <v>361</v>
      </c>
      <c r="O3369" t="s">
        <v>1178</v>
      </c>
    </row>
    <row r="3370" spans="1:15">
      <c r="A3370" s="22" t="s">
        <v>294</v>
      </c>
      <c r="B3370" s="22" t="str">
        <f ca="1">IF(ISBLANK(OFFSET(B3370,0,'Field labels'!$Q$1)),C3370,OFFSET(B3370,0,'Field labels'!$Q$1))</f>
        <v>Pitcairn</v>
      </c>
      <c r="C3370" s="22" t="s">
        <v>148</v>
      </c>
      <c r="D3370" t="s">
        <v>148</v>
      </c>
      <c r="E3370" t="s">
        <v>148</v>
      </c>
      <c r="F3370" t="s">
        <v>148</v>
      </c>
      <c r="G3370" t="s">
        <v>148</v>
      </c>
      <c r="H3370" t="s">
        <v>148</v>
      </c>
      <c r="I3370" t="s">
        <v>148</v>
      </c>
      <c r="J3370" t="s">
        <v>148</v>
      </c>
      <c r="K3370" t="s">
        <v>148</v>
      </c>
      <c r="L3370" t="s">
        <v>148</v>
      </c>
      <c r="N3370" t="s">
        <v>148</v>
      </c>
      <c r="O3370" t="s">
        <v>148</v>
      </c>
    </row>
    <row r="3371" spans="1:15">
      <c r="A3371" s="22" t="s">
        <v>294</v>
      </c>
      <c r="B3371" s="22" t="str">
        <f ca="1">IF(ISBLANK(OFFSET(B3371,0,'Field labels'!$Q$1)),C3371,OFFSET(B3371,0,'Field labels'!$Q$1))</f>
        <v>Poland</v>
      </c>
      <c r="C3371" s="22" t="s">
        <v>362</v>
      </c>
      <c r="D3371" t="s">
        <v>1179</v>
      </c>
      <c r="E3371" t="s">
        <v>362</v>
      </c>
      <c r="F3371" t="s">
        <v>1180</v>
      </c>
      <c r="G3371" t="s">
        <v>1179</v>
      </c>
      <c r="H3371" t="s">
        <v>1181</v>
      </c>
      <c r="I3371" t="s">
        <v>1182</v>
      </c>
      <c r="J3371" t="s">
        <v>362</v>
      </c>
      <c r="K3371" t="s">
        <v>1183</v>
      </c>
      <c r="L3371" t="s">
        <v>1184</v>
      </c>
      <c r="N3371" t="s">
        <v>362</v>
      </c>
      <c r="O3371" t="s">
        <v>1185</v>
      </c>
    </row>
    <row r="3372" spans="1:15">
      <c r="A3372" s="22" t="s">
        <v>294</v>
      </c>
      <c r="B3372" s="22" t="str">
        <f ca="1">IF(ISBLANK(OFFSET(B3372,0,'Field labels'!$Q$1)),C3372,OFFSET(B3372,0,'Field labels'!$Q$1))</f>
        <v>Portugal</v>
      </c>
      <c r="C3372" s="22" t="s">
        <v>363</v>
      </c>
      <c r="D3372" t="s">
        <v>363</v>
      </c>
      <c r="E3372" t="s">
        <v>363</v>
      </c>
      <c r="F3372" t="s">
        <v>363</v>
      </c>
      <c r="G3372" t="s">
        <v>363</v>
      </c>
      <c r="H3372" t="s">
        <v>1186</v>
      </c>
      <c r="I3372" t="s">
        <v>1187</v>
      </c>
      <c r="J3372" t="s">
        <v>363</v>
      </c>
      <c r="K3372" t="s">
        <v>1188</v>
      </c>
      <c r="L3372" t="s">
        <v>363</v>
      </c>
      <c r="N3372" t="s">
        <v>363</v>
      </c>
      <c r="O3372" t="s">
        <v>1189</v>
      </c>
    </row>
    <row r="3373" spans="1:15">
      <c r="A3373" s="22" t="s">
        <v>294</v>
      </c>
      <c r="B3373" s="22" t="str">
        <f ca="1">IF(ISBLANK(OFFSET(B3373,0,'Field labels'!$Q$1)),C3373,OFFSET(B3373,0,'Field labels'!$Q$1))</f>
        <v>Puerto Rico</v>
      </c>
      <c r="C3373" s="22" t="s">
        <v>149</v>
      </c>
      <c r="D3373" t="s">
        <v>149</v>
      </c>
      <c r="E3373" t="s">
        <v>149</v>
      </c>
      <c r="F3373" t="s">
        <v>149</v>
      </c>
      <c r="G3373" t="s">
        <v>149</v>
      </c>
      <c r="H3373" t="s">
        <v>149</v>
      </c>
      <c r="I3373" t="s">
        <v>149</v>
      </c>
      <c r="J3373" t="s">
        <v>149</v>
      </c>
      <c r="K3373" t="s">
        <v>149</v>
      </c>
      <c r="L3373" t="s">
        <v>149</v>
      </c>
      <c r="N3373" t="s">
        <v>149</v>
      </c>
      <c r="O3373" t="s">
        <v>149</v>
      </c>
    </row>
    <row r="3374" spans="1:15">
      <c r="A3374" s="22" t="s">
        <v>294</v>
      </c>
      <c r="B3374" s="22" t="str">
        <f ca="1">IF(ISBLANK(OFFSET(B3374,0,'Field labels'!$Q$1)),C3374,OFFSET(B3374,0,'Field labels'!$Q$1))</f>
        <v>Qatar</v>
      </c>
      <c r="C3374" s="22" t="s">
        <v>150</v>
      </c>
      <c r="D3374" t="s">
        <v>150</v>
      </c>
      <c r="E3374" t="s">
        <v>150</v>
      </c>
      <c r="F3374" t="s">
        <v>150</v>
      </c>
      <c r="G3374" t="s">
        <v>150</v>
      </c>
      <c r="H3374" t="s">
        <v>150</v>
      </c>
      <c r="I3374" t="s">
        <v>150</v>
      </c>
      <c r="J3374" t="s">
        <v>150</v>
      </c>
      <c r="K3374" t="s">
        <v>150</v>
      </c>
      <c r="L3374" t="s">
        <v>150</v>
      </c>
      <c r="N3374" t="s">
        <v>150</v>
      </c>
      <c r="O3374" t="s">
        <v>150</v>
      </c>
    </row>
    <row r="3375" spans="1:15">
      <c r="A3375" s="22" t="s">
        <v>294</v>
      </c>
      <c r="B3375" s="22" t="str">
        <f ca="1">IF(ISBLANK(OFFSET(B3375,0,'Field labels'!$Q$1)),C3375,OFFSET(B3375,0,'Field labels'!$Q$1))</f>
        <v>Reunion</v>
      </c>
      <c r="C3375" s="22" t="s">
        <v>154</v>
      </c>
      <c r="D3375" t="s">
        <v>154</v>
      </c>
      <c r="E3375" t="s">
        <v>154</v>
      </c>
      <c r="F3375" t="s">
        <v>154</v>
      </c>
      <c r="G3375" t="s">
        <v>154</v>
      </c>
      <c r="H3375" t="s">
        <v>154</v>
      </c>
      <c r="I3375" t="s">
        <v>154</v>
      </c>
      <c r="J3375" t="s">
        <v>154</v>
      </c>
      <c r="K3375" t="s">
        <v>154</v>
      </c>
      <c r="L3375" t="s">
        <v>154</v>
      </c>
      <c r="N3375" t="s">
        <v>154</v>
      </c>
      <c r="O3375" t="s">
        <v>154</v>
      </c>
    </row>
    <row r="3376" spans="1:15">
      <c r="A3376" s="22" t="s">
        <v>294</v>
      </c>
      <c r="B3376" s="22" t="str">
        <f ca="1">IF(ISBLANK(OFFSET(B3376,0,'Field labels'!$Q$1)),C3376,OFFSET(B3376,0,'Field labels'!$Q$1))</f>
        <v>Romania</v>
      </c>
      <c r="C3376" s="22" t="s">
        <v>151</v>
      </c>
      <c r="D3376" t="s">
        <v>151</v>
      </c>
      <c r="E3376" t="s">
        <v>151</v>
      </c>
      <c r="F3376" t="s">
        <v>151</v>
      </c>
      <c r="G3376" t="s">
        <v>151</v>
      </c>
      <c r="H3376" t="s">
        <v>151</v>
      </c>
      <c r="I3376" t="s">
        <v>151</v>
      </c>
      <c r="J3376" t="s">
        <v>151</v>
      </c>
      <c r="K3376" t="s">
        <v>151</v>
      </c>
      <c r="L3376" t="s">
        <v>151</v>
      </c>
      <c r="N3376" t="s">
        <v>151</v>
      </c>
      <c r="O3376" t="s">
        <v>151</v>
      </c>
    </row>
    <row r="3377" spans="1:15">
      <c r="A3377" s="22" t="s">
        <v>294</v>
      </c>
      <c r="B3377" s="22" t="str">
        <f ca="1">IF(ISBLANK(OFFSET(B3377,0,'Field labels'!$Q$1)),C3377,OFFSET(B3377,0,'Field labels'!$Q$1))</f>
        <v>Russian Federation</v>
      </c>
      <c r="C3377" s="22" t="s">
        <v>152</v>
      </c>
      <c r="D3377" t="s">
        <v>152</v>
      </c>
      <c r="E3377" t="s">
        <v>152</v>
      </c>
      <c r="F3377" t="s">
        <v>152</v>
      </c>
      <c r="G3377" t="s">
        <v>152</v>
      </c>
      <c r="H3377" t="s">
        <v>152</v>
      </c>
      <c r="I3377" t="s">
        <v>152</v>
      </c>
      <c r="J3377" t="s">
        <v>152</v>
      </c>
      <c r="K3377" t="s">
        <v>152</v>
      </c>
      <c r="L3377" t="s">
        <v>152</v>
      </c>
      <c r="N3377" t="s">
        <v>152</v>
      </c>
      <c r="O3377" t="s">
        <v>152</v>
      </c>
    </row>
    <row r="3378" spans="1:15">
      <c r="A3378" s="22" t="s">
        <v>294</v>
      </c>
      <c r="B3378" s="22" t="str">
        <f ca="1">IF(ISBLANK(OFFSET(B3378,0,'Field labels'!$Q$1)),C3378,OFFSET(B3378,0,'Field labels'!$Q$1))</f>
        <v>Rwanda</v>
      </c>
      <c r="C3378" s="22" t="s">
        <v>153</v>
      </c>
      <c r="D3378" t="s">
        <v>153</v>
      </c>
      <c r="E3378" t="s">
        <v>153</v>
      </c>
      <c r="F3378" t="s">
        <v>153</v>
      </c>
      <c r="G3378" t="s">
        <v>153</v>
      </c>
      <c r="H3378" t="s">
        <v>153</v>
      </c>
      <c r="I3378" t="s">
        <v>153</v>
      </c>
      <c r="J3378" t="s">
        <v>153</v>
      </c>
      <c r="K3378" t="s">
        <v>153</v>
      </c>
      <c r="L3378" t="s">
        <v>153</v>
      </c>
      <c r="N3378" t="s">
        <v>153</v>
      </c>
      <c r="O3378" t="s">
        <v>153</v>
      </c>
    </row>
    <row r="3379" spans="1:15">
      <c r="A3379" s="22" t="s">
        <v>294</v>
      </c>
      <c r="B3379" s="22" t="str">
        <f ca="1">IF(ISBLANK(OFFSET(B3379,0,'Field labels'!$Q$1)),C3379,OFFSET(B3379,0,'Field labels'!$Q$1))</f>
        <v>Saint Helena, Ascension and Tristan da Cunha</v>
      </c>
      <c r="C3379" s="22" t="s">
        <v>156</v>
      </c>
      <c r="D3379" t="s">
        <v>156</v>
      </c>
      <c r="E3379" t="s">
        <v>156</v>
      </c>
      <c r="F3379" t="s">
        <v>156</v>
      </c>
      <c r="G3379" t="s">
        <v>156</v>
      </c>
      <c r="H3379" t="s">
        <v>156</v>
      </c>
      <c r="I3379" t="s">
        <v>156</v>
      </c>
      <c r="J3379" t="s">
        <v>156</v>
      </c>
      <c r="K3379" t="s">
        <v>156</v>
      </c>
      <c r="L3379" t="s">
        <v>156</v>
      </c>
      <c r="N3379" t="s">
        <v>156</v>
      </c>
      <c r="O3379" t="s">
        <v>156</v>
      </c>
    </row>
    <row r="3380" spans="1:15">
      <c r="A3380" s="22" t="s">
        <v>294</v>
      </c>
      <c r="B3380" s="22" t="str">
        <f ca="1">IF(ISBLANK(OFFSET(B3380,0,'Field labels'!$Q$1)),C3380,OFFSET(B3380,0,'Field labels'!$Q$1))</f>
        <v>Saint Kitts and Nevis</v>
      </c>
      <c r="C3380" s="22" t="s">
        <v>157</v>
      </c>
      <c r="D3380" t="s">
        <v>157</v>
      </c>
      <c r="E3380" t="s">
        <v>157</v>
      </c>
      <c r="F3380" t="s">
        <v>157</v>
      </c>
      <c r="G3380" t="s">
        <v>157</v>
      </c>
      <c r="H3380" t="s">
        <v>157</v>
      </c>
      <c r="I3380" t="s">
        <v>157</v>
      </c>
      <c r="J3380" t="s">
        <v>157</v>
      </c>
      <c r="K3380" t="s">
        <v>157</v>
      </c>
      <c r="L3380" t="s">
        <v>157</v>
      </c>
      <c r="N3380" t="s">
        <v>157</v>
      </c>
      <c r="O3380" t="s">
        <v>157</v>
      </c>
    </row>
    <row r="3381" spans="1:15">
      <c r="A3381" s="22" t="s">
        <v>294</v>
      </c>
      <c r="B3381" s="22" t="str">
        <f ca="1">IF(ISBLANK(OFFSET(B3381,0,'Field labels'!$Q$1)),C3381,OFFSET(B3381,0,'Field labels'!$Q$1))</f>
        <v>Saint Lucia</v>
      </c>
      <c r="C3381" s="22" t="s">
        <v>158</v>
      </c>
      <c r="D3381" t="s">
        <v>158</v>
      </c>
      <c r="E3381" t="s">
        <v>158</v>
      </c>
      <c r="F3381" t="s">
        <v>158</v>
      </c>
      <c r="G3381" t="s">
        <v>158</v>
      </c>
      <c r="H3381" t="s">
        <v>158</v>
      </c>
      <c r="I3381" t="s">
        <v>158</v>
      </c>
      <c r="J3381" t="s">
        <v>158</v>
      </c>
      <c r="K3381" t="s">
        <v>158</v>
      </c>
      <c r="L3381" t="s">
        <v>158</v>
      </c>
      <c r="N3381" t="s">
        <v>158</v>
      </c>
      <c r="O3381" t="s">
        <v>158</v>
      </c>
    </row>
    <row r="3382" spans="1:15">
      <c r="A3382" s="22" t="s">
        <v>294</v>
      </c>
      <c r="B3382" s="22" t="str">
        <f ca="1">IF(ISBLANK(OFFSET(B3382,0,'Field labels'!$Q$1)),C3382,OFFSET(B3382,0,'Field labels'!$Q$1))</f>
        <v>Saint Martin (French part)</v>
      </c>
      <c r="C3382" s="22" t="s">
        <v>159</v>
      </c>
      <c r="D3382" t="s">
        <v>159</v>
      </c>
      <c r="E3382" t="s">
        <v>159</v>
      </c>
      <c r="F3382" t="s">
        <v>159</v>
      </c>
      <c r="G3382" t="s">
        <v>159</v>
      </c>
      <c r="H3382" t="s">
        <v>159</v>
      </c>
      <c r="I3382" t="s">
        <v>159</v>
      </c>
      <c r="J3382" t="s">
        <v>159</v>
      </c>
      <c r="K3382" t="s">
        <v>159</v>
      </c>
      <c r="L3382" t="s">
        <v>159</v>
      </c>
      <c r="N3382" t="s">
        <v>159</v>
      </c>
      <c r="O3382" t="s">
        <v>159</v>
      </c>
    </row>
    <row r="3383" spans="1:15">
      <c r="A3383" s="22" t="s">
        <v>294</v>
      </c>
      <c r="B3383" s="22" t="str">
        <f ca="1">IF(ISBLANK(OFFSET(B3383,0,'Field labels'!$Q$1)),C3383,OFFSET(B3383,0,'Field labels'!$Q$1))</f>
        <v>Saint Pierre and Miquelon</v>
      </c>
      <c r="C3383" s="22" t="s">
        <v>160</v>
      </c>
      <c r="D3383" t="s">
        <v>1190</v>
      </c>
      <c r="E3383" t="s">
        <v>160</v>
      </c>
      <c r="F3383" t="s">
        <v>1191</v>
      </c>
      <c r="G3383" t="s">
        <v>1192</v>
      </c>
      <c r="H3383" t="s">
        <v>1193</v>
      </c>
      <c r="I3383" t="s">
        <v>1194</v>
      </c>
      <c r="K3383" t="s">
        <v>1195</v>
      </c>
      <c r="L3383" t="s">
        <v>1194</v>
      </c>
      <c r="N3383" t="s">
        <v>1196</v>
      </c>
      <c r="O3383" t="s">
        <v>160</v>
      </c>
    </row>
    <row r="3384" spans="1:15">
      <c r="A3384" s="22" t="s">
        <v>294</v>
      </c>
      <c r="B3384" s="22" t="str">
        <f ca="1">IF(ISBLANK(OFFSET(B3384,0,'Field labels'!$Q$1)),C3384,OFFSET(B3384,0,'Field labels'!$Q$1))</f>
        <v>Saint Vincent and the Grenadines</v>
      </c>
      <c r="C3384" s="22" t="s">
        <v>161</v>
      </c>
      <c r="D3384" t="s">
        <v>161</v>
      </c>
      <c r="E3384" t="s">
        <v>161</v>
      </c>
      <c r="F3384" t="s">
        <v>161</v>
      </c>
      <c r="G3384" t="s">
        <v>161</v>
      </c>
      <c r="H3384" t="s">
        <v>161</v>
      </c>
      <c r="I3384" t="s">
        <v>161</v>
      </c>
      <c r="J3384" t="s">
        <v>161</v>
      </c>
      <c r="K3384" t="s">
        <v>161</v>
      </c>
      <c r="L3384" t="s">
        <v>161</v>
      </c>
      <c r="N3384" t="s">
        <v>161</v>
      </c>
      <c r="O3384" t="s">
        <v>161</v>
      </c>
    </row>
    <row r="3385" spans="1:15">
      <c r="A3385" s="22" t="s">
        <v>294</v>
      </c>
      <c r="B3385" s="22" t="str">
        <f ca="1">IF(ISBLANK(OFFSET(B3385,0,'Field labels'!$Q$1)),C3385,OFFSET(B3385,0,'Field labels'!$Q$1))</f>
        <v>Saint-Barthelemy</v>
      </c>
      <c r="C3385" s="22" t="s">
        <v>155</v>
      </c>
      <c r="D3385" t="s">
        <v>155</v>
      </c>
      <c r="E3385" t="s">
        <v>155</v>
      </c>
      <c r="F3385" t="s">
        <v>155</v>
      </c>
      <c r="G3385" t="s">
        <v>155</v>
      </c>
      <c r="H3385" t="s">
        <v>155</v>
      </c>
      <c r="I3385" t="s">
        <v>155</v>
      </c>
      <c r="J3385" t="s">
        <v>155</v>
      </c>
      <c r="K3385" t="s">
        <v>155</v>
      </c>
      <c r="L3385" t="s">
        <v>155</v>
      </c>
      <c r="N3385" t="s">
        <v>155</v>
      </c>
      <c r="O3385" t="s">
        <v>155</v>
      </c>
    </row>
    <row r="3386" spans="1:15">
      <c r="A3386" s="22" t="s">
        <v>294</v>
      </c>
      <c r="B3386" s="22" t="str">
        <f ca="1">IF(ISBLANK(OFFSET(B3386,0,'Field labels'!$Q$1)),C3386,OFFSET(B3386,0,'Field labels'!$Q$1))</f>
        <v>Samoa</v>
      </c>
      <c r="C3386" s="22" t="s">
        <v>162</v>
      </c>
      <c r="D3386" t="s">
        <v>162</v>
      </c>
      <c r="E3386" t="s">
        <v>162</v>
      </c>
      <c r="F3386" t="s">
        <v>162</v>
      </c>
      <c r="G3386" t="s">
        <v>162</v>
      </c>
      <c r="H3386" t="s">
        <v>162</v>
      </c>
      <c r="I3386" t="s">
        <v>162</v>
      </c>
      <c r="J3386" t="s">
        <v>162</v>
      </c>
      <c r="K3386" t="s">
        <v>162</v>
      </c>
      <c r="L3386" t="s">
        <v>162</v>
      </c>
      <c r="N3386" t="s">
        <v>162</v>
      </c>
      <c r="O3386" t="s">
        <v>162</v>
      </c>
    </row>
    <row r="3387" spans="1:15">
      <c r="A3387" s="22" t="s">
        <v>294</v>
      </c>
      <c r="B3387" s="22" t="str">
        <f ca="1">IF(ISBLANK(OFFSET(B3387,0,'Field labels'!$Q$1)),C3387,OFFSET(B3387,0,'Field labels'!$Q$1))</f>
        <v>San Marino</v>
      </c>
      <c r="C3387" s="22" t="s">
        <v>163</v>
      </c>
      <c r="D3387" t="s">
        <v>163</v>
      </c>
      <c r="E3387" t="s">
        <v>163</v>
      </c>
      <c r="F3387" t="s">
        <v>163</v>
      </c>
      <c r="G3387" t="s">
        <v>163</v>
      </c>
      <c r="H3387" t="s">
        <v>163</v>
      </c>
      <c r="I3387" t="s">
        <v>163</v>
      </c>
      <c r="J3387" t="s">
        <v>163</v>
      </c>
      <c r="K3387" t="s">
        <v>163</v>
      </c>
      <c r="L3387" t="s">
        <v>163</v>
      </c>
      <c r="N3387" t="s">
        <v>163</v>
      </c>
      <c r="O3387" t="s">
        <v>163</v>
      </c>
    </row>
    <row r="3388" spans="1:15">
      <c r="A3388" s="22" t="s">
        <v>294</v>
      </c>
      <c r="B3388" s="22" t="str">
        <f ca="1">IF(ISBLANK(OFFSET(B3388,0,'Field labels'!$Q$1)),C3388,OFFSET(B3388,0,'Field labels'!$Q$1))</f>
        <v>Sao Tome and Principe</v>
      </c>
      <c r="C3388" s="22" t="s">
        <v>164</v>
      </c>
      <c r="D3388" t="s">
        <v>164</v>
      </c>
      <c r="E3388" t="s">
        <v>164</v>
      </c>
      <c r="F3388" t="s">
        <v>164</v>
      </c>
      <c r="G3388" t="s">
        <v>164</v>
      </c>
      <c r="H3388" t="s">
        <v>164</v>
      </c>
      <c r="I3388" t="s">
        <v>164</v>
      </c>
      <c r="J3388" t="s">
        <v>164</v>
      </c>
      <c r="K3388" t="s">
        <v>164</v>
      </c>
      <c r="L3388" t="s">
        <v>164</v>
      </c>
      <c r="N3388" t="s">
        <v>164</v>
      </c>
      <c r="O3388" t="s">
        <v>164</v>
      </c>
    </row>
    <row r="3389" spans="1:15">
      <c r="A3389" s="22" t="s">
        <v>294</v>
      </c>
      <c r="B3389" s="22" t="str">
        <f ca="1">IF(ISBLANK(OFFSET(B3389,0,'Field labels'!$Q$1)),C3389,OFFSET(B3389,0,'Field labels'!$Q$1))</f>
        <v>Saudi Arabia</v>
      </c>
      <c r="C3389" s="22" t="s">
        <v>364</v>
      </c>
      <c r="D3389" t="s">
        <v>1197</v>
      </c>
      <c r="E3389" t="s">
        <v>364</v>
      </c>
      <c r="F3389" t="s">
        <v>1198</v>
      </c>
      <c r="G3389" t="s">
        <v>1199</v>
      </c>
      <c r="H3389" t="s">
        <v>1200</v>
      </c>
      <c r="I3389" t="s">
        <v>1201</v>
      </c>
      <c r="J3389" t="s">
        <v>364</v>
      </c>
      <c r="K3389" t="s">
        <v>1202</v>
      </c>
      <c r="L3389" t="s">
        <v>1203</v>
      </c>
      <c r="N3389" t="s">
        <v>364</v>
      </c>
      <c r="O3389" t="s">
        <v>1204</v>
      </c>
    </row>
    <row r="3390" spans="1:15">
      <c r="A3390" s="22" t="s">
        <v>294</v>
      </c>
      <c r="B3390" s="22" t="str">
        <f ca="1">IF(ISBLANK(OFFSET(B3390,0,'Field labels'!$Q$1)),C3390,OFFSET(B3390,0,'Field labels'!$Q$1))</f>
        <v>Senegal</v>
      </c>
      <c r="C3390" s="22" t="s">
        <v>165</v>
      </c>
      <c r="D3390" t="s">
        <v>165</v>
      </c>
      <c r="E3390" t="s">
        <v>165</v>
      </c>
      <c r="F3390" t="s">
        <v>165</v>
      </c>
      <c r="G3390" t="s">
        <v>165</v>
      </c>
      <c r="H3390" t="s">
        <v>165</v>
      </c>
      <c r="I3390" t="s">
        <v>165</v>
      </c>
      <c r="J3390" t="s">
        <v>165</v>
      </c>
      <c r="K3390" t="s">
        <v>165</v>
      </c>
      <c r="L3390" t="s">
        <v>165</v>
      </c>
      <c r="N3390" t="s">
        <v>165</v>
      </c>
      <c r="O3390" t="s">
        <v>165</v>
      </c>
    </row>
    <row r="3391" spans="1:15">
      <c r="A3391" s="22" t="s">
        <v>294</v>
      </c>
      <c r="B3391" s="22" t="str">
        <f ca="1">IF(ISBLANK(OFFSET(B3391,0,'Field labels'!$Q$1)),C3391,OFFSET(B3391,0,'Field labels'!$Q$1))</f>
        <v>Serbia</v>
      </c>
      <c r="C3391" s="22" t="s">
        <v>166</v>
      </c>
      <c r="D3391" t="s">
        <v>166</v>
      </c>
      <c r="E3391" t="s">
        <v>166</v>
      </c>
      <c r="F3391" t="s">
        <v>166</v>
      </c>
      <c r="G3391" t="s">
        <v>166</v>
      </c>
      <c r="H3391" t="s">
        <v>166</v>
      </c>
      <c r="I3391" t="s">
        <v>166</v>
      </c>
      <c r="J3391" t="s">
        <v>166</v>
      </c>
      <c r="K3391" t="s">
        <v>166</v>
      </c>
      <c r="L3391" t="s">
        <v>166</v>
      </c>
      <c r="N3391" t="s">
        <v>166</v>
      </c>
      <c r="O3391" t="s">
        <v>166</v>
      </c>
    </row>
    <row r="3392" spans="1:15">
      <c r="A3392" s="22" t="s">
        <v>294</v>
      </c>
      <c r="B3392" s="22" t="str">
        <f ca="1">IF(ISBLANK(OFFSET(B3392,0,'Field labels'!$Q$1)),C3392,OFFSET(B3392,0,'Field labels'!$Q$1))</f>
        <v>Seychelles</v>
      </c>
      <c r="C3392" s="22" t="s">
        <v>167</v>
      </c>
      <c r="D3392" t="s">
        <v>167</v>
      </c>
      <c r="E3392" t="s">
        <v>167</v>
      </c>
      <c r="F3392" t="s">
        <v>167</v>
      </c>
      <c r="G3392" t="s">
        <v>167</v>
      </c>
      <c r="H3392" t="s">
        <v>167</v>
      </c>
      <c r="I3392" t="s">
        <v>167</v>
      </c>
      <c r="J3392" t="s">
        <v>167</v>
      </c>
      <c r="K3392" t="s">
        <v>167</v>
      </c>
      <c r="L3392" t="s">
        <v>167</v>
      </c>
      <c r="N3392" t="s">
        <v>167</v>
      </c>
      <c r="O3392" t="s">
        <v>167</v>
      </c>
    </row>
    <row r="3393" spans="1:15">
      <c r="A3393" s="22" t="s">
        <v>294</v>
      </c>
      <c r="B3393" s="22" t="str">
        <f ca="1">IF(ISBLANK(OFFSET(B3393,0,'Field labels'!$Q$1)),C3393,OFFSET(B3393,0,'Field labels'!$Q$1))</f>
        <v>Sierra Leone</v>
      </c>
      <c r="C3393" s="22" t="s">
        <v>168</v>
      </c>
      <c r="D3393" t="s">
        <v>168</v>
      </c>
      <c r="E3393" t="s">
        <v>168</v>
      </c>
      <c r="F3393" t="s">
        <v>168</v>
      </c>
      <c r="G3393" t="s">
        <v>168</v>
      </c>
      <c r="H3393" t="s">
        <v>168</v>
      </c>
      <c r="I3393" t="s">
        <v>168</v>
      </c>
      <c r="J3393" t="s">
        <v>168</v>
      </c>
      <c r="K3393" t="s">
        <v>168</v>
      </c>
      <c r="L3393" t="s">
        <v>168</v>
      </c>
      <c r="N3393" t="s">
        <v>168</v>
      </c>
      <c r="O3393" t="s">
        <v>168</v>
      </c>
    </row>
    <row r="3394" spans="1:15">
      <c r="A3394" s="22" t="s">
        <v>294</v>
      </c>
      <c r="B3394" s="22" t="str">
        <f ca="1">IF(ISBLANK(OFFSET(B3394,0,'Field labels'!$Q$1)),C3394,OFFSET(B3394,0,'Field labels'!$Q$1))</f>
        <v>Singapore</v>
      </c>
      <c r="C3394" s="22" t="s">
        <v>365</v>
      </c>
      <c r="D3394" t="s">
        <v>365</v>
      </c>
      <c r="E3394" t="s">
        <v>365</v>
      </c>
      <c r="F3394" t="s">
        <v>1205</v>
      </c>
      <c r="G3394" t="s">
        <v>1206</v>
      </c>
      <c r="H3394" t="s">
        <v>1207</v>
      </c>
      <c r="I3394" t="s">
        <v>365</v>
      </c>
      <c r="J3394" t="s">
        <v>365</v>
      </c>
      <c r="K3394" t="s">
        <v>1206</v>
      </c>
      <c r="L3394" t="s">
        <v>1208</v>
      </c>
      <c r="N3394" t="s">
        <v>365</v>
      </c>
      <c r="O3394" t="s">
        <v>1206</v>
      </c>
    </row>
    <row r="3395" spans="1:15">
      <c r="A3395" s="22" t="s">
        <v>294</v>
      </c>
      <c r="B3395" s="22" t="str">
        <f ca="1">IF(ISBLANK(OFFSET(B3395,0,'Field labels'!$Q$1)),C3395,OFFSET(B3395,0,'Field labels'!$Q$1))</f>
        <v>Slovakia</v>
      </c>
      <c r="C3395" s="22" t="s">
        <v>169</v>
      </c>
      <c r="D3395" t="s">
        <v>169</v>
      </c>
      <c r="E3395" t="s">
        <v>169</v>
      </c>
      <c r="F3395" t="s">
        <v>169</v>
      </c>
      <c r="G3395" t="s">
        <v>169</v>
      </c>
      <c r="H3395" t="s">
        <v>169</v>
      </c>
      <c r="I3395" t="s">
        <v>169</v>
      </c>
      <c r="J3395" t="s">
        <v>169</v>
      </c>
      <c r="K3395" t="s">
        <v>169</v>
      </c>
      <c r="L3395" t="s">
        <v>169</v>
      </c>
      <c r="N3395" t="s">
        <v>169</v>
      </c>
      <c r="O3395" t="s">
        <v>169</v>
      </c>
    </row>
    <row r="3396" spans="1:15">
      <c r="A3396" s="22" t="s">
        <v>294</v>
      </c>
      <c r="B3396" s="22" t="str">
        <f ca="1">IF(ISBLANK(OFFSET(B3396,0,'Field labels'!$Q$1)),C3396,OFFSET(B3396,0,'Field labels'!$Q$1))</f>
        <v>Slovenia</v>
      </c>
      <c r="C3396" s="22" t="s">
        <v>170</v>
      </c>
      <c r="D3396" t="s">
        <v>170</v>
      </c>
      <c r="E3396" t="s">
        <v>170</v>
      </c>
      <c r="F3396" t="s">
        <v>170</v>
      </c>
      <c r="G3396" t="s">
        <v>170</v>
      </c>
      <c r="H3396" t="s">
        <v>170</v>
      </c>
      <c r="I3396" t="s">
        <v>170</v>
      </c>
      <c r="J3396" t="s">
        <v>170</v>
      </c>
      <c r="K3396" t="s">
        <v>170</v>
      </c>
      <c r="L3396" t="s">
        <v>170</v>
      </c>
      <c r="N3396" t="s">
        <v>170</v>
      </c>
      <c r="O3396" t="s">
        <v>170</v>
      </c>
    </row>
    <row r="3397" spans="1:15">
      <c r="A3397" s="22" t="s">
        <v>294</v>
      </c>
      <c r="B3397" s="22" t="str">
        <f ca="1">IF(ISBLANK(OFFSET(B3397,0,'Field labels'!$Q$1)),C3397,OFFSET(B3397,0,'Field labels'!$Q$1))</f>
        <v>Solomon Islands</v>
      </c>
      <c r="C3397" s="22" t="s">
        <v>171</v>
      </c>
      <c r="D3397" t="s">
        <v>171</v>
      </c>
      <c r="E3397" t="s">
        <v>171</v>
      </c>
      <c r="F3397" t="s">
        <v>171</v>
      </c>
      <c r="G3397" t="s">
        <v>171</v>
      </c>
      <c r="H3397" t="s">
        <v>171</v>
      </c>
      <c r="I3397" t="s">
        <v>171</v>
      </c>
      <c r="J3397" t="s">
        <v>171</v>
      </c>
      <c r="K3397" t="s">
        <v>171</v>
      </c>
      <c r="L3397" t="s">
        <v>171</v>
      </c>
      <c r="N3397" t="s">
        <v>171</v>
      </c>
      <c r="O3397" t="s">
        <v>171</v>
      </c>
    </row>
    <row r="3398" spans="1:15">
      <c r="A3398" s="22" t="s">
        <v>294</v>
      </c>
      <c r="B3398" s="22" t="str">
        <f ca="1">IF(ISBLANK(OFFSET(B3398,0,'Field labels'!$Q$1)),C3398,OFFSET(B3398,0,'Field labels'!$Q$1))</f>
        <v>Somalia</v>
      </c>
      <c r="C3398" s="22" t="s">
        <v>172</v>
      </c>
      <c r="D3398" t="s">
        <v>172</v>
      </c>
      <c r="E3398" t="s">
        <v>172</v>
      </c>
      <c r="F3398" t="s">
        <v>172</v>
      </c>
      <c r="G3398" t="s">
        <v>172</v>
      </c>
      <c r="H3398" t="s">
        <v>172</v>
      </c>
      <c r="I3398" t="s">
        <v>172</v>
      </c>
      <c r="J3398" t="s">
        <v>172</v>
      </c>
      <c r="K3398" t="s">
        <v>172</v>
      </c>
      <c r="L3398" t="s">
        <v>172</v>
      </c>
      <c r="N3398" t="s">
        <v>172</v>
      </c>
      <c r="O3398" t="s">
        <v>172</v>
      </c>
    </row>
    <row r="3399" spans="1:15">
      <c r="A3399" s="22" t="s">
        <v>294</v>
      </c>
      <c r="B3399" s="22" t="str">
        <f ca="1">IF(ISBLANK(OFFSET(B3399,0,'Field labels'!$Q$1)),C3399,OFFSET(B3399,0,'Field labels'!$Q$1))</f>
        <v>South Africa</v>
      </c>
      <c r="C3399" s="22" t="s">
        <v>366</v>
      </c>
      <c r="D3399" t="s">
        <v>1209</v>
      </c>
      <c r="E3399" t="s">
        <v>366</v>
      </c>
      <c r="F3399" t="s">
        <v>1210</v>
      </c>
      <c r="G3399" t="s">
        <v>1211</v>
      </c>
      <c r="H3399" t="s">
        <v>1212</v>
      </c>
      <c r="I3399" t="s">
        <v>1213</v>
      </c>
      <c r="J3399" t="s">
        <v>366</v>
      </c>
      <c r="K3399" t="s">
        <v>1214</v>
      </c>
      <c r="L3399" t="s">
        <v>1215</v>
      </c>
      <c r="N3399" t="s">
        <v>366</v>
      </c>
      <c r="O3399" t="s">
        <v>1216</v>
      </c>
    </row>
    <row r="3400" spans="1:15">
      <c r="A3400" s="22" t="s">
        <v>294</v>
      </c>
      <c r="B3400" s="22" t="str">
        <f ca="1">IF(ISBLANK(OFFSET(B3400,0,'Field labels'!$Q$1)),C3400,OFFSET(B3400,0,'Field labels'!$Q$1))</f>
        <v>South Georgia and the South Sandwich Islands</v>
      </c>
      <c r="C3400" s="22" t="s">
        <v>173</v>
      </c>
      <c r="D3400" t="s">
        <v>173</v>
      </c>
      <c r="E3400" t="s">
        <v>173</v>
      </c>
      <c r="F3400" t="s">
        <v>173</v>
      </c>
      <c r="G3400" t="s">
        <v>173</v>
      </c>
      <c r="H3400" t="s">
        <v>173</v>
      </c>
      <c r="I3400" t="s">
        <v>173</v>
      </c>
      <c r="J3400" t="s">
        <v>173</v>
      </c>
      <c r="K3400" t="s">
        <v>173</v>
      </c>
      <c r="L3400" t="s">
        <v>173</v>
      </c>
      <c r="N3400" t="s">
        <v>173</v>
      </c>
      <c r="O3400" t="s">
        <v>173</v>
      </c>
    </row>
    <row r="3401" spans="1:15">
      <c r="A3401" s="22" t="s">
        <v>294</v>
      </c>
      <c r="B3401" s="22" t="str">
        <f ca="1">IF(ISBLANK(OFFSET(B3401,0,'Field labels'!$Q$1)),C3401,OFFSET(B3401,0,'Field labels'!$Q$1))</f>
        <v>Spain</v>
      </c>
      <c r="C3401" s="22" t="s">
        <v>367</v>
      </c>
      <c r="D3401" t="s">
        <v>1217</v>
      </c>
      <c r="E3401" t="s">
        <v>367</v>
      </c>
      <c r="F3401" t="s">
        <v>1218</v>
      </c>
      <c r="G3401" t="s">
        <v>1219</v>
      </c>
      <c r="H3401" t="s">
        <v>1220</v>
      </c>
      <c r="I3401" t="s">
        <v>1221</v>
      </c>
      <c r="J3401" t="s">
        <v>367</v>
      </c>
      <c r="K3401" t="s">
        <v>1222</v>
      </c>
      <c r="L3401" t="s">
        <v>1223</v>
      </c>
      <c r="N3401" t="s">
        <v>367</v>
      </c>
      <c r="O3401" t="s">
        <v>1224</v>
      </c>
    </row>
    <row r="3402" spans="1:15">
      <c r="A3402" s="22" t="s">
        <v>294</v>
      </c>
      <c r="B3402" s="22" t="str">
        <f ca="1">IF(ISBLANK(OFFSET(B3402,0,'Field labels'!$Q$1)),C3402,OFFSET(B3402,0,'Field labels'!$Q$1))</f>
        <v>Sri Lanka</v>
      </c>
      <c r="C3402" s="22" t="s">
        <v>174</v>
      </c>
      <c r="D3402" t="s">
        <v>174</v>
      </c>
      <c r="E3402" t="s">
        <v>174</v>
      </c>
      <c r="F3402" t="s">
        <v>174</v>
      </c>
      <c r="G3402" t="s">
        <v>174</v>
      </c>
      <c r="H3402" t="s">
        <v>174</v>
      </c>
      <c r="I3402" t="s">
        <v>174</v>
      </c>
      <c r="J3402" t="s">
        <v>174</v>
      </c>
      <c r="K3402" t="s">
        <v>174</v>
      </c>
      <c r="L3402" t="s">
        <v>174</v>
      </c>
      <c r="N3402" t="s">
        <v>174</v>
      </c>
      <c r="O3402" t="s">
        <v>174</v>
      </c>
    </row>
    <row r="3403" spans="1:15">
      <c r="A3403" s="22" t="s">
        <v>294</v>
      </c>
      <c r="B3403" s="22" t="str">
        <f ca="1">IF(ISBLANK(OFFSET(B3403,0,'Field labels'!$Q$1)),C3403,OFFSET(B3403,0,'Field labels'!$Q$1))</f>
        <v>Sudan</v>
      </c>
      <c r="C3403" s="22" t="s">
        <v>175</v>
      </c>
      <c r="D3403" t="s">
        <v>175</v>
      </c>
      <c r="E3403" t="s">
        <v>175</v>
      </c>
      <c r="F3403" t="s">
        <v>175</v>
      </c>
      <c r="G3403" t="s">
        <v>175</v>
      </c>
      <c r="H3403" t="s">
        <v>175</v>
      </c>
      <c r="I3403" t="s">
        <v>175</v>
      </c>
      <c r="J3403" t="s">
        <v>175</v>
      </c>
      <c r="K3403" t="s">
        <v>175</v>
      </c>
      <c r="L3403" t="s">
        <v>175</v>
      </c>
      <c r="N3403" t="s">
        <v>175</v>
      </c>
      <c r="O3403" t="s">
        <v>175</v>
      </c>
    </row>
    <row r="3404" spans="1:15">
      <c r="A3404" s="22" t="s">
        <v>294</v>
      </c>
      <c r="B3404" s="22" t="str">
        <f ca="1">IF(ISBLANK(OFFSET(B3404,0,'Field labels'!$Q$1)),C3404,OFFSET(B3404,0,'Field labels'!$Q$1))</f>
        <v>Suriname</v>
      </c>
      <c r="C3404" s="22" t="s">
        <v>176</v>
      </c>
      <c r="D3404" t="s">
        <v>176</v>
      </c>
      <c r="E3404" t="s">
        <v>176</v>
      </c>
      <c r="F3404" t="s">
        <v>176</v>
      </c>
      <c r="G3404" t="s">
        <v>176</v>
      </c>
      <c r="H3404" t="s">
        <v>176</v>
      </c>
      <c r="I3404" t="s">
        <v>176</v>
      </c>
      <c r="J3404" t="s">
        <v>176</v>
      </c>
      <c r="K3404" t="s">
        <v>176</v>
      </c>
      <c r="L3404" t="s">
        <v>176</v>
      </c>
      <c r="N3404" t="s">
        <v>176</v>
      </c>
      <c r="O3404" t="s">
        <v>176</v>
      </c>
    </row>
    <row r="3405" spans="1:15">
      <c r="A3405" s="22" t="s">
        <v>294</v>
      </c>
      <c r="B3405" s="22" t="str">
        <f ca="1">IF(ISBLANK(OFFSET(B3405,0,'Field labels'!$Q$1)),C3405,OFFSET(B3405,0,'Field labels'!$Q$1))</f>
        <v>Svalbard and Jan Mayen</v>
      </c>
      <c r="C3405" s="22" t="s">
        <v>177</v>
      </c>
      <c r="D3405" t="s">
        <v>177</v>
      </c>
      <c r="E3405" t="s">
        <v>177</v>
      </c>
      <c r="F3405" t="s">
        <v>177</v>
      </c>
      <c r="G3405" t="s">
        <v>177</v>
      </c>
      <c r="H3405" t="s">
        <v>177</v>
      </c>
      <c r="I3405" t="s">
        <v>177</v>
      </c>
      <c r="J3405" t="s">
        <v>177</v>
      </c>
      <c r="K3405" t="s">
        <v>177</v>
      </c>
      <c r="L3405" t="s">
        <v>177</v>
      </c>
      <c r="N3405" t="s">
        <v>177</v>
      </c>
      <c r="O3405" t="s">
        <v>177</v>
      </c>
    </row>
    <row r="3406" spans="1:15">
      <c r="A3406" s="22" t="s">
        <v>294</v>
      </c>
      <c r="B3406" s="22" t="str">
        <f ca="1">IF(ISBLANK(OFFSET(B3406,0,'Field labels'!$Q$1)),C3406,OFFSET(B3406,0,'Field labels'!$Q$1))</f>
        <v>Swaziland</v>
      </c>
      <c r="C3406" s="22" t="s">
        <v>178</v>
      </c>
      <c r="D3406" t="s">
        <v>178</v>
      </c>
      <c r="E3406" t="s">
        <v>178</v>
      </c>
      <c r="F3406" t="s">
        <v>178</v>
      </c>
      <c r="G3406" t="s">
        <v>178</v>
      </c>
      <c r="H3406" t="s">
        <v>178</v>
      </c>
      <c r="I3406" t="s">
        <v>178</v>
      </c>
      <c r="J3406" t="s">
        <v>178</v>
      </c>
      <c r="K3406" t="s">
        <v>178</v>
      </c>
      <c r="L3406" t="s">
        <v>178</v>
      </c>
      <c r="N3406" t="s">
        <v>178</v>
      </c>
      <c r="O3406" t="s">
        <v>178</v>
      </c>
    </row>
    <row r="3407" spans="1:15">
      <c r="A3407" s="22" t="s">
        <v>294</v>
      </c>
      <c r="B3407" s="22" t="str">
        <f ca="1">IF(ISBLANK(OFFSET(B3407,0,'Field labels'!$Q$1)),C3407,OFFSET(B3407,0,'Field labels'!$Q$1))</f>
        <v>Sweden</v>
      </c>
      <c r="C3407" s="22" t="s">
        <v>368</v>
      </c>
      <c r="D3407" t="s">
        <v>1225</v>
      </c>
      <c r="E3407" t="s">
        <v>368</v>
      </c>
      <c r="F3407" t="s">
        <v>1226</v>
      </c>
      <c r="G3407" t="s">
        <v>1227</v>
      </c>
      <c r="H3407" t="s">
        <v>1228</v>
      </c>
      <c r="I3407" t="s">
        <v>1229</v>
      </c>
      <c r="J3407" t="s">
        <v>368</v>
      </c>
      <c r="K3407" t="s">
        <v>1230</v>
      </c>
      <c r="L3407" t="s">
        <v>1231</v>
      </c>
      <c r="N3407" t="s">
        <v>368</v>
      </c>
      <c r="O3407" t="s">
        <v>1232</v>
      </c>
    </row>
    <row r="3408" spans="1:15">
      <c r="A3408" s="22" t="s">
        <v>294</v>
      </c>
      <c r="B3408" s="22" t="str">
        <f ca="1">IF(ISBLANK(OFFSET(B3408,0,'Field labels'!$Q$1)),C3408,OFFSET(B3408,0,'Field labels'!$Q$1))</f>
        <v>Switzerland</v>
      </c>
      <c r="C3408" s="22" t="s">
        <v>369</v>
      </c>
      <c r="D3408" t="s">
        <v>1233</v>
      </c>
      <c r="E3408" t="s">
        <v>369</v>
      </c>
      <c r="F3408" t="s">
        <v>1234</v>
      </c>
      <c r="G3408" t="s">
        <v>1235</v>
      </c>
      <c r="H3408" t="s">
        <v>1236</v>
      </c>
      <c r="I3408" t="s">
        <v>1237</v>
      </c>
      <c r="J3408" t="s">
        <v>369</v>
      </c>
      <c r="K3408" t="s">
        <v>1238</v>
      </c>
      <c r="L3408" t="s">
        <v>1239</v>
      </c>
      <c r="N3408" t="s">
        <v>369</v>
      </c>
      <c r="O3408" t="s">
        <v>1240</v>
      </c>
    </row>
    <row r="3409" spans="1:15">
      <c r="A3409" s="22" t="s">
        <v>294</v>
      </c>
      <c r="B3409" s="22" t="str">
        <f ca="1">IF(ISBLANK(OFFSET(B3409,0,'Field labels'!$Q$1)),C3409,OFFSET(B3409,0,'Field labels'!$Q$1))</f>
        <v>Syrian Arab Republic</v>
      </c>
      <c r="C3409" s="22" t="s">
        <v>179</v>
      </c>
      <c r="D3409" t="s">
        <v>179</v>
      </c>
      <c r="E3409" t="s">
        <v>179</v>
      </c>
      <c r="F3409" t="s">
        <v>179</v>
      </c>
      <c r="G3409" t="s">
        <v>179</v>
      </c>
      <c r="H3409" t="s">
        <v>179</v>
      </c>
      <c r="I3409" t="s">
        <v>179</v>
      </c>
      <c r="J3409" t="s">
        <v>179</v>
      </c>
      <c r="K3409" t="s">
        <v>179</v>
      </c>
      <c r="L3409" t="s">
        <v>179</v>
      </c>
      <c r="N3409" t="s">
        <v>179</v>
      </c>
      <c r="O3409" t="s">
        <v>179</v>
      </c>
    </row>
    <row r="3410" spans="1:15">
      <c r="A3410" s="22" t="s">
        <v>294</v>
      </c>
      <c r="B3410" s="22" t="str">
        <f ca="1">IF(ISBLANK(OFFSET(B3410,0,'Field labels'!$Q$1)),C3410,OFFSET(B3410,0,'Field labels'!$Q$1))</f>
        <v>Tajikistan</v>
      </c>
      <c r="C3410" s="22" t="s">
        <v>180</v>
      </c>
      <c r="D3410" t="s">
        <v>180</v>
      </c>
      <c r="E3410" t="s">
        <v>180</v>
      </c>
      <c r="F3410" t="s">
        <v>180</v>
      </c>
      <c r="G3410" t="s">
        <v>180</v>
      </c>
      <c r="H3410" t="s">
        <v>180</v>
      </c>
      <c r="I3410" t="s">
        <v>180</v>
      </c>
      <c r="J3410" t="s">
        <v>180</v>
      </c>
      <c r="K3410" t="s">
        <v>180</v>
      </c>
      <c r="L3410" t="s">
        <v>180</v>
      </c>
      <c r="N3410" t="s">
        <v>180</v>
      </c>
      <c r="O3410" t="s">
        <v>180</v>
      </c>
    </row>
    <row r="3411" spans="1:15">
      <c r="A3411" s="22" t="s">
        <v>294</v>
      </c>
      <c r="B3411" s="22" t="str">
        <f ca="1">IF(ISBLANK(OFFSET(B3411,0,'Field labels'!$Q$1)),C3411,OFFSET(B3411,0,'Field labels'!$Q$1))</f>
        <v>Tanzania, United Republic of</v>
      </c>
      <c r="C3411" s="22" t="s">
        <v>181</v>
      </c>
      <c r="D3411" t="s">
        <v>181</v>
      </c>
      <c r="E3411" t="s">
        <v>181</v>
      </c>
      <c r="F3411" t="s">
        <v>181</v>
      </c>
      <c r="G3411" t="s">
        <v>181</v>
      </c>
      <c r="H3411" t="s">
        <v>181</v>
      </c>
      <c r="I3411" t="s">
        <v>181</v>
      </c>
      <c r="J3411" t="s">
        <v>181</v>
      </c>
      <c r="K3411" t="s">
        <v>181</v>
      </c>
      <c r="L3411" t="s">
        <v>181</v>
      </c>
      <c r="N3411" t="s">
        <v>181</v>
      </c>
      <c r="O3411" t="s">
        <v>181</v>
      </c>
    </row>
    <row r="3412" spans="1:15">
      <c r="A3412" s="22" t="s">
        <v>294</v>
      </c>
      <c r="B3412" s="22" t="str">
        <f ca="1">IF(ISBLANK(OFFSET(B3412,0,'Field labels'!$Q$1)),C3412,OFFSET(B3412,0,'Field labels'!$Q$1))</f>
        <v>Thailand</v>
      </c>
      <c r="C3412" s="22" t="s">
        <v>371</v>
      </c>
      <c r="D3412" t="s">
        <v>371</v>
      </c>
      <c r="E3412" t="s">
        <v>371</v>
      </c>
      <c r="F3412" t="s">
        <v>1241</v>
      </c>
      <c r="G3412" t="s">
        <v>371</v>
      </c>
      <c r="H3412" t="s">
        <v>1242</v>
      </c>
      <c r="I3412" t="s">
        <v>1243</v>
      </c>
      <c r="J3412" t="s">
        <v>371</v>
      </c>
      <c r="K3412" t="s">
        <v>1244</v>
      </c>
      <c r="L3412" t="s">
        <v>1245</v>
      </c>
      <c r="N3412" t="s">
        <v>371</v>
      </c>
      <c r="O3412" t="s">
        <v>1246</v>
      </c>
    </row>
    <row r="3413" spans="1:15">
      <c r="A3413" s="22" t="s">
        <v>294</v>
      </c>
      <c r="B3413" s="22" t="str">
        <f ca="1">IF(ISBLANK(OFFSET(B3413,0,'Field labels'!$Q$1)),C3413,OFFSET(B3413,0,'Field labels'!$Q$1))</f>
        <v>Timor-Leste</v>
      </c>
      <c r="C3413" s="22" t="s">
        <v>182</v>
      </c>
      <c r="D3413" t="s">
        <v>182</v>
      </c>
      <c r="E3413" t="s">
        <v>182</v>
      </c>
      <c r="F3413" t="s">
        <v>182</v>
      </c>
      <c r="G3413" t="s">
        <v>182</v>
      </c>
      <c r="H3413" t="s">
        <v>182</v>
      </c>
      <c r="I3413" t="s">
        <v>182</v>
      </c>
      <c r="J3413" t="s">
        <v>182</v>
      </c>
      <c r="K3413" t="s">
        <v>182</v>
      </c>
      <c r="L3413" t="s">
        <v>182</v>
      </c>
      <c r="N3413" t="s">
        <v>182</v>
      </c>
      <c r="O3413" t="s">
        <v>182</v>
      </c>
    </row>
    <row r="3414" spans="1:15">
      <c r="A3414" s="22" t="s">
        <v>294</v>
      </c>
      <c r="B3414" s="22" t="str">
        <f ca="1">IF(ISBLANK(OFFSET(B3414,0,'Field labels'!$Q$1)),C3414,OFFSET(B3414,0,'Field labels'!$Q$1))</f>
        <v>Togo</v>
      </c>
      <c r="C3414" s="22" t="s">
        <v>183</v>
      </c>
      <c r="D3414" t="s">
        <v>183</v>
      </c>
      <c r="E3414" t="s">
        <v>183</v>
      </c>
      <c r="F3414" t="s">
        <v>183</v>
      </c>
      <c r="G3414" t="s">
        <v>183</v>
      </c>
      <c r="H3414" t="s">
        <v>183</v>
      </c>
      <c r="I3414" t="s">
        <v>183</v>
      </c>
      <c r="J3414" t="s">
        <v>183</v>
      </c>
      <c r="K3414" t="s">
        <v>183</v>
      </c>
      <c r="L3414" t="s">
        <v>183</v>
      </c>
      <c r="N3414" t="s">
        <v>183</v>
      </c>
      <c r="O3414" t="s">
        <v>183</v>
      </c>
    </row>
    <row r="3415" spans="1:15">
      <c r="A3415" s="22" t="s">
        <v>294</v>
      </c>
      <c r="B3415" s="22" t="str">
        <f ca="1">IF(ISBLANK(OFFSET(B3415,0,'Field labels'!$Q$1)),C3415,OFFSET(B3415,0,'Field labels'!$Q$1))</f>
        <v>Tokelau</v>
      </c>
      <c r="C3415" s="22" t="s">
        <v>184</v>
      </c>
      <c r="D3415" t="s">
        <v>184</v>
      </c>
      <c r="E3415" t="s">
        <v>184</v>
      </c>
      <c r="F3415" t="s">
        <v>184</v>
      </c>
      <c r="G3415" t="s">
        <v>184</v>
      </c>
      <c r="H3415" t="s">
        <v>184</v>
      </c>
      <c r="I3415" t="s">
        <v>184</v>
      </c>
      <c r="J3415" t="s">
        <v>184</v>
      </c>
      <c r="K3415" t="s">
        <v>184</v>
      </c>
      <c r="L3415" t="s">
        <v>184</v>
      </c>
      <c r="N3415" t="s">
        <v>184</v>
      </c>
      <c r="O3415" t="s">
        <v>184</v>
      </c>
    </row>
    <row r="3416" spans="1:15">
      <c r="A3416" s="22" t="s">
        <v>294</v>
      </c>
      <c r="B3416" s="22" t="str">
        <f ca="1">IF(ISBLANK(OFFSET(B3416,0,'Field labels'!$Q$1)),C3416,OFFSET(B3416,0,'Field labels'!$Q$1))</f>
        <v>Tonga</v>
      </c>
      <c r="C3416" s="22" t="s">
        <v>185</v>
      </c>
      <c r="D3416" t="s">
        <v>185</v>
      </c>
      <c r="E3416" t="s">
        <v>185</v>
      </c>
      <c r="F3416" t="s">
        <v>185</v>
      </c>
      <c r="G3416" t="s">
        <v>185</v>
      </c>
      <c r="H3416" t="s">
        <v>185</v>
      </c>
      <c r="I3416" t="s">
        <v>185</v>
      </c>
      <c r="J3416" t="s">
        <v>185</v>
      </c>
      <c r="K3416" t="s">
        <v>185</v>
      </c>
      <c r="L3416" t="s">
        <v>185</v>
      </c>
      <c r="N3416" t="s">
        <v>185</v>
      </c>
      <c r="O3416" t="s">
        <v>185</v>
      </c>
    </row>
    <row r="3417" spans="1:15">
      <c r="A3417" s="22" t="s">
        <v>294</v>
      </c>
      <c r="B3417" s="22" t="str">
        <f ca="1">IF(ISBLANK(OFFSET(B3417,0,'Field labels'!$Q$1)),C3417,OFFSET(B3417,0,'Field labels'!$Q$1))</f>
        <v>Trinidad and Tobago</v>
      </c>
      <c r="C3417" s="22" t="s">
        <v>186</v>
      </c>
      <c r="D3417" t="s">
        <v>186</v>
      </c>
      <c r="E3417" t="s">
        <v>186</v>
      </c>
      <c r="F3417" t="s">
        <v>186</v>
      </c>
      <c r="G3417" t="s">
        <v>186</v>
      </c>
      <c r="H3417" t="s">
        <v>186</v>
      </c>
      <c r="I3417" t="s">
        <v>186</v>
      </c>
      <c r="J3417" t="s">
        <v>186</v>
      </c>
      <c r="K3417" t="s">
        <v>186</v>
      </c>
      <c r="L3417" t="s">
        <v>186</v>
      </c>
      <c r="N3417" t="s">
        <v>186</v>
      </c>
      <c r="O3417" t="s">
        <v>186</v>
      </c>
    </row>
    <row r="3418" spans="1:15">
      <c r="A3418" s="22" t="s">
        <v>294</v>
      </c>
      <c r="B3418" s="22" t="str">
        <f ca="1">IF(ISBLANK(OFFSET(B3418,0,'Field labels'!$Q$1)),C3418,OFFSET(B3418,0,'Field labels'!$Q$1))</f>
        <v>Tunisia</v>
      </c>
      <c r="C3418" s="22" t="s">
        <v>187</v>
      </c>
      <c r="D3418" t="s">
        <v>187</v>
      </c>
      <c r="E3418" t="s">
        <v>187</v>
      </c>
      <c r="F3418" t="s">
        <v>187</v>
      </c>
      <c r="G3418" t="s">
        <v>187</v>
      </c>
      <c r="H3418" t="s">
        <v>187</v>
      </c>
      <c r="I3418" t="s">
        <v>187</v>
      </c>
      <c r="J3418" t="s">
        <v>187</v>
      </c>
      <c r="K3418" t="s">
        <v>187</v>
      </c>
      <c r="L3418" t="s">
        <v>187</v>
      </c>
      <c r="N3418" t="s">
        <v>187</v>
      </c>
      <c r="O3418" t="s">
        <v>187</v>
      </c>
    </row>
    <row r="3419" spans="1:15">
      <c r="A3419" s="22" t="s">
        <v>294</v>
      </c>
      <c r="B3419" s="22" t="str">
        <f ca="1">IF(ISBLANK(OFFSET(B3419,0,'Field labels'!$Q$1)),C3419,OFFSET(B3419,0,'Field labels'!$Q$1))</f>
        <v>Turkey</v>
      </c>
      <c r="C3419" s="22" t="s">
        <v>372</v>
      </c>
      <c r="D3419" t="s">
        <v>1247</v>
      </c>
      <c r="E3419" t="s">
        <v>372</v>
      </c>
      <c r="F3419" t="s">
        <v>1248</v>
      </c>
      <c r="G3419" t="s">
        <v>1249</v>
      </c>
      <c r="H3419" t="s">
        <v>1250</v>
      </c>
      <c r="I3419" t="s">
        <v>1251</v>
      </c>
      <c r="J3419" t="s">
        <v>372</v>
      </c>
      <c r="K3419" t="s">
        <v>1252</v>
      </c>
      <c r="L3419" t="s">
        <v>1253</v>
      </c>
      <c r="N3419" t="s">
        <v>372</v>
      </c>
      <c r="O3419" t="s">
        <v>1254</v>
      </c>
    </row>
    <row r="3420" spans="1:15">
      <c r="A3420" s="22" t="s">
        <v>294</v>
      </c>
      <c r="B3420" s="22" t="str">
        <f ca="1">IF(ISBLANK(OFFSET(B3420,0,'Field labels'!$Q$1)),C3420,OFFSET(B3420,0,'Field labels'!$Q$1))</f>
        <v>Turkmenistan</v>
      </c>
      <c r="C3420" s="22" t="s">
        <v>188</v>
      </c>
      <c r="D3420" t="s">
        <v>188</v>
      </c>
      <c r="E3420" t="s">
        <v>188</v>
      </c>
      <c r="F3420" t="s">
        <v>188</v>
      </c>
      <c r="G3420" t="s">
        <v>188</v>
      </c>
      <c r="H3420" t="s">
        <v>188</v>
      </c>
      <c r="I3420" t="s">
        <v>188</v>
      </c>
      <c r="J3420" t="s">
        <v>188</v>
      </c>
      <c r="K3420" t="s">
        <v>188</v>
      </c>
      <c r="L3420" t="s">
        <v>188</v>
      </c>
      <c r="N3420" t="s">
        <v>188</v>
      </c>
      <c r="O3420" t="s">
        <v>188</v>
      </c>
    </row>
    <row r="3421" spans="1:15">
      <c r="A3421" s="22" t="s">
        <v>294</v>
      </c>
      <c r="B3421" s="22" t="str">
        <f ca="1">IF(ISBLANK(OFFSET(B3421,0,'Field labels'!$Q$1)),C3421,OFFSET(B3421,0,'Field labels'!$Q$1))</f>
        <v>Turks and Caicos Islands</v>
      </c>
      <c r="C3421" s="22" t="s">
        <v>189</v>
      </c>
      <c r="D3421" t="s">
        <v>189</v>
      </c>
      <c r="E3421" t="s">
        <v>189</v>
      </c>
      <c r="F3421" t="s">
        <v>189</v>
      </c>
      <c r="G3421" t="s">
        <v>189</v>
      </c>
      <c r="H3421" t="s">
        <v>189</v>
      </c>
      <c r="I3421" t="s">
        <v>189</v>
      </c>
      <c r="J3421" t="s">
        <v>189</v>
      </c>
      <c r="K3421" t="s">
        <v>189</v>
      </c>
      <c r="L3421" t="s">
        <v>189</v>
      </c>
      <c r="N3421" t="s">
        <v>189</v>
      </c>
      <c r="O3421" t="s">
        <v>189</v>
      </c>
    </row>
    <row r="3422" spans="1:15">
      <c r="A3422" s="22" t="s">
        <v>294</v>
      </c>
      <c r="B3422" s="22" t="str">
        <f ca="1">IF(ISBLANK(OFFSET(B3422,0,'Field labels'!$Q$1)),C3422,OFFSET(B3422,0,'Field labels'!$Q$1))</f>
        <v>Tuvalu</v>
      </c>
      <c r="C3422" s="22" t="s">
        <v>190</v>
      </c>
      <c r="D3422" t="s">
        <v>190</v>
      </c>
      <c r="E3422" t="s">
        <v>190</v>
      </c>
      <c r="F3422" t="s">
        <v>190</v>
      </c>
      <c r="G3422" t="s">
        <v>190</v>
      </c>
      <c r="H3422" t="s">
        <v>190</v>
      </c>
      <c r="I3422" t="s">
        <v>190</v>
      </c>
      <c r="J3422" t="s">
        <v>190</v>
      </c>
      <c r="K3422" t="s">
        <v>190</v>
      </c>
      <c r="L3422" t="s">
        <v>190</v>
      </c>
      <c r="N3422" t="s">
        <v>190</v>
      </c>
      <c r="O3422" t="s">
        <v>190</v>
      </c>
    </row>
    <row r="3423" spans="1:15">
      <c r="A3423" s="22" t="s">
        <v>294</v>
      </c>
      <c r="B3423" s="22" t="str">
        <f ca="1">IF(ISBLANK(OFFSET(B3423,0,'Field labels'!$Q$1)),C3423,OFFSET(B3423,0,'Field labels'!$Q$1))</f>
        <v>Uganda</v>
      </c>
      <c r="C3423" s="22" t="s">
        <v>191</v>
      </c>
      <c r="D3423" t="s">
        <v>191</v>
      </c>
      <c r="E3423" t="s">
        <v>191</v>
      </c>
      <c r="F3423" t="s">
        <v>191</v>
      </c>
      <c r="G3423" t="s">
        <v>191</v>
      </c>
      <c r="H3423" t="s">
        <v>191</v>
      </c>
      <c r="I3423" t="s">
        <v>191</v>
      </c>
      <c r="J3423" t="s">
        <v>191</v>
      </c>
      <c r="K3423" t="s">
        <v>191</v>
      </c>
      <c r="L3423" t="s">
        <v>191</v>
      </c>
      <c r="N3423" t="s">
        <v>191</v>
      </c>
      <c r="O3423" t="s">
        <v>191</v>
      </c>
    </row>
    <row r="3424" spans="1:15">
      <c r="A3424" s="22" t="s">
        <v>294</v>
      </c>
      <c r="B3424" s="22" t="str">
        <f ca="1">IF(ISBLANK(OFFSET(B3424,0,'Field labels'!$Q$1)),C3424,OFFSET(B3424,0,'Field labels'!$Q$1))</f>
        <v>Ukraine</v>
      </c>
      <c r="C3424" s="22" t="s">
        <v>192</v>
      </c>
      <c r="D3424" t="s">
        <v>1255</v>
      </c>
      <c r="E3424" t="s">
        <v>192</v>
      </c>
      <c r="F3424" t="s">
        <v>192</v>
      </c>
      <c r="G3424" t="s">
        <v>192</v>
      </c>
      <c r="H3424" t="s">
        <v>1256</v>
      </c>
      <c r="I3424" t="s">
        <v>1257</v>
      </c>
      <c r="J3424" t="s">
        <v>192</v>
      </c>
      <c r="K3424" t="s">
        <v>1258</v>
      </c>
      <c r="L3424" t="s">
        <v>1259</v>
      </c>
      <c r="N3424" t="s">
        <v>192</v>
      </c>
      <c r="O3424" t="s">
        <v>1260</v>
      </c>
    </row>
    <row r="3425" spans="1:15">
      <c r="A3425" s="22" t="s">
        <v>294</v>
      </c>
      <c r="B3425" s="22" t="str">
        <f ca="1">IF(ISBLANK(OFFSET(B3425,0,'Field labels'!$Q$1)),C3425,OFFSET(B3425,0,'Field labels'!$Q$1))</f>
        <v>United Arab Emirates</v>
      </c>
      <c r="C3425" s="22" t="s">
        <v>193</v>
      </c>
      <c r="D3425" t="s">
        <v>193</v>
      </c>
      <c r="E3425" t="s">
        <v>193</v>
      </c>
      <c r="F3425" t="s">
        <v>193</v>
      </c>
      <c r="G3425" t="s">
        <v>193</v>
      </c>
      <c r="H3425" t="s">
        <v>193</v>
      </c>
      <c r="I3425" t="s">
        <v>193</v>
      </c>
      <c r="J3425" t="s">
        <v>193</v>
      </c>
      <c r="K3425" t="s">
        <v>193</v>
      </c>
      <c r="L3425" t="s">
        <v>193</v>
      </c>
      <c r="N3425" t="s">
        <v>193</v>
      </c>
      <c r="O3425" t="s">
        <v>193</v>
      </c>
    </row>
    <row r="3426" spans="1:15">
      <c r="A3426" s="22" t="s">
        <v>294</v>
      </c>
      <c r="B3426" s="22" t="str">
        <f ca="1">IF(ISBLANK(OFFSET(B3426,0,'Field labels'!$Q$1)),C3426,OFFSET(B3426,0,'Field labels'!$Q$1))</f>
        <v>United Kingdom</v>
      </c>
      <c r="C3426" s="22" t="s">
        <v>194</v>
      </c>
      <c r="D3426" t="s">
        <v>1261</v>
      </c>
      <c r="E3426" t="s">
        <v>194</v>
      </c>
      <c r="F3426" t="s">
        <v>1262</v>
      </c>
      <c r="G3426" t="s">
        <v>1263</v>
      </c>
      <c r="H3426" t="s">
        <v>1264</v>
      </c>
      <c r="I3426" t="s">
        <v>1265</v>
      </c>
      <c r="J3426" t="s">
        <v>194</v>
      </c>
      <c r="K3426" t="s">
        <v>1266</v>
      </c>
      <c r="L3426" t="s">
        <v>1267</v>
      </c>
      <c r="N3426" t="s">
        <v>194</v>
      </c>
      <c r="O3426" t="s">
        <v>1268</v>
      </c>
    </row>
    <row r="3427" spans="1:15">
      <c r="A3427" s="22" t="s">
        <v>294</v>
      </c>
      <c r="B3427" s="22" t="str">
        <f ca="1">IF(ISBLANK(OFFSET(B3427,0,'Field labels'!$Q$1)),C3427,OFFSET(B3427,0,'Field labels'!$Q$1))</f>
        <v>United States</v>
      </c>
      <c r="C3427" s="22" t="s">
        <v>195</v>
      </c>
      <c r="D3427" t="s">
        <v>1269</v>
      </c>
      <c r="E3427" t="s">
        <v>195</v>
      </c>
      <c r="F3427" t="s">
        <v>1270</v>
      </c>
      <c r="G3427" t="s">
        <v>1271</v>
      </c>
      <c r="H3427" t="s">
        <v>1272</v>
      </c>
      <c r="I3427" t="s">
        <v>1273</v>
      </c>
      <c r="J3427" t="s">
        <v>195</v>
      </c>
      <c r="K3427" t="s">
        <v>1274</v>
      </c>
      <c r="L3427" t="s">
        <v>1275</v>
      </c>
      <c r="N3427" t="s">
        <v>195</v>
      </c>
      <c r="O3427" t="s">
        <v>1276</v>
      </c>
    </row>
    <row r="3428" spans="1:15">
      <c r="A3428" s="22" t="s">
        <v>294</v>
      </c>
      <c r="B3428" s="22" t="str">
        <f ca="1">IF(ISBLANK(OFFSET(B3428,0,'Field labels'!$Q$1)),C3428,OFFSET(B3428,0,'Field labels'!$Q$1))</f>
        <v>United States Minor Outlying Islands</v>
      </c>
      <c r="C3428" s="22" t="s">
        <v>196</v>
      </c>
      <c r="D3428" t="s">
        <v>196</v>
      </c>
      <c r="E3428" t="s">
        <v>196</v>
      </c>
      <c r="F3428" t="s">
        <v>196</v>
      </c>
      <c r="G3428" t="s">
        <v>196</v>
      </c>
      <c r="H3428" t="s">
        <v>196</v>
      </c>
      <c r="I3428" t="s">
        <v>196</v>
      </c>
      <c r="J3428" t="s">
        <v>196</v>
      </c>
      <c r="K3428" t="s">
        <v>196</v>
      </c>
      <c r="L3428" t="s">
        <v>196</v>
      </c>
      <c r="N3428" t="s">
        <v>196</v>
      </c>
      <c r="O3428" t="s">
        <v>196</v>
      </c>
    </row>
    <row r="3429" spans="1:15">
      <c r="A3429" s="22" t="s">
        <v>294</v>
      </c>
      <c r="B3429" s="22" t="str">
        <f ca="1">IF(ISBLANK(OFFSET(B3429,0,'Field labels'!$Q$1)),C3429,OFFSET(B3429,0,'Field labels'!$Q$1))</f>
        <v>Uruguay</v>
      </c>
      <c r="C3429" s="22" t="s">
        <v>197</v>
      </c>
      <c r="D3429" t="s">
        <v>197</v>
      </c>
      <c r="E3429" t="s">
        <v>197</v>
      </c>
      <c r="F3429" t="s">
        <v>197</v>
      </c>
      <c r="G3429" t="s">
        <v>197</v>
      </c>
      <c r="H3429" t="s">
        <v>197</v>
      </c>
      <c r="I3429" t="s">
        <v>197</v>
      </c>
      <c r="J3429" t="s">
        <v>197</v>
      </c>
      <c r="K3429" t="s">
        <v>197</v>
      </c>
      <c r="L3429" t="s">
        <v>197</v>
      </c>
      <c r="N3429" t="s">
        <v>197</v>
      </c>
      <c r="O3429" t="s">
        <v>197</v>
      </c>
    </row>
    <row r="3430" spans="1:15">
      <c r="A3430" s="22" t="s">
        <v>294</v>
      </c>
      <c r="B3430" s="22" t="str">
        <f ca="1">IF(ISBLANK(OFFSET(B3430,0,'Field labels'!$Q$1)),C3430,OFFSET(B3430,0,'Field labels'!$Q$1))</f>
        <v>Uzbekistan</v>
      </c>
      <c r="C3430" s="22" t="s">
        <v>198</v>
      </c>
      <c r="D3430" t="s">
        <v>198</v>
      </c>
      <c r="E3430" t="s">
        <v>198</v>
      </c>
      <c r="F3430" t="s">
        <v>198</v>
      </c>
      <c r="G3430" t="s">
        <v>198</v>
      </c>
      <c r="H3430" t="s">
        <v>198</v>
      </c>
      <c r="I3430" t="s">
        <v>198</v>
      </c>
      <c r="J3430" t="s">
        <v>198</v>
      </c>
      <c r="K3430" t="s">
        <v>198</v>
      </c>
      <c r="L3430" t="s">
        <v>198</v>
      </c>
      <c r="N3430" t="s">
        <v>198</v>
      </c>
      <c r="O3430" t="s">
        <v>198</v>
      </c>
    </row>
    <row r="3431" spans="1:15">
      <c r="A3431" s="22" t="s">
        <v>294</v>
      </c>
      <c r="B3431" s="22" t="str">
        <f ca="1">IF(ISBLANK(OFFSET(B3431,0,'Field labels'!$Q$1)),C3431,OFFSET(B3431,0,'Field labels'!$Q$1))</f>
        <v>Vanuatu</v>
      </c>
      <c r="C3431" s="22" t="s">
        <v>199</v>
      </c>
      <c r="D3431" t="s">
        <v>199</v>
      </c>
      <c r="E3431" t="s">
        <v>199</v>
      </c>
      <c r="F3431" t="s">
        <v>199</v>
      </c>
      <c r="G3431" t="s">
        <v>199</v>
      </c>
      <c r="H3431" t="s">
        <v>199</v>
      </c>
      <c r="I3431" t="s">
        <v>199</v>
      </c>
      <c r="J3431" t="s">
        <v>199</v>
      </c>
      <c r="K3431" t="s">
        <v>199</v>
      </c>
      <c r="L3431" t="s">
        <v>199</v>
      </c>
      <c r="N3431" t="s">
        <v>199</v>
      </c>
      <c r="O3431" t="s">
        <v>199</v>
      </c>
    </row>
    <row r="3432" spans="1:15">
      <c r="A3432" s="22" t="s">
        <v>294</v>
      </c>
      <c r="B3432" s="22" t="str">
        <f ca="1">IF(ISBLANK(OFFSET(B3432,0,'Field labels'!$Q$1)),C3432,OFFSET(B3432,0,'Field labels'!$Q$1))</f>
        <v>Venezuela, Bolivarian Republic of</v>
      </c>
      <c r="C3432" s="22" t="s">
        <v>200</v>
      </c>
      <c r="D3432" t="s">
        <v>200</v>
      </c>
      <c r="E3432" t="s">
        <v>200</v>
      </c>
      <c r="F3432" t="s">
        <v>200</v>
      </c>
      <c r="G3432" t="s">
        <v>200</v>
      </c>
      <c r="H3432" t="s">
        <v>200</v>
      </c>
      <c r="I3432" t="s">
        <v>200</v>
      </c>
      <c r="J3432" t="s">
        <v>200</v>
      </c>
      <c r="K3432" t="s">
        <v>200</v>
      </c>
      <c r="L3432" t="s">
        <v>200</v>
      </c>
      <c r="N3432" t="s">
        <v>200</v>
      </c>
      <c r="O3432" t="s">
        <v>200</v>
      </c>
    </row>
    <row r="3433" spans="1:15">
      <c r="A3433" s="22" t="s">
        <v>294</v>
      </c>
      <c r="B3433" s="22" t="str">
        <f ca="1">IF(ISBLANK(OFFSET(B3433,0,'Field labels'!$Q$1)),C3433,OFFSET(B3433,0,'Field labels'!$Q$1))</f>
        <v>Viet Nam</v>
      </c>
      <c r="C3433" s="22" t="s">
        <v>201</v>
      </c>
      <c r="D3433" t="s">
        <v>201</v>
      </c>
      <c r="E3433" t="s">
        <v>201</v>
      </c>
      <c r="F3433" t="s">
        <v>201</v>
      </c>
      <c r="G3433" t="s">
        <v>201</v>
      </c>
      <c r="H3433" t="s">
        <v>201</v>
      </c>
      <c r="I3433" t="s">
        <v>201</v>
      </c>
      <c r="J3433" t="s">
        <v>201</v>
      </c>
      <c r="K3433" t="s">
        <v>201</v>
      </c>
      <c r="L3433" t="s">
        <v>201</v>
      </c>
      <c r="N3433" t="s">
        <v>201</v>
      </c>
      <c r="O3433" t="s">
        <v>201</v>
      </c>
    </row>
    <row r="3434" spans="1:15">
      <c r="A3434" s="22" t="s">
        <v>294</v>
      </c>
      <c r="B3434" s="22" t="str">
        <f ca="1">IF(ISBLANK(OFFSET(B3434,0,'Field labels'!$Q$1)),C3434,OFFSET(B3434,0,'Field labels'!$Q$1))</f>
        <v>Virgin Islands, British</v>
      </c>
      <c r="C3434" s="22" t="s">
        <v>202</v>
      </c>
      <c r="D3434" t="s">
        <v>202</v>
      </c>
      <c r="E3434" t="s">
        <v>202</v>
      </c>
      <c r="F3434" t="s">
        <v>202</v>
      </c>
      <c r="G3434" t="s">
        <v>202</v>
      </c>
      <c r="H3434" t="s">
        <v>202</v>
      </c>
      <c r="I3434" t="s">
        <v>202</v>
      </c>
      <c r="J3434" t="s">
        <v>202</v>
      </c>
      <c r="K3434" t="s">
        <v>202</v>
      </c>
      <c r="L3434" t="s">
        <v>202</v>
      </c>
      <c r="N3434" t="s">
        <v>202</v>
      </c>
      <c r="O3434" t="s">
        <v>202</v>
      </c>
    </row>
    <row r="3435" spans="1:15">
      <c r="A3435" s="22" t="s">
        <v>294</v>
      </c>
      <c r="B3435" s="22" t="str">
        <f ca="1">IF(ISBLANK(OFFSET(B3435,0,'Field labels'!$Q$1)),C3435,OFFSET(B3435,0,'Field labels'!$Q$1))</f>
        <v>Virgin Islands, U.S.</v>
      </c>
      <c r="C3435" s="22" t="s">
        <v>203</v>
      </c>
      <c r="D3435" t="s">
        <v>203</v>
      </c>
      <c r="E3435" t="s">
        <v>203</v>
      </c>
      <c r="F3435" t="s">
        <v>203</v>
      </c>
      <c r="G3435" t="s">
        <v>203</v>
      </c>
      <c r="H3435" t="s">
        <v>203</v>
      </c>
      <c r="I3435" t="s">
        <v>203</v>
      </c>
      <c r="J3435" t="s">
        <v>203</v>
      </c>
      <c r="K3435" t="s">
        <v>203</v>
      </c>
      <c r="L3435" t="s">
        <v>203</v>
      </c>
      <c r="N3435" t="s">
        <v>203</v>
      </c>
      <c r="O3435" t="s">
        <v>203</v>
      </c>
    </row>
    <row r="3436" spans="1:15">
      <c r="A3436" s="22" t="s">
        <v>294</v>
      </c>
      <c r="B3436" s="22" t="str">
        <f ca="1">IF(ISBLANK(OFFSET(B3436,0,'Field labels'!$Q$1)),C3436,OFFSET(B3436,0,'Field labels'!$Q$1))</f>
        <v>Wallis and Futuna</v>
      </c>
      <c r="C3436" s="22" t="s">
        <v>204</v>
      </c>
      <c r="D3436" t="s">
        <v>1277</v>
      </c>
      <c r="E3436" t="s">
        <v>204</v>
      </c>
      <c r="F3436" t="s">
        <v>1278</v>
      </c>
      <c r="G3436" t="s">
        <v>1279</v>
      </c>
      <c r="H3436" t="s">
        <v>1280</v>
      </c>
      <c r="I3436" t="s">
        <v>1281</v>
      </c>
      <c r="K3436" t="s">
        <v>1282</v>
      </c>
      <c r="L3436" t="s">
        <v>1281</v>
      </c>
      <c r="N3436" t="s">
        <v>1283</v>
      </c>
      <c r="O3436" t="s">
        <v>204</v>
      </c>
    </row>
    <row r="3437" spans="1:15">
      <c r="A3437" s="22" t="s">
        <v>294</v>
      </c>
      <c r="B3437" s="22" t="str">
        <f ca="1">IF(ISBLANK(OFFSET(B3437,0,'Field labels'!$Q$1)),C3437,OFFSET(B3437,0,'Field labels'!$Q$1))</f>
        <v>Western Sahara</v>
      </c>
      <c r="C3437" s="22" t="s">
        <v>205</v>
      </c>
      <c r="D3437" t="s">
        <v>205</v>
      </c>
      <c r="E3437" t="s">
        <v>205</v>
      </c>
      <c r="F3437" t="s">
        <v>205</v>
      </c>
      <c r="G3437" t="s">
        <v>205</v>
      </c>
      <c r="H3437" t="s">
        <v>205</v>
      </c>
      <c r="I3437" t="s">
        <v>205</v>
      </c>
      <c r="J3437" t="s">
        <v>205</v>
      </c>
      <c r="K3437" t="s">
        <v>205</v>
      </c>
      <c r="L3437" t="s">
        <v>205</v>
      </c>
      <c r="N3437" t="s">
        <v>205</v>
      </c>
      <c r="O3437" t="s">
        <v>205</v>
      </c>
    </row>
    <row r="3438" spans="1:15">
      <c r="A3438" s="22" t="s">
        <v>294</v>
      </c>
      <c r="B3438" s="22" t="str">
        <f ca="1">IF(ISBLANK(OFFSET(B3438,0,'Field labels'!$Q$1)),C3438,OFFSET(B3438,0,'Field labels'!$Q$1))</f>
        <v>Yemen</v>
      </c>
      <c r="C3438" s="22" t="s">
        <v>206</v>
      </c>
      <c r="D3438" t="s">
        <v>206</v>
      </c>
      <c r="E3438" t="s">
        <v>206</v>
      </c>
      <c r="F3438" t="s">
        <v>206</v>
      </c>
      <c r="G3438" t="s">
        <v>206</v>
      </c>
      <c r="H3438" t="s">
        <v>206</v>
      </c>
      <c r="I3438" t="s">
        <v>206</v>
      </c>
      <c r="J3438" t="s">
        <v>206</v>
      </c>
      <c r="K3438" t="s">
        <v>206</v>
      </c>
      <c r="L3438" t="s">
        <v>206</v>
      </c>
      <c r="N3438" t="s">
        <v>206</v>
      </c>
      <c r="O3438" t="s">
        <v>206</v>
      </c>
    </row>
    <row r="3439" spans="1:15">
      <c r="A3439" s="22" t="s">
        <v>294</v>
      </c>
      <c r="B3439" s="22" t="str">
        <f ca="1">IF(ISBLANK(OFFSET(B3439,0,'Field labels'!$Q$1)),C3439,OFFSET(B3439,0,'Field labels'!$Q$1))</f>
        <v>Zambia</v>
      </c>
      <c r="C3439" s="22" t="s">
        <v>207</v>
      </c>
      <c r="D3439" t="s">
        <v>207</v>
      </c>
      <c r="E3439" t="s">
        <v>207</v>
      </c>
      <c r="F3439" t="s">
        <v>207</v>
      </c>
      <c r="G3439" t="s">
        <v>207</v>
      </c>
      <c r="H3439" t="s">
        <v>207</v>
      </c>
      <c r="I3439" t="s">
        <v>207</v>
      </c>
      <c r="J3439" t="s">
        <v>207</v>
      </c>
      <c r="K3439" t="s">
        <v>207</v>
      </c>
      <c r="L3439" t="s">
        <v>207</v>
      </c>
      <c r="N3439" t="s">
        <v>207</v>
      </c>
      <c r="O3439" t="s">
        <v>207</v>
      </c>
    </row>
    <row r="3440" spans="1:15">
      <c r="A3440" s="22" t="s">
        <v>294</v>
      </c>
      <c r="B3440" s="22" t="str">
        <f ca="1">IF(ISBLANK(OFFSET(B3440,0,'Field labels'!$Q$1)),C3440,OFFSET(B3440,0,'Field labels'!$Q$1))</f>
        <v>Zimbabwe</v>
      </c>
      <c r="C3440" s="22" t="s">
        <v>208</v>
      </c>
      <c r="D3440" t="s">
        <v>208</v>
      </c>
      <c r="E3440" t="s">
        <v>208</v>
      </c>
      <c r="F3440" t="s">
        <v>208</v>
      </c>
      <c r="G3440" t="s">
        <v>208</v>
      </c>
      <c r="H3440" t="s">
        <v>208</v>
      </c>
      <c r="I3440" t="s">
        <v>208</v>
      </c>
      <c r="J3440" t="s">
        <v>208</v>
      </c>
      <c r="K3440" t="s">
        <v>208</v>
      </c>
      <c r="L3440" t="s">
        <v>208</v>
      </c>
      <c r="N3440" t="s">
        <v>208</v>
      </c>
      <c r="O3440" t="s">
        <v>208</v>
      </c>
    </row>
    <row r="3441" spans="1:15">
      <c r="A3441" s="22" t="s">
        <v>292</v>
      </c>
      <c r="B3441" s="22" t="str">
        <f ca="1">IF(ISBLANK(OFFSET(B3441,0,'Field labels'!$Q$1)),C3441,OFFSET(B3441,0,'Field labels'!$Q$1))</f>
        <v>Dr.</v>
      </c>
      <c r="C3441" s="22" t="s">
        <v>5</v>
      </c>
      <c r="D3441" t="s">
        <v>5</v>
      </c>
      <c r="E3441" t="s">
        <v>5</v>
      </c>
      <c r="F3441" t="s">
        <v>910</v>
      </c>
      <c r="G3441" t="s">
        <v>5</v>
      </c>
      <c r="H3441" t="s">
        <v>5</v>
      </c>
      <c r="I3441" t="s">
        <v>5</v>
      </c>
      <c r="J3441" t="s">
        <v>5</v>
      </c>
      <c r="K3441" t="s">
        <v>890</v>
      </c>
      <c r="L3441" t="s">
        <v>5</v>
      </c>
      <c r="M3441" t="s">
        <v>5</v>
      </c>
      <c r="N3441" t="s">
        <v>5</v>
      </c>
      <c r="O3441" t="s">
        <v>5</v>
      </c>
    </row>
    <row r="3442" spans="1:15">
      <c r="A3442" s="22" t="s">
        <v>292</v>
      </c>
      <c r="B3442" s="22" t="str">
        <f ca="1">IF(ISBLANK(OFFSET(B3442,0,'Field labels'!$Q$1)),C3442,OFFSET(B3442,0,'Field labels'!$Q$1))</f>
        <v>Miss</v>
      </c>
      <c r="C3442" s="22" t="s">
        <v>327</v>
      </c>
      <c r="D3442" t="s">
        <v>3897</v>
      </c>
      <c r="E3442" t="s">
        <v>327</v>
      </c>
      <c r="F3442" t="s">
        <v>891</v>
      </c>
      <c r="G3442" t="s">
        <v>884</v>
      </c>
      <c r="H3442" t="s">
        <v>892</v>
      </c>
      <c r="I3442" t="s">
        <v>893</v>
      </c>
      <c r="J3442" t="s">
        <v>3898</v>
      </c>
      <c r="K3442" t="s">
        <v>3899</v>
      </c>
      <c r="L3442" t="s">
        <v>3900</v>
      </c>
      <c r="M3442" t="s">
        <v>3901</v>
      </c>
      <c r="N3442" t="s">
        <v>3902</v>
      </c>
      <c r="O3442" t="s">
        <v>3903</v>
      </c>
    </row>
    <row r="3443" spans="1:15">
      <c r="A3443" s="22" t="s">
        <v>292</v>
      </c>
      <c r="B3443" s="22" t="str">
        <f ca="1">IF(ISBLANK(OFFSET(B3443,0,'Field labels'!$Q$1)),C3443,OFFSET(B3443,0,'Field labels'!$Q$1))</f>
        <v>Mr.</v>
      </c>
      <c r="C3443" s="22" t="s">
        <v>703</v>
      </c>
      <c r="D3443" t="s">
        <v>703</v>
      </c>
      <c r="E3443" t="s">
        <v>703</v>
      </c>
      <c r="F3443" t="s">
        <v>3909</v>
      </c>
      <c r="G3443" t="s">
        <v>876</v>
      </c>
      <c r="H3443" t="s">
        <v>877</v>
      </c>
      <c r="I3443" t="s">
        <v>878</v>
      </c>
      <c r="J3443" t="s">
        <v>876</v>
      </c>
      <c r="K3443" t="s">
        <v>879</v>
      </c>
      <c r="L3443" t="s">
        <v>880</v>
      </c>
      <c r="M3443" t="s">
        <v>3910</v>
      </c>
      <c r="N3443" t="s">
        <v>880</v>
      </c>
      <c r="O3443" t="s">
        <v>881</v>
      </c>
    </row>
    <row r="3444" spans="1:15">
      <c r="A3444" s="22" t="s">
        <v>292</v>
      </c>
      <c r="B3444" s="22" t="str">
        <f ca="1">IF(ISBLANK(OFFSET(B3444,0,'Field labels'!$Q$1)),C3444,OFFSET(B3444,0,'Field labels'!$Q$1))</f>
        <v>Mrs.</v>
      </c>
      <c r="C3444" s="22" t="s">
        <v>704</v>
      </c>
      <c r="D3444" t="s">
        <v>882</v>
      </c>
      <c r="E3444" t="s">
        <v>704</v>
      </c>
      <c r="F3444" t="s">
        <v>883</v>
      </c>
      <c r="G3444" t="s">
        <v>884</v>
      </c>
      <c r="H3444" t="s">
        <v>885</v>
      </c>
      <c r="I3444" t="s">
        <v>886</v>
      </c>
      <c r="J3444" t="s">
        <v>3904</v>
      </c>
      <c r="K3444" t="s">
        <v>887</v>
      </c>
      <c r="L3444" t="s">
        <v>888</v>
      </c>
      <c r="M3444" t="s">
        <v>3905</v>
      </c>
      <c r="N3444" t="s">
        <v>888</v>
      </c>
      <c r="O3444" t="s">
        <v>889</v>
      </c>
    </row>
    <row r="3445" spans="1:15">
      <c r="A3445" s="22" t="s">
        <v>292</v>
      </c>
      <c r="B3445" s="22" t="str">
        <f ca="1">IF(ISBLANK(OFFSET(B3445,0,'Field labels'!$Q$1)),C3445,OFFSET(B3445,0,'Field labels'!$Q$1))</f>
        <v>Ms.</v>
      </c>
      <c r="C3445" s="22" t="s">
        <v>705</v>
      </c>
      <c r="D3445" t="s">
        <v>882</v>
      </c>
      <c r="E3445" t="s">
        <v>705</v>
      </c>
      <c r="F3445" t="s">
        <v>891</v>
      </c>
      <c r="G3445" t="s">
        <v>884</v>
      </c>
      <c r="H3445" t="s">
        <v>892</v>
      </c>
      <c r="I3445" t="s">
        <v>893</v>
      </c>
      <c r="J3445" t="s">
        <v>3906</v>
      </c>
      <c r="K3445" t="s">
        <v>887</v>
      </c>
      <c r="L3445" t="s">
        <v>894</v>
      </c>
      <c r="M3445" t="s">
        <v>3907</v>
      </c>
      <c r="N3445" t="s">
        <v>3908</v>
      </c>
      <c r="O3445" t="s">
        <v>889</v>
      </c>
    </row>
    <row r="3446" spans="1:15">
      <c r="A3446" s="22" t="s">
        <v>293</v>
      </c>
      <c r="B3446" s="22" t="str">
        <f ca="1">IF(ISBLANK(OFFSET(B3446,0,'Field labels'!$Q$1)),C3446,OFFSET(B3446,0,'Field labels'!$Q$1))</f>
        <v>II</v>
      </c>
      <c r="C3446" s="22" t="s">
        <v>6</v>
      </c>
      <c r="D3446" t="s">
        <v>6</v>
      </c>
      <c r="E3446" t="s">
        <v>6</v>
      </c>
      <c r="F3446" t="s">
        <v>6</v>
      </c>
      <c r="G3446" t="s">
        <v>6</v>
      </c>
      <c r="H3446" t="s">
        <v>6</v>
      </c>
      <c r="I3446" t="s">
        <v>6</v>
      </c>
      <c r="J3446" t="s">
        <v>6</v>
      </c>
      <c r="K3446" t="s">
        <v>6</v>
      </c>
      <c r="L3446" t="s">
        <v>6</v>
      </c>
      <c r="M3446" t="s">
        <v>6</v>
      </c>
      <c r="N3446" t="s">
        <v>6</v>
      </c>
      <c r="O3446" t="s">
        <v>6</v>
      </c>
    </row>
    <row r="3447" spans="1:15">
      <c r="A3447" s="22" t="s">
        <v>293</v>
      </c>
      <c r="B3447" s="22" t="str">
        <f ca="1">IF(ISBLANK(OFFSET(B3447,0,'Field labels'!$Q$1)),C3447,OFFSET(B3447,0,'Field labels'!$Q$1))</f>
        <v>III</v>
      </c>
      <c r="C3447" s="22" t="s">
        <v>7</v>
      </c>
      <c r="D3447" t="s">
        <v>7</v>
      </c>
      <c r="E3447" t="s">
        <v>7</v>
      </c>
      <c r="F3447" t="s">
        <v>7</v>
      </c>
      <c r="G3447" t="s">
        <v>7</v>
      </c>
      <c r="H3447" t="s">
        <v>7</v>
      </c>
      <c r="I3447" t="s">
        <v>7</v>
      </c>
      <c r="J3447" t="s">
        <v>7</v>
      </c>
      <c r="K3447" t="s">
        <v>7</v>
      </c>
      <c r="L3447" t="s">
        <v>7</v>
      </c>
      <c r="M3447" t="s">
        <v>7</v>
      </c>
      <c r="N3447" t="s">
        <v>7</v>
      </c>
      <c r="O3447" t="s">
        <v>7</v>
      </c>
    </row>
    <row r="3448" spans="1:15">
      <c r="A3448" s="22" t="s">
        <v>293</v>
      </c>
      <c r="B3448" s="22" t="str">
        <f ca="1">IF(ISBLANK(OFFSET(B3448,0,'Field labels'!$Q$1)),C3448,OFFSET(B3448,0,'Field labels'!$Q$1))</f>
        <v>IV</v>
      </c>
      <c r="C3448" s="22" t="s">
        <v>10</v>
      </c>
      <c r="D3448" t="s">
        <v>10</v>
      </c>
      <c r="E3448" t="s">
        <v>10</v>
      </c>
      <c r="F3448" t="s">
        <v>10</v>
      </c>
      <c r="G3448" t="s">
        <v>10</v>
      </c>
      <c r="H3448" t="s">
        <v>10</v>
      </c>
      <c r="I3448" t="s">
        <v>10</v>
      </c>
      <c r="J3448" t="s">
        <v>10</v>
      </c>
      <c r="K3448" t="s">
        <v>10</v>
      </c>
      <c r="L3448" t="s">
        <v>10</v>
      </c>
      <c r="N3448" t="s">
        <v>10</v>
      </c>
      <c r="O3448" t="s">
        <v>10</v>
      </c>
    </row>
    <row r="3449" spans="1:15">
      <c r="A3449" s="22" t="s">
        <v>293</v>
      </c>
      <c r="B3449" s="22" t="str">
        <f ca="1">IF(ISBLANK(OFFSET(B3449,0,'Field labels'!$Q$1)),C3449,OFFSET(B3449,0,'Field labels'!$Q$1))</f>
        <v>JD</v>
      </c>
      <c r="C3449" s="22" t="s">
        <v>8</v>
      </c>
      <c r="D3449" t="s">
        <v>8</v>
      </c>
      <c r="E3449" t="s">
        <v>8</v>
      </c>
      <c r="F3449" t="s">
        <v>902</v>
      </c>
      <c r="G3449" t="s">
        <v>903</v>
      </c>
      <c r="H3449" t="s">
        <v>5</v>
      </c>
      <c r="I3449" t="s">
        <v>904</v>
      </c>
      <c r="J3449" t="s">
        <v>8</v>
      </c>
      <c r="K3449" t="s">
        <v>905</v>
      </c>
      <c r="L3449" t="s">
        <v>8</v>
      </c>
      <c r="M3449" t="s">
        <v>8</v>
      </c>
      <c r="N3449" t="s">
        <v>8</v>
      </c>
      <c r="O3449" t="s">
        <v>8</v>
      </c>
    </row>
    <row r="3450" spans="1:15">
      <c r="A3450" s="22" t="s">
        <v>293</v>
      </c>
      <c r="B3450" s="22" t="str">
        <f ca="1">IF(ISBLANK(OFFSET(B3450,0,'Field labels'!$Q$1)),C3450,OFFSET(B3450,0,'Field labels'!$Q$1))</f>
        <v>Jr</v>
      </c>
      <c r="C3450" s="22" t="s">
        <v>706</v>
      </c>
      <c r="D3450" t="s">
        <v>895</v>
      </c>
      <c r="E3450" t="s">
        <v>706</v>
      </c>
      <c r="F3450" t="s">
        <v>706</v>
      </c>
      <c r="G3450" t="s">
        <v>896</v>
      </c>
      <c r="H3450" t="s">
        <v>897</v>
      </c>
      <c r="I3450" t="s">
        <v>706</v>
      </c>
      <c r="J3450" t="s">
        <v>706</v>
      </c>
      <c r="L3450" t="s">
        <v>706</v>
      </c>
      <c r="M3450" t="s">
        <v>895</v>
      </c>
      <c r="N3450" t="s">
        <v>3911</v>
      </c>
      <c r="O3450" t="s">
        <v>706</v>
      </c>
    </row>
    <row r="3451" spans="1:15">
      <c r="A3451" s="22" t="s">
        <v>293</v>
      </c>
      <c r="B3451" s="22" t="str">
        <f ca="1">IF(ISBLANK(OFFSET(B3451,0,'Field labels'!$Q$1)),C3451,OFFSET(B3451,0,'Field labels'!$Q$1))</f>
        <v>MD</v>
      </c>
      <c r="C3451" s="22" t="s">
        <v>9</v>
      </c>
      <c r="D3451" t="s">
        <v>9</v>
      </c>
      <c r="E3451" t="s">
        <v>9</v>
      </c>
      <c r="F3451" t="s">
        <v>906</v>
      </c>
      <c r="G3451" t="s">
        <v>907</v>
      </c>
      <c r="H3451" t="s">
        <v>5</v>
      </c>
      <c r="I3451" t="s">
        <v>908</v>
      </c>
      <c r="J3451" t="s">
        <v>9</v>
      </c>
      <c r="K3451" t="s">
        <v>909</v>
      </c>
      <c r="L3451" t="s">
        <v>9</v>
      </c>
      <c r="M3451" t="s">
        <v>9</v>
      </c>
      <c r="N3451" t="s">
        <v>9</v>
      </c>
      <c r="O3451" t="s">
        <v>9</v>
      </c>
    </row>
    <row r="3452" spans="1:15">
      <c r="A3452" s="22" t="s">
        <v>293</v>
      </c>
      <c r="B3452" s="22" t="str">
        <f ca="1">IF(ISBLANK(OFFSET(B3452,0,'Field labels'!$Q$1)),C3452,OFFSET(B3452,0,'Field labels'!$Q$1))</f>
        <v>PhD</v>
      </c>
      <c r="C3452" s="22" t="s">
        <v>708</v>
      </c>
      <c r="D3452" t="s">
        <v>708</v>
      </c>
      <c r="E3452" t="s">
        <v>708</v>
      </c>
      <c r="F3452" t="s">
        <v>910</v>
      </c>
      <c r="G3452" t="s">
        <v>911</v>
      </c>
      <c r="H3452" t="s">
        <v>708</v>
      </c>
      <c r="I3452" t="s">
        <v>912</v>
      </c>
      <c r="J3452" t="s">
        <v>708</v>
      </c>
      <c r="K3452" t="s">
        <v>890</v>
      </c>
      <c r="L3452" t="s">
        <v>708</v>
      </c>
      <c r="M3452" t="s">
        <v>708</v>
      </c>
      <c r="N3452" t="s">
        <v>3912</v>
      </c>
      <c r="O3452" t="s">
        <v>708</v>
      </c>
    </row>
    <row r="3453" spans="1:15">
      <c r="A3453" s="22" t="s">
        <v>293</v>
      </c>
      <c r="B3453" s="22" t="str">
        <f ca="1">IF(ISBLANK(OFFSET(B3453,0,'Field labels'!$Q$1)),C3453,OFFSET(B3453,0,'Field labels'!$Q$1))</f>
        <v>Sr</v>
      </c>
      <c r="C3453" s="22" t="s">
        <v>707</v>
      </c>
      <c r="D3453" t="s">
        <v>880</v>
      </c>
      <c r="E3453" t="s">
        <v>707</v>
      </c>
      <c r="F3453" t="s">
        <v>707</v>
      </c>
      <c r="G3453" t="s">
        <v>899</v>
      </c>
      <c r="H3453" t="s">
        <v>900</v>
      </c>
      <c r="I3453" t="s">
        <v>707</v>
      </c>
      <c r="J3453" t="s">
        <v>707</v>
      </c>
      <c r="L3453" t="s">
        <v>707</v>
      </c>
      <c r="M3453" t="s">
        <v>880</v>
      </c>
      <c r="N3453" t="s">
        <v>3913</v>
      </c>
      <c r="O3453" t="s">
        <v>707</v>
      </c>
    </row>
    <row r="3454" spans="1:15">
      <c r="A3454" s="22" t="s">
        <v>304</v>
      </c>
      <c r="B3454" s="22" t="str">
        <f ca="1">IF(ISBLANK(OFFSET(B3454,0,'Field labels'!$Q$1)),C3454,OFFSET(B3454,0,'Field labels'!$Q$1))</f>
        <v>Foundation Object</v>
      </c>
      <c r="C3454" s="22" t="s">
        <v>273</v>
      </c>
    </row>
    <row r="3455" spans="1:15">
      <c r="A3455" s="22" t="s">
        <v>307</v>
      </c>
      <c r="B3455" s="22" t="str">
        <f ca="1">IF(ISBLANK(OFFSET(B3455,0,'Field labels'!$Q$1)),C3455,OFFSET(B3455,0,'Field labels'!$Q$1))</f>
        <v>Acquisition in Progress</v>
      </c>
      <c r="C3455" s="22" t="s">
        <v>1919</v>
      </c>
    </row>
    <row r="3456" spans="1:15">
      <c r="A3456" s="22" t="s">
        <v>307</v>
      </c>
      <c r="B3456" s="22" t="str">
        <f ca="1">IF(ISBLANK(OFFSET(B3456,0,'Field labels'!$Q$1)),C3456,OFFSET(B3456,0,'Field labels'!$Q$1))</f>
        <v>Apprentice</v>
      </c>
      <c r="C3456" s="22" t="s">
        <v>690</v>
      </c>
      <c r="D3456" t="s">
        <v>3914</v>
      </c>
      <c r="E3456" t="s">
        <v>690</v>
      </c>
      <c r="F3456" t="s">
        <v>3915</v>
      </c>
      <c r="G3456" t="s">
        <v>3916</v>
      </c>
      <c r="H3456" t="s">
        <v>3917</v>
      </c>
      <c r="I3456" t="s">
        <v>3918</v>
      </c>
      <c r="J3456" t="s">
        <v>3919</v>
      </c>
      <c r="K3456" t="s">
        <v>3920</v>
      </c>
      <c r="L3456" t="s">
        <v>3921</v>
      </c>
      <c r="M3456" t="s">
        <v>3922</v>
      </c>
      <c r="N3456" t="s">
        <v>3923</v>
      </c>
      <c r="O3456" t="s">
        <v>3924</v>
      </c>
    </row>
    <row r="3457" spans="1:15">
      <c r="A3457" s="22" t="s">
        <v>307</v>
      </c>
      <c r="B3457" s="22" t="str">
        <f ca="1">IF(ISBLANK(OFFSET(B3457,0,'Field labels'!$Q$1)),C3457,OFFSET(B3457,0,'Field labels'!$Q$1))</f>
        <v>Assignee Inbound Commuter</v>
      </c>
      <c r="C3457" s="22" t="s">
        <v>695</v>
      </c>
    </row>
    <row r="3458" spans="1:15">
      <c r="A3458" s="22" t="s">
        <v>307</v>
      </c>
      <c r="B3458" s="22" t="str">
        <f ca="1">IF(ISBLANK(OFFSET(B3458,0,'Field labels'!$Q$1)),C3458,OFFSET(B3458,0,'Field labels'!$Q$1))</f>
        <v>Assignee Inbound Long Term</v>
      </c>
      <c r="C3458" s="22" t="s">
        <v>689</v>
      </c>
    </row>
    <row r="3459" spans="1:15">
      <c r="A3459" s="22" t="s">
        <v>307</v>
      </c>
      <c r="B3459" s="22" t="str">
        <f ca="1">IF(ISBLANK(OFFSET(B3459,0,'Field labels'!$Q$1)),C3459,OFFSET(B3459,0,'Field labels'!$Q$1))</f>
        <v>Assignee Inbound Short Term</v>
      </c>
      <c r="C3459" s="22" t="s">
        <v>691</v>
      </c>
    </row>
    <row r="3460" spans="1:15">
      <c r="A3460" s="22" t="s">
        <v>307</v>
      </c>
      <c r="B3460" s="22" t="str">
        <f ca="1">IF(ISBLANK(OFFSET(B3460,0,'Field labels'!$Q$1)),C3460,OFFSET(B3460,0,'Field labels'!$Q$1))</f>
        <v>Assignee Outbound Commuter</v>
      </c>
      <c r="C3460" s="22" t="s">
        <v>698</v>
      </c>
    </row>
    <row r="3461" spans="1:15">
      <c r="A3461" s="22" t="s">
        <v>307</v>
      </c>
      <c r="B3461" s="22" t="str">
        <f ca="1">IF(ISBLANK(OFFSET(B3461,0,'Field labels'!$Q$1)),C3461,OFFSET(B3461,0,'Field labels'!$Q$1))</f>
        <v>Assignee Outbound Long Term</v>
      </c>
      <c r="C3461" s="22" t="s">
        <v>696</v>
      </c>
    </row>
    <row r="3462" spans="1:15">
      <c r="A3462" s="22" t="s">
        <v>307</v>
      </c>
      <c r="B3462" s="22" t="str">
        <f ca="1">IF(ISBLANK(OFFSET(B3462,0,'Field labels'!$Q$1)),C3462,OFFSET(B3462,0,'Field labels'!$Q$1))</f>
        <v>Assignee Outbound Short Term</v>
      </c>
      <c r="C3462" s="22" t="s">
        <v>697</v>
      </c>
    </row>
    <row r="3463" spans="1:15">
      <c r="A3463" s="22" t="s">
        <v>307</v>
      </c>
      <c r="B3463" s="22" t="str">
        <f ca="1">IF(ISBLANK(OFFSET(B3463,0,'Field labels'!$Q$1)),C3463,OFFSET(B3463,0,'Field labels'!$Q$1))</f>
        <v>Casual</v>
      </c>
      <c r="C3463" s="22" t="s">
        <v>693</v>
      </c>
      <c r="E3463" t="s">
        <v>693</v>
      </c>
      <c r="H3463" t="s">
        <v>3925</v>
      </c>
      <c r="K3463" t="s">
        <v>3926</v>
      </c>
    </row>
    <row r="3464" spans="1:15">
      <c r="A3464" s="22" t="s">
        <v>307</v>
      </c>
      <c r="B3464" s="22" t="str">
        <f ca="1">IF(ISBLANK(OFFSET(B3464,0,'Field labels'!$Q$1)),C3464,OFFSET(B3464,0,'Field labels'!$Q$1))</f>
        <v>Intern</v>
      </c>
      <c r="C3464" s="22" t="s">
        <v>1920</v>
      </c>
      <c r="D3464" t="s">
        <v>3927</v>
      </c>
      <c r="E3464" t="s">
        <v>1920</v>
      </c>
      <c r="F3464" t="s">
        <v>3928</v>
      </c>
      <c r="G3464" t="s">
        <v>3929</v>
      </c>
      <c r="H3464" t="s">
        <v>3930</v>
      </c>
      <c r="I3464" t="s">
        <v>3931</v>
      </c>
      <c r="J3464" t="s">
        <v>3929</v>
      </c>
      <c r="K3464" t="s">
        <v>3932</v>
      </c>
      <c r="L3464" t="s">
        <v>3933</v>
      </c>
      <c r="M3464" t="s">
        <v>3934</v>
      </c>
      <c r="N3464" t="s">
        <v>1920</v>
      </c>
      <c r="O3464" t="s">
        <v>3935</v>
      </c>
    </row>
    <row r="3465" spans="1:15">
      <c r="A3465" s="22" t="s">
        <v>307</v>
      </c>
      <c r="B3465" s="22" t="str">
        <f ca="1">IF(ISBLANK(OFFSET(B3465,0,'Field labels'!$Q$1)),C3465,OFFSET(B3465,0,'Field labels'!$Q$1))</f>
        <v>Permanent</v>
      </c>
      <c r="C3465" s="22" t="s">
        <v>432</v>
      </c>
      <c r="D3465" t="s">
        <v>1669</v>
      </c>
      <c r="E3465" t="s">
        <v>432</v>
      </c>
      <c r="F3465" t="s">
        <v>432</v>
      </c>
      <c r="G3465" t="s">
        <v>3952</v>
      </c>
      <c r="H3465" t="s">
        <v>1670</v>
      </c>
      <c r="J3465" t="s">
        <v>432</v>
      </c>
      <c r="K3465" t="s">
        <v>3953</v>
      </c>
      <c r="L3465" t="s">
        <v>1671</v>
      </c>
      <c r="M3465" t="s">
        <v>432</v>
      </c>
      <c r="N3465" t="s">
        <v>432</v>
      </c>
      <c r="O3465" t="s">
        <v>1672</v>
      </c>
    </row>
    <row r="3466" spans="1:15">
      <c r="A3466" s="22" t="s">
        <v>307</v>
      </c>
      <c r="B3466" s="22" t="str">
        <f ca="1">IF(ISBLANK(OFFSET(B3466,0,'Field labels'!$Q$1)),C3466,OFFSET(B3466,0,'Field labels'!$Q$1))</f>
        <v>Temporary</v>
      </c>
      <c r="C3466" s="22" t="s">
        <v>692</v>
      </c>
      <c r="D3466" t="s">
        <v>3936</v>
      </c>
      <c r="E3466" t="s">
        <v>692</v>
      </c>
      <c r="F3466" t="s">
        <v>3937</v>
      </c>
      <c r="H3466" t="s">
        <v>3938</v>
      </c>
      <c r="I3466" t="s">
        <v>3939</v>
      </c>
      <c r="J3466" t="s">
        <v>3940</v>
      </c>
      <c r="K3466" t="s">
        <v>3941</v>
      </c>
      <c r="L3466" t="s">
        <v>3942</v>
      </c>
      <c r="M3466" t="s">
        <v>3943</v>
      </c>
      <c r="N3466" t="s">
        <v>3944</v>
      </c>
      <c r="O3466" t="s">
        <v>3945</v>
      </c>
    </row>
    <row r="3467" spans="1:15">
      <c r="A3467" s="22" t="s">
        <v>307</v>
      </c>
      <c r="B3467" s="22" t="str">
        <f ca="1">IF(ISBLANK(OFFSET(B3467,0,'Field labels'!$Q$1)),C3467,OFFSET(B3467,0,'Field labels'!$Q$1))</f>
        <v>Trainee</v>
      </c>
      <c r="C3467" s="22" t="s">
        <v>694</v>
      </c>
      <c r="D3467" t="s">
        <v>694</v>
      </c>
      <c r="E3467" t="s">
        <v>694</v>
      </c>
      <c r="F3467" t="s">
        <v>3928</v>
      </c>
      <c r="G3467" t="s">
        <v>694</v>
      </c>
      <c r="H3467" t="s">
        <v>3930</v>
      </c>
      <c r="I3467" t="s">
        <v>3946</v>
      </c>
      <c r="J3467" t="s">
        <v>3947</v>
      </c>
      <c r="K3467" t="s">
        <v>3948</v>
      </c>
      <c r="L3467" t="s">
        <v>3949</v>
      </c>
      <c r="M3467" t="s">
        <v>3950</v>
      </c>
      <c r="N3467" t="s">
        <v>3923</v>
      </c>
      <c r="O3467" t="s">
        <v>3951</v>
      </c>
    </row>
    <row r="3468" spans="1:15">
      <c r="A3468" s="22" t="s">
        <v>306</v>
      </c>
      <c r="B3468" s="22" t="str">
        <f ca="1">IF(ISBLANK(OFFSET(B3468,0,'Field labels'!$Q$1)),C3468,OFFSET(B3468,0,'Field labels'!$Q$1))</f>
        <v>Daily Rate</v>
      </c>
      <c r="C3468" s="79" t="s">
        <v>4990</v>
      </c>
    </row>
    <row r="3469" spans="1:15">
      <c r="A3469" s="22" t="s">
        <v>306</v>
      </c>
      <c r="B3469" s="22" t="str">
        <f ca="1">IF(ISBLANK(OFFSET(B3469,0,'Field labels'!$Q$1)),C3469,OFFSET(B3469,0,'Field labels'!$Q$1))</f>
        <v>Hourly Full Time</v>
      </c>
      <c r="C3469" s="22" t="s">
        <v>685</v>
      </c>
    </row>
    <row r="3470" spans="1:15">
      <c r="A3470" s="22" t="s">
        <v>306</v>
      </c>
      <c r="B3470" s="22" t="str">
        <f ca="1">IF(ISBLANK(OFFSET(B3470,0,'Field labels'!$Q$1)),C3470,OFFSET(B3470,0,'Field labels'!$Q$1))</f>
        <v>Hourly Part Time</v>
      </c>
      <c r="C3470" s="22" t="s">
        <v>687</v>
      </c>
    </row>
    <row r="3471" spans="1:15">
      <c r="A3471" s="22" t="s">
        <v>306</v>
      </c>
      <c r="B3471" s="22" t="str">
        <f ca="1">IF(ISBLANK(OFFSET(B3471,0,'Field labels'!$Q$1)),C3471,OFFSET(B3471,0,'Field labels'!$Q$1))</f>
        <v>Salaried Full Time</v>
      </c>
      <c r="C3471" s="22" t="s">
        <v>686</v>
      </c>
    </row>
    <row r="3472" spans="1:15">
      <c r="A3472" s="22" t="s">
        <v>306</v>
      </c>
      <c r="B3472" s="22" t="str">
        <f ca="1">IF(ISBLANK(OFFSET(B3472,0,'Field labels'!$Q$1)),C3472,OFFSET(B3472,0,'Field labels'!$Q$1))</f>
        <v>Salaried Part Time</v>
      </c>
      <c r="C3472" s="22" t="s">
        <v>688</v>
      </c>
    </row>
    <row r="3473" spans="1:3">
      <c r="A3473" s="22" t="s">
        <v>305</v>
      </c>
      <c r="B3473" s="22" t="str">
        <f ca="1">IF(ISBLANK(OFFSET(B3473,0,'Field labels'!$Q$1)),C3473,OFFSET(B3473,0,'Field labels'!$Q$1))</f>
        <v>EC User</v>
      </c>
      <c r="C3473" s="22" t="s">
        <v>274</v>
      </c>
    </row>
    <row r="3474" spans="1:3">
      <c r="A3474" s="22" t="s">
        <v>308</v>
      </c>
      <c r="B3474" s="22" t="str">
        <f ca="1">IF(ISBLANK(OFFSET(B3474,0,'Field labels'!$Q$1)),C3474,OFFSET(B3474,0,'Field labels'!$Q$1))</f>
        <v>GBR-Admin-008</v>
      </c>
      <c r="C3474" s="22" t="s">
        <v>3954</v>
      </c>
    </row>
    <row r="3475" spans="1:3">
      <c r="A3475" s="22" t="s">
        <v>308</v>
      </c>
      <c r="B3475" s="22" t="str">
        <f ca="1">IF(ISBLANK(OFFSET(B3475,0,'Field labels'!$Q$1)),C3475,OFFSET(B3475,0,'Field labels'!$Q$1))</f>
        <v>GBR-Black River Asset Management-001</v>
      </c>
      <c r="C3475" s="22" t="s">
        <v>3955</v>
      </c>
    </row>
    <row r="3476" spans="1:3">
      <c r="A3476" s="22" t="s">
        <v>308</v>
      </c>
      <c r="B3476" s="22" t="str">
        <f ca="1">IF(ISBLANK(OFFSET(B3476,0,'Field labels'!$Q$1)),C3476,OFFSET(B3476,0,'Field labels'!$Q$1))</f>
        <v>GBR-Cargill Cocoa &amp; Chocolate-009</v>
      </c>
      <c r="C3476" s="22" t="s">
        <v>3956</v>
      </c>
    </row>
    <row r="3477" spans="1:3">
      <c r="A3477" s="22" t="s">
        <v>308</v>
      </c>
      <c r="B3477" s="22" t="str">
        <f ca="1">IF(ISBLANK(OFFSET(B3477,0,'Field labels'!$Q$1)),C3477,OFFSET(B3477,0,'Field labels'!$Q$1))</f>
        <v>GBR-Cargill Corn Milling North America-010</v>
      </c>
      <c r="C3477" s="22" t="s">
        <v>3957</v>
      </c>
    </row>
    <row r="3478" spans="1:3">
      <c r="A3478" s="22" t="s">
        <v>308</v>
      </c>
      <c r="B3478" s="22" t="str">
        <f ca="1">IF(ISBLANK(OFFSET(B3478,0,'Field labels'!$Q$1)),C3478,OFFSET(B3478,0,'Field labels'!$Q$1))</f>
        <v>GBR-Cargill Cotton-011</v>
      </c>
      <c r="C3478" s="22" t="s">
        <v>3958</v>
      </c>
    </row>
    <row r="3479" spans="1:3">
      <c r="A3479" s="22" t="s">
        <v>308</v>
      </c>
      <c r="B3479" s="22" t="str">
        <f ca="1">IF(ISBLANK(OFFSET(B3479,0,'Field labels'!$Q$1)),C3479,OFFSET(B3479,0,'Field labels'!$Q$1))</f>
        <v>GBR-Cargill Feed &amp; Nutrition-012</v>
      </c>
      <c r="C3479" s="22" t="s">
        <v>3959</v>
      </c>
    </row>
    <row r="3480" spans="1:3">
      <c r="A3480" s="22" t="s">
        <v>308</v>
      </c>
      <c r="B3480" s="22" t="str">
        <f ca="1">IF(ISBLANK(OFFSET(B3480,0,'Field labels'!$Q$1)),C3480,OFFSET(B3480,0,'Field labels'!$Q$1))</f>
        <v>GBR-Cargill G&amp;O Supply Chain Europe-013</v>
      </c>
      <c r="C3480" s="22" t="s">
        <v>3960</v>
      </c>
    </row>
    <row r="3481" spans="1:3">
      <c r="A3481" s="22" t="s">
        <v>308</v>
      </c>
      <c r="B3481" s="22" t="str">
        <f ca="1">IF(ISBLANK(OFFSET(B3481,0,'Field labels'!$Q$1)),C3481,OFFSET(B3481,0,'Field labels'!$Q$1))</f>
        <v>GBR-Cargill Meats Europe-014</v>
      </c>
      <c r="C3481" s="22" t="s">
        <v>3961</v>
      </c>
    </row>
    <row r="3482" spans="1:3">
      <c r="A3482" s="22" t="s">
        <v>308</v>
      </c>
      <c r="B3482" s="22" t="str">
        <f ca="1">IF(ISBLANK(OFFSET(B3482,0,'Field labels'!$Q$1)),C3482,OFFSET(B3482,0,'Field labels'!$Q$1))</f>
        <v>GBR-Cargill Meats Europe-028</v>
      </c>
      <c r="C3482" s="22" t="s">
        <v>3962</v>
      </c>
    </row>
    <row r="3483" spans="1:3">
      <c r="A3483" s="22" t="s">
        <v>308</v>
      </c>
      <c r="B3483" s="22" t="str">
        <f ca="1">IF(ISBLANK(OFFSET(B3483,0,'Field labels'!$Q$1)),C3483,OFFSET(B3483,0,'Field labels'!$Q$1))</f>
        <v>GBR-Cargill Metals-015</v>
      </c>
      <c r="C3483" s="22" t="s">
        <v>3963</v>
      </c>
    </row>
    <row r="3484" spans="1:3">
      <c r="A3484" s="22" t="s">
        <v>308</v>
      </c>
      <c r="B3484" s="22" t="str">
        <f ca="1">IF(ISBLANK(OFFSET(B3484,0,'Field labels'!$Q$1)),C3484,OFFSET(B3484,0,'Field labels'!$Q$1))</f>
        <v>GBR-Cargill Ocean Transportation-016</v>
      </c>
      <c r="C3484" s="22" t="s">
        <v>3964</v>
      </c>
    </row>
    <row r="3485" spans="1:3">
      <c r="A3485" s="22" t="s">
        <v>308</v>
      </c>
      <c r="B3485" s="22" t="str">
        <f ca="1">IF(ISBLANK(OFFSET(B3485,0,'Field labels'!$Q$1)),C3485,OFFSET(B3485,0,'Field labels'!$Q$1))</f>
        <v>GBR-Cargill Petroleum &amp; Chemicals-023</v>
      </c>
      <c r="C3485" s="22" t="s">
        <v>3965</v>
      </c>
    </row>
    <row r="3486" spans="1:3">
      <c r="A3486" s="22" t="s">
        <v>308</v>
      </c>
      <c r="B3486" s="22" t="str">
        <f ca="1">IF(ISBLANK(OFFSET(B3486,0,'Field labels'!$Q$1)),C3486,OFFSET(B3486,0,'Field labels'!$Q$1))</f>
        <v>GBR-Cargill Premix &amp; Nutrition-012</v>
      </c>
      <c r="C3486" s="22" t="s">
        <v>3966</v>
      </c>
    </row>
    <row r="3487" spans="1:3">
      <c r="A3487" s="22" t="s">
        <v>308</v>
      </c>
      <c r="B3487" s="22" t="str">
        <f ca="1">IF(ISBLANK(OFFSET(B3487,0,'Field labels'!$Q$1)),C3487,OFFSET(B3487,0,'Field labels'!$Q$1))</f>
        <v>GBR-Cargill Premix &amp; Nutrition-029</v>
      </c>
      <c r="C3487" s="22" t="s">
        <v>3967</v>
      </c>
    </row>
    <row r="3488" spans="1:3">
      <c r="A3488" s="22" t="s">
        <v>308</v>
      </c>
      <c r="B3488" s="22" t="str">
        <f ca="1">IF(ISBLANK(OFFSET(B3488,0,'Field labels'!$Q$1)),C3488,OFFSET(B3488,0,'Field labels'!$Q$1))</f>
        <v>GBR-Cargill Refined Oils Europe-017</v>
      </c>
      <c r="C3488" s="22" t="s">
        <v>3968</v>
      </c>
    </row>
    <row r="3489" spans="1:3">
      <c r="A3489" s="22" t="s">
        <v>308</v>
      </c>
      <c r="B3489" s="22" t="str">
        <f ca="1">IF(ISBLANK(OFFSET(B3489,0,'Field labels'!$Q$1)),C3489,OFFSET(B3489,0,'Field labels'!$Q$1))</f>
        <v>GBR-Cargill Risk Management-018</v>
      </c>
      <c r="C3489" s="22" t="s">
        <v>3969</v>
      </c>
    </row>
    <row r="3490" spans="1:3">
      <c r="A3490" t="s">
        <v>308</v>
      </c>
      <c r="B3490" t="str">
        <f ca="1">IF(ISBLANK(OFFSET(B3490,0,'Field labels'!$Q$1)),C3490,OFFSET(B3490,0,'Field labels'!$Q$1))</f>
        <v>GBR-Cargill Starches &amp; Sweeteners Europe-004</v>
      </c>
      <c r="C3490" t="s">
        <v>3970</v>
      </c>
    </row>
    <row r="3491" spans="1:3">
      <c r="A3491" t="s">
        <v>308</v>
      </c>
      <c r="B3491" t="str">
        <f ca="1">IF(ISBLANK(OFFSET(B3491,0,'Field labels'!$Q$1)),C3491,OFFSET(B3491,0,'Field labels'!$Q$1))</f>
        <v>GBR-Cargill Starches &amp; Sweeteners Europe-019</v>
      </c>
      <c r="C3491" t="s">
        <v>3971</v>
      </c>
    </row>
    <row r="3492" spans="1:3">
      <c r="A3492" t="s">
        <v>308</v>
      </c>
      <c r="B3492" t="str">
        <f ca="1">IF(ISBLANK(OFFSET(B3492,0,'Field labels'!$Q$1)),C3492,OFFSET(B3492,0,'Field labels'!$Q$1))</f>
        <v>GBR-Cargill Texturising Solutions-020</v>
      </c>
      <c r="C3492" t="s">
        <v>714</v>
      </c>
    </row>
    <row r="3493" spans="1:3">
      <c r="A3493" t="s">
        <v>308</v>
      </c>
      <c r="B3493" t="str">
        <f ca="1">IF(ISBLANK(OFFSET(B3493,0,'Field labels'!$Q$1)),C3493,OFFSET(B3493,0,'Field labels'!$Q$1))</f>
        <v>GBR-Cargill Texturising Solutions-031</v>
      </c>
      <c r="C3493" t="s">
        <v>710</v>
      </c>
    </row>
    <row r="3494" spans="1:3">
      <c r="A3494" t="s">
        <v>308</v>
      </c>
      <c r="B3494" t="str">
        <f ca="1">IF(ISBLANK(OFFSET(B3494,0,'Field labels'!$Q$1)),C3494,OFFSET(B3494,0,'Field labels'!$Q$1))</f>
        <v>GBR-Cargill Toshoku-021</v>
      </c>
      <c r="C3494" t="s">
        <v>3972</v>
      </c>
    </row>
    <row r="3495" spans="1:3">
      <c r="A3495" t="s">
        <v>308</v>
      </c>
      <c r="B3495" t="str">
        <f ca="1">IF(ISBLANK(OFFSET(B3495,0,'Field labels'!$Q$1)),C3495,OFFSET(B3495,0,'Field labels'!$Q$1))</f>
        <v>GBR-Cargill Trade &amp; Structured Finance-007</v>
      </c>
      <c r="C3495" t="s">
        <v>3973</v>
      </c>
    </row>
    <row r="3496" spans="1:3">
      <c r="A3496" t="s">
        <v>308</v>
      </c>
      <c r="B3496" t="str">
        <f ca="1">IF(ISBLANK(OFFSET(B3496,0,'Field labels'!$Q$1)),C3496,OFFSET(B3496,0,'Field labels'!$Q$1))</f>
        <v>GBR-Cargill Trade &amp; Structured Finance-022</v>
      </c>
      <c r="C3496" t="s">
        <v>3974</v>
      </c>
    </row>
    <row r="3497" spans="1:3">
      <c r="A3497" t="s">
        <v>308</v>
      </c>
      <c r="B3497" t="str">
        <f ca="1">IF(ISBLANK(OFFSET(B3497,0,'Field labels'!$Q$1)),C3497,OFFSET(B3497,0,'Field labels'!$Q$1))</f>
        <v>GBR-Cargill World Trading Unit-024</v>
      </c>
      <c r="C3497" t="s">
        <v>3975</v>
      </c>
    </row>
    <row r="3498" spans="1:3">
      <c r="A3498" t="s">
        <v>308</v>
      </c>
      <c r="B3498" t="str">
        <f ca="1">IF(ISBLANK(OFFSET(B3498,0,'Field labels'!$Q$1)),C3498,OFFSET(B3498,0,'Field labels'!$Q$1))</f>
        <v>GBR-CarVal Investors LLC-002</v>
      </c>
      <c r="C3498" t="s">
        <v>711</v>
      </c>
    </row>
    <row r="3499" spans="1:3">
      <c r="A3499" t="s">
        <v>308</v>
      </c>
      <c r="B3499" t="str">
        <f ca="1">IF(ISBLANK(OFFSET(B3499,0,'Field labels'!$Q$1)),C3499,OFFSET(B3499,0,'Field labels'!$Q$1))</f>
        <v>GBR-CarVal Investors LLC-003</v>
      </c>
      <c r="C3499" t="s">
        <v>713</v>
      </c>
    </row>
    <row r="3500" spans="1:3">
      <c r="A3500" t="s">
        <v>308</v>
      </c>
      <c r="B3500" t="str">
        <f ca="1">IF(ISBLANK(OFFSET(B3500,0,'Field labels'!$Q$1)),C3500,OFFSET(B3500,0,'Field labels'!$Q$1))</f>
        <v>GBR-CarVal Investors LLC-025</v>
      </c>
      <c r="C3500" t="s">
        <v>712</v>
      </c>
    </row>
    <row r="3501" spans="1:3">
      <c r="A3501" t="s">
        <v>308</v>
      </c>
      <c r="B3501" t="str">
        <f ca="1">IF(ISBLANK(OFFSET(B3501,0,'Field labels'!$Q$1)),C3501,OFFSET(B3501,0,'Field labels'!$Q$1))</f>
        <v>GBR-ETM Shared Services-026</v>
      </c>
      <c r="C3501" t="s">
        <v>3976</v>
      </c>
    </row>
    <row r="3502" spans="1:3">
      <c r="A3502" t="s">
        <v>308</v>
      </c>
      <c r="B3502" t="str">
        <f ca="1">IF(ISBLANK(OFFSET(B3502,0,'Field labels'!$Q$1)),C3502,OFFSET(B3502,0,'Field labels'!$Q$1))</f>
        <v>GBR-Food Ingredients &amp; Systems platform-027</v>
      </c>
      <c r="C3502" t="s">
        <v>3977</v>
      </c>
    </row>
    <row r="3503" spans="1:3">
      <c r="A3503" t="s">
        <v>308</v>
      </c>
      <c r="B3503" t="str">
        <f ca="1">IF(ISBLANK(OFFSET(B3503,0,'Field labels'!$Q$1)),C3503,OFFSET(B3503,0,'Field labels'!$Q$1))</f>
        <v>POL-ADMINISTRATION-100</v>
      </c>
      <c r="C3503" t="s">
        <v>3978</v>
      </c>
    </row>
    <row r="3504" spans="1:3">
      <c r="A3504" t="s">
        <v>308</v>
      </c>
      <c r="B3504" t="str">
        <f ca="1">IF(ISBLANK(OFFSET(B3504,0,'Field labels'!$Q$1)),C3504,OFFSET(B3504,0,'Field labels'!$Q$1))</f>
        <v>POL-AGRO-900</v>
      </c>
      <c r="C3504" t="s">
        <v>3979</v>
      </c>
    </row>
    <row r="3505" spans="1:3">
      <c r="A3505" t="s">
        <v>308</v>
      </c>
      <c r="B3505" t="str">
        <f ca="1">IF(ISBLANK(OFFSET(B3505,0,'Field labels'!$Q$1)),C3505,OFFSET(B3505,0,'Field labels'!$Q$1))</f>
        <v>POL-CFN-200</v>
      </c>
      <c r="C3505" t="s">
        <v>3980</v>
      </c>
    </row>
    <row r="3506" spans="1:3">
      <c r="A3506" t="s">
        <v>308</v>
      </c>
      <c r="B3506" t="str">
        <f ca="1">IF(ISBLANK(OFFSET(B3506,0,'Field labels'!$Q$1)),C3506,OFFSET(B3506,0,'Field labels'!$Q$1))</f>
        <v>POL-CTS-300</v>
      </c>
      <c r="C3506" t="s">
        <v>3981</v>
      </c>
    </row>
    <row r="3507" spans="1:3">
      <c r="A3507" t="s">
        <v>308</v>
      </c>
      <c r="B3507" t="str">
        <f ca="1">IF(ISBLANK(OFFSET(B3507,0,'Field labels'!$Q$1)),C3507,OFFSET(B3507,0,'Field labels'!$Q$1))</f>
        <v>POL-DOSSCHE-700</v>
      </c>
      <c r="C3507" t="s">
        <v>3982</v>
      </c>
    </row>
    <row r="3508" spans="1:3">
      <c r="A3508" t="s">
        <v>308</v>
      </c>
      <c r="B3508" t="str">
        <f ca="1">IF(ISBLANK(OFFSET(B3508,0,'Field labels'!$Q$1)),C3508,OFFSET(B3508,0,'Field labels'!$Q$1))</f>
        <v>POL-GRAIN and OILSEEDS CRUSH-400</v>
      </c>
      <c r="C3508" t="s">
        <v>3983</v>
      </c>
    </row>
    <row r="3509" spans="1:3">
      <c r="A3509" t="s">
        <v>308</v>
      </c>
      <c r="B3509" t="str">
        <f ca="1">IF(ISBLANK(OFFSET(B3509,0,'Field labels'!$Q$1)),C3509,OFFSET(B3509,0,'Field labels'!$Q$1))</f>
        <v>POL-LNB-500</v>
      </c>
      <c r="C3509" t="s">
        <v>3984</v>
      </c>
    </row>
    <row r="3510" spans="1:3">
      <c r="A3510" t="s">
        <v>308</v>
      </c>
      <c r="B3510" t="str">
        <f ca="1">IF(ISBLANK(OFFSET(B3510,0,'Field labels'!$Q$1)),C3510,OFFSET(B3510,0,'Field labels'!$Q$1))</f>
        <v>POL-SSE-600</v>
      </c>
      <c r="C3510" t="s">
        <v>3985</v>
      </c>
    </row>
    <row r="3511" spans="1:3">
      <c r="A3511" t="s">
        <v>309</v>
      </c>
      <c r="B3511" t="str">
        <f ca="1">IF(ISBLANK(OFFSET(B3511,0,'Field labels'!$Q$1)),C3511,OFFSET(B3511,0,'Field labels'!$Q$1))</f>
        <v>GBR-Cobham-001</v>
      </c>
      <c r="C3511" t="s">
        <v>3986</v>
      </c>
    </row>
    <row r="3512" spans="1:3">
      <c r="A3512" t="s">
        <v>309</v>
      </c>
      <c r="B3512" t="str">
        <f ca="1">IF(ISBLANK(OFFSET(B3512,0,'Field labels'!$Q$1)),C3512,OFFSET(B3512,0,'Field labels'!$Q$1))</f>
        <v>GBR-Dalton-002</v>
      </c>
      <c r="C3512" t="s">
        <v>3987</v>
      </c>
    </row>
    <row r="3513" spans="1:3">
      <c r="A3513" t="s">
        <v>309</v>
      </c>
      <c r="B3513" t="str">
        <f ca="1">IF(ISBLANK(OFFSET(B3513,0,'Field labels'!$Q$1)),C3513,OFFSET(B3513,0,'Field labels'!$Q$1))</f>
        <v>GBR-Dublin-012</v>
      </c>
      <c r="C3513" t="s">
        <v>3988</v>
      </c>
    </row>
    <row r="3514" spans="1:3">
      <c r="A3514" t="s">
        <v>309</v>
      </c>
      <c r="B3514" t="str">
        <f ca="1">IF(ISBLANK(OFFSET(B3514,0,'Field labels'!$Q$1)),C3514,OFFSET(B3514,0,'Field labels'!$Q$1))</f>
        <v>GBR-Hereford-003</v>
      </c>
      <c r="C3514" t="s">
        <v>3989</v>
      </c>
    </row>
    <row r="3515" spans="1:3">
      <c r="A3515" t="s">
        <v>309</v>
      </c>
      <c r="B3515" t="str">
        <f ca="1">IF(ISBLANK(OFFSET(B3515,0,'Field labels'!$Q$1)),C3515,OFFSET(B3515,0,'Field labels'!$Q$1))</f>
        <v>GBR-Hull-004</v>
      </c>
      <c r="C3515" t="s">
        <v>3990</v>
      </c>
    </row>
    <row r="3516" spans="1:3">
      <c r="A3516" t="s">
        <v>309</v>
      </c>
      <c r="B3516" t="str">
        <f ca="1">IF(ISBLANK(OFFSET(B3516,0,'Field labels'!$Q$1)),C3516,OFFSET(B3516,0,'Field labels'!$Q$1))</f>
        <v>GBR-Lichfield-005</v>
      </c>
      <c r="C3516" t="s">
        <v>3991</v>
      </c>
    </row>
    <row r="3517" spans="1:3">
      <c r="A3517" t="s">
        <v>309</v>
      </c>
      <c r="B3517" t="str">
        <f ca="1">IF(ISBLANK(OFFSET(B3517,0,'Field labels'!$Q$1)),C3517,OFFSET(B3517,0,'Field labels'!$Q$1))</f>
        <v>GBR-Liverpool-006</v>
      </c>
      <c r="C3517" t="s">
        <v>3992</v>
      </c>
    </row>
    <row r="3518" spans="1:3">
      <c r="A3518" t="s">
        <v>309</v>
      </c>
      <c r="B3518" t="str">
        <f ca="1">IF(ISBLANK(OFFSET(B3518,0,'Field labels'!$Q$1)),C3518,OFFSET(B3518,0,'Field labels'!$Q$1))</f>
        <v>GBR-London-007</v>
      </c>
      <c r="C3518" t="s">
        <v>3993</v>
      </c>
    </row>
    <row r="3519" spans="1:3">
      <c r="A3519" t="s">
        <v>309</v>
      </c>
      <c r="B3519" t="str">
        <f ca="1">IF(ISBLANK(OFFSET(B3519,0,'Field labels'!$Q$1)),C3519,OFFSET(B3519,0,'Field labels'!$Q$1))</f>
        <v>GBR-Manchester-008</v>
      </c>
      <c r="C3519" t="s">
        <v>3994</v>
      </c>
    </row>
    <row r="3520" spans="1:3">
      <c r="A3520" t="s">
        <v>309</v>
      </c>
      <c r="B3520" t="str">
        <f ca="1">IF(ISBLANK(OFFSET(B3520,0,'Field labels'!$Q$1)),C3520,OFFSET(B3520,0,'Field labels'!$Q$1))</f>
        <v>GBR-Swinderby-009</v>
      </c>
      <c r="C3520" t="s">
        <v>3995</v>
      </c>
    </row>
    <row r="3521" spans="1:3">
      <c r="A3521" t="s">
        <v>309</v>
      </c>
      <c r="B3521" t="str">
        <f ca="1">IF(ISBLANK(OFFSET(B3521,0,'Field labels'!$Q$1)),C3521,OFFSET(B3521,0,'Field labels'!$Q$1))</f>
        <v>GBR-Weybridge-013</v>
      </c>
      <c r="C3521" t="s">
        <v>3996</v>
      </c>
    </row>
    <row r="3522" spans="1:3">
      <c r="A3522" t="s">
        <v>309</v>
      </c>
      <c r="B3522" t="str">
        <f ca="1">IF(ISBLANK(OFFSET(B3522,0,'Field labels'!$Q$1)),C3522,OFFSET(B3522,0,'Field labels'!$Q$1))</f>
        <v>GBR-Worksop-010</v>
      </c>
      <c r="C3522" t="s">
        <v>3997</v>
      </c>
    </row>
    <row r="3523" spans="1:3">
      <c r="A3523" t="s">
        <v>309</v>
      </c>
      <c r="B3523" t="str">
        <f ca="1">IF(ISBLANK(OFFSET(B3523,0,'Field labels'!$Q$1)),C3523,OFFSET(B3523,0,'Field labels'!$Q$1))</f>
        <v>GBR-York-011</v>
      </c>
      <c r="C3523" t="s">
        <v>3998</v>
      </c>
    </row>
    <row r="3524" spans="1:3">
      <c r="A3524" t="s">
        <v>309</v>
      </c>
      <c r="B3524" t="str">
        <f ca="1">IF(ISBLANK(OFFSET(B3524,0,'Field labels'!$Q$1)),C3524,OFFSET(B3524,0,'Field labels'!$Q$1))</f>
        <v>POL -?WIECIE-018</v>
      </c>
      <c r="C3524" t="s">
        <v>3999</v>
      </c>
    </row>
    <row r="3525" spans="1:3">
      <c r="A3525" t="s">
        <v>309</v>
      </c>
      <c r="B3525" t="str">
        <f ca="1">IF(ISBLANK(OFFSET(B3525,0,'Field labels'!$Q$1)),C3525,OFFSET(B3525,0,'Field labels'!$Q$1))</f>
        <v>POL -BIELANY WROC?AW-003</v>
      </c>
      <c r="C3525" t="s">
        <v>4000</v>
      </c>
    </row>
    <row r="3526" spans="1:3">
      <c r="A3526" t="s">
        <v>309</v>
      </c>
      <c r="B3526" t="str">
        <f ca="1">IF(ISBLANK(OFFSET(B3526,0,'Field labels'!$Q$1)),C3526,OFFSET(B3526,0,'Field labels'!$Q$1))</f>
        <v>POL -BRZOZOWO-004</v>
      </c>
      <c r="C3526" t="s">
        <v>4001</v>
      </c>
    </row>
    <row r="3527" spans="1:3">
      <c r="A3527" t="s">
        <v>309</v>
      </c>
      <c r="B3527" t="str">
        <f ca="1">IF(ISBLANK(OFFSET(B3527,0,'Field labels'!$Q$1)),C3527,OFFSET(B3527,0,'Field labels'!$Q$1))</f>
        <v>POL -CZAPELKI-005</v>
      </c>
      <c r="C3527" t="s">
        <v>4002</v>
      </c>
    </row>
    <row r="3528" spans="1:3">
      <c r="A3528" t="s">
        <v>309</v>
      </c>
      <c r="B3528" t="str">
        <f ca="1">IF(ISBLANK(OFFSET(B3528,0,'Field labels'!$Q$1)),C3528,OFFSET(B3528,0,'Field labels'!$Q$1))</f>
        <v>POL -DOBRZELIN-006</v>
      </c>
      <c r="C3528" t="s">
        <v>4003</v>
      </c>
    </row>
    <row r="3529" spans="1:3">
      <c r="A3529" t="s">
        <v>309</v>
      </c>
      <c r="B3529" t="str">
        <f ca="1">IF(ISBLANK(OFFSET(B3529,0,'Field labels'!$Q$1)),C3529,OFFSET(B3529,0,'Field labels'!$Q$1))</f>
        <v>POL -JAROS?AW-007</v>
      </c>
      <c r="C3529" t="s">
        <v>4004</v>
      </c>
    </row>
    <row r="3530" spans="1:3">
      <c r="A3530" t="s">
        <v>309</v>
      </c>
      <c r="B3530" t="str">
        <f ca="1">IF(ISBLANK(OFFSET(B3530,0,'Field labels'!$Q$1)),C3530,OFFSET(B3530,0,'Field labels'!$Q$1))</f>
        <v>POL -KALISZ-022</v>
      </c>
      <c r="C3530" t="s">
        <v>4005</v>
      </c>
    </row>
    <row r="3531" spans="1:3">
      <c r="A3531" t="s">
        <v>309</v>
      </c>
      <c r="B3531" t="str">
        <f ca="1">IF(ISBLANK(OFFSET(B3531,0,'Field labels'!$Q$1)),C3531,OFFSET(B3531,0,'Field labels'!$Q$1))</f>
        <v>POL -KISZKOWO-008</v>
      </c>
      <c r="C3531" t="s">
        <v>4006</v>
      </c>
    </row>
    <row r="3532" spans="1:3">
      <c r="A3532" t="s">
        <v>309</v>
      </c>
      <c r="B3532" t="str">
        <f ca="1">IF(ISBLANK(OFFSET(B3532,0,'Field labels'!$Q$1)),C3532,OFFSET(B3532,0,'Field labels'!$Q$1))</f>
        <v>POL -KOCHANOWICE-009</v>
      </c>
      <c r="C3532" t="s">
        <v>4007</v>
      </c>
    </row>
    <row r="3533" spans="1:3">
      <c r="A3533" t="s">
        <v>309</v>
      </c>
      <c r="B3533" t="str">
        <f ca="1">IF(ISBLANK(OFFSET(B3533,0,'Field labels'!$Q$1)),C3533,OFFSET(B3533,0,'Field labels'!$Q$1))</f>
        <v>POL -KRZEMIENIEWO-010</v>
      </c>
      <c r="C3533" t="s">
        <v>4008</v>
      </c>
    </row>
    <row r="3534" spans="1:3">
      <c r="A3534" t="s">
        <v>309</v>
      </c>
      <c r="B3534" t="str">
        <f ca="1">IF(ISBLANK(OFFSET(B3534,0,'Field labels'!$Q$1)),C3534,OFFSET(B3534,0,'Field labels'!$Q$1))</f>
        <v>POL -KRZEPICE-011</v>
      </c>
      <c r="C3534" t="s">
        <v>4009</v>
      </c>
    </row>
    <row r="3535" spans="1:3">
      <c r="A3535" t="s">
        <v>309</v>
      </c>
      <c r="B3535" t="str">
        <f ca="1">IF(ISBLANK(OFFSET(B3535,0,'Field labels'!$Q$1)),C3535,OFFSET(B3535,0,'Field labels'!$Q$1))</f>
        <v>POL -MAKÓW  MAZOWIECKI-025</v>
      </c>
      <c r="C3535" t="s">
        <v>4010</v>
      </c>
    </row>
    <row r="3536" spans="1:3">
      <c r="A3536" t="s">
        <v>309</v>
      </c>
      <c r="B3536" t="str">
        <f ca="1">IF(ISBLANK(OFFSET(B3536,0,'Field labels'!$Q$1)),C3536,OFFSET(B3536,0,'Field labels'!$Q$1))</f>
        <v>POL -OSNOWO-012</v>
      </c>
      <c r="C3536" t="s">
        <v>4011</v>
      </c>
    </row>
    <row r="3537" spans="1:3">
      <c r="A3537" t="s">
        <v>309</v>
      </c>
      <c r="B3537" t="str">
        <f ca="1">IF(ISBLANK(OFFSET(B3537,0,'Field labels'!$Q$1)),C3537,OFFSET(B3537,0,'Field labels'!$Q$1))</f>
        <v>POL -PRUSZCZ  GDA?SKI-013</v>
      </c>
      <c r="C3537" t="s">
        <v>4012</v>
      </c>
    </row>
    <row r="3538" spans="1:3">
      <c r="A3538" t="s">
        <v>309</v>
      </c>
      <c r="B3538" t="str">
        <f ca="1">IF(ISBLANK(OFFSET(B3538,0,'Field labels'!$Q$1)),C3538,OFFSET(B3538,0,'Field labels'!$Q$1))</f>
        <v>POL -ROPCZYCE-014</v>
      </c>
      <c r="C3538" t="s">
        <v>4013</v>
      </c>
    </row>
    <row r="3539" spans="1:3">
      <c r="A3539" t="s">
        <v>309</v>
      </c>
      <c r="B3539" t="str">
        <f ca="1">IF(ISBLANK(OFFSET(B3539,0,'Field labels'!$Q$1)),C3539,OFFSET(B3539,0,'Field labels'!$Q$1))</f>
        <v>POL -RYCHLIKI-024</v>
      </c>
      <c r="C3539" t="s">
        <v>4014</v>
      </c>
    </row>
    <row r="3540" spans="1:3">
      <c r="A3540" t="s">
        <v>309</v>
      </c>
      <c r="B3540" t="str">
        <f ca="1">IF(ISBLANK(OFFSET(B3540,0,'Field labels'!$Q$1)),C3540,OFFSET(B3540,0,'Field labels'!$Q$1))</f>
        <v>POL -SANDOMIERZ-023</v>
      </c>
      <c r="C3540" t="s">
        <v>4015</v>
      </c>
    </row>
    <row r="3541" spans="1:3">
      <c r="A3541" t="s">
        <v>309</v>
      </c>
      <c r="B3541" t="str">
        <f ca="1">IF(ISBLANK(OFFSET(B3541,0,'Field labels'!$Q$1)),C3541,OFFSET(B3541,0,'Field labels'!$Q$1))</f>
        <v>POL -SIEDLCE-015</v>
      </c>
      <c r="C3541" t="s">
        <v>4016</v>
      </c>
    </row>
    <row r="3542" spans="1:3">
      <c r="A3542" t="s">
        <v>309</v>
      </c>
      <c r="B3542" t="str">
        <f ca="1">IF(ISBLANK(OFFSET(B3542,0,'Field labels'!$Q$1)),C3542,OFFSET(B3542,0,'Field labels'!$Q$1))</f>
        <v>POL -SIERPC-016</v>
      </c>
      <c r="C3542" t="s">
        <v>4017</v>
      </c>
    </row>
    <row r="3543" spans="1:3">
      <c r="A3543" t="s">
        <v>309</v>
      </c>
      <c r="B3543" t="str">
        <f ca="1">IF(ISBLANK(OFFSET(B3543,0,'Field labels'!$Q$1)),C3543,OFFSET(B3543,0,'Field labels'!$Q$1))</f>
        <v>POL -SKOKOWA-017</v>
      </c>
      <c r="C3543" t="s">
        <v>4018</v>
      </c>
    </row>
    <row r="3544" spans="1:3">
      <c r="A3544" t="s">
        <v>309</v>
      </c>
      <c r="B3544" t="str">
        <f ca="1">IF(ISBLANK(OFFSET(B3544,0,'Field labels'!$Q$1)),C3544,OFFSET(B3544,0,'Field labels'!$Q$1))</f>
        <v>POL -TWORÓG-019</v>
      </c>
      <c r="C3544" t="s">
        <v>4019</v>
      </c>
    </row>
    <row r="3545" spans="1:3">
      <c r="A3545" t="s">
        <v>309</v>
      </c>
      <c r="B3545" t="str">
        <f ca="1">IF(ISBLANK(OFFSET(B3545,0,'Field labels'!$Q$1)),C3545,OFFSET(B3545,0,'Field labels'!$Q$1))</f>
        <v>POL -UJAZD DOLNY-020</v>
      </c>
      <c r="C3545" t="s">
        <v>4020</v>
      </c>
    </row>
    <row r="3546" spans="1:3">
      <c r="A3546" t="s">
        <v>309</v>
      </c>
      <c r="B3546" t="str">
        <f ca="1">IF(ISBLANK(OFFSET(B3546,0,'Field labels'!$Q$1)),C3546,OFFSET(B3546,0,'Field labels'!$Q$1))</f>
        <v>POL -WARSZAWA-021</v>
      </c>
      <c r="C3546" t="s">
        <v>4021</v>
      </c>
    </row>
    <row r="3547" spans="1:3">
      <c r="A3547" t="s">
        <v>309</v>
      </c>
      <c r="B3547" t="str">
        <f ca="1">IF(ISBLANK(OFFSET(B3547,0,'Field labels'!$Q$1)),C3547,OFFSET(B3547,0,'Field labels'!$Q$1))</f>
        <v>POL-BIA?YSTOK-001</v>
      </c>
      <c r="C3547" t="s">
        <v>4022</v>
      </c>
    </row>
    <row r="3548" spans="1:3">
      <c r="A3548" t="s">
        <v>309</v>
      </c>
      <c r="B3548" t="str">
        <f ca="1">IF(ISBLANK(OFFSET(B3548,0,'Field labels'!$Q$1)),C3548,OFFSET(B3548,0,'Field labels'!$Q$1))</f>
        <v>POL-BIEGANÓW-002</v>
      </c>
      <c r="C3548" t="s">
        <v>4023</v>
      </c>
    </row>
    <row r="3549" spans="1:3">
      <c r="A3549" t="s">
        <v>303</v>
      </c>
      <c r="B3549" t="str">
        <f ca="1">IF(ISBLANK(OFFSET(B3549,0,'Field labels'!$Q$1)),C3549,OFFSET(B3549,0,'Field labels'!$Q$1))</f>
        <v>Generic object</v>
      </c>
      <c r="C3549" t="s">
        <v>272</v>
      </c>
    </row>
    <row r="3550" spans="1:3">
      <c r="A3550" t="s">
        <v>2681</v>
      </c>
      <c r="B3550">
        <f ca="1">IF(ISBLANK(OFFSET(B3550,0,'Field labels'!$Q$1)),C3550,OFFSET(B3550,0,'Field labels'!$Q$1))</f>
        <v>101</v>
      </c>
      <c r="C3550">
        <v>101</v>
      </c>
    </row>
    <row r="3551" spans="1:3">
      <c r="A3551" t="s">
        <v>2681</v>
      </c>
      <c r="B3551">
        <f ca="1">IF(ISBLANK(OFFSET(B3551,0,'Field labels'!$Q$1)),C3551,OFFSET(B3551,0,'Field labels'!$Q$1))</f>
        <v>103</v>
      </c>
      <c r="C3551">
        <v>103</v>
      </c>
    </row>
    <row r="3552" spans="1:3">
      <c r="A3552" t="s">
        <v>2681</v>
      </c>
      <c r="B3552">
        <f ca="1">IF(ISBLANK(OFFSET(B3552,0,'Field labels'!$Q$1)),C3552,OFFSET(B3552,0,'Field labels'!$Q$1))</f>
        <v>104</v>
      </c>
      <c r="C3552">
        <v>104</v>
      </c>
    </row>
    <row r="3553" spans="1:3">
      <c r="A3553" t="s">
        <v>2681</v>
      </c>
      <c r="B3553">
        <f ca="1">IF(ISBLANK(OFFSET(B3553,0,'Field labels'!$Q$1)),C3553,OFFSET(B3553,0,'Field labels'!$Q$1))</f>
        <v>105</v>
      </c>
      <c r="C3553">
        <v>105</v>
      </c>
    </row>
    <row r="3554" spans="1:3">
      <c r="A3554" t="s">
        <v>2681</v>
      </c>
      <c r="B3554">
        <f ca="1">IF(ISBLANK(OFFSET(B3554,0,'Field labels'!$Q$1)),C3554,OFFSET(B3554,0,'Field labels'!$Q$1))</f>
        <v>107</v>
      </c>
      <c r="C3554">
        <v>107</v>
      </c>
    </row>
    <row r="3555" spans="1:3">
      <c r="A3555" t="s">
        <v>2681</v>
      </c>
      <c r="B3555">
        <f ca="1">IF(ISBLANK(OFFSET(B3555,0,'Field labels'!$Q$1)),C3555,OFFSET(B3555,0,'Field labels'!$Q$1))</f>
        <v>108</v>
      </c>
      <c r="C3555">
        <v>108</v>
      </c>
    </row>
    <row r="3556" spans="1:3">
      <c r="A3556" t="s">
        <v>2681</v>
      </c>
      <c r="B3556">
        <f ca="1">IF(ISBLANK(OFFSET(B3556,0,'Field labels'!$Q$1)),C3556,OFFSET(B3556,0,'Field labels'!$Q$1))</f>
        <v>112</v>
      </c>
      <c r="C3556">
        <v>112</v>
      </c>
    </row>
    <row r="3557" spans="1:3">
      <c r="A3557" t="s">
        <v>2681</v>
      </c>
      <c r="B3557">
        <f ca="1">IF(ISBLANK(OFFSET(B3557,0,'Field labels'!$Q$1)),C3557,OFFSET(B3557,0,'Field labels'!$Q$1))</f>
        <v>115</v>
      </c>
      <c r="C3557">
        <v>115</v>
      </c>
    </row>
    <row r="3558" spans="1:3">
      <c r="A3558" t="s">
        <v>2681</v>
      </c>
      <c r="B3558">
        <f ca="1">IF(ISBLANK(OFFSET(B3558,0,'Field labels'!$Q$1)),C3558,OFFSET(B3558,0,'Field labels'!$Q$1))</f>
        <v>117</v>
      </c>
      <c r="C3558">
        <v>117</v>
      </c>
    </row>
    <row r="3559" spans="1:3">
      <c r="A3559" t="s">
        <v>2681</v>
      </c>
      <c r="B3559">
        <f ca="1">IF(ISBLANK(OFFSET(B3559,0,'Field labels'!$Q$1)),C3559,OFFSET(B3559,0,'Field labels'!$Q$1))</f>
        <v>120</v>
      </c>
      <c r="C3559">
        <v>120</v>
      </c>
    </row>
    <row r="3560" spans="1:3">
      <c r="A3560" t="s">
        <v>2681</v>
      </c>
      <c r="B3560">
        <f ca="1">IF(ISBLANK(OFFSET(B3560,0,'Field labels'!$Q$1)),C3560,OFFSET(B3560,0,'Field labels'!$Q$1))</f>
        <v>121</v>
      </c>
      <c r="C3560">
        <v>121</v>
      </c>
    </row>
    <row r="3561" spans="1:3">
      <c r="A3561" t="s">
        <v>2681</v>
      </c>
      <c r="B3561">
        <f ca="1">IF(ISBLANK(OFFSET(B3561,0,'Field labels'!$Q$1)),C3561,OFFSET(B3561,0,'Field labels'!$Q$1))</f>
        <v>122</v>
      </c>
      <c r="C3561">
        <v>122</v>
      </c>
    </row>
    <row r="3562" spans="1:3">
      <c r="A3562" t="s">
        <v>2681</v>
      </c>
      <c r="B3562">
        <f ca="1">IF(ISBLANK(OFFSET(B3562,0,'Field labels'!$Q$1)),C3562,OFFSET(B3562,0,'Field labels'!$Q$1))</f>
        <v>124</v>
      </c>
      <c r="C3562">
        <v>124</v>
      </c>
    </row>
    <row r="3563" spans="1:3">
      <c r="A3563" t="s">
        <v>2681</v>
      </c>
      <c r="B3563">
        <f ca="1">IF(ISBLANK(OFFSET(B3563,0,'Field labels'!$Q$1)),C3563,OFFSET(B3563,0,'Field labels'!$Q$1))</f>
        <v>125</v>
      </c>
      <c r="C3563">
        <v>125</v>
      </c>
    </row>
    <row r="3564" spans="1:3">
      <c r="A3564" t="s">
        <v>2681</v>
      </c>
      <c r="B3564">
        <f ca="1">IF(ISBLANK(OFFSET(B3564,0,'Field labels'!$Q$1)),C3564,OFFSET(B3564,0,'Field labels'!$Q$1))</f>
        <v>129</v>
      </c>
      <c r="C3564">
        <v>129</v>
      </c>
    </row>
    <row r="3565" spans="1:3">
      <c r="A3565" t="s">
        <v>2681</v>
      </c>
      <c r="B3565">
        <f ca="1">IF(ISBLANK(OFFSET(B3565,0,'Field labels'!$Q$1)),C3565,OFFSET(B3565,0,'Field labels'!$Q$1))</f>
        <v>130</v>
      </c>
      <c r="C3565">
        <v>130</v>
      </c>
    </row>
    <row r="3566" spans="1:3">
      <c r="A3566" t="s">
        <v>2681</v>
      </c>
      <c r="B3566">
        <f ca="1">IF(ISBLANK(OFFSET(B3566,0,'Field labels'!$Q$1)),C3566,OFFSET(B3566,0,'Field labels'!$Q$1))</f>
        <v>131</v>
      </c>
      <c r="C3566">
        <v>131</v>
      </c>
    </row>
    <row r="3567" spans="1:3">
      <c r="A3567" t="s">
        <v>2681</v>
      </c>
      <c r="B3567">
        <f ca="1">IF(ISBLANK(OFFSET(B3567,0,'Field labels'!$Q$1)),C3567,OFFSET(B3567,0,'Field labels'!$Q$1))</f>
        <v>132</v>
      </c>
      <c r="C3567">
        <v>132</v>
      </c>
    </row>
    <row r="3568" spans="1:3">
      <c r="A3568" t="s">
        <v>2681</v>
      </c>
      <c r="B3568">
        <f ca="1">IF(ISBLANK(OFFSET(B3568,0,'Field labels'!$Q$1)),C3568,OFFSET(B3568,0,'Field labels'!$Q$1))</f>
        <v>133</v>
      </c>
      <c r="C3568">
        <v>133</v>
      </c>
    </row>
    <row r="3569" spans="1:3">
      <c r="A3569" t="s">
        <v>2681</v>
      </c>
      <c r="B3569">
        <f ca="1">IF(ISBLANK(OFFSET(B3569,0,'Field labels'!$Q$1)),C3569,OFFSET(B3569,0,'Field labels'!$Q$1))</f>
        <v>138</v>
      </c>
      <c r="C3569">
        <v>138</v>
      </c>
    </row>
    <row r="3570" spans="1:3">
      <c r="A3570" t="s">
        <v>2681</v>
      </c>
      <c r="B3570">
        <f ca="1">IF(ISBLANK(OFFSET(B3570,0,'Field labels'!$Q$1)),C3570,OFFSET(B3570,0,'Field labels'!$Q$1))</f>
        <v>140</v>
      </c>
      <c r="C3570">
        <v>140</v>
      </c>
    </row>
    <row r="3571" spans="1:3">
      <c r="A3571" t="s">
        <v>2681</v>
      </c>
      <c r="B3571">
        <f ca="1">IF(ISBLANK(OFFSET(B3571,0,'Field labels'!$Q$1)),C3571,OFFSET(B3571,0,'Field labels'!$Q$1))</f>
        <v>141</v>
      </c>
      <c r="C3571">
        <v>141</v>
      </c>
    </row>
    <row r="3572" spans="1:3">
      <c r="A3572" t="s">
        <v>2681</v>
      </c>
      <c r="B3572">
        <f ca="1">IF(ISBLANK(OFFSET(B3572,0,'Field labels'!$Q$1)),C3572,OFFSET(B3572,0,'Field labels'!$Q$1))</f>
        <v>142</v>
      </c>
      <c r="C3572">
        <v>142</v>
      </c>
    </row>
    <row r="3573" spans="1:3">
      <c r="A3573" t="s">
        <v>2681</v>
      </c>
      <c r="B3573">
        <f ca="1">IF(ISBLANK(OFFSET(B3573,0,'Field labels'!$Q$1)),C3573,OFFSET(B3573,0,'Field labels'!$Q$1))</f>
        <v>143</v>
      </c>
      <c r="C3573">
        <v>143</v>
      </c>
    </row>
    <row r="3574" spans="1:3">
      <c r="A3574" t="s">
        <v>2681</v>
      </c>
      <c r="B3574">
        <f ca="1">IF(ISBLANK(OFFSET(B3574,0,'Field labels'!$Q$1)),C3574,OFFSET(B3574,0,'Field labels'!$Q$1))</f>
        <v>144</v>
      </c>
      <c r="C3574">
        <v>144</v>
      </c>
    </row>
    <row r="3575" spans="1:3">
      <c r="A3575" t="s">
        <v>2681</v>
      </c>
      <c r="B3575">
        <f ca="1">IF(ISBLANK(OFFSET(B3575,0,'Field labels'!$Q$1)),C3575,OFFSET(B3575,0,'Field labels'!$Q$1))</f>
        <v>151</v>
      </c>
      <c r="C3575">
        <v>151</v>
      </c>
    </row>
    <row r="3576" spans="1:3">
      <c r="A3576" t="s">
        <v>2681</v>
      </c>
      <c r="B3576">
        <f ca="1">IF(ISBLANK(OFFSET(B3576,0,'Field labels'!$Q$1)),C3576,OFFSET(B3576,0,'Field labels'!$Q$1))</f>
        <v>154</v>
      </c>
      <c r="C3576">
        <v>154</v>
      </c>
    </row>
    <row r="3577" spans="1:3">
      <c r="A3577" t="s">
        <v>2681</v>
      </c>
      <c r="B3577">
        <f ca="1">IF(ISBLANK(OFFSET(B3577,0,'Field labels'!$Q$1)),C3577,OFFSET(B3577,0,'Field labels'!$Q$1))</f>
        <v>158</v>
      </c>
      <c r="C3577">
        <v>158</v>
      </c>
    </row>
    <row r="3578" spans="1:3">
      <c r="A3578" t="s">
        <v>2681</v>
      </c>
      <c r="B3578">
        <f ca="1">IF(ISBLANK(OFFSET(B3578,0,'Field labels'!$Q$1)),C3578,OFFSET(B3578,0,'Field labels'!$Q$1))</f>
        <v>161</v>
      </c>
      <c r="C3578">
        <v>161</v>
      </c>
    </row>
    <row r="3579" spans="1:3">
      <c r="A3579" t="s">
        <v>2681</v>
      </c>
      <c r="B3579">
        <f ca="1">IF(ISBLANK(OFFSET(B3579,0,'Field labels'!$Q$1)),C3579,OFFSET(B3579,0,'Field labels'!$Q$1))</f>
        <v>163</v>
      </c>
      <c r="C3579">
        <v>163</v>
      </c>
    </row>
    <row r="3580" spans="1:3">
      <c r="A3580" t="s">
        <v>2681</v>
      </c>
      <c r="B3580">
        <f ca="1">IF(ISBLANK(OFFSET(B3580,0,'Field labels'!$Q$1)),C3580,OFFSET(B3580,0,'Field labels'!$Q$1))</f>
        <v>165</v>
      </c>
      <c r="C3580">
        <v>165</v>
      </c>
    </row>
    <row r="3581" spans="1:3">
      <c r="A3581" t="s">
        <v>2681</v>
      </c>
      <c r="B3581">
        <f ca="1">IF(ISBLANK(OFFSET(B3581,0,'Field labels'!$Q$1)),C3581,OFFSET(B3581,0,'Field labels'!$Q$1))</f>
        <v>167</v>
      </c>
      <c r="C3581">
        <v>167</v>
      </c>
    </row>
    <row r="3582" spans="1:3">
      <c r="A3582" t="s">
        <v>2681</v>
      </c>
      <c r="B3582">
        <f ca="1">IF(ISBLANK(OFFSET(B3582,0,'Field labels'!$Q$1)),C3582,OFFSET(B3582,0,'Field labels'!$Q$1))</f>
        <v>168</v>
      </c>
      <c r="C3582">
        <v>168</v>
      </c>
    </row>
    <row r="3583" spans="1:3">
      <c r="A3583" t="s">
        <v>2681</v>
      </c>
      <c r="B3583">
        <f ca="1">IF(ISBLANK(OFFSET(B3583,0,'Field labels'!$Q$1)),C3583,OFFSET(B3583,0,'Field labels'!$Q$1))</f>
        <v>169</v>
      </c>
      <c r="C3583">
        <v>169</v>
      </c>
    </row>
    <row r="3584" spans="1:3">
      <c r="A3584" t="s">
        <v>2681</v>
      </c>
      <c r="B3584">
        <f ca="1">IF(ISBLANK(OFFSET(B3584,0,'Field labels'!$Q$1)),C3584,OFFSET(B3584,0,'Field labels'!$Q$1))</f>
        <v>170</v>
      </c>
      <c r="C3584">
        <v>170</v>
      </c>
    </row>
    <row r="3585" spans="1:3">
      <c r="A3585" t="s">
        <v>2681</v>
      </c>
      <c r="B3585">
        <f ca="1">IF(ISBLANK(OFFSET(B3585,0,'Field labels'!$Q$1)),C3585,OFFSET(B3585,0,'Field labels'!$Q$1))</f>
        <v>171</v>
      </c>
      <c r="C3585">
        <v>171</v>
      </c>
    </row>
    <row r="3586" spans="1:3">
      <c r="A3586" t="s">
        <v>2681</v>
      </c>
      <c r="B3586">
        <f ca="1">IF(ISBLANK(OFFSET(B3586,0,'Field labels'!$Q$1)),C3586,OFFSET(B3586,0,'Field labels'!$Q$1))</f>
        <v>177</v>
      </c>
      <c r="C3586">
        <v>177</v>
      </c>
    </row>
    <row r="3587" spans="1:3">
      <c r="A3587" t="s">
        <v>2681</v>
      </c>
      <c r="B3587">
        <f ca="1">IF(ISBLANK(OFFSET(B3587,0,'Field labels'!$Q$1)),C3587,OFFSET(B3587,0,'Field labels'!$Q$1))</f>
        <v>178</v>
      </c>
      <c r="C3587">
        <v>178</v>
      </c>
    </row>
    <row r="3588" spans="1:3">
      <c r="A3588" t="s">
        <v>2681</v>
      </c>
      <c r="B3588">
        <f ca="1">IF(ISBLANK(OFFSET(B3588,0,'Field labels'!$Q$1)),C3588,OFFSET(B3588,0,'Field labels'!$Q$1))</f>
        <v>181</v>
      </c>
      <c r="C3588">
        <v>181</v>
      </c>
    </row>
    <row r="3589" spans="1:3">
      <c r="A3589" t="s">
        <v>2681</v>
      </c>
      <c r="B3589">
        <f ca="1">IF(ISBLANK(OFFSET(B3589,0,'Field labels'!$Q$1)),C3589,OFFSET(B3589,0,'Field labels'!$Q$1))</f>
        <v>182</v>
      </c>
      <c r="C3589">
        <v>182</v>
      </c>
    </row>
    <row r="3590" spans="1:3">
      <c r="A3590" t="s">
        <v>2681</v>
      </c>
      <c r="B3590">
        <f ca="1">IF(ISBLANK(OFFSET(B3590,0,'Field labels'!$Q$1)),C3590,OFFSET(B3590,0,'Field labels'!$Q$1))</f>
        <v>187</v>
      </c>
      <c r="C3590">
        <v>187</v>
      </c>
    </row>
    <row r="3591" spans="1:3">
      <c r="A3591" t="s">
        <v>2681</v>
      </c>
      <c r="B3591">
        <f ca="1">IF(ISBLANK(OFFSET(B3591,0,'Field labels'!$Q$1)),C3591,OFFSET(B3591,0,'Field labels'!$Q$1))</f>
        <v>187</v>
      </c>
      <c r="C3591">
        <v>187</v>
      </c>
    </row>
    <row r="3592" spans="1:3">
      <c r="A3592" t="s">
        <v>2681</v>
      </c>
      <c r="B3592">
        <f ca="1">IF(ISBLANK(OFFSET(B3592,0,'Field labels'!$Q$1)),C3592,OFFSET(B3592,0,'Field labels'!$Q$1))</f>
        <v>188</v>
      </c>
      <c r="C3592">
        <v>188</v>
      </c>
    </row>
    <row r="3593" spans="1:3">
      <c r="A3593" t="s">
        <v>2681</v>
      </c>
      <c r="B3593">
        <f ca="1">IF(ISBLANK(OFFSET(B3593,0,'Field labels'!$Q$1)),C3593,OFFSET(B3593,0,'Field labels'!$Q$1))</f>
        <v>188</v>
      </c>
      <c r="C3593">
        <v>188</v>
      </c>
    </row>
    <row r="3594" spans="1:3">
      <c r="A3594" t="s">
        <v>2681</v>
      </c>
      <c r="B3594">
        <f ca="1">IF(ISBLANK(OFFSET(B3594,0,'Field labels'!$Q$1)),C3594,OFFSET(B3594,0,'Field labels'!$Q$1))</f>
        <v>189</v>
      </c>
      <c r="C3594">
        <v>189</v>
      </c>
    </row>
    <row r="3595" spans="1:3">
      <c r="A3595" t="s">
        <v>2681</v>
      </c>
      <c r="B3595">
        <f ca="1">IF(ISBLANK(OFFSET(B3595,0,'Field labels'!$Q$1)),C3595,OFFSET(B3595,0,'Field labels'!$Q$1))</f>
        <v>189</v>
      </c>
      <c r="C3595">
        <v>189</v>
      </c>
    </row>
    <row r="3596" spans="1:3">
      <c r="A3596" t="s">
        <v>2681</v>
      </c>
      <c r="B3596">
        <f ca="1">IF(ISBLANK(OFFSET(B3596,0,'Field labels'!$Q$1)),C3596,OFFSET(B3596,0,'Field labels'!$Q$1))</f>
        <v>190</v>
      </c>
      <c r="C3596">
        <v>190</v>
      </c>
    </row>
    <row r="3597" spans="1:3">
      <c r="A3597" t="s">
        <v>2681</v>
      </c>
      <c r="B3597">
        <f ca="1">IF(ISBLANK(OFFSET(B3597,0,'Field labels'!$Q$1)),C3597,OFFSET(B3597,0,'Field labels'!$Q$1))</f>
        <v>190</v>
      </c>
      <c r="C3597">
        <v>190</v>
      </c>
    </row>
    <row r="3598" spans="1:3">
      <c r="A3598" t="s">
        <v>2681</v>
      </c>
      <c r="B3598">
        <f ca="1">IF(ISBLANK(OFFSET(B3598,0,'Field labels'!$Q$1)),C3598,OFFSET(B3598,0,'Field labels'!$Q$1))</f>
        <v>192</v>
      </c>
      <c r="C3598">
        <v>192</v>
      </c>
    </row>
    <row r="3599" spans="1:3">
      <c r="A3599" t="s">
        <v>2681</v>
      </c>
      <c r="B3599">
        <f ca="1">IF(ISBLANK(OFFSET(B3599,0,'Field labels'!$Q$1)),C3599,OFFSET(B3599,0,'Field labels'!$Q$1))</f>
        <v>193</v>
      </c>
      <c r="C3599">
        <v>193</v>
      </c>
    </row>
    <row r="3600" spans="1:3">
      <c r="A3600" t="s">
        <v>2681</v>
      </c>
      <c r="B3600">
        <f ca="1">IF(ISBLANK(OFFSET(B3600,0,'Field labels'!$Q$1)),C3600,OFFSET(B3600,0,'Field labels'!$Q$1))</f>
        <v>207</v>
      </c>
      <c r="C3600">
        <v>207</v>
      </c>
    </row>
    <row r="3601" spans="1:3">
      <c r="A3601" t="s">
        <v>2681</v>
      </c>
      <c r="B3601">
        <f ca="1">IF(ISBLANK(OFFSET(B3601,0,'Field labels'!$Q$1)),C3601,OFFSET(B3601,0,'Field labels'!$Q$1))</f>
        <v>215</v>
      </c>
      <c r="C3601">
        <v>215</v>
      </c>
    </row>
    <row r="3602" spans="1:3">
      <c r="A3602" t="s">
        <v>2681</v>
      </c>
      <c r="B3602">
        <f ca="1">IF(ISBLANK(OFFSET(B3602,0,'Field labels'!$Q$1)),C3602,OFFSET(B3602,0,'Field labels'!$Q$1))</f>
        <v>220</v>
      </c>
      <c r="C3602">
        <v>220</v>
      </c>
    </row>
    <row r="3603" spans="1:3">
      <c r="A3603" t="s">
        <v>2681</v>
      </c>
      <c r="B3603">
        <f ca="1">IF(ISBLANK(OFFSET(B3603,0,'Field labels'!$Q$1)),C3603,OFFSET(B3603,0,'Field labels'!$Q$1))</f>
        <v>221</v>
      </c>
      <c r="C3603">
        <v>221</v>
      </c>
    </row>
    <row r="3604" spans="1:3">
      <c r="A3604" t="s">
        <v>2681</v>
      </c>
      <c r="B3604">
        <f ca="1">IF(ISBLANK(OFFSET(B3604,0,'Field labels'!$Q$1)),C3604,OFFSET(B3604,0,'Field labels'!$Q$1))</f>
        <v>222</v>
      </c>
      <c r="C3604">
        <v>222</v>
      </c>
    </row>
    <row r="3605" spans="1:3">
      <c r="A3605" t="s">
        <v>2681</v>
      </c>
      <c r="B3605">
        <f ca="1">IF(ISBLANK(OFFSET(B3605,0,'Field labels'!$Q$1)),C3605,OFFSET(B3605,0,'Field labels'!$Q$1))</f>
        <v>223</v>
      </c>
      <c r="C3605">
        <v>223</v>
      </c>
    </row>
    <row r="3606" spans="1:3">
      <c r="A3606" t="s">
        <v>2681</v>
      </c>
      <c r="B3606">
        <f ca="1">IF(ISBLANK(OFFSET(B3606,0,'Field labels'!$Q$1)),C3606,OFFSET(B3606,0,'Field labels'!$Q$1))</f>
        <v>224</v>
      </c>
      <c r="C3606">
        <v>224</v>
      </c>
    </row>
    <row r="3607" spans="1:3">
      <c r="A3607" t="s">
        <v>2681</v>
      </c>
      <c r="B3607">
        <f ca="1">IF(ISBLANK(OFFSET(B3607,0,'Field labels'!$Q$1)),C3607,OFFSET(B3607,0,'Field labels'!$Q$1))</f>
        <v>225</v>
      </c>
      <c r="C3607">
        <v>225</v>
      </c>
    </row>
    <row r="3608" spans="1:3">
      <c r="A3608" t="s">
        <v>2681</v>
      </c>
      <c r="B3608">
        <f ca="1">IF(ISBLANK(OFFSET(B3608,0,'Field labels'!$Q$1)),C3608,OFFSET(B3608,0,'Field labels'!$Q$1))</f>
        <v>226</v>
      </c>
      <c r="C3608">
        <v>226</v>
      </c>
    </row>
    <row r="3609" spans="1:3">
      <c r="A3609" t="s">
        <v>2681</v>
      </c>
      <c r="B3609">
        <f ca="1">IF(ISBLANK(OFFSET(B3609,0,'Field labels'!$Q$1)),C3609,OFFSET(B3609,0,'Field labels'!$Q$1))</f>
        <v>227</v>
      </c>
      <c r="C3609">
        <v>227</v>
      </c>
    </row>
    <row r="3610" spans="1:3">
      <c r="A3610" t="s">
        <v>2681</v>
      </c>
      <c r="B3610">
        <f ca="1">IF(ISBLANK(OFFSET(B3610,0,'Field labels'!$Q$1)),C3610,OFFSET(B3610,0,'Field labels'!$Q$1))</f>
        <v>227</v>
      </c>
      <c r="C3610">
        <v>227</v>
      </c>
    </row>
    <row r="3611" spans="1:3">
      <c r="A3611" t="s">
        <v>2681</v>
      </c>
      <c r="B3611">
        <f ca="1">IF(ISBLANK(OFFSET(B3611,0,'Field labels'!$Q$1)),C3611,OFFSET(B3611,0,'Field labels'!$Q$1))</f>
        <v>228</v>
      </c>
      <c r="C3611">
        <v>228</v>
      </c>
    </row>
    <row r="3612" spans="1:3">
      <c r="A3612" t="s">
        <v>2681</v>
      </c>
      <c r="B3612">
        <f ca="1">IF(ISBLANK(OFFSET(B3612,0,'Field labels'!$Q$1)),C3612,OFFSET(B3612,0,'Field labels'!$Q$1))</f>
        <v>229</v>
      </c>
      <c r="C3612">
        <v>229</v>
      </c>
    </row>
    <row r="3613" spans="1:3">
      <c r="A3613" t="s">
        <v>2681</v>
      </c>
      <c r="B3613">
        <f ca="1">IF(ISBLANK(OFFSET(B3613,0,'Field labels'!$Q$1)),C3613,OFFSET(B3613,0,'Field labels'!$Q$1))</f>
        <v>230</v>
      </c>
      <c r="C3613">
        <v>230</v>
      </c>
    </row>
    <row r="3614" spans="1:3">
      <c r="A3614" t="s">
        <v>2681</v>
      </c>
      <c r="B3614">
        <f ca="1">IF(ISBLANK(OFFSET(B3614,0,'Field labels'!$Q$1)),C3614,OFFSET(B3614,0,'Field labels'!$Q$1))</f>
        <v>333</v>
      </c>
      <c r="C3614">
        <v>333</v>
      </c>
    </row>
    <row r="3615" spans="1:3">
      <c r="A3615" t="s">
        <v>2681</v>
      </c>
      <c r="B3615">
        <f ca="1">IF(ISBLANK(OFFSET(B3615,0,'Field labels'!$Q$1)),C3615,OFFSET(B3615,0,'Field labels'!$Q$1))</f>
        <v>580</v>
      </c>
      <c r="C3615">
        <v>580</v>
      </c>
    </row>
    <row r="3616" spans="1:3">
      <c r="A3616" t="s">
        <v>5131</v>
      </c>
      <c r="B3616" t="str">
        <f ca="1">IF(ISBLANK(OFFSET(B3616,0,'Field labels'!$Q$1)),C3616,OFFSET(B3616,0,'Field labels'!$Q$1))</f>
        <v>Commission</v>
      </c>
      <c r="C3616" t="s">
        <v>5132</v>
      </c>
    </row>
    <row r="3617" spans="1:3">
      <c r="A3617" t="s">
        <v>5131</v>
      </c>
      <c r="B3617" t="str">
        <f ca="1">IF(ISBLANK(OFFSET(B3617,0,'Field labels'!$Q$1)),C3617,OFFSET(B3617,0,'Field labels'!$Q$1))</f>
        <v>Non-Commission</v>
      </c>
      <c r="C3617" t="s">
        <v>5133</v>
      </c>
    </row>
    <row r="3618" spans="1:3">
      <c r="A3618" t="s">
        <v>5134</v>
      </c>
      <c r="B3618" t="str">
        <f ca="1">IF(ISBLANK(OFFSET(B3618,0,'Field labels'!$Q$1)),C3618,OFFSET(B3618,0,'Field labels'!$Q$1))</f>
        <v>Commission</v>
      </c>
      <c r="C3618" t="s">
        <v>5132</v>
      </c>
    </row>
    <row r="3619" spans="1:3">
      <c r="A3619" t="s">
        <v>5134</v>
      </c>
      <c r="B3619" t="str">
        <f ca="1">IF(ISBLANK(OFFSET(B3619,0,'Field labels'!$Q$1)),C3619,OFFSET(B3619,0,'Field labels'!$Q$1))</f>
        <v>Non-Commission</v>
      </c>
      <c r="C3619" t="s">
        <v>5133</v>
      </c>
    </row>
    <row r="3620" spans="1:3">
      <c r="A3620" t="s">
        <v>3331</v>
      </c>
      <c r="B3620" t="str">
        <f ca="1">IF(ISBLANK(OFFSET(B3620,0,'Field labels'!$Q$1)),C3620,OFFSET(B3620,0,'Field labels'!$Q$1))</f>
        <v>180005</v>
      </c>
      <c r="C3620" t="s">
        <v>3332</v>
      </c>
    </row>
    <row r="3621" spans="1:3">
      <c r="A3621" t="s">
        <v>3331</v>
      </c>
      <c r="B3621" t="str">
        <f ca="1">IF(ISBLANK(OFFSET(B3621,0,'Field labels'!$Q$1)),C3621,OFFSET(B3621,0,'Field labels'!$Q$1))</f>
        <v>180010</v>
      </c>
      <c r="C3621" t="s">
        <v>3333</v>
      </c>
    </row>
    <row r="3622" spans="1:3">
      <c r="A3622" t="s">
        <v>3331</v>
      </c>
      <c r="B3622" t="str">
        <f ca="1">IF(ISBLANK(OFFSET(B3622,0,'Field labels'!$Q$1)),C3622,OFFSET(B3622,0,'Field labels'!$Q$1))</f>
        <v>180015</v>
      </c>
      <c r="C3622" t="s">
        <v>3334</v>
      </c>
    </row>
    <row r="3623" spans="1:3">
      <c r="A3623" t="s">
        <v>3331</v>
      </c>
      <c r="B3623" t="str">
        <f ca="1">IF(ISBLANK(OFFSET(B3623,0,'Field labels'!$Q$1)),C3623,OFFSET(B3623,0,'Field labels'!$Q$1))</f>
        <v>180020</v>
      </c>
      <c r="C3623" t="s">
        <v>3335</v>
      </c>
    </row>
    <row r="3624" spans="1:3">
      <c r="A3624" t="s">
        <v>3331</v>
      </c>
      <c r="B3624" t="str">
        <f ca="1">IF(ISBLANK(OFFSET(B3624,0,'Field labels'!$Q$1)),C3624,OFFSET(B3624,0,'Field labels'!$Q$1))</f>
        <v>180055</v>
      </c>
      <c r="C3624" t="s">
        <v>3336</v>
      </c>
    </row>
    <row r="3625" spans="1:3">
      <c r="A3625" t="s">
        <v>3331</v>
      </c>
      <c r="B3625" t="str">
        <f ca="1">IF(ISBLANK(OFFSET(B3625,0,'Field labels'!$Q$1)),C3625,OFFSET(B3625,0,'Field labels'!$Q$1))</f>
        <v>18ANTOB</v>
      </c>
      <c r="C3625" t="s">
        <v>3337</v>
      </c>
    </row>
    <row r="3626" spans="1:3">
      <c r="A3626" t="s">
        <v>3331</v>
      </c>
      <c r="B3626" t="str">
        <f ca="1">IF(ISBLANK(OFFSET(B3626,0,'Field labels'!$Q$1)),C3626,OFFSET(B3626,0,'Field labels'!$Q$1))</f>
        <v>18ANTOD*</v>
      </c>
      <c r="C3626" t="s">
        <v>3338</v>
      </c>
    </row>
    <row r="3627" spans="1:3">
      <c r="A3627" t="s">
        <v>3331</v>
      </c>
      <c r="B3627" t="str">
        <f ca="1">IF(ISBLANK(OFFSET(B3627,0,'Field labels'!$Q$1)),C3627,OFFSET(B3627,0,'Field labels'!$Q$1))</f>
        <v>18ANTOD1</v>
      </c>
      <c r="C3627" t="s">
        <v>3339</v>
      </c>
    </row>
    <row r="3628" spans="1:3">
      <c r="A3628" t="s">
        <v>3331</v>
      </c>
      <c r="B3628" t="str">
        <f ca="1">IF(ISBLANK(OFFSET(B3628,0,'Field labels'!$Q$1)),C3628,OFFSET(B3628,0,'Field labels'!$Q$1))</f>
        <v>18ANTOD2</v>
      </c>
      <c r="C3628" t="s">
        <v>3340</v>
      </c>
    </row>
    <row r="3629" spans="1:3">
      <c r="A3629" t="s">
        <v>3331</v>
      </c>
      <c r="B3629" t="str">
        <f ca="1">IF(ISBLANK(OFFSET(B3629,0,'Field labels'!$Q$1)),C3629,OFFSET(B3629,0,'Field labels'!$Q$1))</f>
        <v>18ANTOE</v>
      </c>
      <c r="C3629" t="s">
        <v>3341</v>
      </c>
    </row>
    <row r="3630" spans="1:3">
      <c r="A3630" t="s">
        <v>3331</v>
      </c>
      <c r="B3630" t="str">
        <f ca="1">IF(ISBLANK(OFFSET(B3630,0,'Field labels'!$Q$1)),C3630,OFFSET(B3630,0,'Field labels'!$Q$1))</f>
        <v>18ANTOF</v>
      </c>
      <c r="C3630" t="s">
        <v>3342</v>
      </c>
    </row>
    <row r="3631" spans="1:3">
      <c r="A3631" t="s">
        <v>3331</v>
      </c>
      <c r="B3631" t="str">
        <f ca="1">IF(ISBLANK(OFFSET(B3631,0,'Field labels'!$Q$1)),C3631,OFFSET(B3631,0,'Field labels'!$Q$1))</f>
        <v>18GEORB</v>
      </c>
      <c r="C3631" t="s">
        <v>3343</v>
      </c>
    </row>
    <row r="3632" spans="1:3">
      <c r="A3632" t="s">
        <v>3331</v>
      </c>
      <c r="B3632" t="str">
        <f ca="1">IF(ISBLANK(OFFSET(B3632,0,'Field labels'!$Q$1)),C3632,OFFSET(B3632,0,'Field labels'!$Q$1))</f>
        <v>18GEORC</v>
      </c>
      <c r="C3632" t="s">
        <v>3344</v>
      </c>
    </row>
    <row r="3633" spans="1:3">
      <c r="A3633" t="s">
        <v>3331</v>
      </c>
      <c r="B3633" t="str">
        <f ca="1">IF(ISBLANK(OFFSET(B3633,0,'Field labels'!$Q$1)),C3633,OFFSET(B3633,0,'Field labels'!$Q$1))</f>
        <v>18GEORD*</v>
      </c>
      <c r="C3633" t="s">
        <v>3345</v>
      </c>
    </row>
    <row r="3634" spans="1:3">
      <c r="A3634" t="s">
        <v>3331</v>
      </c>
      <c r="B3634" t="str">
        <f ca="1">IF(ISBLANK(OFFSET(B3634,0,'Field labels'!$Q$1)),C3634,OFFSET(B3634,0,'Field labels'!$Q$1))</f>
        <v>18GEORD1</v>
      </c>
      <c r="C3634" t="s">
        <v>3346</v>
      </c>
    </row>
    <row r="3635" spans="1:3">
      <c r="A3635" t="s">
        <v>3331</v>
      </c>
      <c r="B3635" t="str">
        <f ca="1">IF(ISBLANK(OFFSET(B3635,0,'Field labels'!$Q$1)),C3635,OFFSET(B3635,0,'Field labels'!$Q$1))</f>
        <v>18GEORD2</v>
      </c>
      <c r="C3635" t="s">
        <v>3347</v>
      </c>
    </row>
    <row r="3636" spans="1:3">
      <c r="A3636" t="s">
        <v>3331</v>
      </c>
      <c r="B3636" t="str">
        <f ca="1">IF(ISBLANK(OFFSET(B3636,0,'Field labels'!$Q$1)),C3636,OFFSET(B3636,0,'Field labels'!$Q$1))</f>
        <v>18GEORE</v>
      </c>
      <c r="C3636" t="s">
        <v>3348</v>
      </c>
    </row>
    <row r="3637" spans="1:3">
      <c r="A3637" t="s">
        <v>3331</v>
      </c>
      <c r="B3637" t="str">
        <f ca="1">IF(ISBLANK(OFFSET(B3637,0,'Field labels'!$Q$1)),C3637,OFFSET(B3637,0,'Field labels'!$Q$1))</f>
        <v>18GEORF</v>
      </c>
      <c r="C3637" t="s">
        <v>3349</v>
      </c>
    </row>
    <row r="3638" spans="1:3">
      <c r="A3638" t="s">
        <v>3331</v>
      </c>
      <c r="B3638" t="str">
        <f ca="1">IF(ISBLANK(OFFSET(B3638,0,'Field labels'!$Q$1)),C3638,OFFSET(B3638,0,'Field labels'!$Q$1))</f>
        <v>18IZORB</v>
      </c>
      <c r="C3638" t="s">
        <v>3350</v>
      </c>
    </row>
    <row r="3639" spans="1:3">
      <c r="A3639" t="s">
        <v>3331</v>
      </c>
      <c r="B3639" t="str">
        <f ca="1">IF(ISBLANK(OFFSET(B3639,0,'Field labels'!$Q$1)),C3639,OFFSET(B3639,0,'Field labels'!$Q$1))</f>
        <v>18IZORB2</v>
      </c>
      <c r="C3639" t="s">
        <v>3351</v>
      </c>
    </row>
    <row r="3640" spans="1:3">
      <c r="A3640" t="s">
        <v>3331</v>
      </c>
      <c r="B3640" t="str">
        <f ca="1">IF(ISBLANK(OFFSET(B3640,0,'Field labels'!$Q$1)),C3640,OFFSET(B3640,0,'Field labels'!$Q$1))</f>
        <v>18IZORB3</v>
      </c>
      <c r="C3640" t="s">
        <v>3352</v>
      </c>
    </row>
    <row r="3641" spans="1:3">
      <c r="A3641" t="s">
        <v>3331</v>
      </c>
      <c r="B3641" t="str">
        <f ca="1">IF(ISBLANK(OFFSET(B3641,0,'Field labels'!$Q$1)),C3641,OFFSET(B3641,0,'Field labels'!$Q$1))</f>
        <v>18IZORC</v>
      </c>
      <c r="C3641" t="s">
        <v>3353</v>
      </c>
    </row>
    <row r="3642" spans="1:3">
      <c r="A3642" t="s">
        <v>3331</v>
      </c>
      <c r="B3642" t="str">
        <f ca="1">IF(ISBLANK(OFFSET(B3642,0,'Field labels'!$Q$1)),C3642,OFFSET(B3642,0,'Field labels'!$Q$1))</f>
        <v>18IZORC2</v>
      </c>
      <c r="C3642" t="s">
        <v>3354</v>
      </c>
    </row>
    <row r="3643" spans="1:3">
      <c r="A3643" t="s">
        <v>3331</v>
      </c>
      <c r="B3643" t="str">
        <f ca="1">IF(ISBLANK(OFFSET(B3643,0,'Field labels'!$Q$1)),C3643,OFFSET(B3643,0,'Field labels'!$Q$1))</f>
        <v>18IZORD1</v>
      </c>
      <c r="C3643" t="s">
        <v>3355</v>
      </c>
    </row>
    <row r="3644" spans="1:3">
      <c r="A3644" t="s">
        <v>3331</v>
      </c>
      <c r="B3644" t="str">
        <f ca="1">IF(ISBLANK(OFFSET(B3644,0,'Field labels'!$Q$1)),C3644,OFFSET(B3644,0,'Field labels'!$Q$1))</f>
        <v>18IZORD2</v>
      </c>
      <c r="C3644" t="s">
        <v>3356</v>
      </c>
    </row>
    <row r="3645" spans="1:3">
      <c r="A3645" t="s">
        <v>3331</v>
      </c>
      <c r="B3645" t="str">
        <f ca="1">IF(ISBLANK(OFFSET(B3645,0,'Field labels'!$Q$1)),C3645,OFFSET(B3645,0,'Field labels'!$Q$1))</f>
        <v>18IZORD3</v>
      </c>
      <c r="C3645" t="s">
        <v>3357</v>
      </c>
    </row>
    <row r="3646" spans="1:3">
      <c r="A3646" t="s">
        <v>3331</v>
      </c>
      <c r="B3646" t="str">
        <f ca="1">IF(ISBLANK(OFFSET(B3646,0,'Field labels'!$Q$1)),C3646,OFFSET(B3646,0,'Field labels'!$Q$1))</f>
        <v>18IZORD4</v>
      </c>
      <c r="C3646" t="s">
        <v>3358</v>
      </c>
    </row>
    <row r="3647" spans="1:3">
      <c r="A3647" t="s">
        <v>3331</v>
      </c>
      <c r="B3647" t="str">
        <f ca="1">IF(ISBLANK(OFFSET(B3647,0,'Field labels'!$Q$1)),C3647,OFFSET(B3647,0,'Field labels'!$Q$1))</f>
        <v>18IZORE</v>
      </c>
      <c r="C3647" t="s">
        <v>3359</v>
      </c>
    </row>
    <row r="3648" spans="1:3">
      <c r="A3648" t="s">
        <v>3360</v>
      </c>
      <c r="B3648" t="str">
        <f ca="1">IF(ISBLANK(OFFSET(B3648,0,'Field labels'!$Q$1)),C3648,OFFSET(B3648,0,'Field labels'!$Q$1))</f>
        <v>10-0</v>
      </c>
      <c r="C3648" t="s">
        <v>2973</v>
      </c>
    </row>
    <row r="3649" spans="1:3">
      <c r="A3649" t="s">
        <v>3360</v>
      </c>
      <c r="B3649" t="str">
        <f ca="1">IF(ISBLANK(OFFSET(B3649,0,'Field labels'!$Q$1)),C3649,OFFSET(B3649,0,'Field labels'!$Q$1))</f>
        <v>10-1</v>
      </c>
      <c r="C3649" t="s">
        <v>2974</v>
      </c>
    </row>
    <row r="3650" spans="1:3">
      <c r="A3650" t="s">
        <v>3360</v>
      </c>
      <c r="B3650" t="str">
        <f ca="1">IF(ISBLANK(OFFSET(B3650,0,'Field labels'!$Q$1)),C3650,OFFSET(B3650,0,'Field labels'!$Q$1))</f>
        <v>10-10</v>
      </c>
      <c r="C3650" t="s">
        <v>2975</v>
      </c>
    </row>
    <row r="3651" spans="1:3">
      <c r="A3651" t="s">
        <v>3360</v>
      </c>
      <c r="B3651" t="str">
        <f ca="1">IF(ISBLANK(OFFSET(B3651,0,'Field labels'!$Q$1)),C3651,OFFSET(B3651,0,'Field labels'!$Q$1))</f>
        <v>10-11</v>
      </c>
      <c r="C3651" t="s">
        <v>3361</v>
      </c>
    </row>
    <row r="3652" spans="1:3">
      <c r="A3652" t="s">
        <v>3360</v>
      </c>
      <c r="B3652" t="str">
        <f ca="1">IF(ISBLANK(OFFSET(B3652,0,'Field labels'!$Q$1)),C3652,OFFSET(B3652,0,'Field labels'!$Q$1))</f>
        <v>10-12</v>
      </c>
      <c r="C3652" t="s">
        <v>3362</v>
      </c>
    </row>
    <row r="3653" spans="1:3">
      <c r="A3653" t="s">
        <v>3360</v>
      </c>
      <c r="B3653" t="str">
        <f ca="1">IF(ISBLANK(OFFSET(B3653,0,'Field labels'!$Q$1)),C3653,OFFSET(B3653,0,'Field labels'!$Q$1))</f>
        <v>10-13</v>
      </c>
      <c r="C3653" t="s">
        <v>3363</v>
      </c>
    </row>
    <row r="3654" spans="1:3">
      <c r="A3654" t="s">
        <v>3360</v>
      </c>
      <c r="B3654" t="str">
        <f ca="1">IF(ISBLANK(OFFSET(B3654,0,'Field labels'!$Q$1)),C3654,OFFSET(B3654,0,'Field labels'!$Q$1))</f>
        <v>10-2</v>
      </c>
      <c r="C3654" t="s">
        <v>3364</v>
      </c>
    </row>
    <row r="3655" spans="1:3">
      <c r="A3655" t="s">
        <v>3360</v>
      </c>
      <c r="B3655" t="str">
        <f ca="1">IF(ISBLANK(OFFSET(B3655,0,'Field labels'!$Q$1)),C3655,OFFSET(B3655,0,'Field labels'!$Q$1))</f>
        <v>10-3</v>
      </c>
      <c r="C3655" t="s">
        <v>3365</v>
      </c>
    </row>
    <row r="3656" spans="1:3">
      <c r="A3656" t="s">
        <v>3360</v>
      </c>
      <c r="B3656" t="str">
        <f ca="1">IF(ISBLANK(OFFSET(B3656,0,'Field labels'!$Q$1)),C3656,OFFSET(B3656,0,'Field labels'!$Q$1))</f>
        <v>10-4</v>
      </c>
      <c r="C3656" t="s">
        <v>3366</v>
      </c>
    </row>
    <row r="3657" spans="1:3">
      <c r="A3657" t="s">
        <v>3360</v>
      </c>
      <c r="B3657" t="str">
        <f ca="1">IF(ISBLANK(OFFSET(B3657,0,'Field labels'!$Q$1)),C3657,OFFSET(B3657,0,'Field labels'!$Q$1))</f>
        <v>10-5</v>
      </c>
      <c r="C3657" t="s">
        <v>3367</v>
      </c>
    </row>
    <row r="3658" spans="1:3">
      <c r="A3658" t="s">
        <v>3360</v>
      </c>
      <c r="B3658" t="str">
        <f ca="1">IF(ISBLANK(OFFSET(B3658,0,'Field labels'!$Q$1)),C3658,OFFSET(B3658,0,'Field labels'!$Q$1))</f>
        <v>10-6</v>
      </c>
      <c r="C3658" t="s">
        <v>3368</v>
      </c>
    </row>
    <row r="3659" spans="1:3">
      <c r="A3659" t="s">
        <v>3360</v>
      </c>
      <c r="B3659" t="str">
        <f ca="1">IF(ISBLANK(OFFSET(B3659,0,'Field labels'!$Q$1)),C3659,OFFSET(B3659,0,'Field labels'!$Q$1))</f>
        <v>10-7</v>
      </c>
      <c r="C3659" t="s">
        <v>3369</v>
      </c>
    </row>
    <row r="3660" spans="1:3">
      <c r="A3660" t="s">
        <v>3360</v>
      </c>
      <c r="B3660" t="str">
        <f ca="1">IF(ISBLANK(OFFSET(B3660,0,'Field labels'!$Q$1)),C3660,OFFSET(B3660,0,'Field labels'!$Q$1))</f>
        <v>10-8</v>
      </c>
      <c r="C3660" t="s">
        <v>3370</v>
      </c>
    </row>
    <row r="3661" spans="1:3">
      <c r="A3661" t="s">
        <v>3360</v>
      </c>
      <c r="B3661" t="str">
        <f ca="1">IF(ISBLANK(OFFSET(B3661,0,'Field labels'!$Q$1)),C3661,OFFSET(B3661,0,'Field labels'!$Q$1))</f>
        <v>10-9</v>
      </c>
      <c r="C3661" t="s">
        <v>3371</v>
      </c>
    </row>
    <row r="3662" spans="1:3">
      <c r="A3662" t="s">
        <v>3360</v>
      </c>
      <c r="B3662" t="str">
        <f ca="1">IF(ISBLANK(OFFSET(B3662,0,'Field labels'!$Q$1)),C3662,OFFSET(B3662,0,'Field labels'!$Q$1))</f>
        <v>151S14C</v>
      </c>
      <c r="C3662" t="s">
        <v>3372</v>
      </c>
    </row>
    <row r="3663" spans="1:3">
      <c r="A3663" t="s">
        <v>3360</v>
      </c>
      <c r="B3663" t="str">
        <f ca="1">IF(ISBLANK(OFFSET(B3663,0,'Field labels'!$Q$1)),C3663,OFFSET(B3663,0,'Field labels'!$Q$1))</f>
        <v>151S14D</v>
      </c>
      <c r="C3663" t="s">
        <v>3373</v>
      </c>
    </row>
    <row r="3664" spans="1:3">
      <c r="A3664" t="s">
        <v>3360</v>
      </c>
      <c r="B3664" t="str">
        <f ca="1">IF(ISBLANK(OFFSET(B3664,0,'Field labels'!$Q$1)),C3664,OFFSET(B3664,0,'Field labels'!$Q$1))</f>
        <v>15IS11A</v>
      </c>
      <c r="C3664" t="s">
        <v>3374</v>
      </c>
    </row>
    <row r="3665" spans="1:3">
      <c r="A3665" t="s">
        <v>3360</v>
      </c>
      <c r="B3665" t="str">
        <f ca="1">IF(ISBLANK(OFFSET(B3665,0,'Field labels'!$Q$1)),C3665,OFFSET(B3665,0,'Field labels'!$Q$1))</f>
        <v>15IS11B</v>
      </c>
      <c r="C3665" t="s">
        <v>3375</v>
      </c>
    </row>
    <row r="3666" spans="1:3">
      <c r="A3666" t="s">
        <v>3360</v>
      </c>
      <c r="B3666" t="str">
        <f ca="1">IF(ISBLANK(OFFSET(B3666,0,'Field labels'!$Q$1)),C3666,OFFSET(B3666,0,'Field labels'!$Q$1))</f>
        <v>15IS11C</v>
      </c>
      <c r="C3666" t="s">
        <v>3376</v>
      </c>
    </row>
    <row r="3667" spans="1:3">
      <c r="A3667" t="s">
        <v>3360</v>
      </c>
      <c r="B3667" t="str">
        <f ca="1">IF(ISBLANK(OFFSET(B3667,0,'Field labels'!$Q$1)),C3667,OFFSET(B3667,0,'Field labels'!$Q$1))</f>
        <v>15IS11D</v>
      </c>
      <c r="C3667" t="s">
        <v>3377</v>
      </c>
    </row>
    <row r="3668" spans="1:3">
      <c r="A3668" t="s">
        <v>3360</v>
      </c>
      <c r="B3668" t="str">
        <f ca="1">IF(ISBLANK(OFFSET(B3668,0,'Field labels'!$Q$1)),C3668,OFFSET(B3668,0,'Field labels'!$Q$1))</f>
        <v>15IS11E</v>
      </c>
      <c r="C3668" t="s">
        <v>3378</v>
      </c>
    </row>
    <row r="3669" spans="1:3">
      <c r="A3669" t="s">
        <v>3360</v>
      </c>
      <c r="B3669" t="str">
        <f ca="1">IF(ISBLANK(OFFSET(B3669,0,'Field labels'!$Q$1)),C3669,OFFSET(B3669,0,'Field labels'!$Q$1))</f>
        <v>15IS12A</v>
      </c>
      <c r="C3669" t="s">
        <v>3379</v>
      </c>
    </row>
    <row r="3670" spans="1:3">
      <c r="A3670" t="s">
        <v>3360</v>
      </c>
      <c r="B3670" t="str">
        <f ca="1">IF(ISBLANK(OFFSET(B3670,0,'Field labels'!$Q$1)),C3670,OFFSET(B3670,0,'Field labels'!$Q$1))</f>
        <v>15IS12B</v>
      </c>
      <c r="C3670" t="s">
        <v>3380</v>
      </c>
    </row>
    <row r="3671" spans="1:3">
      <c r="A3671" t="s">
        <v>3360</v>
      </c>
      <c r="B3671" t="str">
        <f ca="1">IF(ISBLANK(OFFSET(B3671,0,'Field labels'!$Q$1)),C3671,OFFSET(B3671,0,'Field labels'!$Q$1))</f>
        <v>15IS12C</v>
      </c>
      <c r="C3671" t="s">
        <v>3381</v>
      </c>
    </row>
    <row r="3672" spans="1:3">
      <c r="A3672" t="s">
        <v>3360</v>
      </c>
      <c r="B3672" t="str">
        <f ca="1">IF(ISBLANK(OFFSET(B3672,0,'Field labels'!$Q$1)),C3672,OFFSET(B3672,0,'Field labels'!$Q$1))</f>
        <v>15IS13A</v>
      </c>
      <c r="C3672" t="s">
        <v>3382</v>
      </c>
    </row>
    <row r="3673" spans="1:3">
      <c r="A3673" t="s">
        <v>3360</v>
      </c>
      <c r="B3673" t="str">
        <f ca="1">IF(ISBLANK(OFFSET(B3673,0,'Field labels'!$Q$1)),C3673,OFFSET(B3673,0,'Field labels'!$Q$1))</f>
        <v>15IS13B</v>
      </c>
      <c r="C3673" t="s">
        <v>3383</v>
      </c>
    </row>
    <row r="3674" spans="1:3">
      <c r="A3674" t="s">
        <v>3360</v>
      </c>
      <c r="B3674" t="str">
        <f ca="1">IF(ISBLANK(OFFSET(B3674,0,'Field labels'!$Q$1)),C3674,OFFSET(B3674,0,'Field labels'!$Q$1))</f>
        <v>15IS14A</v>
      </c>
      <c r="C3674" t="s">
        <v>3384</v>
      </c>
    </row>
    <row r="3675" spans="1:3">
      <c r="A3675" t="s">
        <v>3360</v>
      </c>
      <c r="B3675" t="str">
        <f ca="1">IF(ISBLANK(OFFSET(B3675,0,'Field labels'!$Q$1)),C3675,OFFSET(B3675,0,'Field labels'!$Q$1))</f>
        <v>15IS14B</v>
      </c>
      <c r="C3675" t="s">
        <v>3385</v>
      </c>
    </row>
    <row r="3676" spans="1:3">
      <c r="A3676" t="s">
        <v>3360</v>
      </c>
      <c r="B3676" t="str">
        <f ca="1">IF(ISBLANK(OFFSET(B3676,0,'Field labels'!$Q$1)),C3676,OFFSET(B3676,0,'Field labels'!$Q$1))</f>
        <v>15IS15A</v>
      </c>
      <c r="C3676" t="s">
        <v>3386</v>
      </c>
    </row>
    <row r="3677" spans="1:3">
      <c r="A3677" t="s">
        <v>3360</v>
      </c>
      <c r="B3677" t="str">
        <f ca="1">IF(ISBLANK(OFFSET(B3677,0,'Field labels'!$Q$1)),C3677,OFFSET(B3677,0,'Field labels'!$Q$1))</f>
        <v>15IS15B</v>
      </c>
      <c r="C3677" t="s">
        <v>3387</v>
      </c>
    </row>
    <row r="3678" spans="1:3">
      <c r="A3678" t="s">
        <v>3360</v>
      </c>
      <c r="B3678" t="str">
        <f ca="1">IF(ISBLANK(OFFSET(B3678,0,'Field labels'!$Q$1)),C3678,OFFSET(B3678,0,'Field labels'!$Q$1))</f>
        <v>15IS15C</v>
      </c>
      <c r="C3678" t="s">
        <v>3388</v>
      </c>
    </row>
    <row r="3679" spans="1:3">
      <c r="A3679" t="s">
        <v>3360</v>
      </c>
      <c r="B3679" t="str">
        <f ca="1">IF(ISBLANK(OFFSET(B3679,0,'Field labels'!$Q$1)),C3679,OFFSET(B3679,0,'Field labels'!$Q$1))</f>
        <v>15IS15D</v>
      </c>
      <c r="C3679" t="s">
        <v>3389</v>
      </c>
    </row>
    <row r="3680" spans="1:3">
      <c r="A3680" t="s">
        <v>3360</v>
      </c>
      <c r="B3680" t="str">
        <f ca="1">IF(ISBLANK(OFFSET(B3680,0,'Field labels'!$Q$1)),C3680,OFFSET(B3680,0,'Field labels'!$Q$1))</f>
        <v>15IS16A</v>
      </c>
      <c r="C3680" t="s">
        <v>3390</v>
      </c>
    </row>
    <row r="3681" spans="1:3">
      <c r="A3681" t="s">
        <v>3360</v>
      </c>
      <c r="B3681" t="str">
        <f ca="1">IF(ISBLANK(OFFSET(B3681,0,'Field labels'!$Q$1)),C3681,OFFSET(B3681,0,'Field labels'!$Q$1))</f>
        <v>15IS16B</v>
      </c>
      <c r="C3681" t="s">
        <v>3391</v>
      </c>
    </row>
    <row r="3682" spans="1:3">
      <c r="A3682" t="s">
        <v>3360</v>
      </c>
      <c r="B3682" t="str">
        <f ca="1">IF(ISBLANK(OFFSET(B3682,0,'Field labels'!$Q$1)),C3682,OFFSET(B3682,0,'Field labels'!$Q$1))</f>
        <v>15IS16C</v>
      </c>
      <c r="C3682" t="s">
        <v>3392</v>
      </c>
    </row>
    <row r="3683" spans="1:3">
      <c r="A3683" t="s">
        <v>3360</v>
      </c>
      <c r="B3683" t="str">
        <f ca="1">IF(ISBLANK(OFFSET(B3683,0,'Field labels'!$Q$1)),C3683,OFFSET(B3683,0,'Field labels'!$Q$1))</f>
        <v>15IS16D</v>
      </c>
      <c r="C3683" t="s">
        <v>3393</v>
      </c>
    </row>
    <row r="3684" spans="1:3">
      <c r="A3684" t="s">
        <v>3360</v>
      </c>
      <c r="B3684" t="str">
        <f ca="1">IF(ISBLANK(OFFSET(B3684,0,'Field labels'!$Q$1)),C3684,OFFSET(B3684,0,'Field labels'!$Q$1))</f>
        <v>15IT20A</v>
      </c>
      <c r="C3684" t="s">
        <v>3394</v>
      </c>
    </row>
    <row r="3685" spans="1:3">
      <c r="A3685" t="s">
        <v>3360</v>
      </c>
      <c r="B3685" t="str">
        <f ca="1">IF(ISBLANK(OFFSET(B3685,0,'Field labels'!$Q$1)),C3685,OFFSET(B3685,0,'Field labels'!$Q$1))</f>
        <v>15IT20B</v>
      </c>
      <c r="C3685" t="s">
        <v>3395</v>
      </c>
    </row>
    <row r="3686" spans="1:3">
      <c r="A3686" t="s">
        <v>3360</v>
      </c>
      <c r="B3686" t="str">
        <f ca="1">IF(ISBLANK(OFFSET(B3686,0,'Field labels'!$Q$1)),C3686,OFFSET(B3686,0,'Field labels'!$Q$1))</f>
        <v>15IT20C</v>
      </c>
      <c r="C3686" t="s">
        <v>3396</v>
      </c>
    </row>
    <row r="3687" spans="1:3">
      <c r="A3687" t="s">
        <v>3360</v>
      </c>
      <c r="B3687" t="str">
        <f ca="1">IF(ISBLANK(OFFSET(B3687,0,'Field labels'!$Q$1)),C3687,OFFSET(B3687,0,'Field labels'!$Q$1))</f>
        <v>15IT20D</v>
      </c>
      <c r="C3687" t="s">
        <v>3397</v>
      </c>
    </row>
    <row r="3688" spans="1:3">
      <c r="A3688" t="s">
        <v>3360</v>
      </c>
      <c r="B3688" t="str">
        <f ca="1">IF(ISBLANK(OFFSET(B3688,0,'Field labels'!$Q$1)),C3688,OFFSET(B3688,0,'Field labels'!$Q$1))</f>
        <v>15IT20E</v>
      </c>
      <c r="C3688" t="s">
        <v>3398</v>
      </c>
    </row>
    <row r="3689" spans="1:3">
      <c r="A3689" t="s">
        <v>3360</v>
      </c>
      <c r="B3689" t="str">
        <f ca="1">IF(ISBLANK(OFFSET(B3689,0,'Field labels'!$Q$1)),C3689,OFFSET(B3689,0,'Field labels'!$Q$1))</f>
        <v>15IT20F</v>
      </c>
      <c r="C3689" t="s">
        <v>3399</v>
      </c>
    </row>
    <row r="3690" spans="1:3">
      <c r="A3690" t="s">
        <v>3360</v>
      </c>
      <c r="B3690" t="str">
        <f ca="1">IF(ISBLANK(OFFSET(B3690,0,'Field labels'!$Q$1)),C3690,OFFSET(B3690,0,'Field labels'!$Q$1))</f>
        <v>15IT21A</v>
      </c>
      <c r="C3690" t="s">
        <v>3400</v>
      </c>
    </row>
    <row r="3691" spans="1:3">
      <c r="A3691" t="s">
        <v>3360</v>
      </c>
      <c r="B3691" t="str">
        <f ca="1">IF(ISBLANK(OFFSET(B3691,0,'Field labels'!$Q$1)),C3691,OFFSET(B3691,0,'Field labels'!$Q$1))</f>
        <v>15IT21B</v>
      </c>
      <c r="C3691" t="s">
        <v>3401</v>
      </c>
    </row>
    <row r="3692" spans="1:3">
      <c r="A3692" t="s">
        <v>3360</v>
      </c>
      <c r="B3692" t="str">
        <f ca="1">IF(ISBLANK(OFFSET(B3692,0,'Field labels'!$Q$1)),C3692,OFFSET(B3692,0,'Field labels'!$Q$1))</f>
        <v>15IT21C</v>
      </c>
      <c r="C3692" t="s">
        <v>3402</v>
      </c>
    </row>
    <row r="3693" spans="1:3">
      <c r="A3693" t="s">
        <v>3360</v>
      </c>
      <c r="B3693" t="str">
        <f ca="1">IF(ISBLANK(OFFSET(B3693,0,'Field labels'!$Q$1)),C3693,OFFSET(B3693,0,'Field labels'!$Q$1))</f>
        <v>15IT21D</v>
      </c>
      <c r="C3693" t="s">
        <v>3403</v>
      </c>
    </row>
    <row r="3694" spans="1:3">
      <c r="A3694" t="s">
        <v>3360</v>
      </c>
      <c r="B3694" t="str">
        <f ca="1">IF(ISBLANK(OFFSET(B3694,0,'Field labels'!$Q$1)),C3694,OFFSET(B3694,0,'Field labels'!$Q$1))</f>
        <v>15IT21E</v>
      </c>
      <c r="C3694" t="s">
        <v>3404</v>
      </c>
    </row>
    <row r="3695" spans="1:3">
      <c r="A3695" t="s">
        <v>3360</v>
      </c>
      <c r="B3695" t="str">
        <f ca="1">IF(ISBLANK(OFFSET(B3695,0,'Field labels'!$Q$1)),C3695,OFFSET(B3695,0,'Field labels'!$Q$1))</f>
        <v>15IT22A</v>
      </c>
      <c r="C3695" t="s">
        <v>3405</v>
      </c>
    </row>
    <row r="3696" spans="1:3">
      <c r="A3696" t="s">
        <v>3360</v>
      </c>
      <c r="B3696" t="str">
        <f ca="1">IF(ISBLANK(OFFSET(B3696,0,'Field labels'!$Q$1)),C3696,OFFSET(B3696,0,'Field labels'!$Q$1))</f>
        <v>15IT22B</v>
      </c>
      <c r="C3696" t="s">
        <v>3406</v>
      </c>
    </row>
    <row r="3697" spans="1:3">
      <c r="A3697" t="s">
        <v>3360</v>
      </c>
      <c r="B3697" t="str">
        <f ca="1">IF(ISBLANK(OFFSET(B3697,0,'Field labels'!$Q$1)),C3697,OFFSET(B3697,0,'Field labels'!$Q$1))</f>
        <v>15IT22C</v>
      </c>
      <c r="C3697" t="s">
        <v>3407</v>
      </c>
    </row>
    <row r="3698" spans="1:3">
      <c r="A3698" t="s">
        <v>3360</v>
      </c>
      <c r="B3698" t="str">
        <f ca="1">IF(ISBLANK(OFFSET(B3698,0,'Field labels'!$Q$1)),C3698,OFFSET(B3698,0,'Field labels'!$Q$1))</f>
        <v>15IT22D</v>
      </c>
      <c r="C3698" t="s">
        <v>3408</v>
      </c>
    </row>
    <row r="3699" spans="1:3">
      <c r="A3699" t="s">
        <v>3360</v>
      </c>
      <c r="B3699" t="str">
        <f ca="1">IF(ISBLANK(OFFSET(B3699,0,'Field labels'!$Q$1)),C3699,OFFSET(B3699,0,'Field labels'!$Q$1))</f>
        <v>15IT22E</v>
      </c>
      <c r="C3699" t="s">
        <v>3409</v>
      </c>
    </row>
    <row r="3700" spans="1:3">
      <c r="A3700" t="s">
        <v>3360</v>
      </c>
      <c r="B3700" t="str">
        <f ca="1">IF(ISBLANK(OFFSET(B3700,0,'Field labels'!$Q$1)),C3700,OFFSET(B3700,0,'Field labels'!$Q$1))</f>
        <v>15IT23A</v>
      </c>
      <c r="C3700" t="s">
        <v>3410</v>
      </c>
    </row>
    <row r="3701" spans="1:3">
      <c r="A3701" t="s">
        <v>3360</v>
      </c>
      <c r="B3701" t="str">
        <f ca="1">IF(ISBLANK(OFFSET(B3701,0,'Field labels'!$Q$1)),C3701,OFFSET(B3701,0,'Field labels'!$Q$1))</f>
        <v>15IT23B</v>
      </c>
      <c r="C3701" t="s">
        <v>3411</v>
      </c>
    </row>
    <row r="3702" spans="1:3">
      <c r="A3702" t="s">
        <v>3360</v>
      </c>
      <c r="B3702" t="str">
        <f ca="1">IF(ISBLANK(OFFSET(B3702,0,'Field labels'!$Q$1)),C3702,OFFSET(B3702,0,'Field labels'!$Q$1))</f>
        <v>15IT23C</v>
      </c>
      <c r="C3702" t="s">
        <v>3412</v>
      </c>
    </row>
    <row r="3703" spans="1:3">
      <c r="A3703" t="s">
        <v>3360</v>
      </c>
      <c r="B3703" t="str">
        <f ca="1">IF(ISBLANK(OFFSET(B3703,0,'Field labels'!$Q$1)),C3703,OFFSET(B3703,0,'Field labels'!$Q$1))</f>
        <v>15IT23D</v>
      </c>
      <c r="C3703" t="s">
        <v>3413</v>
      </c>
    </row>
    <row r="3704" spans="1:3">
      <c r="A3704" t="s">
        <v>3360</v>
      </c>
      <c r="B3704" t="str">
        <f ca="1">IF(ISBLANK(OFFSET(B3704,0,'Field labels'!$Q$1)),C3704,OFFSET(B3704,0,'Field labels'!$Q$1))</f>
        <v>15IT23E</v>
      </c>
      <c r="C3704" t="s">
        <v>3414</v>
      </c>
    </row>
    <row r="3705" spans="1:3">
      <c r="A3705" t="s">
        <v>3360</v>
      </c>
      <c r="B3705" t="str">
        <f ca="1">IF(ISBLANK(OFFSET(B3705,0,'Field labels'!$Q$1)),C3705,OFFSET(B3705,0,'Field labels'!$Q$1))</f>
        <v>15IT24A</v>
      </c>
      <c r="C3705" t="s">
        <v>3415</v>
      </c>
    </row>
    <row r="3706" spans="1:3">
      <c r="A3706" t="s">
        <v>3360</v>
      </c>
      <c r="B3706" t="str">
        <f ca="1">IF(ISBLANK(OFFSET(B3706,0,'Field labels'!$Q$1)),C3706,OFFSET(B3706,0,'Field labels'!$Q$1))</f>
        <v>15IT24B</v>
      </c>
      <c r="C3706" t="s">
        <v>3416</v>
      </c>
    </row>
    <row r="3707" spans="1:3">
      <c r="A3707" t="s">
        <v>3360</v>
      </c>
      <c r="B3707" t="str">
        <f ca="1">IF(ISBLANK(OFFSET(B3707,0,'Field labels'!$Q$1)),C3707,OFFSET(B3707,0,'Field labels'!$Q$1))</f>
        <v>15IT24C</v>
      </c>
      <c r="C3707" t="s">
        <v>3417</v>
      </c>
    </row>
    <row r="3708" spans="1:3">
      <c r="A3708" t="s">
        <v>3360</v>
      </c>
      <c r="B3708" t="str">
        <f ca="1">IF(ISBLANK(OFFSET(B3708,0,'Field labels'!$Q$1)),C3708,OFFSET(B3708,0,'Field labels'!$Q$1))</f>
        <v>15IT24D</v>
      </c>
      <c r="C3708" t="s">
        <v>3418</v>
      </c>
    </row>
    <row r="3709" spans="1:3">
      <c r="A3709" t="s">
        <v>3360</v>
      </c>
      <c r="B3709" t="str">
        <f ca="1">IF(ISBLANK(OFFSET(B3709,0,'Field labels'!$Q$1)),C3709,OFFSET(B3709,0,'Field labels'!$Q$1))</f>
        <v>15IT25A</v>
      </c>
      <c r="C3709" t="s">
        <v>3419</v>
      </c>
    </row>
    <row r="3710" spans="1:3">
      <c r="A3710" t="s">
        <v>3360</v>
      </c>
      <c r="B3710" t="str">
        <f ca="1">IF(ISBLANK(OFFSET(B3710,0,'Field labels'!$Q$1)),C3710,OFFSET(B3710,0,'Field labels'!$Q$1))</f>
        <v>15IT25B</v>
      </c>
      <c r="C3710" t="s">
        <v>3420</v>
      </c>
    </row>
    <row r="3711" spans="1:3">
      <c r="A3711" t="s">
        <v>3360</v>
      </c>
      <c r="B3711" t="str">
        <f ca="1">IF(ISBLANK(OFFSET(B3711,0,'Field labels'!$Q$1)),C3711,OFFSET(B3711,0,'Field labels'!$Q$1))</f>
        <v>15IT25C</v>
      </c>
      <c r="C3711" t="s">
        <v>3421</v>
      </c>
    </row>
    <row r="3712" spans="1:3">
      <c r="A3712" t="s">
        <v>3360</v>
      </c>
      <c r="B3712" t="str">
        <f ca="1">IF(ISBLANK(OFFSET(B3712,0,'Field labels'!$Q$1)),C3712,OFFSET(B3712,0,'Field labels'!$Q$1))</f>
        <v>15IT25D</v>
      </c>
      <c r="C3712" t="s">
        <v>3422</v>
      </c>
    </row>
    <row r="3713" spans="1:3">
      <c r="A3713" t="s">
        <v>3360</v>
      </c>
      <c r="B3713" t="str">
        <f ca="1">IF(ISBLANK(OFFSET(B3713,0,'Field labels'!$Q$1)),C3713,OFFSET(B3713,0,'Field labels'!$Q$1))</f>
        <v>15IT26A</v>
      </c>
      <c r="C3713" t="s">
        <v>3423</v>
      </c>
    </row>
    <row r="3714" spans="1:3">
      <c r="A3714" t="s">
        <v>3360</v>
      </c>
      <c r="B3714" t="str">
        <f ca="1">IF(ISBLANK(OFFSET(B3714,0,'Field labels'!$Q$1)),C3714,OFFSET(B3714,0,'Field labels'!$Q$1))</f>
        <v>15IT26B</v>
      </c>
      <c r="C3714" t="s">
        <v>3424</v>
      </c>
    </row>
    <row r="3715" spans="1:3">
      <c r="A3715" t="s">
        <v>3360</v>
      </c>
      <c r="B3715" t="str">
        <f ca="1">IF(ISBLANK(OFFSET(B3715,0,'Field labels'!$Q$1)),C3715,OFFSET(B3715,0,'Field labels'!$Q$1))</f>
        <v>15IT26C</v>
      </c>
      <c r="C3715" t="s">
        <v>3425</v>
      </c>
    </row>
    <row r="3716" spans="1:3">
      <c r="A3716" t="s">
        <v>3360</v>
      </c>
      <c r="B3716" t="str">
        <f ca="1">IF(ISBLANK(OFFSET(B3716,0,'Field labels'!$Q$1)),C3716,OFFSET(B3716,0,'Field labels'!$Q$1))</f>
        <v>15IT26D</v>
      </c>
      <c r="C3716" t="s">
        <v>3426</v>
      </c>
    </row>
    <row r="3717" spans="1:3">
      <c r="A3717" t="s">
        <v>3360</v>
      </c>
      <c r="B3717" t="str">
        <f ca="1">IF(ISBLANK(OFFSET(B3717,0,'Field labels'!$Q$1)),C3717,OFFSET(B3717,0,'Field labels'!$Q$1))</f>
        <v>15IT26E</v>
      </c>
      <c r="C3717" t="s">
        <v>3427</v>
      </c>
    </row>
    <row r="3718" spans="1:3">
      <c r="A3718" t="s">
        <v>3360</v>
      </c>
      <c r="B3718" t="str">
        <f ca="1">IF(ISBLANK(OFFSET(B3718,0,'Field labels'!$Q$1)),C3718,OFFSET(B3718,0,'Field labels'!$Q$1))</f>
        <v>15ITZ1A</v>
      </c>
      <c r="C3718" t="s">
        <v>3428</v>
      </c>
    </row>
    <row r="3719" spans="1:3">
      <c r="A3719" t="s">
        <v>3360</v>
      </c>
      <c r="B3719" t="str">
        <f ca="1">IF(ISBLANK(OFFSET(B3719,0,'Field labels'!$Q$1)),C3719,OFFSET(B3719,0,'Field labels'!$Q$1))</f>
        <v>15ITZ1B</v>
      </c>
      <c r="C3719" t="s">
        <v>3429</v>
      </c>
    </row>
    <row r="3720" spans="1:3">
      <c r="A3720" t="s">
        <v>3360</v>
      </c>
      <c r="B3720" t="str">
        <f ca="1">IF(ISBLANK(OFFSET(B3720,0,'Field labels'!$Q$1)),C3720,OFFSET(B3720,0,'Field labels'!$Q$1))</f>
        <v>15ITZ2A</v>
      </c>
      <c r="C3720" t="s">
        <v>3430</v>
      </c>
    </row>
    <row r="3721" spans="1:3">
      <c r="A3721" t="s">
        <v>3360</v>
      </c>
      <c r="B3721" t="str">
        <f ca="1">IF(ISBLANK(OFFSET(B3721,0,'Field labels'!$Q$1)),C3721,OFFSET(B3721,0,'Field labels'!$Q$1))</f>
        <v>15ITZ2B</v>
      </c>
      <c r="C3721" t="s">
        <v>3431</v>
      </c>
    </row>
    <row r="3722" spans="1:3">
      <c r="A3722" t="s">
        <v>3360</v>
      </c>
      <c r="B3722" t="str">
        <f ca="1">IF(ISBLANK(OFFSET(B3722,0,'Field labels'!$Q$1)),C3722,OFFSET(B3722,0,'Field labels'!$Q$1))</f>
        <v>15ITZ3A</v>
      </c>
      <c r="C3722" t="s">
        <v>3432</v>
      </c>
    </row>
    <row r="3723" spans="1:3">
      <c r="A3723" t="s">
        <v>3360</v>
      </c>
      <c r="B3723" t="str">
        <f ca="1">IF(ISBLANK(OFFSET(B3723,0,'Field labels'!$Q$1)),C3723,OFFSET(B3723,0,'Field labels'!$Q$1))</f>
        <v>15ITZ3B</v>
      </c>
      <c r="C3723" t="s">
        <v>3433</v>
      </c>
    </row>
    <row r="3724" spans="1:3">
      <c r="A3724" t="s">
        <v>3360</v>
      </c>
      <c r="B3724" t="str">
        <f ca="1">IF(ISBLANK(OFFSET(B3724,0,'Field labels'!$Q$1)),C3724,OFFSET(B3724,0,'Field labels'!$Q$1))</f>
        <v>15ITZ3C</v>
      </c>
      <c r="C3724" t="s">
        <v>3434</v>
      </c>
    </row>
    <row r="3725" spans="1:3">
      <c r="A3725" t="s">
        <v>3360</v>
      </c>
      <c r="B3725" t="str">
        <f ca="1">IF(ISBLANK(OFFSET(B3725,0,'Field labels'!$Q$1)),C3725,OFFSET(B3725,0,'Field labels'!$Q$1))</f>
        <v>15ITZ4A</v>
      </c>
      <c r="C3725" t="s">
        <v>3435</v>
      </c>
    </row>
    <row r="3726" spans="1:3">
      <c r="A3726" t="s">
        <v>3360</v>
      </c>
      <c r="B3726" t="str">
        <f ca="1">IF(ISBLANK(OFFSET(B3726,0,'Field labels'!$Q$1)),C3726,OFFSET(B3726,0,'Field labels'!$Q$1))</f>
        <v>15ITZ4B</v>
      </c>
      <c r="C3726" t="s">
        <v>3436</v>
      </c>
    </row>
    <row r="3727" spans="1:3">
      <c r="A3727" t="s">
        <v>3360</v>
      </c>
      <c r="B3727" t="str">
        <f ca="1">IF(ISBLANK(OFFSET(B3727,0,'Field labels'!$Q$1)),C3727,OFFSET(B3727,0,'Field labels'!$Q$1))</f>
        <v>15ITZ4C</v>
      </c>
      <c r="C3727" t="s">
        <v>3437</v>
      </c>
    </row>
    <row r="3728" spans="1:3">
      <c r="A3728" t="s">
        <v>3360</v>
      </c>
      <c r="B3728" t="str">
        <f ca="1">IF(ISBLANK(OFFSET(B3728,0,'Field labels'!$Q$1)),C3728,OFFSET(B3728,0,'Field labels'!$Q$1))</f>
        <v>1b-0</v>
      </c>
      <c r="C3728" t="s">
        <v>3438</v>
      </c>
    </row>
    <row r="3729" spans="1:3">
      <c r="A3729" t="s">
        <v>3360</v>
      </c>
      <c r="B3729" t="str">
        <f ca="1">IF(ISBLANK(OFFSET(B3729,0,'Field labels'!$Q$1)),C3729,OFFSET(B3729,0,'Field labels'!$Q$1))</f>
        <v>1b-1</v>
      </c>
      <c r="C3729" t="s">
        <v>3439</v>
      </c>
    </row>
    <row r="3730" spans="1:3">
      <c r="A3730" t="s">
        <v>3360</v>
      </c>
      <c r="B3730" t="str">
        <f ca="1">IF(ISBLANK(OFFSET(B3730,0,'Field labels'!$Q$1)),C3730,OFFSET(B3730,0,'Field labels'!$Q$1))</f>
        <v>2-0</v>
      </c>
      <c r="C3730" t="s">
        <v>3440</v>
      </c>
    </row>
    <row r="3731" spans="1:3">
      <c r="A3731" t="s">
        <v>3360</v>
      </c>
      <c r="B3731" t="str">
        <f ca="1">IF(ISBLANK(OFFSET(B3731,0,'Field labels'!$Q$1)),C3731,OFFSET(B3731,0,'Field labels'!$Q$1))</f>
        <v>2-1</v>
      </c>
      <c r="C3731" t="s">
        <v>3441</v>
      </c>
    </row>
    <row r="3732" spans="1:3">
      <c r="A3732" t="s">
        <v>3360</v>
      </c>
      <c r="B3732" t="str">
        <f ca="1">IF(ISBLANK(OFFSET(B3732,0,'Field labels'!$Q$1)),C3732,OFFSET(B3732,0,'Field labels'!$Q$1))</f>
        <v>2-18</v>
      </c>
      <c r="C3732" t="s">
        <v>3442</v>
      </c>
    </row>
    <row r="3733" spans="1:3">
      <c r="A3733" t="s">
        <v>3360</v>
      </c>
      <c r="B3733" t="str">
        <f ca="1">IF(ISBLANK(OFFSET(B3733,0,'Field labels'!$Q$1)),C3733,OFFSET(B3733,0,'Field labels'!$Q$1))</f>
        <v>2-19</v>
      </c>
      <c r="C3733" t="s">
        <v>3443</v>
      </c>
    </row>
    <row r="3734" spans="1:3">
      <c r="A3734" t="s">
        <v>3360</v>
      </c>
      <c r="B3734" t="str">
        <f ca="1">IF(ISBLANK(OFFSET(B3734,0,'Field labels'!$Q$1)),C3734,OFFSET(B3734,0,'Field labels'!$Q$1))</f>
        <v>2-2</v>
      </c>
      <c r="C3734" t="s">
        <v>3444</v>
      </c>
    </row>
    <row r="3735" spans="1:3">
      <c r="A3735" t="s">
        <v>3360</v>
      </c>
      <c r="B3735" t="str">
        <f ca="1">IF(ISBLANK(OFFSET(B3735,0,'Field labels'!$Q$1)),C3735,OFFSET(B3735,0,'Field labels'!$Q$1))</f>
        <v>2-20</v>
      </c>
      <c r="C3735" t="s">
        <v>3445</v>
      </c>
    </row>
    <row r="3736" spans="1:3">
      <c r="A3736" t="s">
        <v>3360</v>
      </c>
      <c r="B3736" t="str">
        <f ca="1">IF(ISBLANK(OFFSET(B3736,0,'Field labels'!$Q$1)),C3736,OFFSET(B3736,0,'Field labels'!$Q$1))</f>
        <v>2-3</v>
      </c>
      <c r="C3736" t="s">
        <v>3446</v>
      </c>
    </row>
    <row r="3737" spans="1:3">
      <c r="A3737" t="s">
        <v>3360</v>
      </c>
      <c r="B3737" t="str">
        <f ca="1">IF(ISBLANK(OFFSET(B3737,0,'Field labels'!$Q$1)),C3737,OFFSET(B3737,0,'Field labels'!$Q$1))</f>
        <v>2-4</v>
      </c>
      <c r="C3737" t="s">
        <v>3447</v>
      </c>
    </row>
    <row r="3738" spans="1:3">
      <c r="A3738" t="s">
        <v>3360</v>
      </c>
      <c r="B3738" t="str">
        <f ca="1">IF(ISBLANK(OFFSET(B3738,0,'Field labels'!$Q$1)),C3738,OFFSET(B3738,0,'Field labels'!$Q$1))</f>
        <v>2-5</v>
      </c>
      <c r="C3738" t="s">
        <v>3448</v>
      </c>
    </row>
    <row r="3739" spans="1:3">
      <c r="A3739" t="s">
        <v>3360</v>
      </c>
      <c r="B3739" t="str">
        <f ca="1">IF(ISBLANK(OFFSET(B3739,0,'Field labels'!$Q$1)),C3739,OFFSET(B3739,0,'Field labels'!$Q$1))</f>
        <v>2-6</v>
      </c>
      <c r="C3739" t="s">
        <v>3449</v>
      </c>
    </row>
    <row r="3740" spans="1:3">
      <c r="A3740" t="s">
        <v>3360</v>
      </c>
      <c r="B3740" t="str">
        <f ca="1">IF(ISBLANK(OFFSET(B3740,0,'Field labels'!$Q$1)),C3740,OFFSET(B3740,0,'Field labels'!$Q$1))</f>
        <v>3-0</v>
      </c>
      <c r="C3740" t="s">
        <v>3450</v>
      </c>
    </row>
    <row r="3741" spans="1:3">
      <c r="A3741" t="s">
        <v>3360</v>
      </c>
      <c r="B3741" t="str">
        <f ca="1">IF(ISBLANK(OFFSET(B3741,0,'Field labels'!$Q$1)),C3741,OFFSET(B3741,0,'Field labels'!$Q$1))</f>
        <v>3-1</v>
      </c>
      <c r="C3741" t="s">
        <v>3451</v>
      </c>
    </row>
    <row r="3742" spans="1:3">
      <c r="A3742" t="s">
        <v>3360</v>
      </c>
      <c r="B3742" t="str">
        <f ca="1">IF(ISBLANK(OFFSET(B3742,0,'Field labels'!$Q$1)),C3742,OFFSET(B3742,0,'Field labels'!$Q$1))</f>
        <v>3-2</v>
      </c>
      <c r="C3742" t="s">
        <v>3452</v>
      </c>
    </row>
    <row r="3743" spans="1:3">
      <c r="A3743" t="s">
        <v>3360</v>
      </c>
      <c r="B3743" t="str">
        <f ca="1">IF(ISBLANK(OFFSET(B3743,0,'Field labels'!$Q$1)),C3743,OFFSET(B3743,0,'Field labels'!$Q$1))</f>
        <v>3-3</v>
      </c>
      <c r="C3743" t="s">
        <v>3453</v>
      </c>
    </row>
    <row r="3744" spans="1:3">
      <c r="A3744" t="s">
        <v>3360</v>
      </c>
      <c r="B3744" t="str">
        <f ca="1">IF(ISBLANK(OFFSET(B3744,0,'Field labels'!$Q$1)),C3744,OFFSET(B3744,0,'Field labels'!$Q$1))</f>
        <v>3-4</v>
      </c>
      <c r="C3744" t="s">
        <v>3454</v>
      </c>
    </row>
    <row r="3745" spans="1:3">
      <c r="A3745" t="s">
        <v>3360</v>
      </c>
      <c r="B3745" t="str">
        <f ca="1">IF(ISBLANK(OFFSET(B3745,0,'Field labels'!$Q$1)),C3745,OFFSET(B3745,0,'Field labels'!$Q$1))</f>
        <v>3-5</v>
      </c>
      <c r="C3745" t="s">
        <v>3455</v>
      </c>
    </row>
    <row r="3746" spans="1:3">
      <c r="A3746" t="s">
        <v>3360</v>
      </c>
      <c r="B3746" t="str">
        <f ca="1">IF(ISBLANK(OFFSET(B3746,0,'Field labels'!$Q$1)),C3746,OFFSET(B3746,0,'Field labels'!$Q$1))</f>
        <v>3-6</v>
      </c>
      <c r="C3746" t="s">
        <v>3456</v>
      </c>
    </row>
    <row r="3747" spans="1:3">
      <c r="A3747" t="s">
        <v>3360</v>
      </c>
      <c r="B3747" t="str">
        <f ca="1">IF(ISBLANK(OFFSET(B3747,0,'Field labels'!$Q$1)),C3747,OFFSET(B3747,0,'Field labels'!$Q$1))</f>
        <v>4-0</v>
      </c>
      <c r="C3747" t="s">
        <v>3457</v>
      </c>
    </row>
    <row r="3748" spans="1:3">
      <c r="A3748" t="s">
        <v>3360</v>
      </c>
      <c r="B3748" t="str">
        <f ca="1">IF(ISBLANK(OFFSET(B3748,0,'Field labels'!$Q$1)),C3748,OFFSET(B3748,0,'Field labels'!$Q$1))</f>
        <v>4-1</v>
      </c>
      <c r="C3748" t="s">
        <v>3458</v>
      </c>
    </row>
    <row r="3749" spans="1:3">
      <c r="A3749" t="s">
        <v>3360</v>
      </c>
      <c r="B3749" t="str">
        <f ca="1">IF(ISBLANK(OFFSET(B3749,0,'Field labels'!$Q$1)),C3749,OFFSET(B3749,0,'Field labels'!$Q$1))</f>
        <v>4-2</v>
      </c>
      <c r="C3749" t="s">
        <v>3459</v>
      </c>
    </row>
    <row r="3750" spans="1:3">
      <c r="A3750" t="s">
        <v>3360</v>
      </c>
      <c r="B3750" t="str">
        <f ca="1">IF(ISBLANK(OFFSET(B3750,0,'Field labels'!$Q$1)),C3750,OFFSET(B3750,0,'Field labels'!$Q$1))</f>
        <v>4-3</v>
      </c>
      <c r="C3750" t="s">
        <v>3460</v>
      </c>
    </row>
    <row r="3751" spans="1:3">
      <c r="A3751" t="s">
        <v>3360</v>
      </c>
      <c r="B3751" t="str">
        <f ca="1">IF(ISBLANK(OFFSET(B3751,0,'Field labels'!$Q$1)),C3751,OFFSET(B3751,0,'Field labels'!$Q$1))</f>
        <v>4-4</v>
      </c>
      <c r="C3751" t="s">
        <v>3461</v>
      </c>
    </row>
    <row r="3752" spans="1:3">
      <c r="A3752" t="s">
        <v>3360</v>
      </c>
      <c r="B3752" t="str">
        <f ca="1">IF(ISBLANK(OFFSET(B3752,0,'Field labels'!$Q$1)),C3752,OFFSET(B3752,0,'Field labels'!$Q$1))</f>
        <v>4-5</v>
      </c>
      <c r="C3752" t="s">
        <v>3462</v>
      </c>
    </row>
    <row r="3753" spans="1:3">
      <c r="A3753" t="s">
        <v>3360</v>
      </c>
      <c r="B3753" t="str">
        <f ca="1">IF(ISBLANK(OFFSET(B3753,0,'Field labels'!$Q$1)),C3753,OFFSET(B3753,0,'Field labels'!$Q$1))</f>
        <v>4-6</v>
      </c>
      <c r="C3753" t="s">
        <v>3463</v>
      </c>
    </row>
    <row r="3754" spans="1:3">
      <c r="A3754" t="s">
        <v>3360</v>
      </c>
      <c r="B3754" t="str">
        <f ca="1">IF(ISBLANK(OFFSET(B3754,0,'Field labels'!$Q$1)),C3754,OFFSET(B3754,0,'Field labels'!$Q$1))</f>
        <v>5-0</v>
      </c>
      <c r="C3754" t="s">
        <v>3464</v>
      </c>
    </row>
    <row r="3755" spans="1:3">
      <c r="A3755" t="s">
        <v>3360</v>
      </c>
      <c r="B3755" t="str">
        <f ca="1">IF(ISBLANK(OFFSET(B3755,0,'Field labels'!$Q$1)),C3755,OFFSET(B3755,0,'Field labels'!$Q$1))</f>
        <v>5-1</v>
      </c>
      <c r="C3755" t="s">
        <v>3465</v>
      </c>
    </row>
    <row r="3756" spans="1:3">
      <c r="A3756" t="s">
        <v>3360</v>
      </c>
      <c r="B3756" t="str">
        <f ca="1">IF(ISBLANK(OFFSET(B3756,0,'Field labels'!$Q$1)),C3756,OFFSET(B3756,0,'Field labels'!$Q$1))</f>
        <v>5-2</v>
      </c>
      <c r="C3756" t="s">
        <v>3466</v>
      </c>
    </row>
    <row r="3757" spans="1:3">
      <c r="A3757" t="s">
        <v>3360</v>
      </c>
      <c r="B3757" t="str">
        <f ca="1">IF(ISBLANK(OFFSET(B3757,0,'Field labels'!$Q$1)),C3757,OFFSET(B3757,0,'Field labels'!$Q$1))</f>
        <v>5-3</v>
      </c>
      <c r="C3757" t="s">
        <v>3467</v>
      </c>
    </row>
    <row r="3758" spans="1:3">
      <c r="A3758" t="s">
        <v>3360</v>
      </c>
      <c r="B3758" t="str">
        <f ca="1">IF(ISBLANK(OFFSET(B3758,0,'Field labels'!$Q$1)),C3758,OFFSET(B3758,0,'Field labels'!$Q$1))</f>
        <v>5-4</v>
      </c>
      <c r="C3758" t="s">
        <v>3468</v>
      </c>
    </row>
    <row r="3759" spans="1:3">
      <c r="A3759" t="s">
        <v>3360</v>
      </c>
      <c r="B3759" t="str">
        <f ca="1">IF(ISBLANK(OFFSET(B3759,0,'Field labels'!$Q$1)),C3759,OFFSET(B3759,0,'Field labels'!$Q$1))</f>
        <v>5-5</v>
      </c>
      <c r="C3759" t="s">
        <v>3469</v>
      </c>
    </row>
    <row r="3760" spans="1:3">
      <c r="A3760" t="s">
        <v>3360</v>
      </c>
      <c r="B3760" t="str">
        <f ca="1">IF(ISBLANK(OFFSET(B3760,0,'Field labels'!$Q$1)),C3760,OFFSET(B3760,0,'Field labels'!$Q$1))</f>
        <v>5-6</v>
      </c>
      <c r="C3760" t="s">
        <v>3470</v>
      </c>
    </row>
    <row r="3761" spans="1:3">
      <c r="A3761" t="s">
        <v>3360</v>
      </c>
      <c r="B3761" t="str">
        <f ca="1">IF(ISBLANK(OFFSET(B3761,0,'Field labels'!$Q$1)),C3761,OFFSET(B3761,0,'Field labels'!$Q$1))</f>
        <v>5-7</v>
      </c>
      <c r="C3761" t="s">
        <v>3471</v>
      </c>
    </row>
    <row r="3762" spans="1:3">
      <c r="A3762" t="s">
        <v>3360</v>
      </c>
      <c r="B3762" t="str">
        <f ca="1">IF(ISBLANK(OFFSET(B3762,0,'Field labels'!$Q$1)),C3762,OFFSET(B3762,0,'Field labels'!$Q$1))</f>
        <v>6-0</v>
      </c>
      <c r="C3762" t="s">
        <v>3472</v>
      </c>
    </row>
    <row r="3763" spans="1:3">
      <c r="A3763" t="s">
        <v>3360</v>
      </c>
      <c r="B3763" t="str">
        <f ca="1">IF(ISBLANK(OFFSET(B3763,0,'Field labels'!$Q$1)),C3763,OFFSET(B3763,0,'Field labels'!$Q$1))</f>
        <v>6-1</v>
      </c>
      <c r="C3763" t="s">
        <v>3473</v>
      </c>
    </row>
    <row r="3764" spans="1:3">
      <c r="A3764" t="s">
        <v>3360</v>
      </c>
      <c r="B3764" t="str">
        <f ca="1">IF(ISBLANK(OFFSET(B3764,0,'Field labels'!$Q$1)),C3764,OFFSET(B3764,0,'Field labels'!$Q$1))</f>
        <v>6-2</v>
      </c>
      <c r="C3764" t="s">
        <v>3474</v>
      </c>
    </row>
    <row r="3765" spans="1:3">
      <c r="A3765" t="s">
        <v>3360</v>
      </c>
      <c r="B3765" t="str">
        <f ca="1">IF(ISBLANK(OFFSET(B3765,0,'Field labels'!$Q$1)),C3765,OFFSET(B3765,0,'Field labels'!$Q$1))</f>
        <v>6-3</v>
      </c>
      <c r="C3765" t="s">
        <v>3475</v>
      </c>
    </row>
    <row r="3766" spans="1:3">
      <c r="A3766" t="s">
        <v>3360</v>
      </c>
      <c r="B3766" t="str">
        <f ca="1">IF(ISBLANK(OFFSET(B3766,0,'Field labels'!$Q$1)),C3766,OFFSET(B3766,0,'Field labels'!$Q$1))</f>
        <v>6-4</v>
      </c>
      <c r="C3766" t="s">
        <v>3476</v>
      </c>
    </row>
    <row r="3767" spans="1:3">
      <c r="A3767" t="s">
        <v>3360</v>
      </c>
      <c r="B3767" t="str">
        <f ca="1">IF(ISBLANK(OFFSET(B3767,0,'Field labels'!$Q$1)),C3767,OFFSET(B3767,0,'Field labels'!$Q$1))</f>
        <v>6-5</v>
      </c>
      <c r="C3767" t="s">
        <v>3477</v>
      </c>
    </row>
    <row r="3768" spans="1:3">
      <c r="A3768" t="s">
        <v>3360</v>
      </c>
      <c r="B3768" t="str">
        <f ca="1">IF(ISBLANK(OFFSET(B3768,0,'Field labels'!$Q$1)),C3768,OFFSET(B3768,0,'Field labels'!$Q$1))</f>
        <v>6-6</v>
      </c>
      <c r="C3768" t="s">
        <v>3478</v>
      </c>
    </row>
    <row r="3769" spans="1:3">
      <c r="A3769" t="s">
        <v>3360</v>
      </c>
      <c r="B3769" t="str">
        <f ca="1">IF(ISBLANK(OFFSET(B3769,0,'Field labels'!$Q$1)),C3769,OFFSET(B3769,0,'Field labels'!$Q$1))</f>
        <v>6-7</v>
      </c>
      <c r="C3769" t="s">
        <v>3479</v>
      </c>
    </row>
    <row r="3770" spans="1:3">
      <c r="A3770" t="s">
        <v>3360</v>
      </c>
      <c r="B3770" t="str">
        <f ca="1">IF(ISBLANK(OFFSET(B3770,0,'Field labels'!$Q$1)),C3770,OFFSET(B3770,0,'Field labels'!$Q$1))</f>
        <v>6-8</v>
      </c>
      <c r="C3770" t="s">
        <v>3480</v>
      </c>
    </row>
    <row r="3771" spans="1:3">
      <c r="A3771" t="s">
        <v>3360</v>
      </c>
      <c r="B3771" t="str">
        <f ca="1">IF(ISBLANK(OFFSET(B3771,0,'Field labels'!$Q$1)),C3771,OFFSET(B3771,0,'Field labels'!$Q$1))</f>
        <v>7-0</v>
      </c>
      <c r="C3771" t="s">
        <v>3481</v>
      </c>
    </row>
    <row r="3772" spans="1:3">
      <c r="A3772" t="s">
        <v>3360</v>
      </c>
      <c r="B3772" t="str">
        <f ca="1">IF(ISBLANK(OFFSET(B3772,0,'Field labels'!$Q$1)),C3772,OFFSET(B3772,0,'Field labels'!$Q$1))</f>
        <v>7-1</v>
      </c>
      <c r="C3772" t="s">
        <v>3482</v>
      </c>
    </row>
    <row r="3773" spans="1:3">
      <c r="A3773" t="s">
        <v>3360</v>
      </c>
      <c r="B3773" t="str">
        <f ca="1">IF(ISBLANK(OFFSET(B3773,0,'Field labels'!$Q$1)),C3773,OFFSET(B3773,0,'Field labels'!$Q$1))</f>
        <v>7-2</v>
      </c>
      <c r="C3773" t="s">
        <v>3483</v>
      </c>
    </row>
    <row r="3774" spans="1:3">
      <c r="A3774" t="s">
        <v>3360</v>
      </c>
      <c r="B3774" t="str">
        <f ca="1">IF(ISBLANK(OFFSET(B3774,0,'Field labels'!$Q$1)),C3774,OFFSET(B3774,0,'Field labels'!$Q$1))</f>
        <v>7-3</v>
      </c>
      <c r="C3774" t="s">
        <v>3484</v>
      </c>
    </row>
    <row r="3775" spans="1:3">
      <c r="A3775" t="s">
        <v>3360</v>
      </c>
      <c r="B3775" t="str">
        <f ca="1">IF(ISBLANK(OFFSET(B3775,0,'Field labels'!$Q$1)),C3775,OFFSET(B3775,0,'Field labels'!$Q$1))</f>
        <v>7-4</v>
      </c>
      <c r="C3775" t="s">
        <v>3485</v>
      </c>
    </row>
    <row r="3776" spans="1:3">
      <c r="A3776" t="s">
        <v>3360</v>
      </c>
      <c r="B3776" t="str">
        <f ca="1">IF(ISBLANK(OFFSET(B3776,0,'Field labels'!$Q$1)),C3776,OFFSET(B3776,0,'Field labels'!$Q$1))</f>
        <v>7-5</v>
      </c>
      <c r="C3776" t="s">
        <v>3486</v>
      </c>
    </row>
    <row r="3777" spans="1:3">
      <c r="A3777" t="s">
        <v>3360</v>
      </c>
      <c r="B3777" t="str">
        <f ca="1">IF(ISBLANK(OFFSET(B3777,0,'Field labels'!$Q$1)),C3777,OFFSET(B3777,0,'Field labels'!$Q$1))</f>
        <v>7-6</v>
      </c>
      <c r="C3777" t="s">
        <v>3487</v>
      </c>
    </row>
    <row r="3778" spans="1:3">
      <c r="A3778" t="s">
        <v>3360</v>
      </c>
      <c r="B3778" t="str">
        <f ca="1">IF(ISBLANK(OFFSET(B3778,0,'Field labels'!$Q$1)),C3778,OFFSET(B3778,0,'Field labels'!$Q$1))</f>
        <v>7-7</v>
      </c>
      <c r="C3778" t="s">
        <v>3488</v>
      </c>
    </row>
    <row r="3779" spans="1:3">
      <c r="A3779" t="s">
        <v>3360</v>
      </c>
      <c r="B3779" t="str">
        <f ca="1">IF(ISBLANK(OFFSET(B3779,0,'Field labels'!$Q$1)),C3779,OFFSET(B3779,0,'Field labels'!$Q$1))</f>
        <v>7-8</v>
      </c>
      <c r="C3779" t="s">
        <v>3489</v>
      </c>
    </row>
    <row r="3780" spans="1:3">
      <c r="A3780" t="s">
        <v>3360</v>
      </c>
      <c r="B3780" t="str">
        <f ca="1">IF(ISBLANK(OFFSET(B3780,0,'Field labels'!$Q$1)),C3780,OFFSET(B3780,0,'Field labels'!$Q$1))</f>
        <v>7-9</v>
      </c>
      <c r="C3780" t="s">
        <v>3490</v>
      </c>
    </row>
    <row r="3781" spans="1:3">
      <c r="A3781" t="s">
        <v>3360</v>
      </c>
      <c r="B3781" t="str">
        <f ca="1">IF(ISBLANK(OFFSET(B3781,0,'Field labels'!$Q$1)),C3781,OFFSET(B3781,0,'Field labels'!$Q$1))</f>
        <v>8-0</v>
      </c>
      <c r="C3781" t="s">
        <v>3491</v>
      </c>
    </row>
    <row r="3782" spans="1:3">
      <c r="A3782" t="s">
        <v>3360</v>
      </c>
      <c r="B3782" t="str">
        <f ca="1">IF(ISBLANK(OFFSET(B3782,0,'Field labels'!$Q$1)),C3782,OFFSET(B3782,0,'Field labels'!$Q$1))</f>
        <v>8-1</v>
      </c>
      <c r="C3782" t="s">
        <v>3492</v>
      </c>
    </row>
    <row r="3783" spans="1:3">
      <c r="A3783" t="s">
        <v>3360</v>
      </c>
      <c r="B3783" t="str">
        <f ca="1">IF(ISBLANK(OFFSET(B3783,0,'Field labels'!$Q$1)),C3783,OFFSET(B3783,0,'Field labels'!$Q$1))</f>
        <v>8-10</v>
      </c>
      <c r="C3783" t="s">
        <v>3493</v>
      </c>
    </row>
    <row r="3784" spans="1:3">
      <c r="A3784" t="s">
        <v>3360</v>
      </c>
      <c r="B3784" t="str">
        <f ca="1">IF(ISBLANK(OFFSET(B3784,0,'Field labels'!$Q$1)),C3784,OFFSET(B3784,0,'Field labels'!$Q$1))</f>
        <v>8-2</v>
      </c>
      <c r="C3784" t="s">
        <v>3494</v>
      </c>
    </row>
    <row r="3785" spans="1:3">
      <c r="A3785" t="s">
        <v>3360</v>
      </c>
      <c r="B3785" t="str">
        <f ca="1">IF(ISBLANK(OFFSET(B3785,0,'Field labels'!$Q$1)),C3785,OFFSET(B3785,0,'Field labels'!$Q$1))</f>
        <v>8-3</v>
      </c>
      <c r="C3785" t="s">
        <v>3495</v>
      </c>
    </row>
    <row r="3786" spans="1:3">
      <c r="A3786" t="s">
        <v>3360</v>
      </c>
      <c r="B3786" t="str">
        <f ca="1">IF(ISBLANK(OFFSET(B3786,0,'Field labels'!$Q$1)),C3786,OFFSET(B3786,0,'Field labels'!$Q$1))</f>
        <v>8-4</v>
      </c>
      <c r="C3786" t="s">
        <v>3496</v>
      </c>
    </row>
    <row r="3787" spans="1:3">
      <c r="A3787" t="s">
        <v>3360</v>
      </c>
      <c r="B3787" t="str">
        <f ca="1">IF(ISBLANK(OFFSET(B3787,0,'Field labels'!$Q$1)),C3787,OFFSET(B3787,0,'Field labels'!$Q$1))</f>
        <v>8-5</v>
      </c>
      <c r="C3787" t="s">
        <v>3497</v>
      </c>
    </row>
    <row r="3788" spans="1:3">
      <c r="A3788" t="s">
        <v>3360</v>
      </c>
      <c r="B3788" t="str">
        <f ca="1">IF(ISBLANK(OFFSET(B3788,0,'Field labels'!$Q$1)),C3788,OFFSET(B3788,0,'Field labels'!$Q$1))</f>
        <v>8-6</v>
      </c>
      <c r="C3788" t="s">
        <v>3498</v>
      </c>
    </row>
    <row r="3789" spans="1:3">
      <c r="A3789" t="s">
        <v>3360</v>
      </c>
      <c r="B3789" t="str">
        <f ca="1">IF(ISBLANK(OFFSET(B3789,0,'Field labels'!$Q$1)),C3789,OFFSET(B3789,0,'Field labels'!$Q$1))</f>
        <v>8-7</v>
      </c>
      <c r="C3789" t="s">
        <v>3499</v>
      </c>
    </row>
    <row r="3790" spans="1:3">
      <c r="A3790" t="s">
        <v>3360</v>
      </c>
      <c r="B3790" t="str">
        <f ca="1">IF(ISBLANK(OFFSET(B3790,0,'Field labels'!$Q$1)),C3790,OFFSET(B3790,0,'Field labels'!$Q$1))</f>
        <v>8-8</v>
      </c>
      <c r="C3790" t="s">
        <v>3500</v>
      </c>
    </row>
    <row r="3791" spans="1:3">
      <c r="A3791" t="s">
        <v>3360</v>
      </c>
      <c r="B3791" t="str">
        <f ca="1">IF(ISBLANK(OFFSET(B3791,0,'Field labels'!$Q$1)),C3791,OFFSET(B3791,0,'Field labels'!$Q$1))</f>
        <v>8-9</v>
      </c>
      <c r="C3791" t="s">
        <v>3501</v>
      </c>
    </row>
    <row r="3792" spans="1:3">
      <c r="A3792" t="s">
        <v>3360</v>
      </c>
      <c r="B3792" t="str">
        <f ca="1">IF(ISBLANK(OFFSET(B3792,0,'Field labels'!$Q$1)),C3792,OFFSET(B3792,0,'Field labels'!$Q$1))</f>
        <v>9-0</v>
      </c>
      <c r="C3792" t="s">
        <v>3502</v>
      </c>
    </row>
    <row r="3793" spans="1:3">
      <c r="A3793" t="s">
        <v>3360</v>
      </c>
      <c r="B3793" t="str">
        <f ca="1">IF(ISBLANK(OFFSET(B3793,0,'Field labels'!$Q$1)),C3793,OFFSET(B3793,0,'Field labels'!$Q$1))</f>
        <v>9-1</v>
      </c>
      <c r="C3793" t="s">
        <v>3503</v>
      </c>
    </row>
    <row r="3794" spans="1:3">
      <c r="A3794" t="s">
        <v>3360</v>
      </c>
      <c r="B3794" t="str">
        <f ca="1">IF(ISBLANK(OFFSET(B3794,0,'Field labels'!$Q$1)),C3794,OFFSET(B3794,0,'Field labels'!$Q$1))</f>
        <v>9-10</v>
      </c>
      <c r="C3794" t="s">
        <v>3504</v>
      </c>
    </row>
    <row r="3795" spans="1:3">
      <c r="A3795" t="s">
        <v>3360</v>
      </c>
      <c r="B3795" t="str">
        <f ca="1">IF(ISBLANK(OFFSET(B3795,0,'Field labels'!$Q$1)),C3795,OFFSET(B3795,0,'Field labels'!$Q$1))</f>
        <v>9-11</v>
      </c>
      <c r="C3795" t="s">
        <v>3505</v>
      </c>
    </row>
    <row r="3796" spans="1:3">
      <c r="A3796" t="s">
        <v>3360</v>
      </c>
      <c r="B3796" t="str">
        <f ca="1">IF(ISBLANK(OFFSET(B3796,0,'Field labels'!$Q$1)),C3796,OFFSET(B3796,0,'Field labels'!$Q$1))</f>
        <v>9-2</v>
      </c>
      <c r="C3796" t="s">
        <v>3506</v>
      </c>
    </row>
    <row r="3797" spans="1:3">
      <c r="A3797" t="s">
        <v>3360</v>
      </c>
      <c r="B3797" t="str">
        <f ca="1">IF(ISBLANK(OFFSET(B3797,0,'Field labels'!$Q$1)),C3797,OFFSET(B3797,0,'Field labels'!$Q$1))</f>
        <v>9-3</v>
      </c>
      <c r="C3797" t="s">
        <v>3507</v>
      </c>
    </row>
    <row r="3798" spans="1:3">
      <c r="A3798" t="s">
        <v>3360</v>
      </c>
      <c r="B3798" t="str">
        <f ca="1">IF(ISBLANK(OFFSET(B3798,0,'Field labels'!$Q$1)),C3798,OFFSET(B3798,0,'Field labels'!$Q$1))</f>
        <v>9-4</v>
      </c>
      <c r="C3798" t="s">
        <v>3508</v>
      </c>
    </row>
    <row r="3799" spans="1:3">
      <c r="A3799" t="s">
        <v>3360</v>
      </c>
      <c r="B3799" t="str">
        <f ca="1">IF(ISBLANK(OFFSET(B3799,0,'Field labels'!$Q$1)),C3799,OFFSET(B3799,0,'Field labels'!$Q$1))</f>
        <v>9-5</v>
      </c>
      <c r="C3799" t="s">
        <v>3509</v>
      </c>
    </row>
    <row r="3800" spans="1:3">
      <c r="A3800" t="s">
        <v>3360</v>
      </c>
      <c r="B3800" t="str">
        <f ca="1">IF(ISBLANK(OFFSET(B3800,0,'Field labels'!$Q$1)),C3800,OFFSET(B3800,0,'Field labels'!$Q$1))</f>
        <v>9-6</v>
      </c>
      <c r="C3800" t="s">
        <v>3510</v>
      </c>
    </row>
    <row r="3801" spans="1:3">
      <c r="A3801" t="s">
        <v>3360</v>
      </c>
      <c r="B3801" t="str">
        <f ca="1">IF(ISBLANK(OFFSET(B3801,0,'Field labels'!$Q$1)),C3801,OFFSET(B3801,0,'Field labels'!$Q$1))</f>
        <v>9-7</v>
      </c>
      <c r="C3801" t="s">
        <v>3511</v>
      </c>
    </row>
    <row r="3802" spans="1:3">
      <c r="A3802" t="s">
        <v>3360</v>
      </c>
      <c r="B3802" t="str">
        <f ca="1">IF(ISBLANK(OFFSET(B3802,0,'Field labels'!$Q$1)),C3802,OFFSET(B3802,0,'Field labels'!$Q$1))</f>
        <v>9-8</v>
      </c>
      <c r="C3802" t="s">
        <v>3512</v>
      </c>
    </row>
    <row r="3803" spans="1:3">
      <c r="A3803" t="s">
        <v>3360</v>
      </c>
      <c r="B3803" t="str">
        <f ca="1">IF(ISBLANK(OFFSET(B3803,0,'Field labels'!$Q$1)),C3803,OFFSET(B3803,0,'Field labels'!$Q$1))</f>
        <v>9-9</v>
      </c>
      <c r="C3803" t="s">
        <v>3513</v>
      </c>
    </row>
    <row r="3804" spans="1:3">
      <c r="A3804" t="s">
        <v>3360</v>
      </c>
      <c r="B3804" t="str">
        <f ca="1">IF(ISBLANK(OFFSET(B3804,0,'Field labels'!$Q$1)),C3804,OFFSET(B3804,0,'Field labels'!$Q$1))</f>
        <v>A-0</v>
      </c>
      <c r="C3804" t="s">
        <v>3514</v>
      </c>
    </row>
    <row r="3805" spans="1:3">
      <c r="A3805" t="s">
        <v>3360</v>
      </c>
      <c r="B3805" t="str">
        <f ca="1">IF(ISBLANK(OFFSET(B3805,0,'Field labels'!$Q$1)),C3805,OFFSET(B3805,0,'Field labels'!$Q$1))</f>
        <v>A-1</v>
      </c>
      <c r="C3805" t="s">
        <v>3515</v>
      </c>
    </row>
    <row r="3806" spans="1:3">
      <c r="A3806" t="s">
        <v>3360</v>
      </c>
      <c r="B3806" t="str">
        <f ca="1">IF(ISBLANK(OFFSET(B3806,0,'Field labels'!$Q$1)),C3806,OFFSET(B3806,0,'Field labels'!$Q$1))</f>
        <v>A-16</v>
      </c>
      <c r="C3806" t="s">
        <v>3516</v>
      </c>
    </row>
    <row r="3807" spans="1:3">
      <c r="A3807" t="s">
        <v>3360</v>
      </c>
      <c r="B3807" t="str">
        <f ca="1">IF(ISBLANK(OFFSET(B3807,0,'Field labels'!$Q$1)),C3807,OFFSET(B3807,0,'Field labels'!$Q$1))</f>
        <v>A-17</v>
      </c>
      <c r="C3807" t="s">
        <v>3517</v>
      </c>
    </row>
    <row r="3808" spans="1:3">
      <c r="A3808" t="s">
        <v>3360</v>
      </c>
      <c r="B3808" t="str">
        <f ca="1">IF(ISBLANK(OFFSET(B3808,0,'Field labels'!$Q$1)),C3808,OFFSET(B3808,0,'Field labels'!$Q$1))</f>
        <v>A-18</v>
      </c>
      <c r="C3808" t="s">
        <v>3518</v>
      </c>
    </row>
    <row r="3809" spans="1:3">
      <c r="A3809" t="s">
        <v>3360</v>
      </c>
      <c r="B3809" t="str">
        <f ca="1">IF(ISBLANK(OFFSET(B3809,0,'Field labels'!$Q$1)),C3809,OFFSET(B3809,0,'Field labels'!$Q$1))</f>
        <v>A-19</v>
      </c>
      <c r="C3809" t="s">
        <v>3519</v>
      </c>
    </row>
    <row r="3810" spans="1:3">
      <c r="A3810" t="s">
        <v>3360</v>
      </c>
      <c r="B3810" t="str">
        <f ca="1">IF(ISBLANK(OFFSET(B3810,0,'Field labels'!$Q$1)),C3810,OFFSET(B3810,0,'Field labels'!$Q$1))</f>
        <v>A-2</v>
      </c>
      <c r="C3810" t="s">
        <v>3520</v>
      </c>
    </row>
    <row r="3811" spans="1:3">
      <c r="A3811" t="s">
        <v>3360</v>
      </c>
      <c r="B3811" t="str">
        <f ca="1">IF(ISBLANK(OFFSET(B3811,0,'Field labels'!$Q$1)),C3811,OFFSET(B3811,0,'Field labels'!$Q$1))</f>
        <v>A-20</v>
      </c>
      <c r="C3811" t="s">
        <v>3521</v>
      </c>
    </row>
    <row r="3812" spans="1:3">
      <c r="A3812" t="s">
        <v>3360</v>
      </c>
      <c r="B3812" t="str">
        <f ca="1">IF(ISBLANK(OFFSET(B3812,0,'Field labels'!$Q$1)),C3812,OFFSET(B3812,0,'Field labels'!$Q$1))</f>
        <v>A-21</v>
      </c>
      <c r="C3812" t="s">
        <v>3522</v>
      </c>
    </row>
    <row r="3813" spans="1:3">
      <c r="A3813" t="s">
        <v>3360</v>
      </c>
      <c r="B3813" t="str">
        <f ca="1">IF(ISBLANK(OFFSET(B3813,0,'Field labels'!$Q$1)),C3813,OFFSET(B3813,0,'Field labels'!$Q$1))</f>
        <v>A-22</v>
      </c>
      <c r="C3813" t="s">
        <v>3523</v>
      </c>
    </row>
    <row r="3814" spans="1:3">
      <c r="A3814" t="s">
        <v>3360</v>
      </c>
      <c r="B3814" t="str">
        <f ca="1">IF(ISBLANK(OFFSET(B3814,0,'Field labels'!$Q$1)),C3814,OFFSET(B3814,0,'Field labels'!$Q$1))</f>
        <v>A-3</v>
      </c>
      <c r="C3814" t="s">
        <v>3524</v>
      </c>
    </row>
    <row r="3815" spans="1:3">
      <c r="A3815" t="s">
        <v>3360</v>
      </c>
      <c r="B3815" t="str">
        <f ca="1">IF(ISBLANK(OFFSET(B3815,0,'Field labels'!$Q$1)),C3815,OFFSET(B3815,0,'Field labels'!$Q$1))</f>
        <v>A-4</v>
      </c>
      <c r="C3815" t="s">
        <v>3525</v>
      </c>
    </row>
    <row r="3816" spans="1:3">
      <c r="A3816" t="s">
        <v>3360</v>
      </c>
      <c r="B3816" t="str">
        <f ca="1">IF(ISBLANK(OFFSET(B3816,0,'Field labels'!$Q$1)),C3816,OFFSET(B3816,0,'Field labels'!$Q$1))</f>
        <v>A-5</v>
      </c>
      <c r="C3816" t="s">
        <v>3526</v>
      </c>
    </row>
    <row r="3817" spans="1:3">
      <c r="A3817" t="s">
        <v>3360</v>
      </c>
      <c r="B3817" t="str">
        <f ca="1">IF(ISBLANK(OFFSET(B3817,0,'Field labels'!$Q$1)),C3817,OFFSET(B3817,0,'Field labels'!$Q$1))</f>
        <v>A-6</v>
      </c>
      <c r="C3817" t="s">
        <v>3527</v>
      </c>
    </row>
    <row r="3818" spans="1:3">
      <c r="A3818" t="s">
        <v>3360</v>
      </c>
      <c r="B3818" t="str">
        <f ca="1">IF(ISBLANK(OFFSET(B3818,0,'Field labels'!$Q$1)),C3818,OFFSET(B3818,0,'Field labels'!$Q$1))</f>
        <v>A-7</v>
      </c>
      <c r="C3818" t="s">
        <v>3528</v>
      </c>
    </row>
    <row r="3819" spans="1:3">
      <c r="A3819" t="s">
        <v>3360</v>
      </c>
      <c r="B3819" t="str">
        <f ca="1">IF(ISBLANK(OFFSET(B3819,0,'Field labels'!$Q$1)),C3819,OFFSET(B3819,0,'Field labels'!$Q$1))</f>
        <v>B-0</v>
      </c>
      <c r="C3819" t="s">
        <v>3529</v>
      </c>
    </row>
    <row r="3820" spans="1:3">
      <c r="A3820" t="s">
        <v>3360</v>
      </c>
      <c r="B3820" t="str">
        <f ca="1">IF(ISBLANK(OFFSET(B3820,0,'Field labels'!$Q$1)),C3820,OFFSET(B3820,0,'Field labels'!$Q$1))</f>
        <v>B-1</v>
      </c>
      <c r="C3820" t="s">
        <v>3530</v>
      </c>
    </row>
    <row r="3821" spans="1:3">
      <c r="A3821" t="s">
        <v>3360</v>
      </c>
      <c r="B3821" t="str">
        <f ca="1">IF(ISBLANK(OFFSET(B3821,0,'Field labels'!$Q$1)),C3821,OFFSET(B3821,0,'Field labels'!$Q$1))</f>
        <v>B-16</v>
      </c>
      <c r="C3821" t="s">
        <v>3531</v>
      </c>
    </row>
    <row r="3822" spans="1:3">
      <c r="A3822" t="s">
        <v>3360</v>
      </c>
      <c r="B3822" t="str">
        <f ca="1">IF(ISBLANK(OFFSET(B3822,0,'Field labels'!$Q$1)),C3822,OFFSET(B3822,0,'Field labels'!$Q$1))</f>
        <v>B-17</v>
      </c>
      <c r="C3822" t="s">
        <v>3532</v>
      </c>
    </row>
    <row r="3823" spans="1:3">
      <c r="A3823" t="s">
        <v>3360</v>
      </c>
      <c r="B3823" t="str">
        <f ca="1">IF(ISBLANK(OFFSET(B3823,0,'Field labels'!$Q$1)),C3823,OFFSET(B3823,0,'Field labels'!$Q$1))</f>
        <v>B-18</v>
      </c>
      <c r="C3823" t="s">
        <v>3533</v>
      </c>
    </row>
    <row r="3824" spans="1:3">
      <c r="A3824" t="s">
        <v>3360</v>
      </c>
      <c r="B3824" t="str">
        <f ca="1">IF(ISBLANK(OFFSET(B3824,0,'Field labels'!$Q$1)),C3824,OFFSET(B3824,0,'Field labels'!$Q$1))</f>
        <v>B-19</v>
      </c>
      <c r="C3824" t="s">
        <v>3534</v>
      </c>
    </row>
    <row r="3825" spans="1:3">
      <c r="A3825" t="s">
        <v>3360</v>
      </c>
      <c r="B3825" t="str">
        <f ca="1">IF(ISBLANK(OFFSET(B3825,0,'Field labels'!$Q$1)),C3825,OFFSET(B3825,0,'Field labels'!$Q$1))</f>
        <v>B-2</v>
      </c>
      <c r="C3825" t="s">
        <v>3535</v>
      </c>
    </row>
    <row r="3826" spans="1:3">
      <c r="A3826" t="s">
        <v>3360</v>
      </c>
      <c r="B3826" t="str">
        <f ca="1">IF(ISBLANK(OFFSET(B3826,0,'Field labels'!$Q$1)),C3826,OFFSET(B3826,0,'Field labels'!$Q$1))</f>
        <v>B-20</v>
      </c>
      <c r="C3826" t="s">
        <v>3536</v>
      </c>
    </row>
    <row r="3827" spans="1:3">
      <c r="A3827" t="s">
        <v>3360</v>
      </c>
      <c r="B3827" t="str">
        <f ca="1">IF(ISBLANK(OFFSET(B3827,0,'Field labels'!$Q$1)),C3827,OFFSET(B3827,0,'Field labels'!$Q$1))</f>
        <v>B-21</v>
      </c>
      <c r="C3827" t="s">
        <v>3537</v>
      </c>
    </row>
    <row r="3828" spans="1:3">
      <c r="A3828" t="s">
        <v>3360</v>
      </c>
      <c r="B3828" t="str">
        <f ca="1">IF(ISBLANK(OFFSET(B3828,0,'Field labels'!$Q$1)),C3828,OFFSET(B3828,0,'Field labels'!$Q$1))</f>
        <v>B-22</v>
      </c>
      <c r="C3828" t="s">
        <v>3538</v>
      </c>
    </row>
    <row r="3829" spans="1:3">
      <c r="A3829" t="s">
        <v>3360</v>
      </c>
      <c r="B3829" t="str">
        <f ca="1">IF(ISBLANK(OFFSET(B3829,0,'Field labels'!$Q$1)),C3829,OFFSET(B3829,0,'Field labels'!$Q$1))</f>
        <v>B-3</v>
      </c>
      <c r="C3829" t="s">
        <v>3539</v>
      </c>
    </row>
    <row r="3830" spans="1:3">
      <c r="A3830" t="s">
        <v>3360</v>
      </c>
      <c r="B3830" t="str">
        <f ca="1">IF(ISBLANK(OFFSET(B3830,0,'Field labels'!$Q$1)),C3830,OFFSET(B3830,0,'Field labels'!$Q$1))</f>
        <v>B-4</v>
      </c>
      <c r="C3830" t="s">
        <v>3540</v>
      </c>
    </row>
    <row r="3831" spans="1:3">
      <c r="A3831" t="s">
        <v>3360</v>
      </c>
      <c r="B3831" t="str">
        <f ca="1">IF(ISBLANK(OFFSET(B3831,0,'Field labels'!$Q$1)),C3831,OFFSET(B3831,0,'Field labels'!$Q$1))</f>
        <v>B-5</v>
      </c>
      <c r="C3831" t="s">
        <v>3541</v>
      </c>
    </row>
    <row r="3832" spans="1:3">
      <c r="A3832" t="s">
        <v>3360</v>
      </c>
      <c r="B3832" t="str">
        <f ca="1">IF(ISBLANK(OFFSET(B3832,0,'Field labels'!$Q$1)),C3832,OFFSET(B3832,0,'Field labels'!$Q$1))</f>
        <v>B-6</v>
      </c>
      <c r="C3832" t="s">
        <v>3542</v>
      </c>
    </row>
    <row r="3833" spans="1:3">
      <c r="A3833" t="s">
        <v>3360</v>
      </c>
      <c r="B3833" t="str">
        <f ca="1">IF(ISBLANK(OFFSET(B3833,0,'Field labels'!$Q$1)),C3833,OFFSET(B3833,0,'Field labels'!$Q$1))</f>
        <v>B-7</v>
      </c>
      <c r="C3833" t="s">
        <v>3543</v>
      </c>
    </row>
    <row r="3834" spans="1:3">
      <c r="A3834" t="s">
        <v>3360</v>
      </c>
      <c r="B3834" t="str">
        <f ca="1">IF(ISBLANK(OFFSET(B3834,0,'Field labels'!$Q$1)),C3834,OFFSET(B3834,0,'Field labels'!$Q$1))</f>
        <v>C-0</v>
      </c>
      <c r="C3834" t="s">
        <v>3544</v>
      </c>
    </row>
    <row r="3835" spans="1:3">
      <c r="A3835" t="s">
        <v>3360</v>
      </c>
      <c r="B3835" t="str">
        <f ca="1">IF(ISBLANK(OFFSET(B3835,0,'Field labels'!$Q$1)),C3835,OFFSET(B3835,0,'Field labels'!$Q$1))</f>
        <v>C-1</v>
      </c>
      <c r="C3835" t="s">
        <v>3545</v>
      </c>
    </row>
    <row r="3836" spans="1:3">
      <c r="A3836" t="s">
        <v>3360</v>
      </c>
      <c r="B3836" t="str">
        <f ca="1">IF(ISBLANK(OFFSET(B3836,0,'Field labels'!$Q$1)),C3836,OFFSET(B3836,0,'Field labels'!$Q$1))</f>
        <v>C-16</v>
      </c>
      <c r="C3836" t="s">
        <v>3546</v>
      </c>
    </row>
    <row r="3837" spans="1:3">
      <c r="A3837" t="s">
        <v>3360</v>
      </c>
      <c r="B3837" t="str">
        <f ca="1">IF(ISBLANK(OFFSET(B3837,0,'Field labels'!$Q$1)),C3837,OFFSET(B3837,0,'Field labels'!$Q$1))</f>
        <v>C-17</v>
      </c>
      <c r="C3837" t="s">
        <v>3547</v>
      </c>
    </row>
    <row r="3838" spans="1:3">
      <c r="A3838" t="s">
        <v>3360</v>
      </c>
      <c r="B3838" t="str">
        <f ca="1">IF(ISBLANK(OFFSET(B3838,0,'Field labels'!$Q$1)),C3838,OFFSET(B3838,0,'Field labels'!$Q$1))</f>
        <v>C-18</v>
      </c>
      <c r="C3838" t="s">
        <v>3548</v>
      </c>
    </row>
    <row r="3839" spans="1:3">
      <c r="A3839" t="s">
        <v>3360</v>
      </c>
      <c r="B3839" t="str">
        <f ca="1">IF(ISBLANK(OFFSET(B3839,0,'Field labels'!$Q$1)),C3839,OFFSET(B3839,0,'Field labels'!$Q$1))</f>
        <v>C-19</v>
      </c>
      <c r="C3839" t="s">
        <v>3549</v>
      </c>
    </row>
    <row r="3840" spans="1:3">
      <c r="A3840" t="s">
        <v>3360</v>
      </c>
      <c r="B3840" t="str">
        <f ca="1">IF(ISBLANK(OFFSET(B3840,0,'Field labels'!$Q$1)),C3840,OFFSET(B3840,0,'Field labels'!$Q$1))</f>
        <v>C-2</v>
      </c>
      <c r="C3840" t="s">
        <v>3550</v>
      </c>
    </row>
    <row r="3841" spans="1:3">
      <c r="A3841" t="s">
        <v>3360</v>
      </c>
      <c r="B3841" t="str">
        <f ca="1">IF(ISBLANK(OFFSET(B3841,0,'Field labels'!$Q$1)),C3841,OFFSET(B3841,0,'Field labels'!$Q$1))</f>
        <v>C-20</v>
      </c>
      <c r="C3841" t="s">
        <v>3551</v>
      </c>
    </row>
    <row r="3842" spans="1:3">
      <c r="A3842" t="s">
        <v>3360</v>
      </c>
      <c r="B3842" t="str">
        <f ca="1">IF(ISBLANK(OFFSET(B3842,0,'Field labels'!$Q$1)),C3842,OFFSET(B3842,0,'Field labels'!$Q$1))</f>
        <v>C-21</v>
      </c>
      <c r="C3842" t="s">
        <v>3552</v>
      </c>
    </row>
    <row r="3843" spans="1:3">
      <c r="A3843" t="s">
        <v>3360</v>
      </c>
      <c r="B3843" t="str">
        <f ca="1">IF(ISBLANK(OFFSET(B3843,0,'Field labels'!$Q$1)),C3843,OFFSET(B3843,0,'Field labels'!$Q$1))</f>
        <v>C-22</v>
      </c>
      <c r="C3843" t="s">
        <v>3553</v>
      </c>
    </row>
    <row r="3844" spans="1:3">
      <c r="A3844" t="s">
        <v>3360</v>
      </c>
      <c r="B3844" t="str">
        <f ca="1">IF(ISBLANK(OFFSET(B3844,0,'Field labels'!$Q$1)),C3844,OFFSET(B3844,0,'Field labels'!$Q$1))</f>
        <v>C-3</v>
      </c>
      <c r="C3844" t="s">
        <v>3554</v>
      </c>
    </row>
    <row r="3845" spans="1:3">
      <c r="A3845" t="s">
        <v>3360</v>
      </c>
      <c r="B3845" t="str">
        <f ca="1">IF(ISBLANK(OFFSET(B3845,0,'Field labels'!$Q$1)),C3845,OFFSET(B3845,0,'Field labels'!$Q$1))</f>
        <v>C-4</v>
      </c>
      <c r="C3845" t="s">
        <v>3555</v>
      </c>
    </row>
    <row r="3846" spans="1:3">
      <c r="A3846" t="s">
        <v>3360</v>
      </c>
      <c r="B3846" t="str">
        <f ca="1">IF(ISBLANK(OFFSET(B3846,0,'Field labels'!$Q$1)),C3846,OFFSET(B3846,0,'Field labels'!$Q$1))</f>
        <v>C-5</v>
      </c>
      <c r="C3846" t="s">
        <v>3556</v>
      </c>
    </row>
    <row r="3847" spans="1:3">
      <c r="A3847" t="s">
        <v>3360</v>
      </c>
      <c r="B3847" t="str">
        <f ca="1">IF(ISBLANK(OFFSET(B3847,0,'Field labels'!$Q$1)),C3847,OFFSET(B3847,0,'Field labels'!$Q$1))</f>
        <v>C-6</v>
      </c>
      <c r="C3847" t="s">
        <v>3557</v>
      </c>
    </row>
    <row r="3848" spans="1:3">
      <c r="A3848" t="s">
        <v>3360</v>
      </c>
      <c r="B3848" t="str">
        <f ca="1">IF(ISBLANK(OFFSET(B3848,0,'Field labels'!$Q$1)),C3848,OFFSET(B3848,0,'Field labels'!$Q$1))</f>
        <v>C-7</v>
      </c>
      <c r="C3848" t="s">
        <v>3558</v>
      </c>
    </row>
    <row r="3849" spans="1:3">
      <c r="A3849" t="s">
        <v>3360</v>
      </c>
      <c r="B3849" t="str">
        <f ca="1">IF(ISBLANK(OFFSET(B3849,0,'Field labels'!$Q$1)),C3849,OFFSET(B3849,0,'Field labels'!$Q$1))</f>
        <v>D-0</v>
      </c>
      <c r="C3849" t="s">
        <v>3559</v>
      </c>
    </row>
    <row r="3850" spans="1:3">
      <c r="A3850" t="s">
        <v>3360</v>
      </c>
      <c r="B3850" t="str">
        <f ca="1">IF(ISBLANK(OFFSET(B3850,0,'Field labels'!$Q$1)),C3850,OFFSET(B3850,0,'Field labels'!$Q$1))</f>
        <v>D-1</v>
      </c>
      <c r="C3850" t="s">
        <v>3560</v>
      </c>
    </row>
    <row r="3851" spans="1:3">
      <c r="A3851" t="s">
        <v>3360</v>
      </c>
      <c r="B3851" t="str">
        <f ca="1">IF(ISBLANK(OFFSET(B3851,0,'Field labels'!$Q$1)),C3851,OFFSET(B3851,0,'Field labels'!$Q$1))</f>
        <v>D-16</v>
      </c>
      <c r="C3851" t="s">
        <v>3561</v>
      </c>
    </row>
    <row r="3852" spans="1:3">
      <c r="A3852" t="s">
        <v>3360</v>
      </c>
      <c r="B3852" t="str">
        <f ca="1">IF(ISBLANK(OFFSET(B3852,0,'Field labels'!$Q$1)),C3852,OFFSET(B3852,0,'Field labels'!$Q$1))</f>
        <v>D-17</v>
      </c>
      <c r="C3852" t="s">
        <v>3562</v>
      </c>
    </row>
    <row r="3853" spans="1:3">
      <c r="A3853" t="s">
        <v>3360</v>
      </c>
      <c r="B3853" t="str">
        <f ca="1">IF(ISBLANK(OFFSET(B3853,0,'Field labels'!$Q$1)),C3853,OFFSET(B3853,0,'Field labels'!$Q$1))</f>
        <v>D-18</v>
      </c>
      <c r="C3853" t="s">
        <v>3563</v>
      </c>
    </row>
    <row r="3854" spans="1:3">
      <c r="A3854" t="s">
        <v>3360</v>
      </c>
      <c r="B3854" t="str">
        <f ca="1">IF(ISBLANK(OFFSET(B3854,0,'Field labels'!$Q$1)),C3854,OFFSET(B3854,0,'Field labels'!$Q$1))</f>
        <v>D-19</v>
      </c>
      <c r="C3854" t="s">
        <v>3564</v>
      </c>
    </row>
    <row r="3855" spans="1:3">
      <c r="A3855" t="s">
        <v>3360</v>
      </c>
      <c r="B3855" t="str">
        <f ca="1">IF(ISBLANK(OFFSET(B3855,0,'Field labels'!$Q$1)),C3855,OFFSET(B3855,0,'Field labels'!$Q$1))</f>
        <v>D-2</v>
      </c>
      <c r="C3855" t="s">
        <v>3565</v>
      </c>
    </row>
    <row r="3856" spans="1:3">
      <c r="A3856" t="s">
        <v>3360</v>
      </c>
      <c r="B3856" t="str">
        <f ca="1">IF(ISBLANK(OFFSET(B3856,0,'Field labels'!$Q$1)),C3856,OFFSET(B3856,0,'Field labels'!$Q$1))</f>
        <v>D-20</v>
      </c>
      <c r="C3856" t="s">
        <v>3566</v>
      </c>
    </row>
    <row r="3857" spans="1:3">
      <c r="A3857" t="s">
        <v>3360</v>
      </c>
      <c r="B3857" t="str">
        <f ca="1">IF(ISBLANK(OFFSET(B3857,0,'Field labels'!$Q$1)),C3857,OFFSET(B3857,0,'Field labels'!$Q$1))</f>
        <v>D-21</v>
      </c>
      <c r="C3857" t="s">
        <v>3567</v>
      </c>
    </row>
    <row r="3858" spans="1:3">
      <c r="A3858" t="s">
        <v>3360</v>
      </c>
      <c r="B3858" t="str">
        <f ca="1">IF(ISBLANK(OFFSET(B3858,0,'Field labels'!$Q$1)),C3858,OFFSET(B3858,0,'Field labels'!$Q$1))</f>
        <v>D-22</v>
      </c>
      <c r="C3858" t="s">
        <v>3568</v>
      </c>
    </row>
    <row r="3859" spans="1:3">
      <c r="A3859" t="s">
        <v>3360</v>
      </c>
      <c r="B3859" t="str">
        <f ca="1">IF(ISBLANK(OFFSET(B3859,0,'Field labels'!$Q$1)),C3859,OFFSET(B3859,0,'Field labels'!$Q$1))</f>
        <v>D-3</v>
      </c>
      <c r="C3859" t="s">
        <v>3569</v>
      </c>
    </row>
    <row r="3860" spans="1:3">
      <c r="A3860" t="s">
        <v>3360</v>
      </c>
      <c r="B3860" t="str">
        <f ca="1">IF(ISBLANK(OFFSET(B3860,0,'Field labels'!$Q$1)),C3860,OFFSET(B3860,0,'Field labels'!$Q$1))</f>
        <v>D-4</v>
      </c>
      <c r="C3860" t="s">
        <v>3570</v>
      </c>
    </row>
    <row r="3861" spans="1:3">
      <c r="A3861" t="s">
        <v>3360</v>
      </c>
      <c r="B3861" t="str">
        <f ca="1">IF(ISBLANK(OFFSET(B3861,0,'Field labels'!$Q$1)),C3861,OFFSET(B3861,0,'Field labels'!$Q$1))</f>
        <v>D-5</v>
      </c>
      <c r="C3861" t="s">
        <v>3571</v>
      </c>
    </row>
    <row r="3862" spans="1:3">
      <c r="A3862" t="s">
        <v>3360</v>
      </c>
      <c r="B3862" t="str">
        <f ca="1">IF(ISBLANK(OFFSET(B3862,0,'Field labels'!$Q$1)),C3862,OFFSET(B3862,0,'Field labels'!$Q$1))</f>
        <v>D-6</v>
      </c>
      <c r="C3862" t="s">
        <v>3572</v>
      </c>
    </row>
    <row r="3863" spans="1:3">
      <c r="A3863" t="s">
        <v>3360</v>
      </c>
      <c r="B3863" t="str">
        <f ca="1">IF(ISBLANK(OFFSET(B3863,0,'Field labels'!$Q$1)),C3863,OFFSET(B3863,0,'Field labels'!$Q$1))</f>
        <v>D-7</v>
      </c>
      <c r="C3863" t="s">
        <v>3573</v>
      </c>
    </row>
    <row r="3864" spans="1:3">
      <c r="A3864" t="s">
        <v>3360</v>
      </c>
      <c r="B3864" t="str">
        <f ca="1">IF(ISBLANK(OFFSET(B3864,0,'Field labels'!$Q$1)),C3864,OFFSET(B3864,0,'Field labels'!$Q$1))</f>
        <v>D-8</v>
      </c>
      <c r="C3864" t="s">
        <v>3574</v>
      </c>
    </row>
    <row r="3865" spans="1:3">
      <c r="A3865" t="s">
        <v>3360</v>
      </c>
      <c r="B3865" t="str">
        <f ca="1">IF(ISBLANK(OFFSET(B3865,0,'Field labels'!$Q$1)),C3865,OFFSET(B3865,0,'Field labels'!$Q$1))</f>
        <v>E-0</v>
      </c>
      <c r="C3865" t="s">
        <v>3575</v>
      </c>
    </row>
    <row r="3866" spans="1:3">
      <c r="A3866" t="s">
        <v>3360</v>
      </c>
      <c r="B3866" t="str">
        <f ca="1">IF(ISBLANK(OFFSET(B3866,0,'Field labels'!$Q$1)),C3866,OFFSET(B3866,0,'Field labels'!$Q$1))</f>
        <v>E-1</v>
      </c>
      <c r="C3866" t="s">
        <v>3576</v>
      </c>
    </row>
    <row r="3867" spans="1:3">
      <c r="A3867" t="s">
        <v>3360</v>
      </c>
      <c r="B3867" t="str">
        <f ca="1">IF(ISBLANK(OFFSET(B3867,0,'Field labels'!$Q$1)),C3867,OFFSET(B3867,0,'Field labels'!$Q$1))</f>
        <v>E-16</v>
      </c>
      <c r="C3867" t="s">
        <v>3577</v>
      </c>
    </row>
    <row r="3868" spans="1:3">
      <c r="A3868" t="s">
        <v>3360</v>
      </c>
      <c r="B3868" t="str">
        <f ca="1">IF(ISBLANK(OFFSET(B3868,0,'Field labels'!$Q$1)),C3868,OFFSET(B3868,0,'Field labels'!$Q$1))</f>
        <v>E-17</v>
      </c>
      <c r="C3868" t="s">
        <v>3578</v>
      </c>
    </row>
    <row r="3869" spans="1:3">
      <c r="A3869" t="s">
        <v>3360</v>
      </c>
      <c r="B3869" t="str">
        <f ca="1">IF(ISBLANK(OFFSET(B3869,0,'Field labels'!$Q$1)),C3869,OFFSET(B3869,0,'Field labels'!$Q$1))</f>
        <v>E-18</v>
      </c>
      <c r="C3869" t="s">
        <v>3579</v>
      </c>
    </row>
    <row r="3870" spans="1:3">
      <c r="A3870" t="s">
        <v>3360</v>
      </c>
      <c r="B3870" t="str">
        <f ca="1">IF(ISBLANK(OFFSET(B3870,0,'Field labels'!$Q$1)),C3870,OFFSET(B3870,0,'Field labels'!$Q$1))</f>
        <v>E-19</v>
      </c>
      <c r="C3870" t="s">
        <v>3580</v>
      </c>
    </row>
    <row r="3871" spans="1:3">
      <c r="A3871" s="22" t="s">
        <v>3360</v>
      </c>
      <c r="B3871" s="22" t="str">
        <f ca="1">IF(ISBLANK(OFFSET(B3871,0,'Field labels'!$Q$1)),C3871,OFFSET(B3871,0,'Field labels'!$Q$1))</f>
        <v>E-2</v>
      </c>
      <c r="C3871" s="22" t="s">
        <v>3581</v>
      </c>
    </row>
    <row r="3872" spans="1:3">
      <c r="A3872" s="22" t="s">
        <v>3360</v>
      </c>
      <c r="B3872" s="22" t="str">
        <f ca="1">IF(ISBLANK(OFFSET(B3872,0,'Field labels'!$Q$1)),C3872,OFFSET(B3872,0,'Field labels'!$Q$1))</f>
        <v>E-20</v>
      </c>
      <c r="C3872" s="22" t="s">
        <v>3582</v>
      </c>
    </row>
    <row r="3873" spans="1:3">
      <c r="A3873" s="22" t="s">
        <v>3360</v>
      </c>
      <c r="B3873" s="22" t="str">
        <f ca="1">IF(ISBLANK(OFFSET(B3873,0,'Field labels'!$Q$1)),C3873,OFFSET(B3873,0,'Field labels'!$Q$1))</f>
        <v>E-21</v>
      </c>
      <c r="C3873" s="22" t="s">
        <v>3583</v>
      </c>
    </row>
    <row r="3874" spans="1:3">
      <c r="A3874" s="22" t="s">
        <v>3360</v>
      </c>
      <c r="B3874" s="22" t="str">
        <f ca="1">IF(ISBLANK(OFFSET(B3874,0,'Field labels'!$Q$1)),C3874,OFFSET(B3874,0,'Field labels'!$Q$1))</f>
        <v>E-22</v>
      </c>
      <c r="C3874" s="22" t="s">
        <v>3584</v>
      </c>
    </row>
    <row r="3875" spans="1:3">
      <c r="A3875" s="22" t="s">
        <v>3360</v>
      </c>
      <c r="B3875" s="22" t="str">
        <f ca="1">IF(ISBLANK(OFFSET(B3875,0,'Field labels'!$Q$1)),C3875,OFFSET(B3875,0,'Field labels'!$Q$1))</f>
        <v>E-23</v>
      </c>
      <c r="C3875" s="22" t="s">
        <v>3585</v>
      </c>
    </row>
    <row r="3876" spans="1:3">
      <c r="A3876" s="22" t="s">
        <v>3360</v>
      </c>
      <c r="B3876" s="22" t="str">
        <f ca="1">IF(ISBLANK(OFFSET(B3876,0,'Field labels'!$Q$1)),C3876,OFFSET(B3876,0,'Field labels'!$Q$1))</f>
        <v>E-3</v>
      </c>
      <c r="C3876" s="22" t="s">
        <v>3586</v>
      </c>
    </row>
    <row r="3877" spans="1:3">
      <c r="A3877" s="22" t="s">
        <v>3360</v>
      </c>
      <c r="B3877" s="22" t="str">
        <f ca="1">IF(ISBLANK(OFFSET(B3877,0,'Field labels'!$Q$1)),C3877,OFFSET(B3877,0,'Field labels'!$Q$1))</f>
        <v>E-4</v>
      </c>
      <c r="C3877" s="22" t="s">
        <v>3587</v>
      </c>
    </row>
    <row r="3878" spans="1:3">
      <c r="A3878" s="22" t="s">
        <v>3360</v>
      </c>
      <c r="B3878" s="22" t="str">
        <f ca="1">IF(ISBLANK(OFFSET(B3878,0,'Field labels'!$Q$1)),C3878,OFFSET(B3878,0,'Field labels'!$Q$1))</f>
        <v>E-5</v>
      </c>
      <c r="C3878" s="22" t="s">
        <v>3588</v>
      </c>
    </row>
    <row r="3879" spans="1:3">
      <c r="A3879" s="22" t="s">
        <v>3360</v>
      </c>
      <c r="B3879" s="22" t="str">
        <f ca="1">IF(ISBLANK(OFFSET(B3879,0,'Field labels'!$Q$1)),C3879,OFFSET(B3879,0,'Field labels'!$Q$1))</f>
        <v>E-6</v>
      </c>
      <c r="C3879" s="22" t="s">
        <v>3589</v>
      </c>
    </row>
    <row r="3880" spans="1:3">
      <c r="A3880" s="22" t="s">
        <v>3360</v>
      </c>
      <c r="B3880" s="22" t="str">
        <f ca="1">IF(ISBLANK(OFFSET(B3880,0,'Field labels'!$Q$1)),C3880,OFFSET(B3880,0,'Field labels'!$Q$1))</f>
        <v>E-7</v>
      </c>
      <c r="C3880" s="22" t="s">
        <v>3590</v>
      </c>
    </row>
    <row r="3881" spans="1:3">
      <c r="A3881" s="22" t="s">
        <v>3360</v>
      </c>
      <c r="B3881" s="22" t="str">
        <f ca="1">IF(ISBLANK(OFFSET(B3881,0,'Field labels'!$Q$1)),C3881,OFFSET(B3881,0,'Field labels'!$Q$1))</f>
        <v>E-8</v>
      </c>
      <c r="C3881" s="22" t="s">
        <v>3591</v>
      </c>
    </row>
    <row r="3882" spans="1:3">
      <c r="A3882" s="22" t="s">
        <v>3360</v>
      </c>
      <c r="B3882" s="22" t="str">
        <f ca="1">IF(ISBLANK(OFFSET(B3882,0,'Field labels'!$Q$1)),C3882,OFFSET(B3882,0,'Field labels'!$Q$1))</f>
        <v>E-9</v>
      </c>
      <c r="C3882" s="22" t="s">
        <v>3592</v>
      </c>
    </row>
    <row r="3883" spans="1:3">
      <c r="A3883" s="22" t="s">
        <v>3360</v>
      </c>
      <c r="B3883" s="22" t="str">
        <f ca="1">IF(ISBLANK(OFFSET(B3883,0,'Field labels'!$Q$1)),C3883,OFFSET(B3883,0,'Field labels'!$Q$1))</f>
        <v>F-0</v>
      </c>
      <c r="C3883" s="22" t="s">
        <v>3593</v>
      </c>
    </row>
    <row r="3884" spans="1:3">
      <c r="A3884" s="22" t="s">
        <v>3360</v>
      </c>
      <c r="B3884" s="22" t="str">
        <f ca="1">IF(ISBLANK(OFFSET(B3884,0,'Field labels'!$Q$1)),C3884,OFFSET(B3884,0,'Field labels'!$Q$1))</f>
        <v>F-1</v>
      </c>
      <c r="C3884" s="22" t="s">
        <v>3594</v>
      </c>
    </row>
    <row r="3885" spans="1:3">
      <c r="A3885" s="22" t="s">
        <v>3360</v>
      </c>
      <c r="B3885" s="22" t="str">
        <f ca="1">IF(ISBLANK(OFFSET(B3885,0,'Field labels'!$Q$1)),C3885,OFFSET(B3885,0,'Field labels'!$Q$1))</f>
        <v>F-10</v>
      </c>
      <c r="C3885" s="22" t="s">
        <v>3595</v>
      </c>
    </row>
    <row r="3886" spans="1:3">
      <c r="A3886" s="22" t="s">
        <v>3360</v>
      </c>
      <c r="B3886" s="22" t="str">
        <f ca="1">IF(ISBLANK(OFFSET(B3886,0,'Field labels'!$Q$1)),C3886,OFFSET(B3886,0,'Field labels'!$Q$1))</f>
        <v>F-16</v>
      </c>
      <c r="C3886" s="22" t="s">
        <v>3596</v>
      </c>
    </row>
    <row r="3887" spans="1:3">
      <c r="A3887" s="22" t="s">
        <v>3360</v>
      </c>
      <c r="B3887" s="22" t="str">
        <f ca="1">IF(ISBLANK(OFFSET(B3887,0,'Field labels'!$Q$1)),C3887,OFFSET(B3887,0,'Field labels'!$Q$1))</f>
        <v>F-17</v>
      </c>
      <c r="C3887" s="22" t="s">
        <v>3597</v>
      </c>
    </row>
    <row r="3888" spans="1:3">
      <c r="A3888" s="22" t="s">
        <v>3360</v>
      </c>
      <c r="B3888" s="22" t="str">
        <f ca="1">IF(ISBLANK(OFFSET(B3888,0,'Field labels'!$Q$1)),C3888,OFFSET(B3888,0,'Field labels'!$Q$1))</f>
        <v>F-18</v>
      </c>
      <c r="C3888" s="22" t="s">
        <v>3598</v>
      </c>
    </row>
    <row r="3889" spans="1:3">
      <c r="A3889" s="22" t="s">
        <v>3360</v>
      </c>
      <c r="B3889" s="22" t="str">
        <f ca="1">IF(ISBLANK(OFFSET(B3889,0,'Field labels'!$Q$1)),C3889,OFFSET(B3889,0,'Field labels'!$Q$1))</f>
        <v>F-19</v>
      </c>
      <c r="C3889" s="22" t="s">
        <v>3599</v>
      </c>
    </row>
    <row r="3890" spans="1:3">
      <c r="A3890" s="22" t="s">
        <v>3360</v>
      </c>
      <c r="B3890" s="22" t="str">
        <f ca="1">IF(ISBLANK(OFFSET(B3890,0,'Field labels'!$Q$1)),C3890,OFFSET(B3890,0,'Field labels'!$Q$1))</f>
        <v>F-2</v>
      </c>
      <c r="C3890" s="22" t="s">
        <v>3600</v>
      </c>
    </row>
    <row r="3891" spans="1:3">
      <c r="A3891" s="22" t="s">
        <v>3360</v>
      </c>
      <c r="B3891" s="22" t="str">
        <f ca="1">IF(ISBLANK(OFFSET(B3891,0,'Field labels'!$Q$1)),C3891,OFFSET(B3891,0,'Field labels'!$Q$1))</f>
        <v>F-20</v>
      </c>
      <c r="C3891" s="22" t="s">
        <v>3601</v>
      </c>
    </row>
    <row r="3892" spans="1:3">
      <c r="A3892" s="22" t="s">
        <v>3360</v>
      </c>
      <c r="B3892" s="22" t="str">
        <f ca="1">IF(ISBLANK(OFFSET(B3892,0,'Field labels'!$Q$1)),C3892,OFFSET(B3892,0,'Field labels'!$Q$1))</f>
        <v>F-21</v>
      </c>
      <c r="C3892" s="22" t="s">
        <v>3602</v>
      </c>
    </row>
    <row r="3893" spans="1:3">
      <c r="A3893" s="22" t="s">
        <v>3360</v>
      </c>
      <c r="B3893" s="22" t="str">
        <f ca="1">IF(ISBLANK(OFFSET(B3893,0,'Field labels'!$Q$1)),C3893,OFFSET(B3893,0,'Field labels'!$Q$1))</f>
        <v>F-22</v>
      </c>
      <c r="C3893" s="22" t="s">
        <v>3603</v>
      </c>
    </row>
    <row r="3894" spans="1:3">
      <c r="A3894" s="22" t="s">
        <v>3360</v>
      </c>
      <c r="B3894" s="22" t="str">
        <f ca="1">IF(ISBLANK(OFFSET(B3894,0,'Field labels'!$Q$1)),C3894,OFFSET(B3894,0,'Field labels'!$Q$1))</f>
        <v>F-23</v>
      </c>
      <c r="C3894" s="22" t="s">
        <v>3604</v>
      </c>
    </row>
    <row r="3895" spans="1:3">
      <c r="A3895" s="22" t="s">
        <v>3360</v>
      </c>
      <c r="B3895" s="22" t="str">
        <f ca="1">IF(ISBLANK(OFFSET(B3895,0,'Field labels'!$Q$1)),C3895,OFFSET(B3895,0,'Field labels'!$Q$1))</f>
        <v>F-3</v>
      </c>
      <c r="C3895" s="22" t="s">
        <v>3605</v>
      </c>
    </row>
    <row r="3896" spans="1:3">
      <c r="A3896" s="22" t="s">
        <v>3360</v>
      </c>
      <c r="B3896" s="22" t="str">
        <f ca="1">IF(ISBLANK(OFFSET(B3896,0,'Field labels'!$Q$1)),C3896,OFFSET(B3896,0,'Field labels'!$Q$1))</f>
        <v>F-4</v>
      </c>
      <c r="C3896" s="22" t="s">
        <v>3606</v>
      </c>
    </row>
    <row r="3897" spans="1:3">
      <c r="A3897" s="22" t="s">
        <v>3360</v>
      </c>
      <c r="B3897" s="22" t="str">
        <f ca="1">IF(ISBLANK(OFFSET(B3897,0,'Field labels'!$Q$1)),C3897,OFFSET(B3897,0,'Field labels'!$Q$1))</f>
        <v>F-5</v>
      </c>
      <c r="C3897" s="22" t="s">
        <v>3607</v>
      </c>
    </row>
    <row r="3898" spans="1:3">
      <c r="A3898" s="22" t="s">
        <v>3360</v>
      </c>
      <c r="B3898" s="22" t="str">
        <f ca="1">IF(ISBLANK(OFFSET(B3898,0,'Field labels'!$Q$1)),C3898,OFFSET(B3898,0,'Field labels'!$Q$1))</f>
        <v>F-6</v>
      </c>
      <c r="C3898" s="22" t="s">
        <v>3608</v>
      </c>
    </row>
    <row r="3899" spans="1:3">
      <c r="A3899" s="22" t="s">
        <v>3360</v>
      </c>
      <c r="B3899" s="22" t="str">
        <f ca="1">IF(ISBLANK(OFFSET(B3899,0,'Field labels'!$Q$1)),C3899,OFFSET(B3899,0,'Field labels'!$Q$1))</f>
        <v>F-7</v>
      </c>
      <c r="C3899" s="22" t="s">
        <v>3609</v>
      </c>
    </row>
    <row r="3900" spans="1:3">
      <c r="A3900" s="22" t="s">
        <v>3360</v>
      </c>
      <c r="B3900" s="22" t="str">
        <f ca="1">IF(ISBLANK(OFFSET(B3900,0,'Field labels'!$Q$1)),C3900,OFFSET(B3900,0,'Field labels'!$Q$1))</f>
        <v>F-8</v>
      </c>
      <c r="C3900" s="22" t="s">
        <v>3610</v>
      </c>
    </row>
    <row r="3901" spans="1:3">
      <c r="A3901" s="22" t="s">
        <v>3360</v>
      </c>
      <c r="B3901" s="22" t="str">
        <f ca="1">IF(ISBLANK(OFFSET(B3901,0,'Field labels'!$Q$1)),C3901,OFFSET(B3901,0,'Field labels'!$Q$1))</f>
        <v>F-9</v>
      </c>
      <c r="C3901" s="22" t="s">
        <v>3611</v>
      </c>
    </row>
    <row r="3902" spans="1:3">
      <c r="A3902" s="22" t="s">
        <v>3360</v>
      </c>
      <c r="B3902" s="22" t="str">
        <f ca="1">IF(ISBLANK(OFFSET(B3902,0,'Field labels'!$Q$1)),C3902,OFFSET(B3902,0,'Field labels'!$Q$1))</f>
        <v>G-0</v>
      </c>
      <c r="C3902" s="22" t="s">
        <v>3612</v>
      </c>
    </row>
    <row r="3903" spans="1:3">
      <c r="A3903" s="22" t="s">
        <v>3360</v>
      </c>
      <c r="B3903" s="22" t="str">
        <f ca="1">IF(ISBLANK(OFFSET(B3903,0,'Field labels'!$Q$1)),C3903,OFFSET(B3903,0,'Field labels'!$Q$1))</f>
        <v>G-1</v>
      </c>
      <c r="C3903" s="22" t="s">
        <v>3613</v>
      </c>
    </row>
    <row r="3904" spans="1:3">
      <c r="A3904" s="22" t="s">
        <v>3360</v>
      </c>
      <c r="B3904" s="22" t="str">
        <f ca="1">IF(ISBLANK(OFFSET(B3904,0,'Field labels'!$Q$1)),C3904,OFFSET(B3904,0,'Field labels'!$Q$1))</f>
        <v>G-10</v>
      </c>
      <c r="C3904" s="22" t="s">
        <v>3614</v>
      </c>
    </row>
    <row r="3905" spans="1:3">
      <c r="A3905" s="22" t="s">
        <v>3360</v>
      </c>
      <c r="B3905" s="22" t="str">
        <f ca="1">IF(ISBLANK(OFFSET(B3905,0,'Field labels'!$Q$1)),C3905,OFFSET(B3905,0,'Field labels'!$Q$1))</f>
        <v>G-11</v>
      </c>
      <c r="C3905" s="22" t="s">
        <v>3615</v>
      </c>
    </row>
    <row r="3906" spans="1:3">
      <c r="A3906" s="22" t="s">
        <v>3360</v>
      </c>
      <c r="B3906" s="22" t="str">
        <f ca="1">IF(ISBLANK(OFFSET(B3906,0,'Field labels'!$Q$1)),C3906,OFFSET(B3906,0,'Field labels'!$Q$1))</f>
        <v>G-2</v>
      </c>
      <c r="C3906" s="22" t="s">
        <v>3616</v>
      </c>
    </row>
    <row r="3907" spans="1:3">
      <c r="A3907" s="22" t="s">
        <v>3360</v>
      </c>
      <c r="B3907" s="22" t="str">
        <f ca="1">IF(ISBLANK(OFFSET(B3907,0,'Field labels'!$Q$1)),C3907,OFFSET(B3907,0,'Field labels'!$Q$1))</f>
        <v>G-20</v>
      </c>
      <c r="C3907" s="22" t="s">
        <v>3617</v>
      </c>
    </row>
    <row r="3908" spans="1:3">
      <c r="A3908" s="22" t="s">
        <v>3360</v>
      </c>
      <c r="B3908" s="22" t="str">
        <f ca="1">IF(ISBLANK(OFFSET(B3908,0,'Field labels'!$Q$1)),C3908,OFFSET(B3908,0,'Field labels'!$Q$1))</f>
        <v>G-21</v>
      </c>
      <c r="C3908" s="22" t="s">
        <v>3618</v>
      </c>
    </row>
    <row r="3909" spans="1:3">
      <c r="A3909" s="22" t="s">
        <v>3360</v>
      </c>
      <c r="B3909" s="22" t="str">
        <f ca="1">IF(ISBLANK(OFFSET(B3909,0,'Field labels'!$Q$1)),C3909,OFFSET(B3909,0,'Field labels'!$Q$1))</f>
        <v>G-22</v>
      </c>
      <c r="C3909" s="22" t="s">
        <v>3619</v>
      </c>
    </row>
    <row r="3910" spans="1:3">
      <c r="A3910" s="22" t="s">
        <v>3360</v>
      </c>
      <c r="B3910" s="22" t="str">
        <f ca="1">IF(ISBLANK(OFFSET(B3910,0,'Field labels'!$Q$1)),C3910,OFFSET(B3910,0,'Field labels'!$Q$1))</f>
        <v>G-23</v>
      </c>
      <c r="C3910" s="22" t="s">
        <v>3620</v>
      </c>
    </row>
    <row r="3911" spans="1:3">
      <c r="A3911" s="22" t="s">
        <v>3360</v>
      </c>
      <c r="B3911" s="22" t="str">
        <f ca="1">IF(ISBLANK(OFFSET(B3911,0,'Field labels'!$Q$1)),C3911,OFFSET(B3911,0,'Field labels'!$Q$1))</f>
        <v>G-24</v>
      </c>
      <c r="C3911" s="22" t="s">
        <v>3621</v>
      </c>
    </row>
    <row r="3912" spans="1:3">
      <c r="A3912" s="22" t="s">
        <v>3360</v>
      </c>
      <c r="B3912" s="22" t="str">
        <f ca="1">IF(ISBLANK(OFFSET(B3912,0,'Field labels'!$Q$1)),C3912,OFFSET(B3912,0,'Field labels'!$Q$1))</f>
        <v>G-3</v>
      </c>
      <c r="C3912" s="22" t="s">
        <v>3622</v>
      </c>
    </row>
    <row r="3913" spans="1:3">
      <c r="A3913" s="22" t="s">
        <v>3360</v>
      </c>
      <c r="B3913" s="22" t="str">
        <f ca="1">IF(ISBLANK(OFFSET(B3913,0,'Field labels'!$Q$1)),C3913,OFFSET(B3913,0,'Field labels'!$Q$1))</f>
        <v>G-4</v>
      </c>
      <c r="C3913" s="22" t="s">
        <v>3623</v>
      </c>
    </row>
    <row r="3914" spans="1:3">
      <c r="A3914" s="22" t="s">
        <v>3360</v>
      </c>
      <c r="B3914" s="22" t="str">
        <f ca="1">IF(ISBLANK(OFFSET(B3914,0,'Field labels'!$Q$1)),C3914,OFFSET(B3914,0,'Field labels'!$Q$1))</f>
        <v>G-5</v>
      </c>
      <c r="C3914" s="22" t="s">
        <v>3624</v>
      </c>
    </row>
    <row r="3915" spans="1:3">
      <c r="A3915" s="22" t="s">
        <v>3360</v>
      </c>
      <c r="B3915" s="22" t="str">
        <f ca="1">IF(ISBLANK(OFFSET(B3915,0,'Field labels'!$Q$1)),C3915,OFFSET(B3915,0,'Field labels'!$Q$1))</f>
        <v>G-6</v>
      </c>
      <c r="C3915" s="22" t="s">
        <v>3625</v>
      </c>
    </row>
    <row r="3916" spans="1:3">
      <c r="A3916" s="22" t="s">
        <v>3360</v>
      </c>
      <c r="B3916" s="22" t="str">
        <f ca="1">IF(ISBLANK(OFFSET(B3916,0,'Field labels'!$Q$1)),C3916,OFFSET(B3916,0,'Field labels'!$Q$1))</f>
        <v>G-7</v>
      </c>
      <c r="C3916" s="22" t="s">
        <v>3626</v>
      </c>
    </row>
    <row r="3917" spans="1:3">
      <c r="A3917" s="22" t="s">
        <v>3360</v>
      </c>
      <c r="B3917" s="22" t="str">
        <f ca="1">IF(ISBLANK(OFFSET(B3917,0,'Field labels'!$Q$1)),C3917,OFFSET(B3917,0,'Field labels'!$Q$1))</f>
        <v>G-8</v>
      </c>
      <c r="C3917" s="22" t="s">
        <v>3627</v>
      </c>
    </row>
    <row r="3918" spans="1:3">
      <c r="A3918" s="22" t="s">
        <v>3360</v>
      </c>
      <c r="B3918" s="22" t="str">
        <f ca="1">IF(ISBLANK(OFFSET(B3918,0,'Field labels'!$Q$1)),C3918,OFFSET(B3918,0,'Field labels'!$Q$1))</f>
        <v>G-9</v>
      </c>
      <c r="C3918" s="22" t="s">
        <v>3628</v>
      </c>
    </row>
    <row r="3919" spans="1:3">
      <c r="A3919" s="22" t="s">
        <v>3360</v>
      </c>
      <c r="B3919" s="22" t="str">
        <f ca="1">IF(ISBLANK(OFFSET(B3919,0,'Field labels'!$Q$1)),C3919,OFFSET(B3919,0,'Field labels'!$Q$1))</f>
        <v>H-0</v>
      </c>
      <c r="C3919" s="22" t="s">
        <v>3629</v>
      </c>
    </row>
    <row r="3920" spans="1:3">
      <c r="A3920" s="22" t="s">
        <v>3360</v>
      </c>
      <c r="B3920" s="22" t="str">
        <f ca="1">IF(ISBLANK(OFFSET(B3920,0,'Field labels'!$Q$1)),C3920,OFFSET(B3920,0,'Field labels'!$Q$1))</f>
        <v>H-1</v>
      </c>
      <c r="C3920" s="22" t="s">
        <v>3630</v>
      </c>
    </row>
    <row r="3921" spans="1:3">
      <c r="A3921" s="22" t="s">
        <v>3360</v>
      </c>
      <c r="B3921" s="22" t="str">
        <f ca="1">IF(ISBLANK(OFFSET(B3921,0,'Field labels'!$Q$1)),C3921,OFFSET(B3921,0,'Field labels'!$Q$1))</f>
        <v>H-10</v>
      </c>
      <c r="C3921" s="22" t="s">
        <v>3631</v>
      </c>
    </row>
    <row r="3922" spans="1:3">
      <c r="A3922" s="22" t="s">
        <v>3360</v>
      </c>
      <c r="B3922" s="22" t="str">
        <f ca="1">IF(ISBLANK(OFFSET(B3922,0,'Field labels'!$Q$1)),C3922,OFFSET(B3922,0,'Field labels'!$Q$1))</f>
        <v>H-11</v>
      </c>
      <c r="C3922" s="22" t="s">
        <v>3632</v>
      </c>
    </row>
    <row r="3923" spans="1:3">
      <c r="A3923" s="22" t="s">
        <v>3360</v>
      </c>
      <c r="B3923" s="22" t="str">
        <f ca="1">IF(ISBLANK(OFFSET(B3923,0,'Field labels'!$Q$1)),C3923,OFFSET(B3923,0,'Field labels'!$Q$1))</f>
        <v>H-2</v>
      </c>
      <c r="C3923" s="22" t="s">
        <v>3633</v>
      </c>
    </row>
    <row r="3924" spans="1:3">
      <c r="A3924" s="22" t="s">
        <v>3360</v>
      </c>
      <c r="B3924" s="22" t="str">
        <f ca="1">IF(ISBLANK(OFFSET(B3924,0,'Field labels'!$Q$1)),C3924,OFFSET(B3924,0,'Field labels'!$Q$1))</f>
        <v>H-3</v>
      </c>
      <c r="C3924" s="22" t="s">
        <v>3634</v>
      </c>
    </row>
    <row r="3925" spans="1:3">
      <c r="A3925" s="22" t="s">
        <v>3360</v>
      </c>
      <c r="B3925" s="22" t="str">
        <f ca="1">IF(ISBLANK(OFFSET(B3925,0,'Field labels'!$Q$1)),C3925,OFFSET(B3925,0,'Field labels'!$Q$1))</f>
        <v>H-4</v>
      </c>
      <c r="C3925" s="22" t="s">
        <v>3635</v>
      </c>
    </row>
    <row r="3926" spans="1:3">
      <c r="A3926" s="22" t="s">
        <v>3360</v>
      </c>
      <c r="B3926" s="22" t="str">
        <f ca="1">IF(ISBLANK(OFFSET(B3926,0,'Field labels'!$Q$1)),C3926,OFFSET(B3926,0,'Field labels'!$Q$1))</f>
        <v>H-5</v>
      </c>
      <c r="C3926" s="22" t="s">
        <v>3636</v>
      </c>
    </row>
    <row r="3927" spans="1:3">
      <c r="A3927" s="22" t="s">
        <v>3360</v>
      </c>
      <c r="B3927" s="22" t="str">
        <f ca="1">IF(ISBLANK(OFFSET(B3927,0,'Field labels'!$Q$1)),C3927,OFFSET(B3927,0,'Field labels'!$Q$1))</f>
        <v>H-6</v>
      </c>
      <c r="C3927" s="22" t="s">
        <v>3637</v>
      </c>
    </row>
    <row r="3928" spans="1:3">
      <c r="A3928" s="22" t="s">
        <v>3360</v>
      </c>
      <c r="B3928" s="22" t="str">
        <f ca="1">IF(ISBLANK(OFFSET(B3928,0,'Field labels'!$Q$1)),C3928,OFFSET(B3928,0,'Field labels'!$Q$1))</f>
        <v>H-7</v>
      </c>
      <c r="C3928" s="22" t="s">
        <v>3638</v>
      </c>
    </row>
    <row r="3929" spans="1:3">
      <c r="A3929" s="22" t="s">
        <v>3360</v>
      </c>
      <c r="B3929" s="22" t="str">
        <f ca="1">IF(ISBLANK(OFFSET(B3929,0,'Field labels'!$Q$1)),C3929,OFFSET(B3929,0,'Field labels'!$Q$1))</f>
        <v>H-8</v>
      </c>
      <c r="C3929" s="22" t="s">
        <v>3639</v>
      </c>
    </row>
    <row r="3930" spans="1:3">
      <c r="A3930" s="22" t="s">
        <v>3360</v>
      </c>
      <c r="B3930" s="22" t="str">
        <f ca="1">IF(ISBLANK(OFFSET(B3930,0,'Field labels'!$Q$1)),C3930,OFFSET(B3930,0,'Field labels'!$Q$1))</f>
        <v>H-9</v>
      </c>
      <c r="C3930" s="22" t="s">
        <v>3640</v>
      </c>
    </row>
    <row r="3931" spans="1:3">
      <c r="A3931" s="22" t="s">
        <v>3360</v>
      </c>
      <c r="B3931" s="22" t="str">
        <f ca="1">IF(ISBLANK(OFFSET(B3931,0,'Field labels'!$Q$1)),C3931,OFFSET(B3931,0,'Field labels'!$Q$1))</f>
        <v>I-0</v>
      </c>
      <c r="C3931" s="22" t="s">
        <v>3641</v>
      </c>
    </row>
    <row r="3932" spans="1:3">
      <c r="A3932" s="22" t="s">
        <v>3360</v>
      </c>
      <c r="B3932" s="22" t="str">
        <f ca="1">IF(ISBLANK(OFFSET(B3932,0,'Field labels'!$Q$1)),C3932,OFFSET(B3932,0,'Field labels'!$Q$1))</f>
        <v>I-1</v>
      </c>
      <c r="C3932" s="22" t="s">
        <v>3642</v>
      </c>
    </row>
    <row r="3933" spans="1:3">
      <c r="A3933" s="22" t="s">
        <v>3360</v>
      </c>
      <c r="B3933" s="22" t="str">
        <f ca="1">IF(ISBLANK(OFFSET(B3933,0,'Field labels'!$Q$1)),C3933,OFFSET(B3933,0,'Field labels'!$Q$1))</f>
        <v>I-10</v>
      </c>
      <c r="C3933" s="22" t="s">
        <v>3643</v>
      </c>
    </row>
    <row r="3934" spans="1:3">
      <c r="A3934" s="22" t="s">
        <v>3360</v>
      </c>
      <c r="B3934" s="22" t="str">
        <f ca="1">IF(ISBLANK(OFFSET(B3934,0,'Field labels'!$Q$1)),C3934,OFFSET(B3934,0,'Field labels'!$Q$1))</f>
        <v>I-11</v>
      </c>
      <c r="C3934" s="22" t="s">
        <v>3644</v>
      </c>
    </row>
    <row r="3935" spans="1:3">
      <c r="A3935" s="22" t="s">
        <v>3360</v>
      </c>
      <c r="B3935" s="22" t="str">
        <f ca="1">IF(ISBLANK(OFFSET(B3935,0,'Field labels'!$Q$1)),C3935,OFFSET(B3935,0,'Field labels'!$Q$1))</f>
        <v>I-17</v>
      </c>
      <c r="C3935" s="22" t="s">
        <v>3645</v>
      </c>
    </row>
    <row r="3936" spans="1:3">
      <c r="A3936" s="22" t="s">
        <v>3360</v>
      </c>
      <c r="B3936" s="22" t="str">
        <f ca="1">IF(ISBLANK(OFFSET(B3936,0,'Field labels'!$Q$1)),C3936,OFFSET(B3936,0,'Field labels'!$Q$1))</f>
        <v>I-18</v>
      </c>
      <c r="C3936" s="22" t="s">
        <v>3646</v>
      </c>
    </row>
    <row r="3937" spans="1:3">
      <c r="A3937" s="22" t="s">
        <v>3360</v>
      </c>
      <c r="B3937" s="22" t="str">
        <f ca="1">IF(ISBLANK(OFFSET(B3937,0,'Field labels'!$Q$1)),C3937,OFFSET(B3937,0,'Field labels'!$Q$1))</f>
        <v>I-19</v>
      </c>
      <c r="C3937" s="22" t="s">
        <v>3647</v>
      </c>
    </row>
    <row r="3938" spans="1:3">
      <c r="A3938" s="22" t="s">
        <v>3360</v>
      </c>
      <c r="B3938" s="22" t="str">
        <f ca="1">IF(ISBLANK(OFFSET(B3938,0,'Field labels'!$Q$1)),C3938,OFFSET(B3938,0,'Field labels'!$Q$1))</f>
        <v>I-2</v>
      </c>
      <c r="C3938" s="22" t="s">
        <v>3648</v>
      </c>
    </row>
    <row r="3939" spans="1:3">
      <c r="A3939" s="22" t="s">
        <v>3360</v>
      </c>
      <c r="B3939" s="22" t="str">
        <f ca="1">IF(ISBLANK(OFFSET(B3939,0,'Field labels'!$Q$1)),C3939,OFFSET(B3939,0,'Field labels'!$Q$1))</f>
        <v>I-20</v>
      </c>
      <c r="C3939" s="22" t="s">
        <v>3649</v>
      </c>
    </row>
    <row r="3940" spans="1:3">
      <c r="A3940" s="22" t="s">
        <v>3360</v>
      </c>
      <c r="B3940" s="22" t="str">
        <f ca="1">IF(ISBLANK(OFFSET(B3940,0,'Field labels'!$Q$1)),C3940,OFFSET(B3940,0,'Field labels'!$Q$1))</f>
        <v>I-21</v>
      </c>
      <c r="C3940" s="22" t="s">
        <v>3650</v>
      </c>
    </row>
    <row r="3941" spans="1:3">
      <c r="A3941" s="22" t="s">
        <v>3360</v>
      </c>
      <c r="B3941" s="22" t="str">
        <f ca="1">IF(ISBLANK(OFFSET(B3941,0,'Field labels'!$Q$1)),C3941,OFFSET(B3941,0,'Field labels'!$Q$1))</f>
        <v>I-22</v>
      </c>
      <c r="C3941" s="22" t="s">
        <v>3651</v>
      </c>
    </row>
    <row r="3942" spans="1:3">
      <c r="A3942" s="22" t="s">
        <v>3360</v>
      </c>
      <c r="B3942" s="22" t="str">
        <f ca="1">IF(ISBLANK(OFFSET(B3942,0,'Field labels'!$Q$1)),C3942,OFFSET(B3942,0,'Field labels'!$Q$1))</f>
        <v>I-23</v>
      </c>
      <c r="C3942" s="22" t="s">
        <v>3652</v>
      </c>
    </row>
    <row r="3943" spans="1:3">
      <c r="A3943" s="22" t="s">
        <v>3360</v>
      </c>
      <c r="B3943" s="22" t="str">
        <f ca="1">IF(ISBLANK(OFFSET(B3943,0,'Field labels'!$Q$1)),C3943,OFFSET(B3943,0,'Field labels'!$Q$1))</f>
        <v>I-3</v>
      </c>
      <c r="C3943" s="22" t="s">
        <v>3653</v>
      </c>
    </row>
    <row r="3944" spans="1:3">
      <c r="A3944" s="22" t="s">
        <v>3360</v>
      </c>
      <c r="B3944" s="22" t="str">
        <f ca="1">IF(ISBLANK(OFFSET(B3944,0,'Field labels'!$Q$1)),C3944,OFFSET(B3944,0,'Field labels'!$Q$1))</f>
        <v>I-4</v>
      </c>
      <c r="C3944" s="22" t="s">
        <v>3654</v>
      </c>
    </row>
    <row r="3945" spans="1:3">
      <c r="A3945" s="22" t="s">
        <v>3360</v>
      </c>
      <c r="B3945" s="22" t="str">
        <f ca="1">IF(ISBLANK(OFFSET(B3945,0,'Field labels'!$Q$1)),C3945,OFFSET(B3945,0,'Field labels'!$Q$1))</f>
        <v>I-5</v>
      </c>
      <c r="C3945" s="22" t="s">
        <v>3655</v>
      </c>
    </row>
    <row r="3946" spans="1:3">
      <c r="A3946" s="22" t="s">
        <v>3360</v>
      </c>
      <c r="B3946" s="22" t="str">
        <f ca="1">IF(ISBLANK(OFFSET(B3946,0,'Field labels'!$Q$1)),C3946,OFFSET(B3946,0,'Field labels'!$Q$1))</f>
        <v>I-6</v>
      </c>
      <c r="C3946" s="22" t="s">
        <v>3656</v>
      </c>
    </row>
    <row r="3947" spans="1:3">
      <c r="A3947" s="22" t="s">
        <v>3360</v>
      </c>
      <c r="B3947" s="22" t="str">
        <f ca="1">IF(ISBLANK(OFFSET(B3947,0,'Field labels'!$Q$1)),C3947,OFFSET(B3947,0,'Field labels'!$Q$1))</f>
        <v>I-7</v>
      </c>
      <c r="C3947" s="22" t="s">
        <v>3657</v>
      </c>
    </row>
    <row r="3948" spans="1:3">
      <c r="A3948" s="22" t="s">
        <v>3360</v>
      </c>
      <c r="B3948" s="22" t="str">
        <f ca="1">IF(ISBLANK(OFFSET(B3948,0,'Field labels'!$Q$1)),C3948,OFFSET(B3948,0,'Field labels'!$Q$1))</f>
        <v>I-8</v>
      </c>
      <c r="C3948" s="22" t="s">
        <v>3658</v>
      </c>
    </row>
    <row r="3949" spans="1:3">
      <c r="A3949" s="22" t="s">
        <v>3360</v>
      </c>
      <c r="B3949" s="22" t="str">
        <f ca="1">IF(ISBLANK(OFFSET(B3949,0,'Field labels'!$Q$1)),C3949,OFFSET(B3949,0,'Field labels'!$Q$1))</f>
        <v>I-9</v>
      </c>
      <c r="C3949" s="22" t="s">
        <v>3659</v>
      </c>
    </row>
    <row r="3950" spans="1:3">
      <c r="A3950" s="22" t="s">
        <v>3360</v>
      </c>
      <c r="B3950" s="22" t="str">
        <f ca="1">IF(ISBLANK(OFFSET(B3950,0,'Field labels'!$Q$1)),C3950,OFFSET(B3950,0,'Field labels'!$Q$1))</f>
        <v>II-0</v>
      </c>
      <c r="C3950" s="22" t="s">
        <v>3660</v>
      </c>
    </row>
    <row r="3951" spans="1:3">
      <c r="A3951" s="22" t="s">
        <v>3360</v>
      </c>
      <c r="B3951" s="22" t="str">
        <f ca="1">IF(ISBLANK(OFFSET(B3951,0,'Field labels'!$Q$1)),C3951,OFFSET(B3951,0,'Field labels'!$Q$1))</f>
        <v>II-1</v>
      </c>
      <c r="C3951" s="22" t="s">
        <v>3661</v>
      </c>
    </row>
    <row r="3952" spans="1:3">
      <c r="A3952" s="22" t="s">
        <v>3360</v>
      </c>
      <c r="B3952" s="22" t="str">
        <f ca="1">IF(ISBLANK(OFFSET(B3952,0,'Field labels'!$Q$1)),C3952,OFFSET(B3952,0,'Field labels'!$Q$1))</f>
        <v>II-17</v>
      </c>
      <c r="C3952" s="22" t="s">
        <v>3662</v>
      </c>
    </row>
    <row r="3953" spans="1:3">
      <c r="A3953" s="22" t="s">
        <v>3360</v>
      </c>
      <c r="B3953" s="22" t="str">
        <f ca="1">IF(ISBLANK(OFFSET(B3953,0,'Field labels'!$Q$1)),C3953,OFFSET(B3953,0,'Field labels'!$Q$1))</f>
        <v>II-18</v>
      </c>
      <c r="C3953" s="22" t="s">
        <v>3663</v>
      </c>
    </row>
    <row r="3954" spans="1:3">
      <c r="A3954" s="22" t="s">
        <v>3360</v>
      </c>
      <c r="B3954" s="22" t="str">
        <f ca="1">IF(ISBLANK(OFFSET(B3954,0,'Field labels'!$Q$1)),C3954,OFFSET(B3954,0,'Field labels'!$Q$1))</f>
        <v>II-19</v>
      </c>
      <c r="C3954" s="22" t="s">
        <v>3664</v>
      </c>
    </row>
    <row r="3955" spans="1:3">
      <c r="A3955" s="22" t="s">
        <v>3360</v>
      </c>
      <c r="B3955" s="22" t="str">
        <f ca="1">IF(ISBLANK(OFFSET(B3955,0,'Field labels'!$Q$1)),C3955,OFFSET(B3955,0,'Field labels'!$Q$1))</f>
        <v>II-2</v>
      </c>
      <c r="C3955" s="22" t="s">
        <v>3665</v>
      </c>
    </row>
    <row r="3956" spans="1:3">
      <c r="A3956" s="22" t="s">
        <v>3360</v>
      </c>
      <c r="B3956" s="22" t="str">
        <f ca="1">IF(ISBLANK(OFFSET(B3956,0,'Field labels'!$Q$1)),C3956,OFFSET(B3956,0,'Field labels'!$Q$1))</f>
        <v>II-20</v>
      </c>
      <c r="C3956" s="22" t="s">
        <v>3666</v>
      </c>
    </row>
    <row r="3957" spans="1:3">
      <c r="A3957" s="22" t="s">
        <v>3360</v>
      </c>
      <c r="B3957" s="22" t="str">
        <f ca="1">IF(ISBLANK(OFFSET(B3957,0,'Field labels'!$Q$1)),C3957,OFFSET(B3957,0,'Field labels'!$Q$1))</f>
        <v>II-21</v>
      </c>
      <c r="C3957" s="22" t="s">
        <v>3667</v>
      </c>
    </row>
    <row r="3958" spans="1:3">
      <c r="A3958" s="22" t="s">
        <v>3360</v>
      </c>
      <c r="B3958" s="22" t="str">
        <f ca="1">IF(ISBLANK(OFFSET(B3958,0,'Field labels'!$Q$1)),C3958,OFFSET(B3958,0,'Field labels'!$Q$1))</f>
        <v>II-22</v>
      </c>
      <c r="C3958" s="22" t="s">
        <v>3668</v>
      </c>
    </row>
    <row r="3959" spans="1:3">
      <c r="A3959" s="22" t="s">
        <v>3360</v>
      </c>
      <c r="B3959" s="22" t="str">
        <f ca="1">IF(ISBLANK(OFFSET(B3959,0,'Field labels'!$Q$1)),C3959,OFFSET(B3959,0,'Field labels'!$Q$1))</f>
        <v>II-23</v>
      </c>
      <c r="C3959" s="22" t="s">
        <v>3669</v>
      </c>
    </row>
    <row r="3960" spans="1:3">
      <c r="A3960" s="22" t="s">
        <v>3360</v>
      </c>
      <c r="B3960" s="22" t="str">
        <f ca="1">IF(ISBLANK(OFFSET(B3960,0,'Field labels'!$Q$1)),C3960,OFFSET(B3960,0,'Field labels'!$Q$1))</f>
        <v>II-3</v>
      </c>
      <c r="C3960" s="22" t="s">
        <v>3670</v>
      </c>
    </row>
    <row r="3961" spans="1:3">
      <c r="A3961" s="22" t="s">
        <v>3360</v>
      </c>
      <c r="B3961" s="22" t="str">
        <f ca="1">IF(ISBLANK(OFFSET(B3961,0,'Field labels'!$Q$1)),C3961,OFFSET(B3961,0,'Field labels'!$Q$1))</f>
        <v>II-4</v>
      </c>
      <c r="C3961" s="22" t="s">
        <v>3671</v>
      </c>
    </row>
    <row r="3962" spans="1:3">
      <c r="A3962" s="22" t="s">
        <v>3360</v>
      </c>
      <c r="B3962" s="22" t="str">
        <f ca="1">IF(ISBLANK(OFFSET(B3962,0,'Field labels'!$Q$1)),C3962,OFFSET(B3962,0,'Field labels'!$Q$1))</f>
        <v>II-5</v>
      </c>
      <c r="C3962" s="22" t="s">
        <v>3672</v>
      </c>
    </row>
    <row r="3963" spans="1:3">
      <c r="A3963" s="22" t="s">
        <v>3360</v>
      </c>
      <c r="B3963" s="22" t="str">
        <f ca="1">IF(ISBLANK(OFFSET(B3963,0,'Field labels'!$Q$1)),C3963,OFFSET(B3963,0,'Field labels'!$Q$1))</f>
        <v>II-6</v>
      </c>
      <c r="C3963" s="22" t="s">
        <v>3673</v>
      </c>
    </row>
    <row r="3964" spans="1:3">
      <c r="A3964" s="22" t="s">
        <v>3360</v>
      </c>
      <c r="B3964" s="22" t="str">
        <f ca="1">IF(ISBLANK(OFFSET(B3964,0,'Field labels'!$Q$1)),C3964,OFFSET(B3964,0,'Field labels'!$Q$1))</f>
        <v>III-0</v>
      </c>
      <c r="C3964" s="22" t="s">
        <v>3674</v>
      </c>
    </row>
    <row r="3965" spans="1:3">
      <c r="A3965" s="22" t="s">
        <v>3360</v>
      </c>
      <c r="B3965" s="22" t="str">
        <f ca="1">IF(ISBLANK(OFFSET(B3965,0,'Field labels'!$Q$1)),C3965,OFFSET(B3965,0,'Field labels'!$Q$1))</f>
        <v>III-1</v>
      </c>
      <c r="C3965" s="22" t="s">
        <v>3675</v>
      </c>
    </row>
    <row r="3966" spans="1:3">
      <c r="A3966" s="22" t="s">
        <v>3360</v>
      </c>
      <c r="B3966" s="22" t="str">
        <f ca="1">IF(ISBLANK(OFFSET(B3966,0,'Field labels'!$Q$1)),C3966,OFFSET(B3966,0,'Field labels'!$Q$1))</f>
        <v>III-17</v>
      </c>
      <c r="C3966" s="22" t="s">
        <v>3676</v>
      </c>
    </row>
    <row r="3967" spans="1:3">
      <c r="A3967" s="22" t="s">
        <v>3360</v>
      </c>
      <c r="B3967" s="22" t="str">
        <f ca="1">IF(ISBLANK(OFFSET(B3967,0,'Field labels'!$Q$1)),C3967,OFFSET(B3967,0,'Field labels'!$Q$1))</f>
        <v>III-18</v>
      </c>
      <c r="C3967" s="22" t="s">
        <v>3677</v>
      </c>
    </row>
    <row r="3968" spans="1:3">
      <c r="A3968" s="22" t="s">
        <v>3360</v>
      </c>
      <c r="B3968" s="22" t="str">
        <f ca="1">IF(ISBLANK(OFFSET(B3968,0,'Field labels'!$Q$1)),C3968,OFFSET(B3968,0,'Field labels'!$Q$1))</f>
        <v>III-19</v>
      </c>
      <c r="C3968" s="22" t="s">
        <v>3678</v>
      </c>
    </row>
    <row r="3969" spans="1:3">
      <c r="A3969" s="22" t="s">
        <v>3360</v>
      </c>
      <c r="B3969" s="22" t="str">
        <f ca="1">IF(ISBLANK(OFFSET(B3969,0,'Field labels'!$Q$1)),C3969,OFFSET(B3969,0,'Field labels'!$Q$1))</f>
        <v>III-2</v>
      </c>
      <c r="C3969" s="22" t="s">
        <v>3679</v>
      </c>
    </row>
    <row r="3970" spans="1:3">
      <c r="A3970" s="22" t="s">
        <v>3360</v>
      </c>
      <c r="B3970" s="22" t="str">
        <f ca="1">IF(ISBLANK(OFFSET(B3970,0,'Field labels'!$Q$1)),C3970,OFFSET(B3970,0,'Field labels'!$Q$1))</f>
        <v>III-20</v>
      </c>
      <c r="C3970" s="22" t="s">
        <v>3680</v>
      </c>
    </row>
    <row r="3971" spans="1:3">
      <c r="A3971" s="22" t="s">
        <v>3360</v>
      </c>
      <c r="B3971" s="22" t="str">
        <f ca="1">IF(ISBLANK(OFFSET(B3971,0,'Field labels'!$Q$1)),C3971,OFFSET(B3971,0,'Field labels'!$Q$1))</f>
        <v>III-21</v>
      </c>
      <c r="C3971" s="22" t="s">
        <v>3681</v>
      </c>
    </row>
    <row r="3972" spans="1:3">
      <c r="A3972" s="22" t="s">
        <v>3360</v>
      </c>
      <c r="B3972" s="22" t="str">
        <f ca="1">IF(ISBLANK(OFFSET(B3972,0,'Field labels'!$Q$1)),C3972,OFFSET(B3972,0,'Field labels'!$Q$1))</f>
        <v>III-22</v>
      </c>
      <c r="C3972" s="22" t="s">
        <v>3682</v>
      </c>
    </row>
    <row r="3973" spans="1:3">
      <c r="A3973" s="22" t="s">
        <v>3360</v>
      </c>
      <c r="B3973" s="22" t="str">
        <f ca="1">IF(ISBLANK(OFFSET(B3973,0,'Field labels'!$Q$1)),C3973,OFFSET(B3973,0,'Field labels'!$Q$1))</f>
        <v>III-23</v>
      </c>
      <c r="C3973" s="22" t="s">
        <v>3683</v>
      </c>
    </row>
    <row r="3974" spans="1:3">
      <c r="A3974" s="22" t="s">
        <v>3360</v>
      </c>
      <c r="B3974" s="22" t="str">
        <f ca="1">IF(ISBLANK(OFFSET(B3974,0,'Field labels'!$Q$1)),C3974,OFFSET(B3974,0,'Field labels'!$Q$1))</f>
        <v>III-3</v>
      </c>
      <c r="C3974" s="22" t="s">
        <v>3684</v>
      </c>
    </row>
    <row r="3975" spans="1:3">
      <c r="A3975" s="22" t="s">
        <v>3360</v>
      </c>
      <c r="B3975" s="22" t="str">
        <f ca="1">IF(ISBLANK(OFFSET(B3975,0,'Field labels'!$Q$1)),C3975,OFFSET(B3975,0,'Field labels'!$Q$1))</f>
        <v>III-4</v>
      </c>
      <c r="C3975" s="22" t="s">
        <v>3685</v>
      </c>
    </row>
    <row r="3976" spans="1:3">
      <c r="A3976" s="22" t="s">
        <v>3360</v>
      </c>
      <c r="B3976" s="22" t="str">
        <f ca="1">IF(ISBLANK(OFFSET(B3976,0,'Field labels'!$Q$1)),C3976,OFFSET(B3976,0,'Field labels'!$Q$1))</f>
        <v>III-5</v>
      </c>
      <c r="C3976" s="22" t="s">
        <v>3686</v>
      </c>
    </row>
    <row r="3977" spans="1:3">
      <c r="A3977" s="22" t="s">
        <v>3360</v>
      </c>
      <c r="B3977" s="22" t="str">
        <f ca="1">IF(ISBLANK(OFFSET(B3977,0,'Field labels'!$Q$1)),C3977,OFFSET(B3977,0,'Field labels'!$Q$1))</f>
        <v>III-6</v>
      </c>
      <c r="C3977" s="22" t="s">
        <v>3687</v>
      </c>
    </row>
    <row r="3978" spans="1:3">
      <c r="A3978" s="22" t="s">
        <v>3360</v>
      </c>
      <c r="B3978" s="22" t="str">
        <f ca="1">IF(ISBLANK(OFFSET(B3978,0,'Field labels'!$Q$1)),C3978,OFFSET(B3978,0,'Field labels'!$Q$1))</f>
        <v>III-7</v>
      </c>
      <c r="C3978" s="22" t="s">
        <v>3688</v>
      </c>
    </row>
    <row r="3979" spans="1:3">
      <c r="A3979" s="22" t="s">
        <v>3360</v>
      </c>
      <c r="B3979" s="22" t="str">
        <f ca="1">IF(ISBLANK(OFFSET(B3979,0,'Field labels'!$Q$1)),C3979,OFFSET(B3979,0,'Field labels'!$Q$1))</f>
        <v>IV-0</v>
      </c>
      <c r="C3979" s="22" t="s">
        <v>3689</v>
      </c>
    </row>
    <row r="3980" spans="1:3">
      <c r="A3980" s="22" t="s">
        <v>3360</v>
      </c>
      <c r="B3980" s="22" t="str">
        <f ca="1">IF(ISBLANK(OFFSET(B3980,0,'Field labels'!$Q$1)),C3980,OFFSET(B3980,0,'Field labels'!$Q$1))</f>
        <v>IV-1</v>
      </c>
      <c r="C3980" s="22" t="s">
        <v>3690</v>
      </c>
    </row>
    <row r="3981" spans="1:3">
      <c r="A3981" s="22" t="s">
        <v>3360</v>
      </c>
      <c r="B3981" s="22" t="str">
        <f ca="1">IF(ISBLANK(OFFSET(B3981,0,'Field labels'!$Q$1)),C3981,OFFSET(B3981,0,'Field labels'!$Q$1))</f>
        <v>IV-18</v>
      </c>
      <c r="C3981" s="22" t="s">
        <v>3691</v>
      </c>
    </row>
    <row r="3982" spans="1:3">
      <c r="A3982" s="22" t="s">
        <v>3360</v>
      </c>
      <c r="B3982" s="22" t="str">
        <f ca="1">IF(ISBLANK(OFFSET(B3982,0,'Field labels'!$Q$1)),C3982,OFFSET(B3982,0,'Field labels'!$Q$1))</f>
        <v>IV-19</v>
      </c>
      <c r="C3982" s="22" t="s">
        <v>3692</v>
      </c>
    </row>
    <row r="3983" spans="1:3">
      <c r="A3983" t="s">
        <v>3360</v>
      </c>
      <c r="B3983" t="str">
        <f ca="1">IF(ISBLANK(OFFSET(B3983,0,'Field labels'!$Q$1)),C3983,OFFSET(B3983,0,'Field labels'!$Q$1))</f>
        <v>IV-2</v>
      </c>
      <c r="C3983" t="s">
        <v>3693</v>
      </c>
    </row>
    <row r="3984" spans="1:3">
      <c r="A3984" t="s">
        <v>3360</v>
      </c>
      <c r="B3984" t="str">
        <f ca="1">IF(ISBLANK(OFFSET(B3984,0,'Field labels'!$Q$1)),C3984,OFFSET(B3984,0,'Field labels'!$Q$1))</f>
        <v>IV-20</v>
      </c>
      <c r="C3984" t="s">
        <v>3694</v>
      </c>
    </row>
    <row r="3985" spans="1:3">
      <c r="A3985" t="s">
        <v>3360</v>
      </c>
      <c r="B3985" t="str">
        <f ca="1">IF(ISBLANK(OFFSET(B3985,0,'Field labels'!$Q$1)),C3985,OFFSET(B3985,0,'Field labels'!$Q$1))</f>
        <v>IV-21</v>
      </c>
      <c r="C3985" t="s">
        <v>3695</v>
      </c>
    </row>
    <row r="3986" spans="1:3">
      <c r="A3986" t="s">
        <v>3360</v>
      </c>
      <c r="B3986" t="str">
        <f ca="1">IF(ISBLANK(OFFSET(B3986,0,'Field labels'!$Q$1)),C3986,OFFSET(B3986,0,'Field labels'!$Q$1))</f>
        <v>IV-22</v>
      </c>
      <c r="C3986" t="s">
        <v>3696</v>
      </c>
    </row>
    <row r="3987" spans="1:3">
      <c r="A3987" t="s">
        <v>3360</v>
      </c>
      <c r="B3987" t="str">
        <f ca="1">IF(ISBLANK(OFFSET(B3987,0,'Field labels'!$Q$1)),C3987,OFFSET(B3987,0,'Field labels'!$Q$1))</f>
        <v>IV-23</v>
      </c>
      <c r="C3987" t="s">
        <v>3697</v>
      </c>
    </row>
    <row r="3988" spans="1:3">
      <c r="A3988" t="s">
        <v>3360</v>
      </c>
      <c r="B3988" t="str">
        <f ca="1">IF(ISBLANK(OFFSET(B3988,0,'Field labels'!$Q$1)),C3988,OFFSET(B3988,0,'Field labels'!$Q$1))</f>
        <v>IV-3</v>
      </c>
      <c r="C3988" t="s">
        <v>3698</v>
      </c>
    </row>
    <row r="3989" spans="1:3">
      <c r="A3989" t="s">
        <v>3360</v>
      </c>
      <c r="B3989" t="str">
        <f ca="1">IF(ISBLANK(OFFSET(B3989,0,'Field labels'!$Q$1)),C3989,OFFSET(B3989,0,'Field labels'!$Q$1))</f>
        <v>IV-4</v>
      </c>
      <c r="C3989" t="s">
        <v>3699</v>
      </c>
    </row>
    <row r="3990" spans="1:3">
      <c r="A3990" t="s">
        <v>3360</v>
      </c>
      <c r="B3990" t="str">
        <f ca="1">IF(ISBLANK(OFFSET(B3990,0,'Field labels'!$Q$1)),C3990,OFFSET(B3990,0,'Field labels'!$Q$1))</f>
        <v>IV-5</v>
      </c>
      <c r="C3990" t="s">
        <v>3700</v>
      </c>
    </row>
    <row r="3991" spans="1:3">
      <c r="A3991" t="s">
        <v>3360</v>
      </c>
      <c r="B3991" t="str">
        <f ca="1">IF(ISBLANK(OFFSET(B3991,0,'Field labels'!$Q$1)),C3991,OFFSET(B3991,0,'Field labels'!$Q$1))</f>
        <v>IV-6</v>
      </c>
      <c r="C3991" t="s">
        <v>3701</v>
      </c>
    </row>
    <row r="3992" spans="1:3">
      <c r="A3992" t="s">
        <v>3360</v>
      </c>
      <c r="B3992" t="str">
        <f ca="1">IF(ISBLANK(OFFSET(B3992,0,'Field labels'!$Q$1)),C3992,OFFSET(B3992,0,'Field labels'!$Q$1))</f>
        <v>IV-7</v>
      </c>
      <c r="C3992" t="s">
        <v>3702</v>
      </c>
    </row>
    <row r="3993" spans="1:3">
      <c r="A3993" t="s">
        <v>3360</v>
      </c>
      <c r="B3993" t="str">
        <f ca="1">IF(ISBLANK(OFFSET(B3993,0,'Field labels'!$Q$1)),C3993,OFFSET(B3993,0,'Field labels'!$Q$1))</f>
        <v>IV-8</v>
      </c>
      <c r="C3993" t="s">
        <v>3703</v>
      </c>
    </row>
    <row r="3994" spans="1:3">
      <c r="A3994" t="s">
        <v>3360</v>
      </c>
      <c r="B3994" t="str">
        <f ca="1">IF(ISBLANK(OFFSET(B3994,0,'Field labels'!$Q$1)),C3994,OFFSET(B3994,0,'Field labels'!$Q$1))</f>
        <v>V-0</v>
      </c>
      <c r="C3994" t="s">
        <v>3704</v>
      </c>
    </row>
    <row r="3995" spans="1:3">
      <c r="A3995" t="s">
        <v>3360</v>
      </c>
      <c r="B3995" t="str">
        <f ca="1">IF(ISBLANK(OFFSET(B3995,0,'Field labels'!$Q$1)),C3995,OFFSET(B3995,0,'Field labels'!$Q$1))</f>
        <v>V-1</v>
      </c>
      <c r="C3995" t="s">
        <v>3705</v>
      </c>
    </row>
    <row r="3996" spans="1:3">
      <c r="A3996" t="s">
        <v>3360</v>
      </c>
      <c r="B3996" t="str">
        <f ca="1">IF(ISBLANK(OFFSET(B3996,0,'Field labels'!$Q$1)),C3996,OFFSET(B3996,0,'Field labels'!$Q$1))</f>
        <v>V-19</v>
      </c>
      <c r="C3996" t="s">
        <v>3706</v>
      </c>
    </row>
    <row r="3997" spans="1:3">
      <c r="A3997" t="s">
        <v>3360</v>
      </c>
      <c r="B3997" t="str">
        <f ca="1">IF(ISBLANK(OFFSET(B3997,0,'Field labels'!$Q$1)),C3997,OFFSET(B3997,0,'Field labels'!$Q$1))</f>
        <v>V-2</v>
      </c>
      <c r="C3997" t="s">
        <v>3707</v>
      </c>
    </row>
    <row r="3998" spans="1:3">
      <c r="A3998" t="s">
        <v>3360</v>
      </c>
      <c r="B3998" t="str">
        <f ca="1">IF(ISBLANK(OFFSET(B3998,0,'Field labels'!$Q$1)),C3998,OFFSET(B3998,0,'Field labels'!$Q$1))</f>
        <v>V-20</v>
      </c>
      <c r="C3998" t="s">
        <v>3708</v>
      </c>
    </row>
    <row r="3999" spans="1:3">
      <c r="A3999" t="s">
        <v>3360</v>
      </c>
      <c r="B3999" t="str">
        <f ca="1">IF(ISBLANK(OFFSET(B3999,0,'Field labels'!$Q$1)),C3999,OFFSET(B3999,0,'Field labels'!$Q$1))</f>
        <v>V-21</v>
      </c>
      <c r="C3999" t="s">
        <v>3709</v>
      </c>
    </row>
    <row r="4000" spans="1:3">
      <c r="A4000" t="s">
        <v>3360</v>
      </c>
      <c r="B4000" t="str">
        <f ca="1">IF(ISBLANK(OFFSET(B4000,0,'Field labels'!$Q$1)),C4000,OFFSET(B4000,0,'Field labels'!$Q$1))</f>
        <v>V-22</v>
      </c>
      <c r="C4000" t="s">
        <v>3710</v>
      </c>
    </row>
    <row r="4001" spans="1:3">
      <c r="A4001" t="s">
        <v>3360</v>
      </c>
      <c r="B4001" t="str">
        <f ca="1">IF(ISBLANK(OFFSET(B4001,0,'Field labels'!$Q$1)),C4001,OFFSET(B4001,0,'Field labels'!$Q$1))</f>
        <v>V-23</v>
      </c>
      <c r="C4001" t="s">
        <v>3711</v>
      </c>
    </row>
    <row r="4002" spans="1:3">
      <c r="A4002" t="s">
        <v>3360</v>
      </c>
      <c r="B4002" t="str">
        <f ca="1">IF(ISBLANK(OFFSET(B4002,0,'Field labels'!$Q$1)),C4002,OFFSET(B4002,0,'Field labels'!$Q$1))</f>
        <v>V-3</v>
      </c>
      <c r="C4002" t="s">
        <v>3712</v>
      </c>
    </row>
    <row r="4003" spans="1:3">
      <c r="A4003" t="s">
        <v>3360</v>
      </c>
      <c r="B4003" t="str">
        <f ca="1">IF(ISBLANK(OFFSET(B4003,0,'Field labels'!$Q$1)),C4003,OFFSET(B4003,0,'Field labels'!$Q$1))</f>
        <v>V-4</v>
      </c>
      <c r="C4003" t="s">
        <v>3713</v>
      </c>
    </row>
    <row r="4004" spans="1:3">
      <c r="A4004" t="s">
        <v>3360</v>
      </c>
      <c r="B4004" t="str">
        <f ca="1">IF(ISBLANK(OFFSET(B4004,0,'Field labels'!$Q$1)),C4004,OFFSET(B4004,0,'Field labels'!$Q$1))</f>
        <v>V-5</v>
      </c>
      <c r="C4004" t="s">
        <v>3714</v>
      </c>
    </row>
    <row r="4005" spans="1:3">
      <c r="A4005" t="s">
        <v>3360</v>
      </c>
      <c r="B4005" t="str">
        <f ca="1">IF(ISBLANK(OFFSET(B4005,0,'Field labels'!$Q$1)),C4005,OFFSET(B4005,0,'Field labels'!$Q$1))</f>
        <v>V-6</v>
      </c>
      <c r="C4005" t="s">
        <v>3715</v>
      </c>
    </row>
    <row r="4006" spans="1:3">
      <c r="A4006" t="s">
        <v>3360</v>
      </c>
      <c r="B4006" t="str">
        <f ca="1">IF(ISBLANK(OFFSET(B4006,0,'Field labels'!$Q$1)),C4006,OFFSET(B4006,0,'Field labels'!$Q$1))</f>
        <v>V-7</v>
      </c>
      <c r="C4006" t="s">
        <v>3716</v>
      </c>
    </row>
    <row r="4007" spans="1:3">
      <c r="A4007" t="s">
        <v>3360</v>
      </c>
      <c r="B4007" t="str">
        <f ca="1">IF(ISBLANK(OFFSET(B4007,0,'Field labels'!$Q$1)),C4007,OFFSET(B4007,0,'Field labels'!$Q$1))</f>
        <v>V-8</v>
      </c>
      <c r="C4007" t="s">
        <v>3717</v>
      </c>
    </row>
    <row r="4008" spans="1:3">
      <c r="A4008" t="s">
        <v>3360</v>
      </c>
      <c r="B4008" t="str">
        <f ca="1">IF(ISBLANK(OFFSET(B4008,0,'Field labels'!$Q$1)),C4008,OFFSET(B4008,0,'Field labels'!$Q$1))</f>
        <v>VI-0</v>
      </c>
      <c r="C4008" t="s">
        <v>3718</v>
      </c>
    </row>
    <row r="4009" spans="1:3">
      <c r="A4009" t="s">
        <v>3360</v>
      </c>
      <c r="B4009" t="str">
        <f ca="1">IF(ISBLANK(OFFSET(B4009,0,'Field labels'!$Q$1)),C4009,OFFSET(B4009,0,'Field labels'!$Q$1))</f>
        <v>VI-1</v>
      </c>
      <c r="C4009" t="s">
        <v>3719</v>
      </c>
    </row>
    <row r="4010" spans="1:3">
      <c r="A4010" t="s">
        <v>3360</v>
      </c>
      <c r="B4010" t="str">
        <f ca="1">IF(ISBLANK(OFFSET(B4010,0,'Field labels'!$Q$1)),C4010,OFFSET(B4010,0,'Field labels'!$Q$1))</f>
        <v>VI-2</v>
      </c>
      <c r="C4010" t="s">
        <v>3720</v>
      </c>
    </row>
    <row r="4011" spans="1:3">
      <c r="A4011" t="s">
        <v>3360</v>
      </c>
      <c r="B4011" t="str">
        <f ca="1">IF(ISBLANK(OFFSET(B4011,0,'Field labels'!$Q$1)),C4011,OFFSET(B4011,0,'Field labels'!$Q$1))</f>
        <v>VI-20</v>
      </c>
      <c r="C4011" t="s">
        <v>3721</v>
      </c>
    </row>
    <row r="4012" spans="1:3">
      <c r="A4012" t="s">
        <v>3360</v>
      </c>
      <c r="B4012" t="str">
        <f ca="1">IF(ISBLANK(OFFSET(B4012,0,'Field labels'!$Q$1)),C4012,OFFSET(B4012,0,'Field labels'!$Q$1))</f>
        <v>VI-21</v>
      </c>
      <c r="C4012" t="s">
        <v>3722</v>
      </c>
    </row>
    <row r="4013" spans="1:3">
      <c r="A4013" t="s">
        <v>3360</v>
      </c>
      <c r="B4013" t="str">
        <f ca="1">IF(ISBLANK(OFFSET(B4013,0,'Field labels'!$Q$1)),C4013,OFFSET(B4013,0,'Field labels'!$Q$1))</f>
        <v>VI-22</v>
      </c>
      <c r="C4013" t="s">
        <v>3723</v>
      </c>
    </row>
    <row r="4014" spans="1:3">
      <c r="A4014" t="s">
        <v>3360</v>
      </c>
      <c r="B4014" t="str">
        <f ca="1">IF(ISBLANK(OFFSET(B4014,0,'Field labels'!$Q$1)),C4014,OFFSET(B4014,0,'Field labels'!$Q$1))</f>
        <v>VI-23</v>
      </c>
      <c r="C4014" t="s">
        <v>3724</v>
      </c>
    </row>
    <row r="4015" spans="1:3">
      <c r="A4015" t="s">
        <v>3360</v>
      </c>
      <c r="B4015" t="str">
        <f ca="1">IF(ISBLANK(OFFSET(B4015,0,'Field labels'!$Q$1)),C4015,OFFSET(B4015,0,'Field labels'!$Q$1))</f>
        <v>VI-3</v>
      </c>
      <c r="C4015" t="s">
        <v>3725</v>
      </c>
    </row>
    <row r="4016" spans="1:3">
      <c r="A4016" t="s">
        <v>3360</v>
      </c>
      <c r="B4016" t="str">
        <f ca="1">IF(ISBLANK(OFFSET(B4016,0,'Field labels'!$Q$1)),C4016,OFFSET(B4016,0,'Field labels'!$Q$1))</f>
        <v>VI-4</v>
      </c>
      <c r="C4016" t="s">
        <v>3726</v>
      </c>
    </row>
    <row r="4017" spans="1:15">
      <c r="A4017" t="s">
        <v>3360</v>
      </c>
      <c r="B4017" t="str">
        <f ca="1">IF(ISBLANK(OFFSET(B4017,0,'Field labels'!$Q$1)),C4017,OFFSET(B4017,0,'Field labels'!$Q$1))</f>
        <v>VI-5</v>
      </c>
      <c r="C4017" t="s">
        <v>3727</v>
      </c>
    </row>
    <row r="4018" spans="1:15">
      <c r="A4018" t="s">
        <v>3360</v>
      </c>
      <c r="B4018" t="str">
        <f ca="1">IF(ISBLANK(OFFSET(B4018,0,'Field labels'!$Q$1)),C4018,OFFSET(B4018,0,'Field labels'!$Q$1))</f>
        <v>VI-6</v>
      </c>
      <c r="C4018" t="s">
        <v>3728</v>
      </c>
    </row>
    <row r="4019" spans="1:15">
      <c r="A4019" t="s">
        <v>3360</v>
      </c>
      <c r="B4019" t="str">
        <f ca="1">IF(ISBLANK(OFFSET(B4019,0,'Field labels'!$Q$1)),C4019,OFFSET(B4019,0,'Field labels'!$Q$1))</f>
        <v>VI-7</v>
      </c>
      <c r="C4019" t="s">
        <v>3729</v>
      </c>
    </row>
    <row r="4020" spans="1:15">
      <c r="A4020" t="s">
        <v>3360</v>
      </c>
      <c r="B4020" t="str">
        <f ca="1">IF(ISBLANK(OFFSET(B4020,0,'Field labels'!$Q$1)),C4020,OFFSET(B4020,0,'Field labels'!$Q$1))</f>
        <v>VI-8</v>
      </c>
      <c r="C4020" t="s">
        <v>3730</v>
      </c>
    </row>
    <row r="4021" spans="1:15">
      <c r="A4021" t="s">
        <v>311</v>
      </c>
      <c r="B4021" t="str">
        <f ca="1">IF(ISBLANK(OFFSET(B4021,0,'Field labels'!$Q$1)),C4021,OFFSET(B4021,0,'Field labels'!$Q$1))</f>
        <v>EC User</v>
      </c>
      <c r="C4021" t="s">
        <v>274</v>
      </c>
    </row>
    <row r="4022" spans="1:15">
      <c r="A4022" t="s">
        <v>310</v>
      </c>
      <c r="B4022" t="str">
        <f ca="1">IF(ISBLANK(OFFSET(B4022,0,'Field labels'!$Q$1)),C4022,OFFSET(B4022,0,'Field labels'!$Q$1))</f>
        <v>ER/IR Manager (Germany)</v>
      </c>
      <c r="C4022" t="s">
        <v>3761</v>
      </c>
    </row>
    <row r="4023" spans="1:15">
      <c r="A4023" t="s">
        <v>310</v>
      </c>
      <c r="B4023" t="str">
        <f ca="1">IF(ISBLANK(OFFSET(B4023,0,'Field labels'!$Q$1)),C4023,OFFSET(B4023,0,'Field labels'!$Q$1))</f>
        <v>Matrix Manager</v>
      </c>
      <c r="C4023" t="s">
        <v>275</v>
      </c>
      <c r="D4023" t="s">
        <v>4024</v>
      </c>
      <c r="E4023" t="s">
        <v>275</v>
      </c>
      <c r="F4023" t="s">
        <v>4025</v>
      </c>
      <c r="G4023" t="s">
        <v>4026</v>
      </c>
      <c r="H4023" t="s">
        <v>4027</v>
      </c>
      <c r="I4023" t="s">
        <v>4028</v>
      </c>
      <c r="J4023" t="s">
        <v>4029</v>
      </c>
      <c r="K4023" t="s">
        <v>4030</v>
      </c>
      <c r="L4023" t="s">
        <v>4031</v>
      </c>
      <c r="M4023" t="s">
        <v>4032</v>
      </c>
      <c r="N4023" t="s">
        <v>4033</v>
      </c>
      <c r="O4023" t="s">
        <v>4034</v>
      </c>
    </row>
    <row r="4024" spans="1:15">
      <c r="A4024" t="s">
        <v>2022</v>
      </c>
      <c r="B4024" t="str">
        <f ca="1">IF(ISBLANK(OFFSET(B4024,0,'Field labels'!$Q$1)),C4024,OFFSET(B4024,0,'Field labels'!$Q$1))</f>
        <v>CAO Cargill B.V.</v>
      </c>
      <c r="C4024" t="s">
        <v>2067</v>
      </c>
    </row>
    <row r="4025" spans="1:15">
      <c r="A4025" t="s">
        <v>2022</v>
      </c>
      <c r="B4025" t="str">
        <f ca="1">IF(ISBLANK(OFFSET(B4025,0,'Field labels'!$Q$1)),C4025,OFFSET(B4025,0,'Field labels'!$Q$1))</f>
        <v>CAO Chocolate</v>
      </c>
      <c r="C4025" t="s">
        <v>2068</v>
      </c>
    </row>
    <row r="4026" spans="1:15">
      <c r="A4026" t="s">
        <v>2022</v>
      </c>
      <c r="B4026" t="str">
        <f ca="1">IF(ISBLANK(OFFSET(B4026,0,'Field labels'!$Q$1)),C4026,OFFSET(B4026,0,'Field labels'!$Q$1))</f>
        <v>CAO COCOA</v>
      </c>
      <c r="C4026" t="s">
        <v>2069</v>
      </c>
    </row>
    <row r="4027" spans="1:15">
      <c r="A4027" t="s">
        <v>2022</v>
      </c>
      <c r="B4027" t="str">
        <f ca="1">IF(ISBLANK(OFFSET(B4027,0,'Field labels'!$Q$1)),C4027,OFFSET(B4027,0,'Field labels'!$Q$1))</f>
        <v>CAO IGMA</v>
      </c>
      <c r="C4027" t="s">
        <v>2070</v>
      </c>
    </row>
    <row r="4028" spans="1:15">
      <c r="A4028" t="s">
        <v>2022</v>
      </c>
      <c r="B4028" t="str">
        <f ca="1">IF(ISBLANK(OFFSET(B4028,0,'Field labels'!$Q$1)),C4028,OFFSET(B4028,0,'Field labels'!$Q$1))</f>
        <v>CAO PROVIMI</v>
      </c>
      <c r="C4028" t="s">
        <v>2071</v>
      </c>
    </row>
    <row r="4029" spans="1:15">
      <c r="A4029" t="s">
        <v>2022</v>
      </c>
      <c r="B4029" t="str">
        <f ca="1">IF(ISBLANK(OFFSET(B4029,0,'Field labels'!$Q$1)),C4029,OFFSET(B4029,0,'Field labels'!$Q$1))</f>
        <v>CAO ZOR</v>
      </c>
      <c r="C4029" t="s">
        <v>2072</v>
      </c>
    </row>
    <row r="4030" spans="1:15">
      <c r="A4030" t="s">
        <v>2022</v>
      </c>
      <c r="B4030" t="str">
        <f ca="1">IF(ISBLANK(OFFSET(B4030,0,'Field labels'!$Q$1)),C4030,OFFSET(B4030,0,'Field labels'!$Q$1))</f>
        <v>NON CAO Expats</v>
      </c>
      <c r="C4030" t="s">
        <v>2073</v>
      </c>
    </row>
    <row r="4031" spans="1:15">
      <c r="A4031" t="s">
        <v>2022</v>
      </c>
      <c r="B4031" t="str">
        <f ca="1">IF(ISBLANK(OFFSET(B4031,0,'Field labels'!$Q$1)),C4031,OFFSET(B4031,0,'Field labels'!$Q$1))</f>
        <v>NON CAO Inpats</v>
      </c>
      <c r="C4031" t="s">
        <v>2074</v>
      </c>
    </row>
    <row r="4032" spans="1:15">
      <c r="A4032" t="s">
        <v>2022</v>
      </c>
      <c r="B4032" t="str">
        <f ca="1">IF(ISBLANK(OFFSET(B4032,0,'Field labels'!$Q$1)),C4032,OFFSET(B4032,0,'Field labels'!$Q$1))</f>
        <v>NON CAO Non Active</v>
      </c>
      <c r="C4032" t="s">
        <v>2075</v>
      </c>
    </row>
    <row r="4033" spans="1:3">
      <c r="A4033" t="s">
        <v>2022</v>
      </c>
      <c r="B4033" t="str">
        <f ca="1">IF(ISBLANK(OFFSET(B4033,0,'Field labels'!$Q$1)),C4033,OFFSET(B4033,0,'Field labels'!$Q$1))</f>
        <v>NON CAO P/T-FT/PT</v>
      </c>
      <c r="C4033" t="s">
        <v>2076</v>
      </c>
    </row>
    <row r="4034" spans="1:3">
      <c r="A4034" t="s">
        <v>2022</v>
      </c>
      <c r="B4034" t="str">
        <f ca="1">IF(ISBLANK(OFFSET(B4034,0,'Field labels'!$Q$1)),C4034,OFFSET(B4034,0,'Field labels'!$Q$1))</f>
        <v>NON CAO Stagair</v>
      </c>
      <c r="C4034" t="s">
        <v>2077</v>
      </c>
    </row>
    <row r="4035" spans="1:3">
      <c r="A4035" t="s">
        <v>3293</v>
      </c>
      <c r="B4035" t="str">
        <f ca="1">IF(ISBLANK(OFFSET(B4035,0,'Field labels'!$Q$1)),C4035,OFFSET(B4035,0,'Field labels'!$Q$1))</f>
        <v>Apprentice (Auszubildende)</v>
      </c>
      <c r="C4035" t="s">
        <v>3298</v>
      </c>
    </row>
    <row r="4036" spans="1:3">
      <c r="A4036" t="s">
        <v>3293</v>
      </c>
      <c r="B4036" t="str">
        <f ca="1">IF(ISBLANK(OFFSET(B4036,0,'Field labels'!$Q$1)),C4036,OFFSET(B4036,0,'Field labels'!$Q$1))</f>
        <v>Graduate (Trainee)</v>
      </c>
      <c r="C4036" t="s">
        <v>3301</v>
      </c>
    </row>
    <row r="4037" spans="1:3">
      <c r="A4037" t="s">
        <v>3293</v>
      </c>
      <c r="B4037" t="str">
        <f ca="1">IF(ISBLANK(OFFSET(B4037,0,'Field labels'!$Q$1)),C4037,OFFSET(B4037,0,'Field labels'!$Q$1))</f>
        <v>Helper/Support Staff (Aushilfen)</v>
      </c>
      <c r="C4037" t="s">
        <v>3300</v>
      </c>
    </row>
    <row r="4038" spans="1:3">
      <c r="A4038" t="s">
        <v>3293</v>
      </c>
      <c r="B4038" t="str">
        <f ca="1">IF(ISBLANK(OFFSET(B4038,0,'Field labels'!$Q$1)),C4038,OFFSET(B4038,0,'Field labels'!$Q$1))</f>
        <v>Internship (Praktikum, Abschlußarbeit)</v>
      </c>
      <c r="C4038" t="s">
        <v>3299</v>
      </c>
    </row>
    <row r="4039" spans="1:3">
      <c r="A4039" t="s">
        <v>3293</v>
      </c>
      <c r="B4039" t="str">
        <f ca="1">IF(ISBLANK(OFFSET(B4039,0,'Field labels'!$Q$1)),C4039,OFFSET(B4039,0,'Field labels'!$Q$1))</f>
        <v xml:space="preserve">Permanent (unbefristet) Non-tariff </v>
      </c>
      <c r="C4039" t="s">
        <v>3295</v>
      </c>
    </row>
    <row r="4040" spans="1:3">
      <c r="A4040" t="s">
        <v>3293</v>
      </c>
      <c r="B4040" t="str">
        <f ca="1">IF(ISBLANK(OFFSET(B4040,0,'Field labels'!$Q$1)),C4040,OFFSET(B4040,0,'Field labels'!$Q$1))</f>
        <v>Permanent (unbefristet) Tariff</v>
      </c>
      <c r="C4040" t="s">
        <v>3294</v>
      </c>
    </row>
    <row r="4041" spans="1:3">
      <c r="A4041" t="s">
        <v>3293</v>
      </c>
      <c r="B4041" t="str">
        <f ca="1">IF(ISBLANK(OFFSET(B4041,0,'Field labels'!$Q$1)),C4041,OFFSET(B4041,0,'Field labels'!$Q$1))</f>
        <v xml:space="preserve">Temporary (befristet) Non-tariff </v>
      </c>
      <c r="C4041" t="s">
        <v>3297</v>
      </c>
    </row>
    <row r="4042" spans="1:3">
      <c r="A4042" t="s">
        <v>3293</v>
      </c>
      <c r="B4042" t="str">
        <f ca="1">IF(ISBLANK(OFFSET(B4042,0,'Field labels'!$Q$1)),C4042,OFFSET(B4042,0,'Field labels'!$Q$1))</f>
        <v>Temporary (befristet) Tariff</v>
      </c>
      <c r="C4042" t="s">
        <v>3296</v>
      </c>
    </row>
    <row r="4043" spans="1:3">
      <c r="A4043" t="s">
        <v>2859</v>
      </c>
      <c r="B4043" t="str">
        <f ca="1">IF(ISBLANK(OFFSET(B4043,0,'Field labels'!$Q$1)),C4043,OFFSET(B4043,0,'Field labels'!$Q$1))</f>
        <v>Apprenticeship Agreement</v>
      </c>
      <c r="C4043" t="s">
        <v>2858</v>
      </c>
    </row>
    <row r="4044" spans="1:3">
      <c r="A4044" t="s">
        <v>2859</v>
      </c>
      <c r="B4044" t="str">
        <f ca="1">IF(ISBLANK(OFFSET(B4044,0,'Field labels'!$Q$1)),C4044,OFFSET(B4044,0,'Field labels'!$Q$1))</f>
        <v>Ireland Blue Collar</v>
      </c>
      <c r="C4044" t="s">
        <v>2861</v>
      </c>
    </row>
    <row r="4045" spans="1:3">
      <c r="A4045" t="s">
        <v>2859</v>
      </c>
      <c r="B4045" t="str">
        <f ca="1">IF(ISBLANK(OFFSET(B4045,0,'Field labels'!$Q$1)),C4045,OFFSET(B4045,0,'Field labels'!$Q$1))</f>
        <v>Ireland Casual</v>
      </c>
      <c r="C4045" t="s">
        <v>2862</v>
      </c>
    </row>
    <row r="4046" spans="1:3">
      <c r="A4046" t="s">
        <v>2859</v>
      </c>
      <c r="B4046" t="str">
        <f ca="1">IF(ISBLANK(OFFSET(B4046,0,'Field labels'!$Q$1)),C4046,OFFSET(B4046,0,'Field labels'!$Q$1))</f>
        <v>Ireland White Collar</v>
      </c>
      <c r="C4046" t="s">
        <v>2863</v>
      </c>
    </row>
    <row r="4047" spans="1:3">
      <c r="A4047" t="s">
        <v>2859</v>
      </c>
      <c r="B4047" t="str">
        <f ca="1">IF(ISBLANK(OFFSET(B4047,0,'Field labels'!$Q$1)),C4047,OFFSET(B4047,0,'Field labels'!$Q$1))</f>
        <v>UK Junior</v>
      </c>
      <c r="C4047" t="s">
        <v>2864</v>
      </c>
    </row>
    <row r="4048" spans="1:3">
      <c r="A4048" t="s">
        <v>2859</v>
      </c>
      <c r="B4048" t="str">
        <f ca="1">IF(ISBLANK(OFFSET(B4048,0,'Field labels'!$Q$1)),C4048,OFFSET(B4048,0,'Field labels'!$Q$1))</f>
        <v>UK Senior</v>
      </c>
      <c r="C4048" t="s">
        <v>2865</v>
      </c>
    </row>
    <row r="4049" spans="1:6">
      <c r="A4049" t="s">
        <v>2976</v>
      </c>
      <c r="B4049" t="str">
        <f ca="1">IF(ISBLANK(OFFSET(B4049,0,'Field labels'!$Q$1)),C4049,OFFSET(B4049,0,'Field labels'!$Q$1))</f>
        <v>Apprenticeship agreement</v>
      </c>
      <c r="C4049" t="s">
        <v>2982</v>
      </c>
    </row>
    <row r="4050" spans="1:6">
      <c r="A4050" t="s">
        <v>2976</v>
      </c>
      <c r="B4050" t="str">
        <f ca="1">IF(ISBLANK(OFFSET(B4050,0,'Field labels'!$Q$1)),C4050,OFFSET(B4050,0,'Field labels'!$Q$1))</f>
        <v>Blue Collar permanent</v>
      </c>
      <c r="C4050" t="s">
        <v>2977</v>
      </c>
    </row>
    <row r="4051" spans="1:6">
      <c r="A4051" t="s">
        <v>2976</v>
      </c>
      <c r="B4051" t="str">
        <f ca="1">IF(ISBLANK(OFFSET(B4051,0,'Field labels'!$Q$1)),C4051,OFFSET(B4051,0,'Field labels'!$Q$1))</f>
        <v>Blue Collar temporary</v>
      </c>
      <c r="C4051" t="s">
        <v>2978</v>
      </c>
    </row>
    <row r="4052" spans="1:6">
      <c r="A4052" t="s">
        <v>2976</v>
      </c>
      <c r="B4052" t="str">
        <f ca="1">IF(ISBLANK(OFFSET(B4052,0,'Field labels'!$Q$1)),C4052,OFFSET(B4052,0,'Field labels'!$Q$1))</f>
        <v>On call upon for work</v>
      </c>
      <c r="C4052" t="s">
        <v>2981</v>
      </c>
    </row>
    <row r="4053" spans="1:6">
      <c r="A4053" t="s">
        <v>2976</v>
      </c>
      <c r="B4053" t="str">
        <f ca="1">IF(ISBLANK(OFFSET(B4053,0,'Field labels'!$Q$1)),C4053,OFFSET(B4053,0,'Field labels'!$Q$1))</f>
        <v>White Collar permanent</v>
      </c>
      <c r="C4053" t="s">
        <v>2979</v>
      </c>
    </row>
    <row r="4054" spans="1:6">
      <c r="A4054" t="s">
        <v>2976</v>
      </c>
      <c r="B4054" t="str">
        <f ca="1">IF(ISBLANK(OFFSET(B4054,0,'Field labels'!$Q$1)),C4054,OFFSET(B4054,0,'Field labels'!$Q$1))</f>
        <v>White Collar temporary</v>
      </c>
      <c r="C4054" t="s">
        <v>2980</v>
      </c>
    </row>
    <row r="4055" spans="1:6">
      <c r="A4055" t="s">
        <v>2860</v>
      </c>
      <c r="B4055" t="str">
        <f ca="1">IF(ISBLANK(OFFSET(B4055,0,'Field labels'!$Q$1)),C4055,OFFSET(B4055,0,'Field labels'!$Q$1))</f>
        <v>Permanent</v>
      </c>
      <c r="C4055" t="s">
        <v>432</v>
      </c>
    </row>
    <row r="4056" spans="1:6">
      <c r="A4056" t="s">
        <v>2860</v>
      </c>
      <c r="B4056" t="str">
        <f ca="1">IF(ISBLANK(OFFSET(B4056,0,'Field labels'!$Q$1)),C4056,OFFSET(B4056,0,'Field labels'!$Q$1))</f>
        <v>Project</v>
      </c>
      <c r="C4056" t="s">
        <v>2866</v>
      </c>
    </row>
    <row r="4057" spans="1:6">
      <c r="A4057" t="s">
        <v>2860</v>
      </c>
      <c r="B4057" t="str">
        <f ca="1">IF(ISBLANK(OFFSET(B4057,0,'Field labels'!$Q$1)),C4057,OFFSET(B4057,0,'Field labels'!$Q$1))</f>
        <v>Temporary</v>
      </c>
      <c r="C4057" t="s">
        <v>692</v>
      </c>
    </row>
    <row r="4058" spans="1:6">
      <c r="A4058" t="s">
        <v>2953</v>
      </c>
      <c r="B4058" t="str">
        <f ca="1">IF(ISBLANK(OFFSET(B4058,0,'Field labels'!$Q$1)),C4058,OFFSET(B4058,0,'Field labels'!$Q$1))</f>
        <v xml:space="preserve">Low income </v>
      </c>
      <c r="C4058" t="s">
        <v>2954</v>
      </c>
      <c r="D4058" t="s">
        <v>2959</v>
      </c>
      <c r="F4058" t="s">
        <v>2964</v>
      </c>
    </row>
    <row r="4059" spans="1:6">
      <c r="A4059" t="s">
        <v>2953</v>
      </c>
      <c r="B4059" t="str">
        <f ca="1">IF(ISBLANK(OFFSET(B4059,0,'Field labels'!$Q$1)),C4059,OFFSET(B4059,0,'Field labels'!$Q$1))</f>
        <v xml:space="preserve">Low pension </v>
      </c>
      <c r="C4059" t="s">
        <v>2955</v>
      </c>
      <c r="D4059" t="s">
        <v>2960</v>
      </c>
      <c r="F4059" t="s">
        <v>2965</v>
      </c>
    </row>
    <row r="4060" spans="1:6">
      <c r="A4060" t="s">
        <v>2953</v>
      </c>
      <c r="B4060" t="str">
        <f ca="1">IF(ISBLANK(OFFSET(B4060,0,'Field labels'!$Q$1)),C4060,OFFSET(B4060,0,'Field labels'!$Q$1))</f>
        <v xml:space="preserve">No income </v>
      </c>
      <c r="C4060" t="s">
        <v>2956</v>
      </c>
      <c r="D4060" t="s">
        <v>2961</v>
      </c>
      <c r="F4060" t="s">
        <v>2966</v>
      </c>
    </row>
    <row r="4061" spans="1:6">
      <c r="A4061" t="s">
        <v>2953</v>
      </c>
      <c r="B4061" t="str">
        <f ca="1">IF(ISBLANK(OFFSET(B4061,0,'Field labels'!$Q$1)),C4061,OFFSET(B4061,0,'Field labels'!$Q$1))</f>
        <v xml:space="preserve">Not relevant </v>
      </c>
      <c r="C4061" t="s">
        <v>2957</v>
      </c>
      <c r="D4061" t="s">
        <v>2962</v>
      </c>
      <c r="F4061" t="s">
        <v>2967</v>
      </c>
    </row>
    <row r="4062" spans="1:6">
      <c r="A4062" t="s">
        <v>2953</v>
      </c>
      <c r="B4062" t="str">
        <f ca="1">IF(ISBLANK(OFFSET(B4062,0,'Field labels'!$Q$1)),C4062,OFFSET(B4062,0,'Field labels'!$Q$1))</f>
        <v xml:space="preserve">Professional income </v>
      </c>
      <c r="C4062" t="s">
        <v>2958</v>
      </c>
      <c r="D4062" t="s">
        <v>2963</v>
      </c>
      <c r="F4062" t="s">
        <v>2968</v>
      </c>
    </row>
    <row r="4063" spans="1:6">
      <c r="A4063" t="s">
        <v>2934</v>
      </c>
      <c r="B4063" t="str">
        <f ca="1">IF(ISBLANK(OFFSET(B4063,0,'Field labels'!$Q$1)),C4063,OFFSET(B4063,0,'Field labels'!$Q$1))</f>
        <v xml:space="preserve">Blue collar worker </v>
      </c>
      <c r="C4063" t="s">
        <v>2936</v>
      </c>
      <c r="D4063" t="s">
        <v>2942</v>
      </c>
      <c r="F4063" t="s">
        <v>2948</v>
      </c>
    </row>
    <row r="4064" spans="1:6">
      <c r="A4064" t="s">
        <v>2934</v>
      </c>
      <c r="B4064" t="str">
        <f ca="1">IF(ISBLANK(OFFSET(B4064,0,'Field labels'!$Q$1)),C4064,OFFSET(B4064,0,'Field labels'!$Q$1))</f>
        <v xml:space="preserve">Self employed </v>
      </c>
      <c r="C4064" t="s">
        <v>2938</v>
      </c>
      <c r="D4064" t="s">
        <v>2944</v>
      </c>
      <c r="F4064" t="s">
        <v>2950</v>
      </c>
    </row>
    <row r="4065" spans="1:6">
      <c r="A4065" t="s">
        <v>2934</v>
      </c>
      <c r="B4065" t="str">
        <f ca="1">IF(ISBLANK(OFFSET(B4065,0,'Field labels'!$Q$1)),C4065,OFFSET(B4065,0,'Field labels'!$Q$1))</f>
        <v xml:space="preserve">State </v>
      </c>
      <c r="C4065" t="s">
        <v>2937</v>
      </c>
      <c r="D4065" t="s">
        <v>2943</v>
      </c>
      <c r="F4065" t="s">
        <v>2949</v>
      </c>
    </row>
    <row r="4066" spans="1:6">
      <c r="A4066" t="s">
        <v>2934</v>
      </c>
      <c r="B4066" t="str">
        <f ca="1">IF(ISBLANK(OFFSET(B4066,0,'Field labels'!$Q$1)),C4066,OFFSET(B4066,0,'Field labels'!$Q$1))</f>
        <v xml:space="preserve">White collar worker </v>
      </c>
      <c r="C4066" t="s">
        <v>2935</v>
      </c>
      <c r="D4066" t="s">
        <v>2941</v>
      </c>
      <c r="F4066" t="s">
        <v>2947</v>
      </c>
    </row>
    <row r="4067" spans="1:6">
      <c r="A4067" t="s">
        <v>2934</v>
      </c>
      <c r="B4067" t="str">
        <f ca="1">IF(ISBLANK(OFFSET(B4067,0,'Field labels'!$Q$1)),C4067,OFFSET(B4067,0,'Field labels'!$Q$1))</f>
        <v xml:space="preserve">Withou job without allowance </v>
      </c>
      <c r="C4067" t="s">
        <v>2940</v>
      </c>
      <c r="D4067" t="s">
        <v>2946</v>
      </c>
      <c r="F4067" t="s">
        <v>2952</v>
      </c>
    </row>
    <row r="4068" spans="1:6">
      <c r="A4068" t="s">
        <v>2934</v>
      </c>
      <c r="B4068" t="str">
        <f ca="1">IF(ISBLANK(OFFSET(B4068,0,'Field labels'!$Q$1)),C4068,OFFSET(B4068,0,'Field labels'!$Q$1))</f>
        <v xml:space="preserve">Without job with allowance </v>
      </c>
      <c r="C4068" t="s">
        <v>2939</v>
      </c>
      <c r="D4068" t="s">
        <v>2945</v>
      </c>
      <c r="F4068" t="s">
        <v>2951</v>
      </c>
    </row>
    <row r="4069" spans="1:6">
      <c r="A4069" t="s">
        <v>2991</v>
      </c>
      <c r="B4069" t="str">
        <f ca="1">IF(ISBLANK(OFFSET(B4069,0,'Field labels'!$Q$1)),C4069,OFFSET(B4069,0,'Field labels'!$Q$1))</f>
        <v>&lt;4 years (US Tech./Professional Degree)</v>
      </c>
      <c r="C4069" t="s">
        <v>2992</v>
      </c>
    </row>
    <row r="4070" spans="1:6">
      <c r="A4070" t="s">
        <v>2991</v>
      </c>
      <c r="B4070" t="str">
        <f ca="1">IF(ISBLANK(OFFSET(B4070,0,'Field labels'!$Q$1)),C4070,OFFSET(B4070,0,'Field labels'!$Q$1))</f>
        <v>= 4 years (US Bachelors Degree equivalent)</v>
      </c>
      <c r="C4070" t="s">
        <v>2993</v>
      </c>
    </row>
    <row r="4071" spans="1:6">
      <c r="A4071" t="s">
        <v>2991</v>
      </c>
      <c r="B4071" t="str">
        <f ca="1">IF(ISBLANK(OFFSET(B4071,0,'Field labels'!$Q$1)),C4071,OFFSET(B4071,0,'Field labels'!$Q$1))</f>
        <v>= 5 -7 years (US Masters Degree equivalent)</v>
      </c>
      <c r="C4071" t="s">
        <v>2994</v>
      </c>
    </row>
    <row r="4072" spans="1:6">
      <c r="A4072" t="s">
        <v>2991</v>
      </c>
      <c r="B4072" t="str">
        <f ca="1">IF(ISBLANK(OFFSET(B4072,0,'Field labels'!$Q$1)),C4072,OFFSET(B4072,0,'Field labels'!$Q$1))</f>
        <v>= 8 years and up (US Doctorate Degree equivalent)</v>
      </c>
      <c r="C4072" t="s">
        <v>2995</v>
      </c>
    </row>
    <row r="4073" spans="1:6">
      <c r="A4073" t="s">
        <v>2991</v>
      </c>
      <c r="B4073" t="str">
        <f ca="1">IF(ISBLANK(OFFSET(B4073,0,'Field labels'!$Q$1)),C4073,OFFSET(B4073,0,'Field labels'!$Q$1))</f>
        <v>Completed Secondary Education</v>
      </c>
      <c r="C4073" t="s">
        <v>2996</v>
      </c>
    </row>
    <row r="4074" spans="1:6">
      <c r="A4074" t="s">
        <v>2991</v>
      </c>
      <c r="B4074" t="str">
        <f ca="1">IF(ISBLANK(OFFSET(B4074,0,'Field labels'!$Q$1)),C4074,OFFSET(B4074,0,'Field labels'!$Q$1))</f>
        <v>Diploma</v>
      </c>
      <c r="C4074" t="s">
        <v>2997</v>
      </c>
    </row>
    <row r="4075" spans="1:6">
      <c r="A4075" t="s">
        <v>2991</v>
      </c>
      <c r="B4075" t="str">
        <f ca="1">IF(ISBLANK(OFFSET(B4075,0,'Field labels'!$Q$1)),C4075,OFFSET(B4075,0,'Field labels'!$Q$1))</f>
        <v>Full secondary school - GCE O' level</v>
      </c>
      <c r="C4075" t="s">
        <v>2998</v>
      </c>
    </row>
    <row r="4076" spans="1:6">
      <c r="A4076" t="s">
        <v>2991</v>
      </c>
      <c r="B4076" t="str">
        <f ca="1">IF(ISBLANK(OFFSET(B4076,0,'Field labels'!$Q$1)),C4076,OFFSET(B4076,0,'Field labels'!$Q$1))</f>
        <v>Gymnasium</v>
      </c>
      <c r="C4076" t="s">
        <v>2999</v>
      </c>
    </row>
    <row r="4077" spans="1:6">
      <c r="A4077" t="s">
        <v>2991</v>
      </c>
      <c r="B4077" t="str">
        <f ca="1">IF(ISBLANK(OFFSET(B4077,0,'Field labels'!$Q$1)),C4077,OFFSET(B4077,0,'Field labels'!$Q$1))</f>
        <v>Lower Secondary Education</v>
      </c>
      <c r="C4077" t="s">
        <v>3000</v>
      </c>
    </row>
    <row r="4078" spans="1:6">
      <c r="A4078" t="s">
        <v>2991</v>
      </c>
      <c r="B4078" t="str">
        <f ca="1">IF(ISBLANK(OFFSET(B4078,0,'Field labels'!$Q$1)),C4078,OFFSET(B4078,0,'Field labels'!$Q$1))</f>
        <v>Magister Artium</v>
      </c>
      <c r="C4078" t="s">
        <v>3001</v>
      </c>
    </row>
    <row r="4079" spans="1:6">
      <c r="A4079" t="s">
        <v>2991</v>
      </c>
      <c r="B4079" t="str">
        <f ca="1">IF(ISBLANK(OFFSET(B4079,0,'Field labels'!$Q$1)),C4079,OFFSET(B4079,0,'Field labels'!$Q$1))</f>
        <v>O'level</v>
      </c>
      <c r="C4079" t="s">
        <v>3002</v>
      </c>
    </row>
    <row r="4080" spans="1:6">
      <c r="A4080" t="s">
        <v>2991</v>
      </c>
      <c r="B4080" t="str">
        <f ca="1">IF(ISBLANK(OFFSET(B4080,0,'Field labels'!$Q$1)),C4080,OFFSET(B4080,0,'Field labels'!$Q$1))</f>
        <v>Phd/Doktor</v>
      </c>
      <c r="C4080" t="s">
        <v>3003</v>
      </c>
    </row>
    <row r="4081" spans="1:6">
      <c r="A4081" t="s">
        <v>2991</v>
      </c>
      <c r="B4081" t="str">
        <f ca="1">IF(ISBLANK(OFFSET(B4081,0,'Field labels'!$Q$1)),C4081,OFFSET(B4081,0,'Field labels'!$Q$1))</f>
        <v>Primary Education (completed)</v>
      </c>
      <c r="C4081" t="s">
        <v>3004</v>
      </c>
    </row>
    <row r="4082" spans="1:6">
      <c r="A4082" t="s">
        <v>2991</v>
      </c>
      <c r="B4082" t="str">
        <f ca="1">IF(ISBLANK(OFFSET(B4082,0,'Field labels'!$Q$1)),C4082,OFFSET(B4082,0,'Field labels'!$Q$1))</f>
        <v>Primary School (not complete)</v>
      </c>
      <c r="C4082" t="s">
        <v>3005</v>
      </c>
    </row>
    <row r="4083" spans="1:6">
      <c r="A4083" t="s">
        <v>2991</v>
      </c>
      <c r="B4083" t="str">
        <f ca="1">IF(ISBLANK(OFFSET(B4083,0,'Field labels'!$Q$1)),C4083,OFFSET(B4083,0,'Field labels'!$Q$1))</f>
        <v>Realschule</v>
      </c>
      <c r="C4083" t="s">
        <v>3006</v>
      </c>
    </row>
    <row r="4084" spans="1:6">
      <c r="A4084" t="s">
        <v>2991</v>
      </c>
      <c r="B4084" t="str">
        <f ca="1">IF(ISBLANK(OFFSET(B4084,0,'Field labels'!$Q$1)),C4084,OFFSET(B4084,0,'Field labels'!$Q$1))</f>
        <v>Secondary Education (MBO/MTS)</v>
      </c>
      <c r="C4084" t="s">
        <v>3007</v>
      </c>
    </row>
    <row r="4085" spans="1:6">
      <c r="A4085" t="s">
        <v>2899</v>
      </c>
      <c r="B4085" t="str">
        <f ca="1">IF(ISBLANK(OFFSET(B4085,0,'Field labels'!$Q$1)),C4085,OFFSET(B4085,0,'Field labels'!$Q$1))</f>
        <v xml:space="preserve">Bicycle </v>
      </c>
      <c r="C4085" t="s">
        <v>2904</v>
      </c>
      <c r="D4085" t="s">
        <v>2910</v>
      </c>
      <c r="F4085" t="s">
        <v>2914</v>
      </c>
    </row>
    <row r="4086" spans="1:6">
      <c r="A4086" t="s">
        <v>2899</v>
      </c>
      <c r="B4086" t="str">
        <f ca="1">IF(ISBLANK(OFFSET(B4086,0,'Field labels'!$Q$1)),C4086,OFFSET(B4086,0,'Field labels'!$Q$1))</f>
        <v xml:space="preserve">Bus </v>
      </c>
      <c r="C4086" t="s">
        <v>2903</v>
      </c>
      <c r="D4086" t="s">
        <v>2909</v>
      </c>
    </row>
    <row r="4087" spans="1:6">
      <c r="A4087" t="s">
        <v>2899</v>
      </c>
      <c r="B4087" t="str">
        <f ca="1">IF(ISBLANK(OFFSET(B4087,0,'Field labels'!$Q$1)),C4087,OFFSET(B4087,0,'Field labels'!$Q$1))</f>
        <v xml:space="preserve">Car </v>
      </c>
      <c r="C4087" t="s">
        <v>2900</v>
      </c>
      <c r="D4087" t="s">
        <v>2906</v>
      </c>
      <c r="F4087" t="s">
        <v>2912</v>
      </c>
    </row>
    <row r="4088" spans="1:6">
      <c r="A4088" t="s">
        <v>2899</v>
      </c>
      <c r="B4088" t="str">
        <f ca="1">IF(ISBLANK(OFFSET(B4088,0,'Field labels'!$Q$1)),C4088,OFFSET(B4088,0,'Field labels'!$Q$1))</f>
        <v xml:space="preserve">Company car </v>
      </c>
      <c r="C4088" t="s">
        <v>2901</v>
      </c>
      <c r="D4088" t="s">
        <v>2907</v>
      </c>
      <c r="F4088" t="s">
        <v>2913</v>
      </c>
    </row>
    <row r="4089" spans="1:6">
      <c r="A4089" t="s">
        <v>2899</v>
      </c>
      <c r="B4089" t="str">
        <f ca="1">IF(ISBLANK(OFFSET(B4089,0,'Field labels'!$Q$1)),C4089,OFFSET(B4089,0,'Field labels'!$Q$1))</f>
        <v xml:space="preserve">Train </v>
      </c>
      <c r="C4089" t="s">
        <v>2902</v>
      </c>
      <c r="D4089" t="s">
        <v>2908</v>
      </c>
    </row>
    <row r="4090" spans="1:6">
      <c r="A4090" t="s">
        <v>2899</v>
      </c>
      <c r="B4090" t="str">
        <f ca="1">IF(ISBLANK(OFFSET(B4090,0,'Field labels'!$Q$1)),C4090,OFFSET(B4090,0,'Field labels'!$Q$1))</f>
        <v xml:space="preserve">Walk </v>
      </c>
      <c r="C4090" t="s">
        <v>2905</v>
      </c>
      <c r="D4090" t="s">
        <v>2911</v>
      </c>
      <c r="F4090" t="s">
        <v>2915</v>
      </c>
    </row>
    <row r="4091" spans="1:6">
      <c r="A4091" t="s">
        <v>8357</v>
      </c>
      <c r="B4091" t="str">
        <f ca="1">IF(ISBLANK(OFFSET(B4091,0,'Field labels'!$Q$1)),C4091,OFFSET(B4091,0,'Field labels'!$Q$1))</f>
        <v>Abogados - 0182</v>
      </c>
      <c r="C4091" t="s">
        <v>7967</v>
      </c>
    </row>
    <row r="4092" spans="1:6">
      <c r="A4092" t="s">
        <v>8357</v>
      </c>
      <c r="B4092" t="str">
        <f ca="1">IF(ISBLANK(OFFSET(B4092,0,'Field labels'!$Q$1)),C4092,OFFSET(B4092,0,'Field labels'!$Q$1))</f>
        <v>Acompañantes y ayudas de cámara - 0306</v>
      </c>
      <c r="C4092" t="s">
        <v>7968</v>
      </c>
    </row>
    <row r="4093" spans="1:6">
      <c r="A4093" t="s">
        <v>8357</v>
      </c>
      <c r="B4093" t="str">
        <f ca="1">IF(ISBLANK(OFFSET(B4093,0,'Field labels'!$Q$1)),C4093,OFFSET(B4093,0,'Field labels'!$Q$1))</f>
        <v>Actores y directores de cine, radio, teatro, televisión y afines - 0197</v>
      </c>
      <c r="C4093" t="s">
        <v>7969</v>
      </c>
    </row>
    <row r="4094" spans="1:6">
      <c r="A4094" t="s">
        <v>8357</v>
      </c>
      <c r="B4094" t="str">
        <f ca="1">IF(ISBLANK(OFFSET(B4094,0,'Field labels'!$Q$1)),C4094,OFFSET(B4094,0,'Field labels'!$Q$1))</f>
        <v>Adivinadores, quirománticos y afines - 0310</v>
      </c>
      <c r="C4094" t="s">
        <v>7970</v>
      </c>
    </row>
    <row r="4095" spans="1:6">
      <c r="A4095" t="s">
        <v>8357</v>
      </c>
      <c r="B4095" t="str">
        <f ca="1">IF(ISBLANK(OFFSET(B4095,0,'Field labels'!$Q$1)),C4095,OFFSET(B4095,0,'Field labels'!$Q$1))</f>
        <v>Agentes comerciales y corredores, no clasificados bajo otros epígrafes - 0253</v>
      </c>
      <c r="C4095" t="s">
        <v>7971</v>
      </c>
    </row>
    <row r="4096" spans="1:6">
      <c r="A4096" t="s">
        <v>8357</v>
      </c>
      <c r="B4096" t="str">
        <f ca="1">IF(ISBLANK(OFFSET(B4096,0,'Field labels'!$Q$1)),C4096,OFFSET(B4096,0,'Field labels'!$Q$1))</f>
        <v>Agentes de aduana e inspectores de fronteras - 0259</v>
      </c>
      <c r="C4096" t="s">
        <v>7972</v>
      </c>
    </row>
    <row r="4097" spans="1:3">
      <c r="A4097" t="s">
        <v>8357</v>
      </c>
      <c r="B4097" t="str">
        <f ca="1">IF(ISBLANK(OFFSET(B4097,0,'Field labels'!$Q$1)),C4097,OFFSET(B4097,0,'Field labels'!$Q$1))</f>
        <v>Agentes de bolsa, cambio y otros servicios financieros - 0242</v>
      </c>
      <c r="C4097" t="s">
        <v>7973</v>
      </c>
    </row>
    <row r="4098" spans="1:3">
      <c r="A4098" t="s">
        <v>8357</v>
      </c>
      <c r="B4098" t="str">
        <f ca="1">IF(ISBLANK(OFFSET(B4098,0,'Field labels'!$Q$1)),C4098,OFFSET(B4098,0,'Field labels'!$Q$1))</f>
        <v>Agentes de comprar y consignatarios - 0250</v>
      </c>
      <c r="C4098" t="s">
        <v>7974</v>
      </c>
    </row>
    <row r="4099" spans="1:3">
      <c r="A4099" t="s">
        <v>8357</v>
      </c>
      <c r="B4099" t="str">
        <f ca="1">IF(ISBLANK(OFFSET(B4099,0,'Field labels'!$Q$1)),C4099,OFFSET(B4099,0,'Field labels'!$Q$1))</f>
        <v>Agentes de las administraciones públicas de aduanas, impuestos y afines, no clasificados bajo otros epígrafes - 0263</v>
      </c>
      <c r="C4099" t="s">
        <v>7975</v>
      </c>
    </row>
    <row r="4100" spans="1:3">
      <c r="A4100" t="s">
        <v>8357</v>
      </c>
      <c r="B4100" t="str">
        <f ca="1">IF(ISBLANK(OFFSET(B4100,0,'Field labels'!$Q$1)),C4100,OFFSET(B4100,0,'Field labels'!$Q$1))</f>
        <v>Agentes de seguros - 0243</v>
      </c>
      <c r="C4100" t="s">
        <v>7976</v>
      </c>
    </row>
    <row r="4101" spans="1:3">
      <c r="A4101" t="s">
        <v>8357</v>
      </c>
      <c r="B4101" t="str">
        <f ca="1">IF(ISBLANK(OFFSET(B4101,0,'Field labels'!$Q$1)),C4101,OFFSET(B4101,0,'Field labels'!$Q$1))</f>
        <v>Agentes de viajes - 0245</v>
      </c>
      <c r="C4101" t="s">
        <v>7977</v>
      </c>
    </row>
    <row r="4102" spans="1:3">
      <c r="A4102" t="s">
        <v>8357</v>
      </c>
      <c r="B4102" t="str">
        <f ca="1">IF(ISBLANK(OFFSET(B4102,0,'Field labels'!$Q$1)),C4102,OFFSET(B4102,0,'Field labels'!$Q$1))</f>
        <v>Agentes inmobiliarios - 0244</v>
      </c>
      <c r="C4102" t="s">
        <v>7978</v>
      </c>
    </row>
    <row r="4103" spans="1:3">
      <c r="A4103" t="s">
        <v>8357</v>
      </c>
      <c r="B4103" t="str">
        <f ca="1">IF(ISBLANK(OFFSET(B4103,0,'Field labels'!$Q$1)),C4103,OFFSET(B4103,0,'Field labels'!$Q$1))</f>
        <v>Agentes públicos y privados de colocación y contratistas de mano de obra - 0252</v>
      </c>
      <c r="C4103" t="s">
        <v>7979</v>
      </c>
    </row>
    <row r="4104" spans="1:3">
      <c r="A4104" t="s">
        <v>8357</v>
      </c>
      <c r="B4104" t="str">
        <f ca="1">IF(ISBLANK(OFFSET(B4104,0,'Field labels'!$Q$1)),C4104,OFFSET(B4104,0,'Field labels'!$Q$1))</f>
        <v>Agricultores y trabajadores calificados de cultivos extensivos - 0318</v>
      </c>
      <c r="C4104" t="s">
        <v>7980</v>
      </c>
    </row>
    <row r="4105" spans="1:3">
      <c r="A4105" t="s">
        <v>8357</v>
      </c>
      <c r="B4105" t="str">
        <f ca="1">IF(ISBLANK(OFFSET(B4105,0,'Field labels'!$Q$1)),C4105,OFFSET(B4105,0,'Field labels'!$Q$1))</f>
        <v>Agricultores y trabajadores calificados de cultivos mixtos - 0321</v>
      </c>
      <c r="C4105" t="s">
        <v>7981</v>
      </c>
    </row>
    <row r="4106" spans="1:3">
      <c r="A4106" t="s">
        <v>8357</v>
      </c>
      <c r="B4106" t="str">
        <f ca="1">IF(ISBLANK(OFFSET(B4106,0,'Field labels'!$Q$1)),C4106,OFFSET(B4106,0,'Field labels'!$Q$1))</f>
        <v>Agricultores y trabajadores calificados de huertas, invernaderos y jardines - 0320</v>
      </c>
      <c r="C4106" t="s">
        <v>7982</v>
      </c>
    </row>
    <row r="4107" spans="1:3">
      <c r="A4107" t="s">
        <v>8357</v>
      </c>
      <c r="B4107" t="str">
        <f ca="1">IF(ISBLANK(OFFSET(B4107,0,'Field labels'!$Q$1)),C4107,OFFSET(B4107,0,'Field labels'!$Q$1))</f>
        <v>Agricultores y trabajadores calificados de plantaciones de árboles y arbustos - 0319</v>
      </c>
      <c r="C4107" t="s">
        <v>7983</v>
      </c>
    </row>
    <row r="4108" spans="1:3">
      <c r="A4108" t="s">
        <v>8357</v>
      </c>
      <c r="B4108" t="str">
        <f ca="1">IF(ISBLANK(OFFSET(B4108,0,'Field labels'!$Q$1)),C4108,OFFSET(B4108,0,'Field labels'!$Q$1))</f>
        <v>Agrónomo y afines - 0164</v>
      </c>
      <c r="C4108" t="s">
        <v>7984</v>
      </c>
    </row>
    <row r="4109" spans="1:3">
      <c r="A4109" t="s">
        <v>8357</v>
      </c>
      <c r="B4109" t="str">
        <f ca="1">IF(ISBLANK(OFFSET(B4109,0,'Field labels'!$Q$1)),C4109,OFFSET(B4109,0,'Field labels'!$Q$1))</f>
        <v>Ajustadores electronicistas - 0367</v>
      </c>
      <c r="C4109" t="s">
        <v>7985</v>
      </c>
    </row>
    <row r="4110" spans="1:3">
      <c r="A4110" t="s">
        <v>8357</v>
      </c>
      <c r="B4110" t="str">
        <f ca="1">IF(ISBLANK(OFFSET(B4110,0,'Field labels'!$Q$1)),C4110,OFFSET(B4110,0,'Field labels'!$Q$1))</f>
        <v>Albañiles y mamposteros - 0339</v>
      </c>
      <c r="C4110" t="s">
        <v>7986</v>
      </c>
    </row>
    <row r="4111" spans="1:3">
      <c r="A4111" t="s">
        <v>8357</v>
      </c>
      <c r="B4111" t="str">
        <f ca="1">IF(ISBLANK(OFFSET(B4111,0,'Field labels'!$Q$1)),C4111,OFFSET(B4111,0,'Field labels'!$Q$1))</f>
        <v>Alfareros y afines (barro, arcilla y abrasivos) - 0375</v>
      </c>
      <c r="C4111" t="s">
        <v>7987</v>
      </c>
    </row>
    <row r="4112" spans="1:3">
      <c r="A4112" t="s">
        <v>8357</v>
      </c>
      <c r="B4112" t="str">
        <f ca="1">IF(ISBLANK(OFFSET(B4112,0,'Field labels'!$Q$1)),C4112,OFFSET(B4112,0,'Field labels'!$Q$1))</f>
        <v>Aparejadores y empalmadores de cables - 0357</v>
      </c>
      <c r="C4112" t="s">
        <v>7988</v>
      </c>
    </row>
    <row r="4113" spans="1:3">
      <c r="A4113" t="s">
        <v>8357</v>
      </c>
      <c r="B4113" t="str">
        <f ca="1">IF(ISBLANK(OFFSET(B4113,0,'Field labels'!$Q$1)),C4113,OFFSET(B4113,0,'Field labels'!$Q$1))</f>
        <v>Apelambradores, pellejeros y curtidores - 0404</v>
      </c>
      <c r="C4113" t="s">
        <v>7989</v>
      </c>
    </row>
    <row r="4114" spans="1:3">
      <c r="A4114" t="s">
        <v>8357</v>
      </c>
      <c r="B4114" t="str">
        <f ca="1">IF(ISBLANK(OFFSET(B4114,0,'Field labels'!$Q$1)),C4114,OFFSET(B4114,0,'Field labels'!$Q$1))</f>
        <v>Apicultores y sericicultores y trabajadores calificados de la apicultura y la sericicultura - 0324</v>
      </c>
      <c r="C4114" t="s">
        <v>7990</v>
      </c>
    </row>
    <row r="4115" spans="1:3">
      <c r="A4115" t="s">
        <v>8357</v>
      </c>
      <c r="B4115" t="str">
        <f ca="1">IF(ISBLANK(OFFSET(B4115,0,'Field labels'!$Q$1)),C4115,OFFSET(B4115,0,'Field labels'!$Q$1))</f>
        <v>Archiveros y conservadores de museos - 0185</v>
      </c>
      <c r="C4115" t="s">
        <v>7991</v>
      </c>
    </row>
    <row r="4116" spans="1:3">
      <c r="A4116" t="s">
        <v>8357</v>
      </c>
      <c r="B4116" t="str">
        <f ca="1">IF(ISBLANK(OFFSET(B4116,0,'Field labels'!$Q$1)),C4116,OFFSET(B4116,0,'Field labels'!$Q$1))</f>
        <v>Arquitectos, ingenieros y afines no clasificados bajo otros epígrafes - 0161</v>
      </c>
      <c r="C4116" t="s">
        <v>7992</v>
      </c>
    </row>
    <row r="4117" spans="1:3">
      <c r="A4117" t="s">
        <v>8357</v>
      </c>
      <c r="B4117" t="str">
        <f ca="1">IF(ISBLANK(OFFSET(B4117,0,'Field labels'!$Q$1)),C4117,OFFSET(B4117,0,'Field labels'!$Q$1))</f>
        <v>Arquitectos, urbanistas e ingenieros de tránsito - 0153</v>
      </c>
      <c r="C4117" t="s">
        <v>7993</v>
      </c>
    </row>
    <row r="4118" spans="1:3">
      <c r="A4118" t="s">
        <v>8357</v>
      </c>
      <c r="B4118" t="str">
        <f ca="1">IF(ISBLANK(OFFSET(B4118,0,'Field labels'!$Q$1)),C4118,OFFSET(B4118,0,'Field labels'!$Q$1))</f>
        <v>Artesanos de la madera y materiales similares - 0379</v>
      </c>
      <c r="C4118" t="s">
        <v>7994</v>
      </c>
    </row>
    <row r="4119" spans="1:3">
      <c r="A4119" t="s">
        <v>8357</v>
      </c>
      <c r="B4119" t="str">
        <f ca="1">IF(ISBLANK(OFFSET(B4119,0,'Field labels'!$Q$1)),C4119,OFFSET(B4119,0,'Field labels'!$Q$1))</f>
        <v>Artesanos de los tejidos, el cuero y materiales similares - 0380</v>
      </c>
      <c r="C4119" t="s">
        <v>7995</v>
      </c>
    </row>
    <row r="4120" spans="1:3">
      <c r="A4120" t="s">
        <v>8357</v>
      </c>
      <c r="B4120" t="str">
        <f ca="1">IF(ISBLANK(OFFSET(B4120,0,'Field labels'!$Q$1)),C4120,OFFSET(B4120,0,'Field labels'!$Q$1))</f>
        <v>Astrólogos y afines - 0309</v>
      </c>
      <c r="C4120" t="s">
        <v>7996</v>
      </c>
    </row>
    <row r="4121" spans="1:3">
      <c r="A4121" t="s">
        <v>8357</v>
      </c>
      <c r="B4121" t="str">
        <f ca="1">IF(ISBLANK(OFFSET(B4121,0,'Field labels'!$Q$1)),C4121,OFFSET(B4121,0,'Field labels'!$Q$1))</f>
        <v>Atletas, deportistas y afines - 0270</v>
      </c>
      <c r="C4121" t="s">
        <v>7997</v>
      </c>
    </row>
    <row r="4122" spans="1:3">
      <c r="A4122" t="s">
        <v>8357</v>
      </c>
      <c r="B4122" t="str">
        <f ca="1">IF(ISBLANK(OFFSET(B4122,0,'Field labels'!$Q$1)),C4122,OFFSET(B4122,0,'Field labels'!$Q$1))</f>
        <v>Autores, periodistas y otros escritores - 0193</v>
      </c>
      <c r="C4122" t="s">
        <v>7998</v>
      </c>
    </row>
    <row r="4123" spans="1:3">
      <c r="A4123" t="s">
        <v>8357</v>
      </c>
      <c r="B4123" t="str">
        <f ca="1">IF(ISBLANK(OFFSET(B4123,0,'Field labels'!$Q$1)),C4123,OFFSET(B4123,0,'Field labels'!$Q$1))</f>
        <v>Auxiliares laicos de los cultos - 0271</v>
      </c>
      <c r="C4123" t="s">
        <v>7999</v>
      </c>
    </row>
    <row r="4124" spans="1:3">
      <c r="A4124" t="s">
        <v>8357</v>
      </c>
      <c r="B4124" t="str">
        <f ca="1">IF(ISBLANK(OFFSET(B4124,0,'Field labels'!$Q$1)),C4124,OFFSET(B4124,0,'Field labels'!$Q$1))</f>
        <v>Avicultores y trabajadores calificados de la avicultura - 0323</v>
      </c>
      <c r="C4124" t="s">
        <v>8000</v>
      </c>
    </row>
    <row r="4125" spans="1:3">
      <c r="A4125" t="s">
        <v>8357</v>
      </c>
      <c r="B4125" t="str">
        <f ca="1">IF(ISBLANK(OFFSET(B4125,0,'Field labels'!$Q$1)),C4125,OFFSET(B4125,0,'Field labels'!$Q$1))</f>
        <v>Ayudantes de enfermería a domicilio - 0303</v>
      </c>
      <c r="C4125" t="s">
        <v>8001</v>
      </c>
    </row>
    <row r="4126" spans="1:3">
      <c r="A4126" t="s">
        <v>8357</v>
      </c>
      <c r="B4126" t="str">
        <f ca="1">IF(ISBLANK(OFFSET(B4126,0,'Field labels'!$Q$1)),C4126,OFFSET(B4126,0,'Field labels'!$Q$1))</f>
        <v>Ayudantes de enfermería en instituciones - 0302</v>
      </c>
      <c r="C4126" t="s">
        <v>8002</v>
      </c>
    </row>
    <row r="4127" spans="1:3">
      <c r="A4127" t="s">
        <v>8357</v>
      </c>
      <c r="B4127" t="str">
        <f ca="1">IF(ISBLANK(OFFSET(B4127,0,'Field labels'!$Q$1)),C4127,OFFSET(B4127,0,'Field labels'!$Q$1))</f>
        <v>Barnizadores y afines - 0351</v>
      </c>
      <c r="C4127" t="s">
        <v>8003</v>
      </c>
    </row>
    <row r="4128" spans="1:3">
      <c r="A4128" t="s">
        <v>8357</v>
      </c>
      <c r="B4128" t="str">
        <f ca="1">IF(ISBLANK(OFFSET(B4128,0,'Field labels'!$Q$1)),C4128,OFFSET(B4128,0,'Field labels'!$Q$1))</f>
        <v>Barrenderos y afines - 0488</v>
      </c>
      <c r="C4128" t="s">
        <v>8004</v>
      </c>
    </row>
    <row r="4129" spans="1:3">
      <c r="A4129" t="s">
        <v>8357</v>
      </c>
      <c r="B4129" t="str">
        <f ca="1">IF(ISBLANK(OFFSET(B4129,0,'Field labels'!$Q$1)),C4129,OFFSET(B4129,0,'Field labels'!$Q$1))</f>
        <v>Bibliotecarios, documentalistas y afines - 0186</v>
      </c>
      <c r="C4129" t="s">
        <v>8005</v>
      </c>
    </row>
    <row r="4130" spans="1:3">
      <c r="A4130" t="s">
        <v>8357</v>
      </c>
      <c r="B4130" t="str">
        <f ca="1">IF(ISBLANK(OFFSET(B4130,0,'Field labels'!$Q$1)),C4130,OFFSET(B4130,0,'Field labels'!$Q$1))</f>
        <v>Biólogos, botánicos, zoólogos y afines - 0162</v>
      </c>
      <c r="C4130" t="s">
        <v>8006</v>
      </c>
    </row>
    <row r="4131" spans="1:3">
      <c r="A4131" t="s">
        <v>8357</v>
      </c>
      <c r="B4131" t="str">
        <f ca="1">IF(ISBLANK(OFFSET(B4131,0,'Field labels'!$Q$1)),C4131,OFFSET(B4131,0,'Field labels'!$Q$1))</f>
        <v>Bomberos - 0311</v>
      </c>
      <c r="C4131" t="s">
        <v>8007</v>
      </c>
    </row>
    <row r="4132" spans="1:3">
      <c r="A4132" t="s">
        <v>8357</v>
      </c>
      <c r="B4132" t="str">
        <f ca="1">IF(ISBLANK(OFFSET(B4132,0,'Field labels'!$Q$1)),C4132,OFFSET(B4132,0,'Field labels'!$Q$1))</f>
        <v>Buzos - 0358</v>
      </c>
      <c r="C4132" t="s">
        <v>8008</v>
      </c>
    </row>
    <row r="4133" spans="1:3">
      <c r="A4133" t="s">
        <v>8357</v>
      </c>
      <c r="B4133" t="str">
        <f ca="1">IF(ISBLANK(OFFSET(B4133,0,'Field labels'!$Q$1)),C4133,OFFSET(B4133,0,'Field labels'!$Q$1))</f>
        <v>Cajeros y expendedores de billetes - 0287</v>
      </c>
      <c r="C4133" t="s">
        <v>8009</v>
      </c>
    </row>
    <row r="4134" spans="1:3">
      <c r="A4134" t="s">
        <v>8357</v>
      </c>
      <c r="B4134" t="str">
        <f ca="1">IF(ISBLANK(OFFSET(B4134,0,'Field labels'!$Q$1)),C4134,OFFSET(B4134,0,'Field labels'!$Q$1))</f>
        <v>Cajista, tipógrafos y afines - 0381</v>
      </c>
      <c r="C4134" t="s">
        <v>8010</v>
      </c>
    </row>
    <row r="4135" spans="1:3">
      <c r="A4135" t="s">
        <v>8357</v>
      </c>
      <c r="B4135" t="str">
        <f ca="1">IF(ISBLANK(OFFSET(B4135,0,'Field labels'!$Q$1)),C4135,OFFSET(B4135,0,'Field labels'!$Q$1))</f>
        <v>Camareros y azafatas - 0295</v>
      </c>
      <c r="C4135" t="s">
        <v>8011</v>
      </c>
    </row>
    <row r="4136" spans="1:3">
      <c r="A4136" t="s">
        <v>8357</v>
      </c>
      <c r="B4136" t="str">
        <f ca="1">IF(ISBLANK(OFFSET(B4136,0,'Field labels'!$Q$1)),C4136,OFFSET(B4136,0,'Field labels'!$Q$1))</f>
        <v>Camareros y taberneros - 0300</v>
      </c>
      <c r="C4136" t="s">
        <v>8012</v>
      </c>
    </row>
    <row r="4137" spans="1:3">
      <c r="A4137" t="s">
        <v>8357</v>
      </c>
      <c r="B4137" t="str">
        <f ca="1">IF(ISBLANK(OFFSET(B4137,0,'Field labels'!$Q$1)),C4137,OFFSET(B4137,0,'Field labels'!$Q$1))</f>
        <v>Capitanes, oficiales de Cubierta y Prácticos - 0216</v>
      </c>
      <c r="C4137" t="s">
        <v>8013</v>
      </c>
    </row>
    <row r="4138" spans="1:3">
      <c r="A4138" t="s">
        <v>8357</v>
      </c>
      <c r="B4138" t="str">
        <f ca="1">IF(ISBLANK(OFFSET(B4138,0,'Field labels'!$Q$1)),C4138,OFFSET(B4138,0,'Field labels'!$Q$1))</f>
        <v>Carboneros de carbón vegetal y afines - 0329</v>
      </c>
      <c r="C4138" t="s">
        <v>8014</v>
      </c>
    </row>
    <row r="4139" spans="1:3">
      <c r="A4139" t="s">
        <v>8357</v>
      </c>
      <c r="B4139" t="str">
        <f ca="1">IF(ISBLANK(OFFSET(B4139,0,'Field labels'!$Q$1)),C4139,OFFSET(B4139,0,'Field labels'!$Q$1))</f>
        <v>Carniceros, pescaderos y afines - 0387</v>
      </c>
      <c r="C4139" t="s">
        <v>8015</v>
      </c>
    </row>
    <row r="4140" spans="1:3">
      <c r="A4140" t="s">
        <v>8357</v>
      </c>
      <c r="B4140" t="str">
        <f ca="1">IF(ISBLANK(OFFSET(B4140,0,'Field labels'!$Q$1)),C4140,OFFSET(B4140,0,'Field labels'!$Q$1))</f>
        <v>Carpinteros de armar y de banco - 0341</v>
      </c>
      <c r="C4140" t="s">
        <v>8016</v>
      </c>
    </row>
    <row r="4141" spans="1:3">
      <c r="A4141" t="s">
        <v>8357</v>
      </c>
      <c r="B4141" t="str">
        <f ca="1">IF(ISBLANK(OFFSET(B4141,0,'Field labels'!$Q$1)),C4141,OFFSET(B4141,0,'Field labels'!$Q$1))</f>
        <v>Cartógrafos y agrimensores - 0160</v>
      </c>
      <c r="C4141" t="s">
        <v>8017</v>
      </c>
    </row>
    <row r="4142" spans="1:3">
      <c r="A4142" t="s">
        <v>8357</v>
      </c>
      <c r="B4142" t="str">
        <f ca="1">IF(ISBLANK(OFFSET(B4142,0,'Field labels'!$Q$1)),C4142,OFFSET(B4142,0,'Field labels'!$Q$1))</f>
        <v>Catadores y clasificadores de alimentos y bebidas - 0391</v>
      </c>
      <c r="C4142" t="s">
        <v>8018</v>
      </c>
    </row>
    <row r="4143" spans="1:3">
      <c r="A4143" t="s">
        <v>8357</v>
      </c>
      <c r="B4143" t="str">
        <f ca="1">IF(ISBLANK(OFFSET(B4143,0,'Field labels'!$Q$1)),C4143,OFFSET(B4143,0,'Field labels'!$Q$1))</f>
        <v>Cazadores y tramperos - 0333</v>
      </c>
      <c r="C4143" t="s">
        <v>8019</v>
      </c>
    </row>
    <row r="4144" spans="1:3">
      <c r="A4144" t="s">
        <v>8357</v>
      </c>
      <c r="B4144" t="str">
        <f ca="1">IF(ISBLANK(OFFSET(B4144,0,'Field labels'!$Q$1)),C4144,OFFSET(B4144,0,'Field labels'!$Q$1))</f>
        <v>Cesteros, bruceros y afines - 0396</v>
      </c>
      <c r="C4144" t="s">
        <v>8020</v>
      </c>
    </row>
    <row r="4145" spans="1:3">
      <c r="A4145" t="s">
        <v>8357</v>
      </c>
      <c r="B4145" t="str">
        <f ca="1">IF(ISBLANK(OFFSET(B4145,0,'Field labels'!$Q$1)),C4145,OFFSET(B4145,0,'Field labels'!$Q$1))</f>
        <v>Chapistas y calderos - 0355</v>
      </c>
      <c r="C4145" t="s">
        <v>8021</v>
      </c>
    </row>
    <row r="4146" spans="1:3">
      <c r="A4146" t="s">
        <v>8357</v>
      </c>
      <c r="B4146" t="str">
        <f ca="1">IF(ISBLANK(OFFSET(B4146,0,'Field labels'!$Q$1)),C4146,OFFSET(B4146,0,'Field labels'!$Q$1))</f>
        <v>Cobradores y afines - 0291</v>
      </c>
      <c r="C4146" t="s">
        <v>8022</v>
      </c>
    </row>
    <row r="4147" spans="1:3">
      <c r="A4147" t="s">
        <v>8357</v>
      </c>
      <c r="B4147" t="str">
        <f ca="1">IF(ISBLANK(OFFSET(B4147,0,'Field labels'!$Q$1)),C4147,OFFSET(B4147,0,'Field labels'!$Q$1))</f>
        <v>Cocineros - 0299</v>
      </c>
      <c r="C4147" t="s">
        <v>8023</v>
      </c>
    </row>
    <row r="4148" spans="1:3">
      <c r="A4148" t="s">
        <v>8357</v>
      </c>
      <c r="B4148" t="str">
        <f ca="1">IF(ISBLANK(OFFSET(B4148,0,'Field labels'!$Q$1)),C4148,OFFSET(B4148,0,'Field labels'!$Q$1))</f>
        <v>Codificadores de datos, correctores de pruebas de imprenta y afines - 0284</v>
      </c>
      <c r="C4148" t="s">
        <v>8024</v>
      </c>
    </row>
    <row r="4149" spans="1:3">
      <c r="A4149" t="s">
        <v>8357</v>
      </c>
      <c r="B4149" t="str">
        <f ca="1">IF(ISBLANK(OFFSET(B4149,0,'Field labels'!$Q$1)),C4149,OFFSET(B4149,0,'Field labels'!$Q$1))</f>
        <v>Compositores, músicos y cantantes - 0195</v>
      </c>
      <c r="C4149" t="s">
        <v>8025</v>
      </c>
    </row>
    <row r="4150" spans="1:3">
      <c r="A4150" t="s">
        <v>8357</v>
      </c>
      <c r="B4150" t="str">
        <f ca="1">IF(ISBLANK(OFFSET(B4150,0,'Field labels'!$Q$1)),C4150,OFFSET(B4150,0,'Field labels'!$Q$1))</f>
        <v>Compradores - 0247</v>
      </c>
      <c r="C4150" t="s">
        <v>8026</v>
      </c>
    </row>
    <row r="4151" spans="1:3">
      <c r="A4151" t="s">
        <v>8357</v>
      </c>
      <c r="B4151" t="str">
        <f ca="1">IF(ISBLANK(OFFSET(B4151,0,'Field labels'!$Q$1)),C4151,OFFSET(B4151,0,'Field labels'!$Q$1))</f>
        <v>Conductores de autobuses y tranvías - 0468</v>
      </c>
      <c r="C4151" t="s">
        <v>8027</v>
      </c>
    </row>
    <row r="4152" spans="1:3">
      <c r="A4152" t="s">
        <v>8357</v>
      </c>
      <c r="B4152" t="str">
        <f ca="1">IF(ISBLANK(OFFSET(B4152,0,'Field labels'!$Q$1)),C4152,OFFSET(B4152,0,'Field labels'!$Q$1))</f>
        <v>Conductores de automóviles, taxis y camionetas - 0467</v>
      </c>
      <c r="C4152" t="s">
        <v>8028</v>
      </c>
    </row>
    <row r="4153" spans="1:3">
      <c r="A4153" t="s">
        <v>8357</v>
      </c>
      <c r="B4153" t="str">
        <f ca="1">IF(ISBLANK(OFFSET(B4153,0,'Field labels'!$Q$1)),C4153,OFFSET(B4153,0,'Field labels'!$Q$1))</f>
        <v>Conductores de camiones pesados - 0469</v>
      </c>
      <c r="C4153" t="s">
        <v>8029</v>
      </c>
    </row>
    <row r="4154" spans="1:3">
      <c r="A4154" t="s">
        <v>8357</v>
      </c>
      <c r="B4154" t="str">
        <f ca="1">IF(ISBLANK(OFFSET(B4154,0,'Field labels'!$Q$1)),C4154,OFFSET(B4154,0,'Field labels'!$Q$1))</f>
        <v>Conductores de camiones pesados (agrícolas) - 0473</v>
      </c>
      <c r="C4154" t="s">
        <v>8030</v>
      </c>
    </row>
    <row r="4155" spans="1:3">
      <c r="A4155" t="s">
        <v>8357</v>
      </c>
      <c r="B4155" t="str">
        <f ca="1">IF(ISBLANK(OFFSET(B4155,0,'Field labels'!$Q$1)),C4155,OFFSET(B4155,0,'Field labels'!$Q$1))</f>
        <v>Conductores de motocicletas - 0466</v>
      </c>
      <c r="C4155" t="s">
        <v>8031</v>
      </c>
    </row>
    <row r="4156" spans="1:3">
      <c r="A4156" t="s">
        <v>8357</v>
      </c>
      <c r="B4156" t="str">
        <f ca="1">IF(ISBLANK(OFFSET(B4156,0,'Field labels'!$Q$1)),C4156,OFFSET(B4156,0,'Field labels'!$Q$1))</f>
        <v>Conductores de vehículos accionados a pedal o a brazo - 0497</v>
      </c>
      <c r="C4156" t="s">
        <v>8032</v>
      </c>
    </row>
    <row r="4157" spans="1:3">
      <c r="A4157" t="s">
        <v>8357</v>
      </c>
      <c r="B4157" t="str">
        <f ca="1">IF(ISBLANK(OFFSET(B4157,0,'Field labels'!$Q$1)),C4157,OFFSET(B4157,0,'Field labels'!$Q$1))</f>
        <v>Conductores de vehículos y máquinas de tracción animal - 0498</v>
      </c>
      <c r="C4157" t="s">
        <v>8033</v>
      </c>
    </row>
    <row r="4158" spans="1:3">
      <c r="A4158" t="s">
        <v>8357</v>
      </c>
      <c r="B4158" t="str">
        <f ca="1">IF(ISBLANK(OFFSET(B4158,0,'Field labels'!$Q$1)),C4158,OFFSET(B4158,0,'Field labels'!$Q$1))</f>
        <v>Consejeros agrícolas y forestales - 0224</v>
      </c>
      <c r="C4158" t="s">
        <v>8034</v>
      </c>
    </row>
    <row r="4159" spans="1:3">
      <c r="A4159" t="s">
        <v>8357</v>
      </c>
      <c r="B4159" t="str">
        <f ca="1">IF(ISBLANK(OFFSET(B4159,0,'Field labels'!$Q$1)),C4159,OFFSET(B4159,0,'Field labels'!$Q$1))</f>
        <v>Conserjes - 0482</v>
      </c>
      <c r="C4159" t="s">
        <v>8035</v>
      </c>
    </row>
    <row r="4160" spans="1:3">
      <c r="A4160" t="s">
        <v>8357</v>
      </c>
      <c r="B4160" t="str">
        <f ca="1">IF(ISBLANK(OFFSET(B4160,0,'Field labels'!$Q$1)),C4160,OFFSET(B4160,0,'Field labels'!$Q$1))</f>
        <v>Constructores con técnicas y materiales tradicionales - 0338</v>
      </c>
      <c r="C4160" t="s">
        <v>8036</v>
      </c>
    </row>
    <row r="4161" spans="1:3">
      <c r="A4161" t="s">
        <v>8357</v>
      </c>
      <c r="B4161" t="str">
        <f ca="1">IF(ISBLANK(OFFSET(B4161,0,'Field labels'!$Q$1)),C4161,OFFSET(B4161,0,'Field labels'!$Q$1))</f>
        <v>Constructores y afinadores de instrumentos musicales - 0373</v>
      </c>
      <c r="C4161" t="s">
        <v>8037</v>
      </c>
    </row>
    <row r="4162" spans="1:3">
      <c r="A4162" t="s">
        <v>8357</v>
      </c>
      <c r="B4162" t="str">
        <f ca="1">IF(ISBLANK(OFFSET(B4162,0,'Field labels'!$Q$1)),C4162,OFFSET(B4162,0,'Field labels'!$Q$1))</f>
        <v>Contadores - 0179</v>
      </c>
      <c r="C4162" t="s">
        <v>8038</v>
      </c>
    </row>
    <row r="4163" spans="1:3">
      <c r="A4163" t="s">
        <v>8357</v>
      </c>
      <c r="B4163" t="str">
        <f ca="1">IF(ISBLANK(OFFSET(B4163,0,'Field labels'!$Q$1)),C4163,OFFSET(B4163,0,'Field labels'!$Q$1))</f>
        <v>Controladores de tráfico aéreo - 0218</v>
      </c>
      <c r="C4163" t="s">
        <v>8039</v>
      </c>
    </row>
    <row r="4164" spans="1:3">
      <c r="A4164" t="s">
        <v>8357</v>
      </c>
      <c r="B4164" t="str">
        <f ca="1">IF(ISBLANK(OFFSET(B4164,0,'Field labels'!$Q$1)),C4164,OFFSET(B4164,0,'Field labels'!$Q$1))</f>
        <v>Coreógrafos y bailarines - 0196</v>
      </c>
      <c r="C4164" t="s">
        <v>8040</v>
      </c>
    </row>
    <row r="4165" spans="1:3">
      <c r="A4165" t="s">
        <v>8357</v>
      </c>
      <c r="B4165" t="str">
        <f ca="1">IF(ISBLANK(OFFSET(B4165,0,'Field labels'!$Q$1)),C4165,OFFSET(B4165,0,'Field labels'!$Q$1))</f>
        <v>Costureros, bordadores y afines - 0402</v>
      </c>
      <c r="C4165" t="s">
        <v>8041</v>
      </c>
    </row>
    <row r="4166" spans="1:3">
      <c r="A4166" t="s">
        <v>8357</v>
      </c>
      <c r="B4166" t="str">
        <f ca="1">IF(ISBLANK(OFFSET(B4166,0,'Field labels'!$Q$1)),C4166,OFFSET(B4166,0,'Field labels'!$Q$1))</f>
        <v>Creadores y analistas de sistemas informáticos - 0150</v>
      </c>
      <c r="C4166" t="s">
        <v>8042</v>
      </c>
    </row>
    <row r="4167" spans="1:3">
      <c r="A4167" t="s">
        <v>8357</v>
      </c>
      <c r="B4167" t="str">
        <f ca="1">IF(ISBLANK(OFFSET(B4167,0,'Field labels'!$Q$1)),C4167,OFFSET(B4167,0,'Field labels'!$Q$1))</f>
        <v>Criadores de especies acuáticas - 0330</v>
      </c>
      <c r="C4167" t="s">
        <v>8043</v>
      </c>
    </row>
    <row r="4168" spans="1:3">
      <c r="A4168" t="s">
        <v>8357</v>
      </c>
      <c r="B4168" t="str">
        <f ca="1">IF(ISBLANK(OFFSET(B4168,0,'Field labels'!$Q$1)),C4168,OFFSET(B4168,0,'Field labels'!$Q$1))</f>
        <v>Criadores de ganado y otros animales domésticos, productores de leche y sus derivados - 0322</v>
      </c>
      <c r="C4168" t="s">
        <v>8044</v>
      </c>
    </row>
    <row r="4169" spans="1:3">
      <c r="A4169" t="s">
        <v>8357</v>
      </c>
      <c r="B4169" t="str">
        <f ca="1">IF(ISBLANK(OFFSET(B4169,0,'Field labels'!$Q$1)),C4169,OFFSET(B4169,0,'Field labels'!$Q$1))</f>
        <v>Criadores y trabajadores calificados de la cría de animales domésticos diversos - 0325</v>
      </c>
      <c r="C4169" t="s">
        <v>8045</v>
      </c>
    </row>
    <row r="4170" spans="1:3">
      <c r="A4170" t="s">
        <v>8357</v>
      </c>
      <c r="B4170" t="str">
        <f ca="1">IF(ISBLANK(OFFSET(B4170,0,'Field labels'!$Q$1)),C4170,OFFSET(B4170,0,'Field labels'!$Q$1))</f>
        <v>Criadores y trabajadores pecuarios calificados de la cría de animales para el mercado y afines, no clasificados bajo otros epígrafes - 0326</v>
      </c>
      <c r="C4170" t="s">
        <v>8046</v>
      </c>
    </row>
    <row r="4171" spans="1:3">
      <c r="A4171" t="s">
        <v>8357</v>
      </c>
      <c r="B4171" t="str">
        <f ca="1">IF(ISBLANK(OFFSET(B4171,0,'Field labels'!$Q$1)),C4171,OFFSET(B4171,0,'Field labels'!$Q$1))</f>
        <v>Cristaleros - 0347</v>
      </c>
      <c r="C4171" t="s">
        <v>8047</v>
      </c>
    </row>
    <row r="4172" spans="1:3">
      <c r="A4172" t="s">
        <v>8357</v>
      </c>
      <c r="B4172" t="str">
        <f ca="1">IF(ISBLANK(OFFSET(B4172,0,'Field labels'!$Q$1)),C4172,OFFSET(B4172,0,'Field labels'!$Q$1))</f>
        <v>Curanderos - 0237</v>
      </c>
      <c r="C4172" t="s">
        <v>8048</v>
      </c>
    </row>
    <row r="4173" spans="1:3">
      <c r="A4173" t="s">
        <v>8357</v>
      </c>
      <c r="B4173" t="str">
        <f ca="1">IF(ISBLANK(OFFSET(B4173,0,'Field labels'!$Q$1)),C4173,OFFSET(B4173,0,'Field labels'!$Q$1))</f>
        <v>Declarantes o gestores de aduana - 0251</v>
      </c>
      <c r="C4173" t="s">
        <v>8049</v>
      </c>
    </row>
    <row r="4174" spans="1:3">
      <c r="A4174" t="s">
        <v>8357</v>
      </c>
      <c r="B4174" t="str">
        <f ca="1">IF(ISBLANK(OFFSET(B4174,0,'Field labels'!$Q$1)),C4174,OFFSET(B4174,0,'Field labels'!$Q$1))</f>
        <v>Decoradores y diseñadores - 0266</v>
      </c>
      <c r="C4174" t="s">
        <v>8050</v>
      </c>
    </row>
    <row r="4175" spans="1:3">
      <c r="A4175" t="s">
        <v>8357</v>
      </c>
      <c r="B4175" t="str">
        <f ca="1">IF(ISBLANK(OFFSET(B4175,0,'Field labels'!$Q$1)),C4175,OFFSET(B4175,0,'Field labels'!$Q$1))</f>
        <v>Delineantes y dibujantes técnicos - 0206</v>
      </c>
      <c r="C4175" t="s">
        <v>8051</v>
      </c>
    </row>
    <row r="4176" spans="1:3">
      <c r="A4176" t="s">
        <v>8357</v>
      </c>
      <c r="B4176" t="str">
        <f ca="1">IF(ISBLANK(OFFSET(B4176,0,'Field labels'!$Q$1)),C4176,OFFSET(B4176,0,'Field labels'!$Q$1))</f>
        <v>Dentistas auxiliares y ayudantes de odontología - 0229</v>
      </c>
      <c r="C4176" t="s">
        <v>8052</v>
      </c>
    </row>
    <row r="4177" spans="1:3">
      <c r="A4177" t="s">
        <v>8357</v>
      </c>
      <c r="B4177" t="str">
        <f ca="1">IF(ISBLANK(OFFSET(B4177,0,'Field labels'!$Q$1)),C4177,OFFSET(B4177,0,'Field labels'!$Q$1))</f>
        <v>Directores de departamento de investigaciones y desarrollo - 0133</v>
      </c>
      <c r="C4177" t="s">
        <v>8053</v>
      </c>
    </row>
    <row r="4178" spans="1:3">
      <c r="A4178" t="s">
        <v>8357</v>
      </c>
      <c r="B4178" t="str">
        <f ca="1">IF(ISBLANK(OFFSET(B4178,0,'Field labels'!$Q$1)),C4178,OFFSET(B4178,0,'Field labels'!$Q$1))</f>
        <v>Directores de departamentos de abastecimiento y distribución - 0131</v>
      </c>
      <c r="C4178" t="s">
        <v>8054</v>
      </c>
    </row>
    <row r="4179" spans="1:3">
      <c r="A4179" t="s">
        <v>8357</v>
      </c>
      <c r="B4179" t="str">
        <f ca="1">IF(ISBLANK(OFFSET(B4179,0,'Field labels'!$Q$1)),C4179,OFFSET(B4179,0,'Field labels'!$Q$1))</f>
        <v>Directores de departamentos de personal y de relaciones laborales - 0128</v>
      </c>
      <c r="C4179" t="s">
        <v>8055</v>
      </c>
    </row>
    <row r="4180" spans="1:3">
      <c r="A4180" t="s">
        <v>8357</v>
      </c>
      <c r="B4180" t="str">
        <f ca="1">IF(ISBLANK(OFFSET(B4180,0,'Field labels'!$Q$1)),C4180,OFFSET(B4180,0,'Field labels'!$Q$1))</f>
        <v>Directores de departamentos de producción y operaciones no clasificados bajo otros epígrafes. - 0126</v>
      </c>
      <c r="C4180" t="s">
        <v>8056</v>
      </c>
    </row>
    <row r="4181" spans="1:3">
      <c r="A4181" t="s">
        <v>8357</v>
      </c>
      <c r="B4181" t="str">
        <f ca="1">IF(ISBLANK(OFFSET(B4181,0,'Field labels'!$Q$1)),C4181,OFFSET(B4181,0,'Field labels'!$Q$1))</f>
        <v>Directores de departamentos de producción y operaciones, agricultura, caza, silvicultura y pesca - 0118</v>
      </c>
      <c r="C4181" t="s">
        <v>8057</v>
      </c>
    </row>
    <row r="4182" spans="1:3">
      <c r="A4182" t="s">
        <v>8357</v>
      </c>
      <c r="B4182" t="str">
        <f ca="1">IF(ISBLANK(OFFSET(B4182,0,'Field labels'!$Q$1)),C4182,OFFSET(B4182,0,'Field labels'!$Q$1))</f>
        <v>Directores de departamentos de producción y operaciones, comercio mayorista y minorista - 0121</v>
      </c>
      <c r="C4182" t="s">
        <v>8058</v>
      </c>
    </row>
    <row r="4183" spans="1:3">
      <c r="A4183" t="s">
        <v>8357</v>
      </c>
      <c r="B4183" t="str">
        <f ca="1">IF(ISBLANK(OFFSET(B4183,0,'Field labels'!$Q$1)),C4183,OFFSET(B4183,0,'Field labels'!$Q$1))</f>
        <v>Directores de departamentos de producción y operaciones, construcción y obras públicas - 0120</v>
      </c>
      <c r="C4183" t="s">
        <v>8059</v>
      </c>
    </row>
    <row r="4184" spans="1:3">
      <c r="A4184" t="s">
        <v>8357</v>
      </c>
      <c r="B4184" t="str">
        <f ca="1">IF(ISBLANK(OFFSET(B4184,0,'Field labels'!$Q$1)),C4184,OFFSET(B4184,0,'Field labels'!$Q$1))</f>
        <v>Directores de departamentos de producción y operaciones, empresas de intermediación y servicios a empresas - 0124</v>
      </c>
      <c r="C4184" t="s">
        <v>8060</v>
      </c>
    </row>
    <row r="4185" spans="1:3">
      <c r="A4185" t="s">
        <v>8357</v>
      </c>
      <c r="B4185" t="str">
        <f ca="1">IF(ISBLANK(OFFSET(B4185,0,'Field labels'!$Q$1)),C4185,OFFSET(B4185,0,'Field labels'!$Q$1))</f>
        <v>Directores de departamentos de producción y operaciones, industrias manufactureras - 0119</v>
      </c>
      <c r="C4185" t="s">
        <v>8061</v>
      </c>
    </row>
    <row r="4186" spans="1:3">
      <c r="A4186" t="s">
        <v>8357</v>
      </c>
      <c r="B4186" t="str">
        <f ca="1">IF(ISBLANK(OFFSET(B4186,0,'Field labels'!$Q$1)),C4186,OFFSET(B4186,0,'Field labels'!$Q$1))</f>
        <v>Directores de departamentos de producción y operaciones, restauración y hostelería - 0122</v>
      </c>
      <c r="C4186" t="s">
        <v>8062</v>
      </c>
    </row>
    <row r="4187" spans="1:3">
      <c r="A4187" t="s">
        <v>8357</v>
      </c>
      <c r="B4187" t="str">
        <f ca="1">IF(ISBLANK(OFFSET(B4187,0,'Field labels'!$Q$1)),C4187,OFFSET(B4187,0,'Field labels'!$Q$1))</f>
        <v>Directores de departamentos de producción y operaciones, servicios de cuidados personales, limpieza y servicios similares - 0125</v>
      </c>
      <c r="C4187" t="s">
        <v>8063</v>
      </c>
    </row>
    <row r="4188" spans="1:3">
      <c r="A4188" t="s">
        <v>8357</v>
      </c>
      <c r="B4188" t="str">
        <f ca="1">IF(ISBLANK(OFFSET(B4188,0,'Field labels'!$Q$1)),C4188,OFFSET(B4188,0,'Field labels'!$Q$1))</f>
        <v>Directores de departamentos de producción y operaciones, transporte, almacenamiento y comunicaciones - 0123</v>
      </c>
      <c r="C4188" t="s">
        <v>8064</v>
      </c>
    </row>
    <row r="4189" spans="1:3">
      <c r="A4189" t="s">
        <v>8357</v>
      </c>
      <c r="B4189" t="str">
        <f ca="1">IF(ISBLANK(OFFSET(B4189,0,'Field labels'!$Q$1)),C4189,OFFSET(B4189,0,'Field labels'!$Q$1))</f>
        <v>Directores de departamentos de publicidad y de relaciones públicas - 0130</v>
      </c>
      <c r="C4189" t="s">
        <v>8065</v>
      </c>
    </row>
    <row r="4190" spans="1:3">
      <c r="A4190" t="s">
        <v>8357</v>
      </c>
      <c r="B4190" t="str">
        <f ca="1">IF(ISBLANK(OFFSET(B4190,0,'Field labels'!$Q$1)),C4190,OFFSET(B4190,0,'Field labels'!$Q$1))</f>
        <v>Directores de departamentos de servicios de informática - 0132</v>
      </c>
      <c r="C4190" t="s">
        <v>8066</v>
      </c>
    </row>
    <row r="4191" spans="1:3">
      <c r="A4191" t="s">
        <v>8357</v>
      </c>
      <c r="B4191" t="str">
        <f ca="1">IF(ISBLANK(OFFSET(B4191,0,'Field labels'!$Q$1)),C4191,OFFSET(B4191,0,'Field labels'!$Q$1))</f>
        <v>Directores de departamentos de ventas y comercialización - 0129</v>
      </c>
      <c r="C4191" t="s">
        <v>8067</v>
      </c>
    </row>
    <row r="4192" spans="1:3">
      <c r="A4192" t="s">
        <v>8357</v>
      </c>
      <c r="B4192" t="str">
        <f ca="1">IF(ISBLANK(OFFSET(B4192,0,'Field labels'!$Q$1)),C4192,OFFSET(B4192,0,'Field labels'!$Q$1))</f>
        <v>Directores de departamentos financieros y administrativos - 0127</v>
      </c>
      <c r="C4192" t="s">
        <v>8068</v>
      </c>
    </row>
    <row r="4193" spans="1:3">
      <c r="A4193" t="s">
        <v>8357</v>
      </c>
      <c r="B4193" t="str">
        <f ca="1">IF(ISBLANK(OFFSET(B4193,0,'Field labels'!$Q$1)),C4193,OFFSET(B4193,0,'Field labels'!$Q$1))</f>
        <v>Directores generales y gerentes generales de empresas - 0117</v>
      </c>
      <c r="C4193" t="s">
        <v>8069</v>
      </c>
    </row>
    <row r="4194" spans="1:3">
      <c r="A4194" t="s">
        <v>8357</v>
      </c>
      <c r="B4194" t="str">
        <f ca="1">IF(ISBLANK(OFFSET(B4194,0,'Field labels'!$Q$1)),C4194,OFFSET(B4194,0,'Field labels'!$Q$1))</f>
        <v>Dirigentes y administradores de organizaciones de empleadores, de trabajadores y de otras de interés socioeconómico - 0115</v>
      </c>
      <c r="C4194" t="s">
        <v>8070</v>
      </c>
    </row>
    <row r="4195" spans="1:3">
      <c r="A4195" t="s">
        <v>8357</v>
      </c>
      <c r="B4195" t="str">
        <f ca="1">IF(ISBLANK(OFFSET(B4195,0,'Field labels'!$Q$1)),C4195,OFFSET(B4195,0,'Field labels'!$Q$1))</f>
        <v>Dirigentes y administradores de organizaciones humanitarias y de otras organizaciones - 0116</v>
      </c>
      <c r="C4195" t="s">
        <v>8071</v>
      </c>
    </row>
    <row r="4196" spans="1:3">
      <c r="A4196" t="s">
        <v>8357</v>
      </c>
      <c r="B4196" t="str">
        <f ca="1">IF(ISBLANK(OFFSET(B4196,0,'Field labels'!$Q$1)),C4196,OFFSET(B4196,0,'Field labels'!$Q$1))</f>
        <v>Dirigentes y administradores de partidos políticos - 0114</v>
      </c>
      <c r="C4196" t="s">
        <v>8072</v>
      </c>
    </row>
    <row r="4197" spans="1:3">
      <c r="A4197" t="s">
        <v>8357</v>
      </c>
      <c r="B4197" t="str">
        <f ca="1">IF(ISBLANK(OFFSET(B4197,0,'Field labels'!$Q$1)),C4197,OFFSET(B4197,0,'Field labels'!$Q$1))</f>
        <v>Ebanistas y afines - 0394</v>
      </c>
      <c r="C4197" t="s">
        <v>8073</v>
      </c>
    </row>
    <row r="4198" spans="1:3">
      <c r="A4198" t="s">
        <v>8357</v>
      </c>
      <c r="B4198" t="str">
        <f ca="1">IF(ISBLANK(OFFSET(B4198,0,'Field labels'!$Q$1)),C4198,OFFSET(B4198,0,'Field labels'!$Q$1))</f>
        <v>Economistas - 0187</v>
      </c>
      <c r="C4198" t="s">
        <v>8074</v>
      </c>
    </row>
    <row r="4199" spans="1:3">
      <c r="A4199" t="s">
        <v>8357</v>
      </c>
      <c r="B4199" t="str">
        <f ca="1">IF(ISBLANK(OFFSET(B4199,0,'Field labels'!$Q$1)),C4199,OFFSET(B4199,0,'Field labels'!$Q$1))</f>
        <v>Ecónomos, mayordomos y afines - 0298</v>
      </c>
      <c r="C4199" t="s">
        <v>8075</v>
      </c>
    </row>
    <row r="4200" spans="1:3">
      <c r="A4200" t="s">
        <v>8357</v>
      </c>
      <c r="B4200" t="str">
        <f ca="1">IF(ISBLANK(OFFSET(B4200,0,'Field labels'!$Q$1)),C4200,OFFSET(B4200,0,'Field labels'!$Q$1))</f>
        <v>Electricistas de obras afines - 0349</v>
      </c>
      <c r="C4200" t="s">
        <v>8076</v>
      </c>
    </row>
    <row r="4201" spans="1:3">
      <c r="A4201" t="s">
        <v>8357</v>
      </c>
      <c r="B4201" t="str">
        <f ca="1">IF(ISBLANK(OFFSET(B4201,0,'Field labels'!$Q$1)),C4201,OFFSET(B4201,0,'Field labels'!$Q$1))</f>
        <v>Electrotécnicos - 0201</v>
      </c>
      <c r="C4201" t="s">
        <v>8077</v>
      </c>
    </row>
    <row r="4202" spans="1:3">
      <c r="A4202" t="s">
        <v>8357</v>
      </c>
      <c r="B4202" t="str">
        <f ca="1">IF(ISBLANK(OFFSET(B4202,0,'Field labels'!$Q$1)),C4202,OFFSET(B4202,0,'Field labels'!$Q$1))</f>
        <v>Embaladores manuales y otros peones de la industria manufacturera - 0496</v>
      </c>
      <c r="C4202" t="s">
        <v>8078</v>
      </c>
    </row>
    <row r="4203" spans="1:3">
      <c r="A4203" t="s">
        <v>8357</v>
      </c>
      <c r="B4203" t="str">
        <f ca="1">IF(ISBLANK(OFFSET(B4203,0,'Field labels'!$Q$1)),C4203,OFFSET(B4203,0,'Field labels'!$Q$1))</f>
        <v>Empleados de agencias de viajes - 0292</v>
      </c>
      <c r="C4203" t="s">
        <v>8079</v>
      </c>
    </row>
    <row r="4204" spans="1:3">
      <c r="A4204" t="s">
        <v>8357</v>
      </c>
      <c r="B4204" t="str">
        <f ca="1">IF(ISBLANK(OFFSET(B4204,0,'Field labels'!$Q$1)),C4204,OFFSET(B4204,0,'Field labels'!$Q$1))</f>
        <v>Empleados de bibliotecas y archivos - 0282</v>
      </c>
      <c r="C4204" t="s">
        <v>8080</v>
      </c>
    </row>
    <row r="4205" spans="1:3">
      <c r="A4205" t="s">
        <v>8357</v>
      </c>
      <c r="B4205" t="str">
        <f ca="1">IF(ISBLANK(OFFSET(B4205,0,'Field labels'!$Q$1)),C4205,OFFSET(B4205,0,'Field labels'!$Q$1))</f>
        <v>Empleados de contabilidad y cálculo de costos - 0277</v>
      </c>
      <c r="C4205" t="s">
        <v>8081</v>
      </c>
    </row>
    <row r="4206" spans="1:3">
      <c r="A4206" t="s">
        <v>8357</v>
      </c>
      <c r="B4206" t="str">
        <f ca="1">IF(ISBLANK(OFFSET(B4206,0,'Field labels'!$Q$1)),C4206,OFFSET(B4206,0,'Field labels'!$Q$1))</f>
        <v>Empleados de control de abastecimientos e inventario - 0279</v>
      </c>
      <c r="C4206" t="s">
        <v>8082</v>
      </c>
    </row>
    <row r="4207" spans="1:3">
      <c r="A4207" t="s">
        <v>8357</v>
      </c>
      <c r="B4207" t="str">
        <f ca="1">IF(ISBLANK(OFFSET(B4207,0,'Field labels'!$Q$1)),C4207,OFFSET(B4207,0,'Field labels'!$Q$1))</f>
        <v>Empleados de servicios de apoyo a la producción - 0280</v>
      </c>
      <c r="C4207" t="s">
        <v>8083</v>
      </c>
    </row>
    <row r="4208" spans="1:3">
      <c r="A4208" t="s">
        <v>8357</v>
      </c>
      <c r="B4208" t="str">
        <f ca="1">IF(ISBLANK(OFFSET(B4208,0,'Field labels'!$Q$1)),C4208,OFFSET(B4208,0,'Field labels'!$Q$1))</f>
        <v>Empleados de servicios de correos - 0283</v>
      </c>
      <c r="C4208" t="s">
        <v>8084</v>
      </c>
    </row>
    <row r="4209" spans="1:3">
      <c r="A4209" t="s">
        <v>8357</v>
      </c>
      <c r="B4209" t="str">
        <f ca="1">IF(ISBLANK(OFFSET(B4209,0,'Field labels'!$Q$1)),C4209,OFFSET(B4209,0,'Field labels'!$Q$1))</f>
        <v>Empleados de servicios de transporte - 0281</v>
      </c>
      <c r="C4209" t="s">
        <v>8085</v>
      </c>
    </row>
    <row r="4210" spans="1:3">
      <c r="A4210" t="s">
        <v>8357</v>
      </c>
      <c r="B4210" t="str">
        <f ca="1">IF(ISBLANK(OFFSET(B4210,0,'Field labels'!$Q$1)),C4210,OFFSET(B4210,0,'Field labels'!$Q$1))</f>
        <v>Empleados de servicios estadísticos y financieros - 0278</v>
      </c>
      <c r="C4210" t="s">
        <v>8086</v>
      </c>
    </row>
    <row r="4211" spans="1:3">
      <c r="A4211" t="s">
        <v>8357</v>
      </c>
      <c r="B4211" t="str">
        <f ca="1">IF(ISBLANK(OFFSET(B4211,0,'Field labels'!$Q$1)),C4211,OFFSET(B4211,0,'Field labels'!$Q$1))</f>
        <v>Encuadernadores y afines - 0385</v>
      </c>
      <c r="C4211" t="s">
        <v>8087</v>
      </c>
    </row>
    <row r="4212" spans="1:3">
      <c r="A4212" t="s">
        <v>8357</v>
      </c>
      <c r="B4212" t="str">
        <f ca="1">IF(ISBLANK(OFFSET(B4212,0,'Field labels'!$Q$1)),C4212,OFFSET(B4212,0,'Field labels'!$Q$1))</f>
        <v>Escribientes públicos y afines - 0285</v>
      </c>
      <c r="C4212" t="s">
        <v>8088</v>
      </c>
    </row>
    <row r="4213" spans="1:3">
      <c r="A4213" t="s">
        <v>8357</v>
      </c>
      <c r="B4213" t="str">
        <f ca="1">IF(ISBLANK(OFFSET(B4213,0,'Field labels'!$Q$1)),C4213,OFFSET(B4213,0,'Field labels'!$Q$1))</f>
        <v>Escultores, pintores y afines - 0194</v>
      </c>
      <c r="C4213" t="s">
        <v>8089</v>
      </c>
    </row>
    <row r="4214" spans="1:3">
      <c r="A4214" t="s">
        <v>8357</v>
      </c>
      <c r="B4214" t="str">
        <f ca="1">IF(ISBLANK(OFFSET(B4214,0,'Field labels'!$Q$1)),C4214,OFFSET(B4214,0,'Field labels'!$Q$1))</f>
        <v>Especialistas en métodos pedagógicos y material didáctico - 0176</v>
      </c>
      <c r="C4214" t="s">
        <v>8090</v>
      </c>
    </row>
    <row r="4215" spans="1:3">
      <c r="A4215" t="s">
        <v>8357</v>
      </c>
      <c r="B4215" t="str">
        <f ca="1">IF(ISBLANK(OFFSET(B4215,0,'Field labels'!$Q$1)),C4215,OFFSET(B4215,0,'Field labels'!$Q$1))</f>
        <v>Especialistas en organización y administración de empresas afines, no clasificados bajo otros epígrafes - 0181</v>
      </c>
      <c r="C4215" t="s">
        <v>8091</v>
      </c>
    </row>
    <row r="4216" spans="1:3">
      <c r="A4216" t="s">
        <v>8357</v>
      </c>
      <c r="B4216" t="str">
        <f ca="1">IF(ISBLANK(OFFSET(B4216,0,'Field labels'!$Q$1)),C4216,OFFSET(B4216,0,'Field labels'!$Q$1))</f>
        <v>Especialistas en políticas y servicios de personal y afines - 0180</v>
      </c>
      <c r="C4216" t="s">
        <v>8092</v>
      </c>
    </row>
    <row r="4217" spans="1:3">
      <c r="A4217" t="s">
        <v>8357</v>
      </c>
      <c r="B4217" t="str">
        <f ca="1">IF(ISBLANK(OFFSET(B4217,0,'Field labels'!$Q$1)),C4217,OFFSET(B4217,0,'Field labels'!$Q$1))</f>
        <v>Estadísticos - 0149</v>
      </c>
      <c r="C4217" t="s">
        <v>8093</v>
      </c>
    </row>
    <row r="4218" spans="1:3">
      <c r="A4218" t="s">
        <v>8357</v>
      </c>
      <c r="B4218" t="str">
        <f ca="1">IF(ISBLANK(OFFSET(B4218,0,'Field labels'!$Q$1)),C4218,OFFSET(B4218,0,'Field labels'!$Q$1))</f>
        <v>Estereotipistas y galvanotipistas - 0382</v>
      </c>
      <c r="C4218" t="s">
        <v>8094</v>
      </c>
    </row>
    <row r="4219" spans="1:3">
      <c r="A4219" t="s">
        <v>8357</v>
      </c>
      <c r="B4219" t="str">
        <f ca="1">IF(ISBLANK(OFFSET(B4219,0,'Field labels'!$Q$1)),C4219,OFFSET(B4219,0,'Field labels'!$Q$1))</f>
        <v>Farmacéuticos - 0168</v>
      </c>
      <c r="C4219" t="s">
        <v>8095</v>
      </c>
    </row>
    <row r="4220" spans="1:3">
      <c r="A4220" t="s">
        <v>8357</v>
      </c>
      <c r="B4220" t="str">
        <f ca="1">IF(ISBLANK(OFFSET(B4220,0,'Field labels'!$Q$1)),C4220,OFFSET(B4220,0,'Field labels'!$Q$1))</f>
        <v>Farmacólogos, patólogos y afines - 0163</v>
      </c>
      <c r="C4220" t="s">
        <v>8096</v>
      </c>
    </row>
    <row r="4221" spans="1:3">
      <c r="A4221" t="s">
        <v>8357</v>
      </c>
      <c r="B4221" t="str">
        <f ca="1">IF(ISBLANK(OFFSET(B4221,0,'Field labels'!$Q$1)),C4221,OFFSET(B4221,0,'Field labels'!$Q$1))</f>
        <v>Filósofos, historiadores y especialistas en ciencias políticas - 0189</v>
      </c>
      <c r="C4221" t="s">
        <v>8097</v>
      </c>
    </row>
    <row r="4222" spans="1:3">
      <c r="A4222" t="s">
        <v>8357</v>
      </c>
      <c r="B4222" t="str">
        <f ca="1">IF(ISBLANK(OFFSET(B4222,0,'Field labels'!$Q$1)),C4222,OFFSET(B4222,0,'Field labels'!$Q$1))</f>
        <v>Físicos y astrónomos - 0144</v>
      </c>
      <c r="C4222" t="s">
        <v>8098</v>
      </c>
    </row>
    <row r="4223" spans="1:3">
      <c r="A4223" t="s">
        <v>8357</v>
      </c>
      <c r="B4223" t="str">
        <f ca="1">IF(ISBLANK(OFFSET(B4223,0,'Field labels'!$Q$1)),C4223,OFFSET(B4223,0,'Field labels'!$Q$1))</f>
        <v>Fisioterapeutas y afines - 0230</v>
      </c>
      <c r="C4223" t="s">
        <v>8099</v>
      </c>
    </row>
    <row r="4224" spans="1:3">
      <c r="A4224" t="s">
        <v>8357</v>
      </c>
      <c r="B4224" t="str">
        <f ca="1">IF(ISBLANK(OFFSET(B4224,0,'Field labels'!$Q$1)),C4224,OFFSET(B4224,0,'Field labels'!$Q$1))</f>
        <v>Fontaneros e instaladores de tuberías - 0348</v>
      </c>
      <c r="C4224" t="s">
        <v>8100</v>
      </c>
    </row>
    <row r="4225" spans="1:3">
      <c r="A4225" t="s">
        <v>8357</v>
      </c>
      <c r="B4225" t="str">
        <f ca="1">IF(ISBLANK(OFFSET(B4225,0,'Field labels'!$Q$1)),C4225,OFFSET(B4225,0,'Field labels'!$Q$1))</f>
        <v>Fotógrafos y operadores de equipos de grabación de imagen y sonido - 0211</v>
      </c>
      <c r="C4225" t="s">
        <v>8101</v>
      </c>
    </row>
    <row r="4226" spans="1:3">
      <c r="A4226" t="s">
        <v>8357</v>
      </c>
      <c r="B4226" t="str">
        <f ca="1">IF(ISBLANK(OFFSET(B4226,0,'Field labels'!$Q$1)),C4226,OFFSET(B4226,0,'Field labels'!$Q$1))</f>
        <v>Funcionarios de servicios de expedición de licencias y permisos - 0262</v>
      </c>
      <c r="C4226" t="s">
        <v>8102</v>
      </c>
    </row>
    <row r="4227" spans="1:3">
      <c r="A4227" t="s">
        <v>8357</v>
      </c>
      <c r="B4227" t="str">
        <f ca="1">IF(ISBLANK(OFFSET(B4227,0,'Field labels'!$Q$1)),C4227,OFFSET(B4227,0,'Field labels'!$Q$1))</f>
        <v>Funcionarios de servicios de seguridad social - 0261</v>
      </c>
      <c r="C4227" t="s">
        <v>8103</v>
      </c>
    </row>
    <row r="4228" spans="1:3">
      <c r="A4228" t="s">
        <v>8357</v>
      </c>
      <c r="B4228" t="str">
        <f ca="1">IF(ISBLANK(OFFSET(B4228,0,'Field labels'!$Q$1)),C4228,OFFSET(B4228,0,'Field labels'!$Q$1))</f>
        <v>Funcionarios del fisco - 0260</v>
      </c>
      <c r="C4228" t="s">
        <v>8104</v>
      </c>
    </row>
    <row r="4229" spans="1:3">
      <c r="A4229" t="s">
        <v>8357</v>
      </c>
      <c r="B4229" t="str">
        <f ca="1">IF(ISBLANK(OFFSET(B4229,0,'Field labels'!$Q$1)),C4229,OFFSET(B4229,0,'Field labels'!$Q$1))</f>
        <v>Geólogos y geofísicos - 0147</v>
      </c>
      <c r="C4229" t="s">
        <v>8105</v>
      </c>
    </row>
    <row r="4230" spans="1:3">
      <c r="A4230" t="s">
        <v>8357</v>
      </c>
      <c r="B4230" t="str">
        <f ca="1">IF(ISBLANK(OFFSET(B4230,0,'Field labels'!$Q$1)),C4230,OFFSET(B4230,0,'Field labels'!$Q$1))</f>
        <v>Gerentes de comercios mayoristas y minoristas - 0138</v>
      </c>
      <c r="C4230" t="s">
        <v>8106</v>
      </c>
    </row>
    <row r="4231" spans="1:3">
      <c r="A4231" t="s">
        <v>8357</v>
      </c>
      <c r="B4231" t="str">
        <f ca="1">IF(ISBLANK(OFFSET(B4231,0,'Field labels'!$Q$1)),C4231,OFFSET(B4231,0,'Field labels'!$Q$1))</f>
        <v>Gerentes de empresa de agricultura, caza, silvicultura y pesca - 0135</v>
      </c>
      <c r="C4231" t="s">
        <v>8107</v>
      </c>
    </row>
    <row r="4232" spans="1:3">
      <c r="A4232" t="s">
        <v>8357</v>
      </c>
      <c r="B4232" t="str">
        <f ca="1">IF(ISBLANK(OFFSET(B4232,0,'Field labels'!$Q$1)),C4232,OFFSET(B4232,0,'Field labels'!$Q$1))</f>
        <v>Gerentes de empresas de construcción y obras públicas - 0137</v>
      </c>
      <c r="C4232" t="s">
        <v>8108</v>
      </c>
    </row>
    <row r="4233" spans="1:3">
      <c r="A4233" t="s">
        <v>8357</v>
      </c>
      <c r="B4233" t="str">
        <f ca="1">IF(ISBLANK(OFFSET(B4233,0,'Field labels'!$Q$1)),C4233,OFFSET(B4233,0,'Field labels'!$Q$1))</f>
        <v>Gerentes de empresas de intermediación y servicios a empresas - 0141</v>
      </c>
      <c r="C4233" t="s">
        <v>8109</v>
      </c>
    </row>
    <row r="4234" spans="1:3">
      <c r="A4234" t="s">
        <v>8357</v>
      </c>
      <c r="B4234" t="str">
        <f ca="1">IF(ISBLANK(OFFSET(B4234,0,'Field labels'!$Q$1)),C4234,OFFSET(B4234,0,'Field labels'!$Q$1))</f>
        <v>Gerentes de empresas de restauración y hostelería - 0139</v>
      </c>
      <c r="C4234" t="s">
        <v>8110</v>
      </c>
    </row>
    <row r="4235" spans="1:3">
      <c r="A4235" t="s">
        <v>8357</v>
      </c>
      <c r="B4235" t="str">
        <f ca="1">IF(ISBLANK(OFFSET(B4235,0,'Field labels'!$Q$1)),C4235,OFFSET(B4235,0,'Field labels'!$Q$1))</f>
        <v>Gerentes de empresas de servicios de cuidados personales, limpieza y servicios similares - 0142</v>
      </c>
      <c r="C4235" t="s">
        <v>8111</v>
      </c>
    </row>
    <row r="4236" spans="1:3">
      <c r="A4236" t="s">
        <v>8357</v>
      </c>
      <c r="B4236" t="str">
        <f ca="1">IF(ISBLANK(OFFSET(B4236,0,'Field labels'!$Q$1)),C4236,OFFSET(B4236,0,'Field labels'!$Q$1))</f>
        <v>Gerentes de empresas de transporte, almacenamiento y comunicaciones - 0140</v>
      </c>
      <c r="C4236" t="s">
        <v>8112</v>
      </c>
    </row>
    <row r="4237" spans="1:3">
      <c r="A4237" t="s">
        <v>8357</v>
      </c>
      <c r="B4237" t="str">
        <f ca="1">IF(ISBLANK(OFFSET(B4237,0,'Field labels'!$Q$1)),C4237,OFFSET(B4237,0,'Field labels'!$Q$1))</f>
        <v>Gerentes de empresas no clasificados bajo otros epígrafes - 0143</v>
      </c>
      <c r="C4237" t="s">
        <v>8113</v>
      </c>
    </row>
    <row r="4238" spans="1:3">
      <c r="A4238" t="s">
        <v>8357</v>
      </c>
      <c r="B4238" t="str">
        <f ca="1">IF(ISBLANK(OFFSET(B4238,0,'Field labels'!$Q$1)),C4238,OFFSET(B4238,0,'Field labels'!$Q$1))</f>
        <v>Gerentes de industrias manufactureras - 0136</v>
      </c>
      <c r="C4238" t="s">
        <v>8114</v>
      </c>
    </row>
    <row r="4239" spans="1:3">
      <c r="A4239" t="s">
        <v>8357</v>
      </c>
      <c r="B4239" t="str">
        <f ca="1">IF(ISBLANK(OFFSET(B4239,0,'Field labels'!$Q$1)),C4239,OFFSET(B4239,0,'Field labels'!$Q$1))</f>
        <v>Grabadores de imprenta y fotograbadores - 0383</v>
      </c>
      <c r="C4239" t="s">
        <v>8115</v>
      </c>
    </row>
    <row r="4240" spans="1:3">
      <c r="A4240" t="s">
        <v>8357</v>
      </c>
      <c r="B4240" t="str">
        <f ca="1">IF(ISBLANK(OFFSET(B4240,0,'Field labels'!$Q$1)),C4240,OFFSET(B4240,0,'Field labels'!$Q$1))</f>
        <v>Grabadores de vidrio - 0377</v>
      </c>
      <c r="C4240" t="s">
        <v>8116</v>
      </c>
    </row>
    <row r="4241" spans="1:3">
      <c r="A4241" t="s">
        <v>8357</v>
      </c>
      <c r="B4241" t="str">
        <f ca="1">IF(ISBLANK(OFFSET(B4241,0,'Field labels'!$Q$1)),C4241,OFFSET(B4241,0,'Field labels'!$Q$1))</f>
        <v>Guardafrenos, guardagujas y agentes de maniobras - 0465</v>
      </c>
      <c r="C4241" t="s">
        <v>8117</v>
      </c>
    </row>
    <row r="4242" spans="1:3">
      <c r="A4242" t="s">
        <v>8357</v>
      </c>
      <c r="B4242" t="str">
        <f ca="1">IF(ISBLANK(OFFSET(B4242,0,'Field labels'!$Q$1)),C4242,OFFSET(B4242,0,'Field labels'!$Q$1))</f>
        <v>Guardianes de prisión - 0313</v>
      </c>
      <c r="C4242" t="s">
        <v>8118</v>
      </c>
    </row>
    <row r="4243" spans="1:3">
      <c r="A4243" t="s">
        <v>8357</v>
      </c>
      <c r="B4243" t="str">
        <f ca="1">IF(ISBLANK(OFFSET(B4243,0,'Field labels'!$Q$1)),C4243,OFFSET(B4243,0,'Field labels'!$Q$1))</f>
        <v>Guías - 0297</v>
      </c>
      <c r="C4243" t="s">
        <v>8119</v>
      </c>
    </row>
    <row r="4244" spans="1:3">
      <c r="A4244" t="s">
        <v>8357</v>
      </c>
      <c r="B4244" t="str">
        <f ca="1">IF(ISBLANK(OFFSET(B4244,0,'Field labels'!$Q$1)),C4244,OFFSET(B4244,0,'Field labels'!$Q$1))</f>
        <v>Herramentistas y afines - 0360</v>
      </c>
      <c r="C4244" t="s">
        <v>8120</v>
      </c>
    </row>
    <row r="4245" spans="1:3">
      <c r="A4245" t="s">
        <v>8357</v>
      </c>
      <c r="B4245" t="str">
        <f ca="1">IF(ISBLANK(OFFSET(B4245,0,'Field labels'!$Q$1)),C4245,OFFSET(B4245,0,'Field labels'!$Q$1))</f>
        <v>Herreros y forjadores - 0359</v>
      </c>
      <c r="C4245" t="s">
        <v>8121</v>
      </c>
    </row>
    <row r="4246" spans="1:3">
      <c r="A4246" t="s">
        <v>8357</v>
      </c>
      <c r="B4246" t="str">
        <f ca="1">IF(ISBLANK(OFFSET(B4246,0,'Field labels'!$Q$1)),C4246,OFFSET(B4246,0,'Field labels'!$Q$1))</f>
        <v>Higienistas y otro personal sanitario - 0226</v>
      </c>
      <c r="C4246" t="s">
        <v>8122</v>
      </c>
    </row>
    <row r="4247" spans="1:3">
      <c r="A4247" t="s">
        <v>8357</v>
      </c>
      <c r="B4247" t="str">
        <f ca="1">IF(ISBLANK(OFFSET(B4247,0,'Field labels'!$Q$1)),C4247,OFFSET(B4247,0,'Field labels'!$Q$1))</f>
        <v>Impresores de serigrafía y estampadores, plancha y en textiles - 0386</v>
      </c>
      <c r="C4247" t="s">
        <v>8123</v>
      </c>
    </row>
    <row r="4248" spans="1:3">
      <c r="A4248" t="s">
        <v>8357</v>
      </c>
      <c r="B4248" t="str">
        <f ca="1">IF(ISBLANK(OFFSET(B4248,0,'Field labels'!$Q$1)),C4248,OFFSET(B4248,0,'Field labels'!$Q$1))</f>
        <v>Ingenieros civiles - 0154</v>
      </c>
      <c r="C4248" t="s">
        <v>8124</v>
      </c>
    </row>
    <row r="4249" spans="1:3">
      <c r="A4249" t="s">
        <v>8357</v>
      </c>
      <c r="B4249" t="str">
        <f ca="1">IF(ISBLANK(OFFSET(B4249,0,'Field labels'!$Q$1)),C4249,OFFSET(B4249,0,'Field labels'!$Q$1))</f>
        <v>Ingenieros de minas y metalúrgicos y afines - 0159</v>
      </c>
      <c r="C4249" t="s">
        <v>8125</v>
      </c>
    </row>
    <row r="4250" spans="1:3">
      <c r="A4250" t="s">
        <v>8357</v>
      </c>
      <c r="B4250" t="str">
        <f ca="1">IF(ISBLANK(OFFSET(B4250,0,'Field labels'!$Q$1)),C4250,OFFSET(B4250,0,'Field labels'!$Q$1))</f>
        <v>Ingenieros electricistas - 0155</v>
      </c>
      <c r="C4250" t="s">
        <v>8126</v>
      </c>
    </row>
    <row r="4251" spans="1:3">
      <c r="A4251" t="s">
        <v>8357</v>
      </c>
      <c r="B4251" t="str">
        <f ca="1">IF(ISBLANK(OFFSET(B4251,0,'Field labels'!$Q$1)),C4251,OFFSET(B4251,0,'Field labels'!$Q$1))</f>
        <v>Ingenieros electronicistas y de telecomunicaciones - 0156</v>
      </c>
      <c r="C4251" t="s">
        <v>8127</v>
      </c>
    </row>
    <row r="4252" spans="1:3">
      <c r="A4252" t="s">
        <v>8357</v>
      </c>
      <c r="B4252" t="str">
        <f ca="1">IF(ISBLANK(OFFSET(B4252,0,'Field labels'!$Q$1)),C4252,OFFSET(B4252,0,'Field labels'!$Q$1))</f>
        <v>Ingenieros mecánicos - 0157</v>
      </c>
      <c r="C4252" t="s">
        <v>8128</v>
      </c>
    </row>
    <row r="4253" spans="1:3">
      <c r="A4253" t="s">
        <v>8357</v>
      </c>
      <c r="B4253" t="str">
        <f ca="1">IF(ISBLANK(OFFSET(B4253,0,'Field labels'!$Q$1)),C4253,OFFSET(B4253,0,'Field labels'!$Q$1))</f>
        <v>Ingenieros Químicos - 0158</v>
      </c>
      <c r="C4253" t="s">
        <v>8129</v>
      </c>
    </row>
    <row r="4254" spans="1:3">
      <c r="A4254" t="s">
        <v>8357</v>
      </c>
      <c r="B4254" t="str">
        <f ca="1">IF(ISBLANK(OFFSET(B4254,0,'Field labels'!$Q$1)),C4254,OFFSET(B4254,0,'Field labels'!$Q$1))</f>
        <v>Inspectores de edificios y de prevención e investigación de incendios - 0220</v>
      </c>
      <c r="C4254" t="s">
        <v>8130</v>
      </c>
    </row>
    <row r="4255" spans="1:3">
      <c r="A4255" t="s">
        <v>8357</v>
      </c>
      <c r="B4255" t="str">
        <f ca="1">IF(ISBLANK(OFFSET(B4255,0,'Field labels'!$Q$1)),C4255,OFFSET(B4255,0,'Field labels'!$Q$1))</f>
        <v>Inspectores de la enseñanza - 0177</v>
      </c>
      <c r="C4255" t="s">
        <v>8131</v>
      </c>
    </row>
    <row r="4256" spans="1:3">
      <c r="A4256" t="s">
        <v>8357</v>
      </c>
      <c r="B4256" t="str">
        <f ca="1">IF(ISBLANK(OFFSET(B4256,0,'Field labels'!$Q$1)),C4256,OFFSET(B4256,0,'Field labels'!$Q$1))</f>
        <v>Inspectores de policía y detectives - 0264</v>
      </c>
      <c r="C4256" t="s">
        <v>8132</v>
      </c>
    </row>
    <row r="4257" spans="1:3">
      <c r="A4257" t="s">
        <v>8357</v>
      </c>
      <c r="B4257" t="str">
        <f ca="1">IF(ISBLANK(OFFSET(B4257,0,'Field labels'!$Q$1)),C4257,OFFSET(B4257,0,'Field labels'!$Q$1))</f>
        <v>Inspectores de seguridad y salud y control de calidad - 0221</v>
      </c>
      <c r="C4257" t="s">
        <v>8133</v>
      </c>
    </row>
    <row r="4258" spans="1:3">
      <c r="A4258" t="s">
        <v>8357</v>
      </c>
      <c r="B4258" t="str">
        <f ca="1">IF(ISBLANK(OFFSET(B4258,0,'Field labels'!$Q$1)),C4258,OFFSET(B4258,0,'Field labels'!$Q$1))</f>
        <v>Instaladores de material aislante y de insonorización - 0346</v>
      </c>
      <c r="C4258" t="s">
        <v>8134</v>
      </c>
    </row>
    <row r="4259" spans="1:3">
      <c r="A4259" t="s">
        <v>8357</v>
      </c>
      <c r="B4259" t="str">
        <f ca="1">IF(ISBLANK(OFFSET(B4259,0,'Field labels'!$Q$1)),C4259,OFFSET(B4259,0,'Field labels'!$Q$1))</f>
        <v>Instaladores y reparadores de líneas eléctricas - 0370</v>
      </c>
      <c r="C4259" t="s">
        <v>8135</v>
      </c>
    </row>
    <row r="4260" spans="1:3">
      <c r="A4260" t="s">
        <v>8357</v>
      </c>
      <c r="B4260" t="str">
        <f ca="1">IF(ISBLANK(OFFSET(B4260,0,'Field labels'!$Q$1)),C4260,OFFSET(B4260,0,'Field labels'!$Q$1))</f>
        <v>Instaladores y reparadores de telégrafos y teléfonos - 0369</v>
      </c>
      <c r="C4260" t="s">
        <v>8136</v>
      </c>
    </row>
    <row r="4261" spans="1:3">
      <c r="A4261" t="s">
        <v>8357</v>
      </c>
      <c r="B4261" t="str">
        <f ca="1">IF(ISBLANK(OFFSET(B4261,0,'Field labels'!$Q$1)),C4261,OFFSET(B4261,0,'Field labels'!$Q$1))</f>
        <v>Jefes de pequeñas poblaciones - 0113</v>
      </c>
      <c r="C4261" t="s">
        <v>8137</v>
      </c>
    </row>
    <row r="4262" spans="1:3">
      <c r="A4262" t="s">
        <v>8357</v>
      </c>
      <c r="B4262" t="str">
        <f ca="1">IF(ISBLANK(OFFSET(B4262,0,'Field labels'!$Q$1)),C4262,OFFSET(B4262,0,'Field labels'!$Q$1))</f>
        <v>Joyeros, orfebres y plateros - 0374</v>
      </c>
      <c r="C4262" t="s">
        <v>8138</v>
      </c>
    </row>
    <row r="4263" spans="1:3">
      <c r="A4263" t="s">
        <v>8357</v>
      </c>
      <c r="B4263" t="str">
        <f ca="1">IF(ISBLANK(OFFSET(B4263,0,'Field labels'!$Q$1)),C4263,OFFSET(B4263,0,'Field labels'!$Q$1))</f>
        <v>Jueces - 0183</v>
      </c>
      <c r="C4263" t="s">
        <v>8139</v>
      </c>
    </row>
    <row r="4264" spans="1:3">
      <c r="A4264" t="s">
        <v>8357</v>
      </c>
      <c r="B4264" t="str">
        <f ca="1">IF(ISBLANK(OFFSET(B4264,0,'Field labels'!$Q$1)),C4264,OFFSET(B4264,0,'Field labels'!$Q$1))</f>
        <v>Lavadores de vehículos, ventanas y afines - 0483</v>
      </c>
      <c r="C4264" t="s">
        <v>8140</v>
      </c>
    </row>
    <row r="4265" spans="1:3">
      <c r="A4265" t="s">
        <v>8357</v>
      </c>
      <c r="B4265" t="str">
        <f ca="1">IF(ISBLANK(OFFSET(B4265,0,'Field labels'!$Q$1)),C4265,OFFSET(B4265,0,'Field labels'!$Q$1))</f>
        <v>Lavanderos y planchadores manuales - 0481</v>
      </c>
      <c r="C4265" t="s">
        <v>8141</v>
      </c>
    </row>
    <row r="4266" spans="1:3">
      <c r="A4266" t="s">
        <v>8357</v>
      </c>
      <c r="B4266" t="str">
        <f ca="1">IF(ISBLANK(OFFSET(B4266,0,'Field labels'!$Q$1)),C4266,OFFSET(B4266,0,'Field labels'!$Q$1))</f>
        <v>Limpiabotas y otros trabajadores callejeros - 0478</v>
      </c>
      <c r="C4266" t="s">
        <v>8142</v>
      </c>
    </row>
    <row r="4267" spans="1:3">
      <c r="A4267" t="s">
        <v>8357</v>
      </c>
      <c r="B4267" t="str">
        <f ca="1">IF(ISBLANK(OFFSET(B4267,0,'Field labels'!$Q$1)),C4267,OFFSET(B4267,0,'Field labels'!$Q$1))</f>
        <v>Limpiadores de fachadas y deshollinadores - 0352</v>
      </c>
      <c r="C4267" t="s">
        <v>8143</v>
      </c>
    </row>
    <row r="4268" spans="1:3">
      <c r="A4268" t="s">
        <v>8357</v>
      </c>
      <c r="B4268" t="str">
        <f ca="1">IF(ISBLANK(OFFSET(B4268,0,'Field labels'!$Q$1)),C4268,OFFSET(B4268,0,'Field labels'!$Q$1))</f>
        <v>Limpiadores de oficinas, hoteles y otros establecimientos - 0480</v>
      </c>
      <c r="C4268" t="s">
        <v>8144</v>
      </c>
    </row>
    <row r="4269" spans="1:3">
      <c r="A4269" t="s">
        <v>8357</v>
      </c>
      <c r="B4269" t="str">
        <f ca="1">IF(ISBLANK(OFFSET(B4269,0,'Field labels'!$Q$1)),C4269,OFFSET(B4269,0,'Field labels'!$Q$1))</f>
        <v>Locutores de radio y televisión y afines - 0267</v>
      </c>
      <c r="C4269" t="s">
        <v>8145</v>
      </c>
    </row>
    <row r="4270" spans="1:3">
      <c r="A4270" t="s">
        <v>8357</v>
      </c>
      <c r="B4270" t="str">
        <f ca="1">IF(ISBLANK(OFFSET(B4270,0,'Field labels'!$Q$1)),C4270,OFFSET(B4270,0,'Field labels'!$Q$1))</f>
        <v>Maestros de nivel medio de la enseñanza especial - 0240</v>
      </c>
      <c r="C4270" t="s">
        <v>8146</v>
      </c>
    </row>
    <row r="4271" spans="1:3">
      <c r="A4271" t="s">
        <v>8357</v>
      </c>
      <c r="B4271" t="str">
        <f ca="1">IF(ISBLANK(OFFSET(B4271,0,'Field labels'!$Q$1)),C4271,OFFSET(B4271,0,'Field labels'!$Q$1))</f>
        <v>Maestros de nivel medio de la enseñanza preescolar - 0239</v>
      </c>
      <c r="C4271" t="s">
        <v>8147</v>
      </c>
    </row>
    <row r="4272" spans="1:3">
      <c r="A4272" t="s">
        <v>8357</v>
      </c>
      <c r="B4272" t="str">
        <f ca="1">IF(ISBLANK(OFFSET(B4272,0,'Field labels'!$Q$1)),C4272,OFFSET(B4272,0,'Field labels'!$Q$1))</f>
        <v>Maestros de nivel medio de la enseñanza primaria - 0238</v>
      </c>
      <c r="C4272" t="s">
        <v>8148</v>
      </c>
    </row>
    <row r="4273" spans="1:3">
      <c r="A4273" t="s">
        <v>8357</v>
      </c>
      <c r="B4273" t="str">
        <f ca="1">IF(ISBLANK(OFFSET(B4273,0,'Field labels'!$Q$1)),C4273,OFFSET(B4273,0,'Field labels'!$Q$1))</f>
        <v>Maestros de nivel superior de la enseñanza preescolar - 0174</v>
      </c>
      <c r="C4273" t="s">
        <v>8149</v>
      </c>
    </row>
    <row r="4274" spans="1:3">
      <c r="A4274" t="s">
        <v>8357</v>
      </c>
      <c r="B4274" t="str">
        <f ca="1">IF(ISBLANK(OFFSET(B4274,0,'Field labels'!$Q$1)),C4274,OFFSET(B4274,0,'Field labels'!$Q$1))</f>
        <v>Maestros de nivel superior de la enseñanza primaria - 0173</v>
      </c>
      <c r="C4274" t="s">
        <v>8150</v>
      </c>
    </row>
    <row r="4275" spans="1:3">
      <c r="A4275" t="s">
        <v>8357</v>
      </c>
      <c r="B4275" t="str">
        <f ca="1">IF(ISBLANK(OFFSET(B4275,0,'Field labels'!$Q$1)),C4275,OFFSET(B4275,0,'Field labels'!$Q$1))</f>
        <v>Maestros e instructores de nivel superior de la enseñanza especial - 0175</v>
      </c>
      <c r="C4275" t="s">
        <v>8151</v>
      </c>
    </row>
    <row r="4276" spans="1:3">
      <c r="A4276" t="s">
        <v>8357</v>
      </c>
      <c r="B4276" t="str">
        <f ca="1">IF(ISBLANK(OFFSET(B4276,0,'Field labels'!$Q$1)),C4276,OFFSET(B4276,0,'Field labels'!$Q$1))</f>
        <v>Maquinista de locomotoras - 0464</v>
      </c>
      <c r="C4276" t="s">
        <v>8152</v>
      </c>
    </row>
    <row r="4277" spans="1:3">
      <c r="A4277" t="s">
        <v>8357</v>
      </c>
      <c r="B4277" t="str">
        <f ca="1">IF(ISBLANK(OFFSET(B4277,0,'Field labels'!$Q$1)),C4277,OFFSET(B4277,0,'Field labels'!$Q$1))</f>
        <v>Marineros de cubierta y afines - 0474</v>
      </c>
      <c r="C4277" t="s">
        <v>8153</v>
      </c>
    </row>
    <row r="4278" spans="1:3">
      <c r="A4278" t="s">
        <v>8357</v>
      </c>
      <c r="B4278" t="str">
        <f ca="1">IF(ISBLANK(OFFSET(B4278,0,'Field labels'!$Q$1)),C4278,OFFSET(B4278,0,'Field labels'!$Q$1))</f>
        <v>Matemáticos y afines - 0148</v>
      </c>
      <c r="C4278" t="s">
        <v>8154</v>
      </c>
    </row>
    <row r="4279" spans="1:3">
      <c r="A4279" t="s">
        <v>8357</v>
      </c>
      <c r="B4279" t="str">
        <f ca="1">IF(ISBLANK(OFFSET(B4279,0,'Field labels'!$Q$1)),C4279,OFFSET(B4279,0,'Field labels'!$Q$1))</f>
        <v>Mecánicos y ajustadores de máquinas agrícolas e industriales - 0365</v>
      </c>
      <c r="C4279" t="s">
        <v>8155</v>
      </c>
    </row>
    <row r="4280" spans="1:3">
      <c r="A4280" t="s">
        <v>8357</v>
      </c>
      <c r="B4280" t="str">
        <f ca="1">IF(ISBLANK(OFFSET(B4280,0,'Field labels'!$Q$1)),C4280,OFFSET(B4280,0,'Field labels'!$Q$1))</f>
        <v>Mecánicos y ajustadores de motores de avión - 0364</v>
      </c>
      <c r="C4280" t="s">
        <v>8156</v>
      </c>
    </row>
    <row r="4281" spans="1:3">
      <c r="A4281" t="s">
        <v>8357</v>
      </c>
      <c r="B4281" t="str">
        <f ca="1">IF(ISBLANK(OFFSET(B4281,0,'Field labels'!$Q$1)),C4281,OFFSET(B4281,0,'Field labels'!$Q$1))</f>
        <v>Mecánicos y ajustadores de vehículos de motor - 0363</v>
      </c>
      <c r="C4281" t="s">
        <v>8157</v>
      </c>
    </row>
    <row r="4282" spans="1:3">
      <c r="A4282" t="s">
        <v>8357</v>
      </c>
      <c r="B4282" t="str">
        <f ca="1">IF(ISBLANK(OFFSET(B4282,0,'Field labels'!$Q$1)),C4282,OFFSET(B4282,0,'Field labels'!$Q$1))</f>
        <v>Mecánicos y ajustadores electricistas - 0366</v>
      </c>
      <c r="C4282" t="s">
        <v>8158</v>
      </c>
    </row>
    <row r="4283" spans="1:3">
      <c r="A4283" t="s">
        <v>8357</v>
      </c>
      <c r="B4283" t="str">
        <f ca="1">IF(ISBLANK(OFFSET(B4283,0,'Field labels'!$Q$1)),C4283,OFFSET(B4283,0,'Field labels'!$Q$1))</f>
        <v>Mecánicos y reparadores de aparatos electrónicos - 0368</v>
      </c>
      <c r="C4283" t="s">
        <v>8159</v>
      </c>
    </row>
    <row r="4284" spans="1:3">
      <c r="A4284" t="s">
        <v>8357</v>
      </c>
      <c r="B4284" t="str">
        <f ca="1">IF(ISBLANK(OFFSET(B4284,0,'Field labels'!$Q$1)),C4284,OFFSET(B4284,0,'Field labels'!$Q$1))</f>
        <v>Mecánicos y reparadores de instrumentos de precisión - 0372</v>
      </c>
      <c r="C4284" t="s">
        <v>8160</v>
      </c>
    </row>
    <row r="4285" spans="1:3">
      <c r="A4285" t="s">
        <v>8357</v>
      </c>
      <c r="B4285" t="str">
        <f ca="1">IF(ISBLANK(OFFSET(B4285,0,'Field labels'!$Q$1)),C4285,OFFSET(B4285,0,'Field labels'!$Q$1))</f>
        <v>Médicos - 0165</v>
      </c>
      <c r="C4285" t="s">
        <v>8161</v>
      </c>
    </row>
    <row r="4286" spans="1:3">
      <c r="A4286" t="s">
        <v>8357</v>
      </c>
      <c r="B4286" t="str">
        <f ca="1">IF(ISBLANK(OFFSET(B4286,0,'Field labels'!$Q$1)),C4286,OFFSET(B4286,0,'Field labels'!$Q$1))</f>
        <v>Médicos y profesionales afines (excepto el personal de enfermería y partería) no clasificados bajo otros epígrafes - 0169</v>
      </c>
      <c r="C4286" t="s">
        <v>8162</v>
      </c>
    </row>
    <row r="4287" spans="1:3">
      <c r="A4287" t="s">
        <v>8357</v>
      </c>
      <c r="B4287" t="str">
        <f ca="1">IF(ISBLANK(OFFSET(B4287,0,'Field labels'!$Q$1)),C4287,OFFSET(B4287,0,'Field labels'!$Q$1))</f>
        <v>Mensajeros, porteadores y repartidores - 0484</v>
      </c>
      <c r="C4287" t="s">
        <v>8163</v>
      </c>
    </row>
    <row r="4288" spans="1:3">
      <c r="A4288" t="s">
        <v>8357</v>
      </c>
      <c r="B4288" t="str">
        <f ca="1">IF(ISBLANK(OFFSET(B4288,0,'Field labels'!$Q$1)),C4288,OFFSET(B4288,0,'Field labels'!$Q$1))</f>
        <v>Meteorólogos - 0145</v>
      </c>
      <c r="C4288" t="s">
        <v>8164</v>
      </c>
    </row>
    <row r="4289" spans="1:3">
      <c r="A4289" t="s">
        <v>8357</v>
      </c>
      <c r="B4289" t="str">
        <f ca="1">IF(ISBLANK(OFFSET(B4289,0,'Field labels'!$Q$1)),C4289,OFFSET(B4289,0,'Field labels'!$Q$1))</f>
        <v>Miembros de las fuerzas armadas - 0110</v>
      </c>
      <c r="C4289" t="s">
        <v>8165</v>
      </c>
    </row>
    <row r="4290" spans="1:3">
      <c r="A4290" t="s">
        <v>8357</v>
      </c>
      <c r="B4290" t="str">
        <f ca="1">IF(ISBLANK(OFFSET(B4290,0,'Field labels'!$Q$1)),C4290,OFFSET(B4290,0,'Field labels'!$Q$1))</f>
        <v>Miembros del poder ejecutivo y de los cuerpos legislativos - 0111</v>
      </c>
      <c r="C4290" t="s">
        <v>8166</v>
      </c>
    </row>
    <row r="4291" spans="1:3">
      <c r="A4291" t="s">
        <v>8357</v>
      </c>
      <c r="B4291" t="str">
        <f ca="1">IF(ISBLANK(OFFSET(B4291,0,'Field labels'!$Q$1)),C4291,OFFSET(B4291,0,'Field labels'!$Q$1))</f>
        <v>Mineros y canteros - 0335</v>
      </c>
      <c r="C4291" t="s">
        <v>8167</v>
      </c>
    </row>
    <row r="4292" spans="1:3">
      <c r="A4292" t="s">
        <v>8357</v>
      </c>
      <c r="B4292" t="str">
        <f ca="1">IF(ISBLANK(OFFSET(B4292,0,'Field labels'!$Q$1)),C4292,OFFSET(B4292,0,'Field labels'!$Q$1))</f>
        <v>Modelos de modas, arte y publicidad - 0315</v>
      </c>
      <c r="C4292" t="s">
        <v>8168</v>
      </c>
    </row>
    <row r="4293" spans="1:3">
      <c r="A4293" t="s">
        <v>8357</v>
      </c>
      <c r="B4293" t="str">
        <f ca="1">IF(ISBLANK(OFFSET(B4293,0,'Field labels'!$Q$1)),C4293,OFFSET(B4293,0,'Field labels'!$Q$1))</f>
        <v>Moldeadores y macheros - 0353</v>
      </c>
      <c r="C4293" t="s">
        <v>8169</v>
      </c>
    </row>
    <row r="4294" spans="1:3">
      <c r="A4294" t="s">
        <v>8357</v>
      </c>
      <c r="B4294" t="str">
        <f ca="1">IF(ISBLANK(OFFSET(B4294,0,'Field labels'!$Q$1)),C4294,OFFSET(B4294,0,'Field labels'!$Q$1))</f>
        <v>Montadores de equipos eléctricos - 0458</v>
      </c>
      <c r="C4294" t="s">
        <v>8170</v>
      </c>
    </row>
    <row r="4295" spans="1:3">
      <c r="A4295" t="s">
        <v>8357</v>
      </c>
      <c r="B4295" t="str">
        <f ca="1">IF(ISBLANK(OFFSET(B4295,0,'Field labels'!$Q$1)),C4295,OFFSET(B4295,0,'Field labels'!$Q$1))</f>
        <v>Montadores de equipos electrónicos - 0459</v>
      </c>
      <c r="C4295" t="s">
        <v>8171</v>
      </c>
    </row>
    <row r="4296" spans="1:3">
      <c r="A4296" t="s">
        <v>8357</v>
      </c>
      <c r="B4296" t="str">
        <f ca="1">IF(ISBLANK(OFFSET(B4296,0,'Field labels'!$Q$1)),C4296,OFFSET(B4296,0,'Field labels'!$Q$1))</f>
        <v>Montadores de estructuras metálicas - 0356</v>
      </c>
      <c r="C4296" t="s">
        <v>8172</v>
      </c>
    </row>
    <row r="4297" spans="1:3">
      <c r="A4297" t="s">
        <v>8357</v>
      </c>
      <c r="B4297" t="str">
        <f ca="1">IF(ISBLANK(OFFSET(B4297,0,'Field labels'!$Q$1)),C4297,OFFSET(B4297,0,'Field labels'!$Q$1))</f>
        <v>Montadores de mecanismos y elementos mecánicos de máquinas - 0457</v>
      </c>
      <c r="C4297" t="s">
        <v>8173</v>
      </c>
    </row>
    <row r="4298" spans="1:3">
      <c r="A4298" t="s">
        <v>8357</v>
      </c>
      <c r="B4298" t="str">
        <f ca="1">IF(ISBLANK(OFFSET(B4298,0,'Field labels'!$Q$1)),C4298,OFFSET(B4298,0,'Field labels'!$Q$1))</f>
        <v>Montadores de productos de cartón, textiles y materiales afines - 0462</v>
      </c>
      <c r="C4298" t="s">
        <v>8174</v>
      </c>
    </row>
    <row r="4299" spans="1:3">
      <c r="A4299" t="s">
        <v>8357</v>
      </c>
      <c r="B4299" t="str">
        <f ca="1">IF(ISBLANK(OFFSET(B4299,0,'Field labels'!$Q$1)),C4299,OFFSET(B4299,0,'Field labels'!$Q$1))</f>
        <v>Montadores de productos de madera y de materiales afines - 0461</v>
      </c>
      <c r="C4299" t="s">
        <v>8175</v>
      </c>
    </row>
    <row r="4300" spans="1:3">
      <c r="A4300" t="s">
        <v>8357</v>
      </c>
      <c r="B4300" t="str">
        <f ca="1">IF(ISBLANK(OFFSET(B4300,0,'Field labels'!$Q$1)),C4300,OFFSET(B4300,0,'Field labels'!$Q$1))</f>
        <v>Montadores de productos metálicos, de caucho y de material plástico - 0460</v>
      </c>
      <c r="C4300" t="s">
        <v>8176</v>
      </c>
    </row>
    <row r="4301" spans="1:3">
      <c r="A4301" t="s">
        <v>8357</v>
      </c>
      <c r="B4301" t="str">
        <f ca="1">IF(ISBLANK(OFFSET(B4301,0,'Field labels'!$Q$1)),C4301,OFFSET(B4301,0,'Field labels'!$Q$1))</f>
        <v>Mozos de labranza y peones agropecuarios - 0489</v>
      </c>
      <c r="C4301" t="s">
        <v>8177</v>
      </c>
    </row>
    <row r="4302" spans="1:3">
      <c r="A4302" t="s">
        <v>8357</v>
      </c>
      <c r="B4302" t="str">
        <f ca="1">IF(ISBLANK(OFFSET(B4302,0,'Field labels'!$Q$1)),C4302,OFFSET(B4302,0,'Field labels'!$Q$1))</f>
        <v>Músicos, cantantes y bailarines callejeros, de cabaret y afines - 0268</v>
      </c>
      <c r="C4302" t="s">
        <v>8178</v>
      </c>
    </row>
    <row r="4303" spans="1:3">
      <c r="A4303" t="s">
        <v>8357</v>
      </c>
      <c r="B4303" t="str">
        <f ca="1">IF(ISBLANK(OFFSET(B4303,0,'Field labels'!$Q$1)),C4303,OFFSET(B4303,0,'Field labels'!$Q$1))</f>
        <v>Niñeras y celadoras infantiles - 0301</v>
      </c>
      <c r="C4303" t="s">
        <v>8179</v>
      </c>
    </row>
    <row r="4304" spans="1:3">
      <c r="A4304" t="s">
        <v>8357</v>
      </c>
      <c r="B4304" t="str">
        <f ca="1">IF(ISBLANK(OFFSET(B4304,0,'Field labels'!$Q$1)),C4304,OFFSET(B4304,0,'Field labels'!$Q$1))</f>
        <v>Odontólogos - 0166</v>
      </c>
      <c r="C4304" t="s">
        <v>8180</v>
      </c>
    </row>
    <row r="4305" spans="1:3">
      <c r="A4305" t="s">
        <v>8357</v>
      </c>
      <c r="B4305" t="str">
        <f ca="1">IF(ISBLANK(OFFSET(B4305,0,'Field labels'!$Q$1)),C4305,OFFSET(B4305,0,'Field labels'!$Q$1))</f>
        <v>Oficiales maquinistas - 0215</v>
      </c>
      <c r="C4305" t="s">
        <v>8181</v>
      </c>
    </row>
    <row r="4306" spans="1:3">
      <c r="A4306" t="s">
        <v>8357</v>
      </c>
      <c r="B4306" t="str">
        <f ca="1">IF(ISBLANK(OFFSET(B4306,0,'Field labels'!$Q$1)),C4306,OFFSET(B4306,0,'Field labels'!$Q$1))</f>
        <v>Oficiales y operarios de la construcción (obra gruesa) y afines, no clasificados bajo otros epígrafes - 0342</v>
      </c>
      <c r="C4306" t="s">
        <v>8182</v>
      </c>
    </row>
    <row r="4307" spans="1:3">
      <c r="A4307" t="s">
        <v>8357</v>
      </c>
      <c r="B4307" t="str">
        <f ca="1">IF(ISBLANK(OFFSET(B4307,0,'Field labels'!$Q$1)),C4307,OFFSET(B4307,0,'Field labels'!$Q$1))</f>
        <v>Operadores de aparatos de diagnóstico y tratamiento médicos - 0213</v>
      </c>
      <c r="C4307" t="s">
        <v>8183</v>
      </c>
    </row>
    <row r="4308" spans="1:3">
      <c r="A4308" t="s">
        <v>8357</v>
      </c>
      <c r="B4308" t="str">
        <f ca="1">IF(ISBLANK(OFFSET(B4308,0,'Field labels'!$Q$1)),C4308,OFFSET(B4308,0,'Field labels'!$Q$1))</f>
        <v>Operadores de cadenas de montaje automatizadas - 0427</v>
      </c>
      <c r="C4308" t="s">
        <v>8184</v>
      </c>
    </row>
    <row r="4309" spans="1:3">
      <c r="A4309" t="s">
        <v>8357</v>
      </c>
      <c r="B4309" t="str">
        <f ca="1">IF(ISBLANK(OFFSET(B4309,0,'Field labels'!$Q$1)),C4309,OFFSET(B4309,0,'Field labels'!$Q$1))</f>
        <v>Operadores de calculadoras - 0275</v>
      </c>
      <c r="C4309" t="s">
        <v>8185</v>
      </c>
    </row>
    <row r="4310" spans="1:3">
      <c r="A4310" t="s">
        <v>8357</v>
      </c>
      <c r="B4310" t="str">
        <f ca="1">IF(ISBLANK(OFFSET(B4310,0,'Field labels'!$Q$1)),C4310,OFFSET(B4310,0,'Field labels'!$Q$1))</f>
        <v>Operadores de entrada de datos - 0274</v>
      </c>
      <c r="C4310" t="s">
        <v>8186</v>
      </c>
    </row>
    <row r="4311" spans="1:3">
      <c r="A4311" t="s">
        <v>8357</v>
      </c>
      <c r="B4311" t="str">
        <f ca="1">IF(ISBLANK(OFFSET(B4311,0,'Field labels'!$Q$1)),C4311,OFFSET(B4311,0,'Field labels'!$Q$1))</f>
        <v>Operadores de equipos de destilación y de reacción química (excepto petróleo y gas natural) - 0421</v>
      </c>
      <c r="C4311" t="s">
        <v>8187</v>
      </c>
    </row>
    <row r="4312" spans="1:3">
      <c r="A4312" t="s">
        <v>8357</v>
      </c>
      <c r="B4312" t="str">
        <f ca="1">IF(ISBLANK(OFFSET(B4312,0,'Field labels'!$Q$1)),C4312,OFFSET(B4312,0,'Field labels'!$Q$1))</f>
        <v>Operadores de equipos de filtración y separación de sustancias químicas - 0420</v>
      </c>
      <c r="C4312" t="s">
        <v>8188</v>
      </c>
    </row>
    <row r="4313" spans="1:3">
      <c r="A4313" t="s">
        <v>8357</v>
      </c>
      <c r="B4313" t="str">
        <f ca="1">IF(ISBLANK(OFFSET(B4313,0,'Field labels'!$Q$1)),C4313,OFFSET(B4313,0,'Field labels'!$Q$1))</f>
        <v>Operadores de equipos de radiodifusión, televisión y telecomunicaciones - 0212</v>
      </c>
      <c r="C4313" t="s">
        <v>8189</v>
      </c>
    </row>
    <row r="4314" spans="1:3">
      <c r="A4314" t="s">
        <v>8357</v>
      </c>
      <c r="B4314" t="str">
        <f ca="1">IF(ISBLANK(OFFSET(B4314,0,'Field labels'!$Q$1)),C4314,OFFSET(B4314,0,'Field labels'!$Q$1))</f>
        <v>Operadores de grúas, de aparatos elevadores y afines - 0472</v>
      </c>
      <c r="C4314" t="s">
        <v>8190</v>
      </c>
    </row>
    <row r="4315" spans="1:3">
      <c r="A4315" t="s">
        <v>8357</v>
      </c>
      <c r="B4315" t="str">
        <f ca="1">IF(ISBLANK(OFFSET(B4315,0,'Field labels'!$Q$1)),C4315,OFFSET(B4315,0,'Field labels'!$Q$1))</f>
        <v>Operadores de hornos de minerales y de hornos de primera fusión de metales - 0409</v>
      </c>
      <c r="C4315" t="s">
        <v>8191</v>
      </c>
    </row>
    <row r="4316" spans="1:3">
      <c r="A4316" t="s">
        <v>8357</v>
      </c>
      <c r="B4316" t="str">
        <f ca="1">IF(ISBLANK(OFFSET(B4316,0,'Field labels'!$Q$1)),C4316,OFFSET(B4316,0,'Field labels'!$Q$1))</f>
        <v>Operadores de hornos de segunda fusión, máquinas de colar y moldear metales y trenes de laminación - 0410</v>
      </c>
      <c r="C4316" t="s">
        <v>8192</v>
      </c>
    </row>
    <row r="4317" spans="1:3">
      <c r="A4317" t="s">
        <v>8357</v>
      </c>
      <c r="B4317" t="str">
        <f ca="1">IF(ISBLANK(OFFSET(B4317,0,'Field labels'!$Q$1)),C4317,OFFSET(B4317,0,'Field labels'!$Q$1))</f>
        <v>Operadores de hornos de vidriería y cerámica y operadores de máquinas afines - 0413</v>
      </c>
      <c r="C4317" t="s">
        <v>8193</v>
      </c>
    </row>
    <row r="4318" spans="1:3">
      <c r="A4318" t="s">
        <v>8357</v>
      </c>
      <c r="B4318" t="str">
        <f ca="1">IF(ISBLANK(OFFSET(B4318,0,'Field labels'!$Q$1)),C4318,OFFSET(B4318,0,'Field labels'!$Q$1))</f>
        <v>Operadores de incineradores, instalaciones de tratamiento de agua y afines - 0426</v>
      </c>
      <c r="C4318" t="s">
        <v>8194</v>
      </c>
    </row>
    <row r="4319" spans="1:3">
      <c r="A4319" t="s">
        <v>8357</v>
      </c>
      <c r="B4319" t="str">
        <f ca="1">IF(ISBLANK(OFFSET(B4319,0,'Field labels'!$Q$1)),C4319,OFFSET(B4319,0,'Field labels'!$Q$1))</f>
        <v>Operadores de instalaciones de procesamiento de la madera - 0415</v>
      </c>
      <c r="C4319" t="s">
        <v>8195</v>
      </c>
    </row>
    <row r="4320" spans="1:3">
      <c r="A4320" t="s">
        <v>8357</v>
      </c>
      <c r="B4320" t="str">
        <f ca="1">IF(ISBLANK(OFFSET(B4320,0,'Field labels'!$Q$1)),C4320,OFFSET(B4320,0,'Field labels'!$Q$1))</f>
        <v>Operadores de instalaciones de procesamiento de minerales y rocas - 0407</v>
      </c>
      <c r="C4320" t="s">
        <v>8196</v>
      </c>
    </row>
    <row r="4321" spans="1:3">
      <c r="A4321" t="s">
        <v>8357</v>
      </c>
      <c r="B4321" t="str">
        <f ca="1">IF(ISBLANK(OFFSET(B4321,0,'Field labels'!$Q$1)),C4321,OFFSET(B4321,0,'Field labels'!$Q$1))</f>
        <v>Operadores de instalaciones de producción de energía - 0424</v>
      </c>
      <c r="C4321" t="s">
        <v>8197</v>
      </c>
    </row>
    <row r="4322" spans="1:3">
      <c r="A4322" t="s">
        <v>8357</v>
      </c>
      <c r="B4322" t="str">
        <f ca="1">IF(ISBLANK(OFFSET(B4322,0,'Field labels'!$Q$1)),C4322,OFFSET(B4322,0,'Field labels'!$Q$1))</f>
        <v>Operadores de instalaciones de refinación de petróleo y gas natural - 0422</v>
      </c>
      <c r="C4322" t="s">
        <v>8198</v>
      </c>
    </row>
    <row r="4323" spans="1:3">
      <c r="A4323" t="s">
        <v>8357</v>
      </c>
      <c r="B4323" t="str">
        <f ca="1">IF(ISBLANK(OFFSET(B4323,0,'Field labels'!$Q$1)),C4323,OFFSET(B4323,0,'Field labels'!$Q$1))</f>
        <v>Operadores de instalaciones de tratamiento químico térmico - 0419</v>
      </c>
      <c r="C4323" t="s">
        <v>8199</v>
      </c>
    </row>
    <row r="4324" spans="1:3">
      <c r="A4324" t="s">
        <v>8357</v>
      </c>
      <c r="B4324" t="str">
        <f ca="1">IF(ISBLANK(OFFSET(B4324,0,'Field labels'!$Q$1)),C4324,OFFSET(B4324,0,'Field labels'!$Q$1))</f>
        <v>Operadores de instalaciones de tratamiento térmico de metales - 0411</v>
      </c>
      <c r="C4324" t="s">
        <v>8200</v>
      </c>
    </row>
    <row r="4325" spans="1:3">
      <c r="A4325" t="s">
        <v>8357</v>
      </c>
      <c r="B4325" t="str">
        <f ca="1">IF(ISBLANK(OFFSET(B4325,0,'Field labels'!$Q$1)),C4325,OFFSET(B4325,0,'Field labels'!$Q$1))</f>
        <v>Operadores de instalaciones de tratamientos químicos, no clasificados bajo otros epígrafes - 0423</v>
      </c>
      <c r="C4325" t="s">
        <v>8201</v>
      </c>
    </row>
    <row r="4326" spans="1:3">
      <c r="A4326" t="s">
        <v>8357</v>
      </c>
      <c r="B4326" t="str">
        <f ca="1">IF(ISBLANK(OFFSET(B4326,0,'Field labels'!$Q$1)),C4326,OFFSET(B4326,0,'Field labels'!$Q$1))</f>
        <v>operadores de instalaciones de vidriería, cerámica y afines, no clasificados bajo otros epígrafes - 0414</v>
      </c>
      <c r="C4326" t="s">
        <v>8202</v>
      </c>
    </row>
    <row r="4327" spans="1:3">
      <c r="A4327" t="s">
        <v>8357</v>
      </c>
      <c r="B4327" t="str">
        <f ca="1">IF(ISBLANK(OFFSET(B4327,0,'Field labels'!$Q$1)),C4327,OFFSET(B4327,0,'Field labels'!$Q$1))</f>
        <v>Operadores de instalaciones mineras - 0406</v>
      </c>
      <c r="C4327" t="s">
        <v>8203</v>
      </c>
    </row>
    <row r="4328" spans="1:3">
      <c r="A4328" t="s">
        <v>8357</v>
      </c>
      <c r="B4328" t="str">
        <f ca="1">IF(ISBLANK(OFFSET(B4328,0,'Field labels'!$Q$1)),C4328,OFFSET(B4328,0,'Field labels'!$Q$1))</f>
        <v>Operadores de instalaciones para la fabricación de papel - 0417</v>
      </c>
      <c r="C4328" t="s">
        <v>8204</v>
      </c>
    </row>
    <row r="4329" spans="1:3">
      <c r="A4329" t="s">
        <v>8357</v>
      </c>
      <c r="B4329" t="str">
        <f ca="1">IF(ISBLANK(OFFSET(B4329,0,'Field labels'!$Q$1)),C4329,OFFSET(B4329,0,'Field labels'!$Q$1))</f>
        <v>Operadores de instalaciones para la preparación de la pasta para papel - 0416</v>
      </c>
      <c r="C4329" t="s">
        <v>8205</v>
      </c>
    </row>
    <row r="4330" spans="1:3">
      <c r="A4330" t="s">
        <v>8357</v>
      </c>
      <c r="B4330" t="str">
        <f ca="1">IF(ISBLANK(OFFSET(B4330,0,'Field labels'!$Q$1)),C4330,OFFSET(B4330,0,'Field labels'!$Q$1))</f>
        <v>Operadores de instalaciones quebrantadoras, trituradoras y mezcladoras de sustancias químicas - 0418</v>
      </c>
      <c r="C4330" t="s">
        <v>8206</v>
      </c>
    </row>
    <row r="4331" spans="1:3">
      <c r="A4331" t="s">
        <v>8357</v>
      </c>
      <c r="B4331" t="str">
        <f ca="1">IF(ISBLANK(OFFSET(B4331,0,'Field labels'!$Q$1)),C4331,OFFSET(B4331,0,'Field labels'!$Q$1))</f>
        <v>Operadores de maquinaria agrícola y forestal motorizada - 0470</v>
      </c>
      <c r="C4331" t="s">
        <v>8207</v>
      </c>
    </row>
    <row r="4332" spans="1:3">
      <c r="A4332" t="s">
        <v>8357</v>
      </c>
      <c r="B4332" t="str">
        <f ca="1">IF(ISBLANK(OFFSET(B4332,0,'Field labels'!$Q$1)),C4332,OFFSET(B4332,0,'Field labels'!$Q$1))</f>
        <v>Operadores de maquinarias herramientas - 0429</v>
      </c>
      <c r="C4332" t="s">
        <v>8208</v>
      </c>
    </row>
    <row r="4333" spans="1:3">
      <c r="A4333" t="s">
        <v>8357</v>
      </c>
      <c r="B4333" t="str">
        <f ca="1">IF(ISBLANK(OFFSET(B4333,0,'Field labels'!$Q$1)),C4333,OFFSET(B4333,0,'Field labels'!$Q$1))</f>
        <v>Operadores de máquinas de blanqueo, teñido y tintura - 0445</v>
      </c>
      <c r="C4333" t="s">
        <v>8209</v>
      </c>
    </row>
    <row r="4334" spans="1:3">
      <c r="A4334" t="s">
        <v>8357</v>
      </c>
      <c r="B4334" t="str">
        <f ca="1">IF(ISBLANK(OFFSET(B4334,0,'Field labels'!$Q$1)),C4334,OFFSET(B4334,0,'Field labels'!$Q$1))</f>
        <v>Operadores de máquinas de encuadernación - 0440</v>
      </c>
      <c r="C4334" t="s">
        <v>8210</v>
      </c>
    </row>
    <row r="4335" spans="1:3">
      <c r="A4335" t="s">
        <v>8357</v>
      </c>
      <c r="B4335" t="str">
        <f ca="1">IF(ISBLANK(OFFSET(B4335,0,'Field labels'!$Q$1)),C4335,OFFSET(B4335,0,'Field labels'!$Q$1))</f>
        <v>Operadores de máquinas de imprenta - 0439</v>
      </c>
      <c r="C4335" t="s">
        <v>8211</v>
      </c>
    </row>
    <row r="4336" spans="1:3">
      <c r="A4336" t="s">
        <v>8357</v>
      </c>
      <c r="B4336" t="str">
        <f ca="1">IF(ISBLANK(OFFSET(B4336,0,'Field labels'!$Q$1)),C4336,OFFSET(B4336,0,'Field labels'!$Q$1))</f>
        <v>Operadores de máquinas de movimientos de tierras y afines - 0471</v>
      </c>
      <c r="C4336" t="s">
        <v>8212</v>
      </c>
    </row>
    <row r="4337" spans="1:3">
      <c r="A4337" t="s">
        <v>8357</v>
      </c>
      <c r="B4337" t="str">
        <f ca="1">IF(ISBLANK(OFFSET(B4337,0,'Field labels'!$Q$1)),C4337,OFFSET(B4337,0,'Field labels'!$Q$1))</f>
        <v>Operadores de máquinas de preparación de fibras, hilado y devanado - 0442</v>
      </c>
      <c r="C4337" t="s">
        <v>8213</v>
      </c>
    </row>
    <row r="4338" spans="1:3">
      <c r="A4338" t="s">
        <v>8357</v>
      </c>
      <c r="B4338" t="str">
        <f ca="1">IF(ISBLANK(OFFSET(B4338,0,'Field labels'!$Q$1)),C4338,OFFSET(B4338,0,'Field labels'!$Q$1))</f>
        <v>Operadores de máquinas de tratamiento de pieles y cueros - 0446</v>
      </c>
      <c r="C4338" t="s">
        <v>8214</v>
      </c>
    </row>
    <row r="4339" spans="1:3">
      <c r="A4339" t="s">
        <v>8357</v>
      </c>
      <c r="B4339" t="str">
        <f ca="1">IF(ISBLANK(OFFSET(B4339,0,'Field labels'!$Q$1)),C4339,OFFSET(B4339,0,'Field labels'!$Q$1))</f>
        <v>Operadores de máquinas de tratamiento de textos y afines - 0273</v>
      </c>
      <c r="C4339" t="s">
        <v>8215</v>
      </c>
    </row>
    <row r="4340" spans="1:3">
      <c r="A4340" t="s">
        <v>8357</v>
      </c>
      <c r="B4340" t="str">
        <f ca="1">IF(ISBLANK(OFFSET(B4340,0,'Field labels'!$Q$1)),C4340,OFFSET(B4340,0,'Field labels'!$Q$1))</f>
        <v>Operadores de máquinas de vapor y calderas - 0425</v>
      </c>
      <c r="C4340" t="s">
        <v>8216</v>
      </c>
    </row>
    <row r="4341" spans="1:3">
      <c r="A4341" t="s">
        <v>8357</v>
      </c>
      <c r="B4341" t="str">
        <f ca="1">IF(ISBLANK(OFFSET(B4341,0,'Field labels'!$Q$1)),C4341,OFFSET(B4341,0,'Field labels'!$Q$1))</f>
        <v>Operadores de máquinas para coser - 0444</v>
      </c>
      <c r="C4341" t="s">
        <v>8217</v>
      </c>
    </row>
    <row r="4342" spans="1:3">
      <c r="A4342" t="s">
        <v>8357</v>
      </c>
      <c r="B4342" t="str">
        <f ca="1">IF(ISBLANK(OFFSET(B4342,0,'Field labels'!$Q$1)),C4342,OFFSET(B4342,0,'Field labels'!$Q$1))</f>
        <v>Operadores de máquinas para elaborar carne de pescado y mariscos - 0449</v>
      </c>
      <c r="C4342" t="s">
        <v>8218</v>
      </c>
    </row>
    <row r="4343" spans="1:3">
      <c r="A4343" t="s">
        <v>8357</v>
      </c>
      <c r="B4343" t="str">
        <f ca="1">IF(ISBLANK(OFFSET(B4343,0,'Field labels'!$Q$1)),C4343,OFFSET(B4343,0,'Field labels'!$Q$1))</f>
        <v>Operadores de máquinas para elaborar cereales, productos de panadería, repostería y artículos de chocolate - 0451</v>
      </c>
      <c r="C4343" t="s">
        <v>8219</v>
      </c>
    </row>
    <row r="4344" spans="1:3">
      <c r="A4344" t="s">
        <v>8357</v>
      </c>
      <c r="B4344" t="str">
        <f ca="1">IF(ISBLANK(OFFSET(B4344,0,'Field labels'!$Q$1)),C4344,OFFSET(B4344,0,'Field labels'!$Q$1))</f>
        <v>Operadores de máquinas para elaborar cerveza, vinos y otras bebidas - 0455</v>
      </c>
      <c r="C4344" t="s">
        <v>8220</v>
      </c>
    </row>
    <row r="4345" spans="1:3">
      <c r="A4345" t="s">
        <v>8357</v>
      </c>
      <c r="B4345" t="str">
        <f ca="1">IF(ISBLANK(OFFSET(B4345,0,'Field labels'!$Q$1)),C4345,OFFSET(B4345,0,'Field labels'!$Q$1))</f>
        <v>Operadores de máquinas para elaborar frutos húmedos, secos y hortalizas - 0452</v>
      </c>
      <c r="C4345" t="s">
        <v>8221</v>
      </c>
    </row>
    <row r="4346" spans="1:3">
      <c r="A4346" t="s">
        <v>8357</v>
      </c>
      <c r="B4346" t="str">
        <f ca="1">IF(ISBLANK(OFFSET(B4346,0,'Field labels'!$Q$1)),C4346,OFFSET(B4346,0,'Field labels'!$Q$1))</f>
        <v>Operadores de máquinas para elaborar productos de tabaco - 0456</v>
      </c>
      <c r="C4346" t="s">
        <v>8222</v>
      </c>
    </row>
    <row r="4347" spans="1:3">
      <c r="A4347" t="s">
        <v>8357</v>
      </c>
      <c r="B4347" t="str">
        <f ca="1">IF(ISBLANK(OFFSET(B4347,0,'Field labels'!$Q$1)),C4347,OFFSET(B4347,0,'Field labels'!$Q$1))</f>
        <v>Operadores de máquinas para elaborar productos lácteos - 0450</v>
      </c>
      <c r="C4347" t="s">
        <v>8223</v>
      </c>
    </row>
    <row r="4348" spans="1:3">
      <c r="A4348" t="s">
        <v>8357</v>
      </c>
      <c r="B4348" t="str">
        <f ca="1">IF(ISBLANK(OFFSET(B4348,0,'Field labels'!$Q$1)),C4348,OFFSET(B4348,0,'Field labels'!$Q$1))</f>
        <v>Operadores de máquinas para elaborar té, café y cacao - 0454</v>
      </c>
      <c r="C4348" t="s">
        <v>8224</v>
      </c>
    </row>
    <row r="4349" spans="1:3">
      <c r="A4349" t="s">
        <v>8357</v>
      </c>
      <c r="B4349" t="str">
        <f ca="1">IF(ISBLANK(OFFSET(B4349,0,'Field labels'!$Q$1)),C4349,OFFSET(B4349,0,'Field labels'!$Q$1))</f>
        <v>Operadores de máquinas para fabricar accesorios fotográficos - 0434</v>
      </c>
      <c r="C4349" t="s">
        <v>8225</v>
      </c>
    </row>
    <row r="4350" spans="1:3">
      <c r="A4350" t="s">
        <v>8357</v>
      </c>
      <c r="B4350" t="str">
        <f ca="1">IF(ISBLANK(OFFSET(B4350,0,'Field labels'!$Q$1)),C4350,OFFSET(B4350,0,'Field labels'!$Q$1))</f>
        <v>Operadores de máquinas para fabricar azúcares - 0453</v>
      </c>
      <c r="C4350" t="s">
        <v>8226</v>
      </c>
    </row>
    <row r="4351" spans="1:3">
      <c r="A4351" t="s">
        <v>8357</v>
      </c>
      <c r="B4351" t="str">
        <f ca="1">IF(ISBLANK(OFFSET(B4351,0,'Field labels'!$Q$1)),C4351,OFFSET(B4351,0,'Field labels'!$Q$1))</f>
        <v>Operadores de máquinas para fabricar cemento y otros productos minerales - 0430</v>
      </c>
      <c r="C4351" t="s">
        <v>8227</v>
      </c>
    </row>
    <row r="4352" spans="1:3">
      <c r="A4352" t="s">
        <v>8357</v>
      </c>
      <c r="B4352" t="str">
        <f ca="1">IF(ISBLANK(OFFSET(B4352,0,'Field labels'!$Q$1)),C4352,OFFSET(B4352,0,'Field labels'!$Q$1))</f>
        <v>Operadores de máquinas para fabricar municiones y explosivos - 0432</v>
      </c>
      <c r="C4352" t="s">
        <v>8228</v>
      </c>
    </row>
    <row r="4353" spans="1:3">
      <c r="A4353" t="s">
        <v>8357</v>
      </c>
      <c r="B4353" t="str">
        <f ca="1">IF(ISBLANK(OFFSET(B4353,0,'Field labels'!$Q$1)),C4353,OFFSET(B4353,0,'Field labels'!$Q$1))</f>
        <v>Operadores de máquinas para fabricar productos de caucho - 0436</v>
      </c>
      <c r="C4353" t="s">
        <v>8229</v>
      </c>
    </row>
    <row r="4354" spans="1:3">
      <c r="A4354" t="s">
        <v>8357</v>
      </c>
      <c r="B4354" t="str">
        <f ca="1">IF(ISBLANK(OFFSET(B4354,0,'Field labels'!$Q$1)),C4354,OFFSET(B4354,0,'Field labels'!$Q$1))</f>
        <v>Operadores de máquinas para fabricar productos de madera - 0438</v>
      </c>
      <c r="C4354" t="s">
        <v>8230</v>
      </c>
    </row>
    <row r="4355" spans="1:3">
      <c r="A4355" t="s">
        <v>8357</v>
      </c>
      <c r="B4355" t="str">
        <f ca="1">IF(ISBLANK(OFFSET(B4355,0,'Field labels'!$Q$1)),C4355,OFFSET(B4355,0,'Field labels'!$Q$1))</f>
        <v>Operadores de máquinas para fabricar productos de material plástico - 0437</v>
      </c>
      <c r="C4355" t="s">
        <v>8231</v>
      </c>
    </row>
    <row r="4356" spans="1:3">
      <c r="A4356" t="s">
        <v>8357</v>
      </c>
      <c r="B4356" t="str">
        <f ca="1">IF(ISBLANK(OFFSET(B4356,0,'Field labels'!$Q$1)),C4356,OFFSET(B4356,0,'Field labels'!$Q$1))</f>
        <v>Operadores de máquinas para fabricar productos de papel - 0441</v>
      </c>
      <c r="C4356" t="s">
        <v>8232</v>
      </c>
    </row>
    <row r="4357" spans="1:3">
      <c r="A4357" t="s">
        <v>8357</v>
      </c>
      <c r="B4357" t="str">
        <f ca="1">IF(ISBLANK(OFFSET(B4357,0,'Field labels'!$Q$1)),C4357,OFFSET(B4357,0,'Field labels'!$Q$1))</f>
        <v>Operadores de máquinas para fabricar productos farmacéuticos y cosméticos - 0431</v>
      </c>
      <c r="C4357" t="s">
        <v>8233</v>
      </c>
    </row>
    <row r="4358" spans="1:3">
      <c r="A4358" t="s">
        <v>8357</v>
      </c>
      <c r="B4358" t="str">
        <f ca="1">IF(ISBLANK(OFFSET(B4358,0,'Field labels'!$Q$1)),C4358,OFFSET(B4358,0,'Field labels'!$Q$1))</f>
        <v>Operadores de máquinas para fabricar productos químicos, no clasificados bajo otros epígrafes - 0435</v>
      </c>
      <c r="C4358" t="s">
        <v>8234</v>
      </c>
    </row>
    <row r="4359" spans="1:3">
      <c r="A4359" t="s">
        <v>8357</v>
      </c>
      <c r="B4359" t="str">
        <f ca="1">IF(ISBLANK(OFFSET(B4359,0,'Field labels'!$Q$1)),C4359,OFFSET(B4359,0,'Field labels'!$Q$1))</f>
        <v>Operadores de máquinas para fabricar productos textiles y artículos de piel y cuero, no clasificados bajo otros epígrafes - 0448</v>
      </c>
      <c r="C4359" t="s">
        <v>8235</v>
      </c>
    </row>
    <row r="4360" spans="1:3">
      <c r="A4360" t="s">
        <v>8357</v>
      </c>
      <c r="B4360" t="str">
        <f ca="1">IF(ISBLANK(OFFSET(B4360,0,'Field labels'!$Q$1)),C4360,OFFSET(B4360,0,'Field labels'!$Q$1))</f>
        <v>Operadores de máquinas para la fabricación de calzado y afines - 0447</v>
      </c>
      <c r="C4360" t="s">
        <v>8236</v>
      </c>
    </row>
    <row r="4361" spans="1:3">
      <c r="A4361" t="s">
        <v>8357</v>
      </c>
      <c r="B4361" t="str">
        <f ca="1">IF(ISBLANK(OFFSET(B4361,0,'Field labels'!$Q$1)),C4361,OFFSET(B4361,0,'Field labels'!$Q$1))</f>
        <v>Operadores de máquinas para moler cereales y especies - 0371</v>
      </c>
      <c r="C4361" t="s">
        <v>8237</v>
      </c>
    </row>
    <row r="4362" spans="1:3">
      <c r="A4362" t="s">
        <v>8357</v>
      </c>
      <c r="B4362" t="str">
        <f ca="1">IF(ISBLANK(OFFSET(B4362,0,'Field labels'!$Q$1)),C4362,OFFSET(B4362,0,'Field labels'!$Q$1))</f>
        <v>Operadores de máquinas pulidoras, galvanizadoras y recubridoras de metales - 0433</v>
      </c>
      <c r="C4362" t="s">
        <v>8238</v>
      </c>
    </row>
    <row r="4363" spans="1:3">
      <c r="A4363" t="s">
        <v>8357</v>
      </c>
      <c r="B4363" t="str">
        <f ca="1">IF(ISBLANK(OFFSET(B4363,0,'Field labels'!$Q$1)),C4363,OFFSET(B4363,0,'Field labels'!$Q$1))</f>
        <v>Operadores de máquinas trefiladoras y estiradoras de metales - 0412</v>
      </c>
      <c r="C4363" t="s">
        <v>8239</v>
      </c>
    </row>
    <row r="4364" spans="1:3">
      <c r="A4364" t="s">
        <v>8357</v>
      </c>
      <c r="B4364" t="str">
        <f ca="1">IF(ISBLANK(OFFSET(B4364,0,'Field labels'!$Q$1)),C4364,OFFSET(B4364,0,'Field labels'!$Q$1))</f>
        <v>Operadores de quipos ópticos y electrónicos, no clasificados bajo otros epígrafes - 0214</v>
      </c>
      <c r="C4364" t="s">
        <v>8240</v>
      </c>
    </row>
    <row r="4365" spans="1:3">
      <c r="A4365" t="s">
        <v>8357</v>
      </c>
      <c r="B4365" t="str">
        <f ca="1">IF(ISBLANK(OFFSET(B4365,0,'Field labels'!$Q$1)),C4365,OFFSET(B4365,0,'Field labels'!$Q$1))</f>
        <v>operadores de robots industriales - 0428</v>
      </c>
      <c r="C4365" t="s">
        <v>8241</v>
      </c>
    </row>
    <row r="4366" spans="1:3">
      <c r="A4366" t="s">
        <v>8357</v>
      </c>
      <c r="B4366" t="str">
        <f ca="1">IF(ISBLANK(OFFSET(B4366,0,'Field labels'!$Q$1)),C4366,OFFSET(B4366,0,'Field labels'!$Q$1))</f>
        <v>Operadores de telares y otras máquinas tejedoras - 0443</v>
      </c>
      <c r="C4366" t="s">
        <v>8242</v>
      </c>
    </row>
    <row r="4367" spans="1:3">
      <c r="A4367" t="s">
        <v>8357</v>
      </c>
      <c r="B4367" t="str">
        <f ca="1">IF(ISBLANK(OFFSET(B4367,0,'Field labels'!$Q$1)),C4367,OFFSET(B4367,0,'Field labels'!$Q$1))</f>
        <v>Operarios de la conservación de frutas, legumbres, verduras y afines - 0390</v>
      </c>
      <c r="C4367" t="s">
        <v>8243</v>
      </c>
    </row>
    <row r="4368" spans="1:3">
      <c r="A4368" t="s">
        <v>8357</v>
      </c>
      <c r="B4368" t="str">
        <f ca="1">IF(ISBLANK(OFFSET(B4368,0,'Field labels'!$Q$1)),C4368,OFFSET(B4368,0,'Field labels'!$Q$1))</f>
        <v>Operarios de la elaboración de productos lácteos - 0389</v>
      </c>
      <c r="C4368" t="s">
        <v>8244</v>
      </c>
    </row>
    <row r="4369" spans="1:3">
      <c r="A4369" t="s">
        <v>8357</v>
      </c>
      <c r="B4369" t="str">
        <f ca="1">IF(ISBLANK(OFFSET(B4369,0,'Field labels'!$Q$1)),C4369,OFFSET(B4369,0,'Field labels'!$Q$1))</f>
        <v>Operarios de la fotografía y afines - 0384</v>
      </c>
      <c r="C4369" t="s">
        <v>8245</v>
      </c>
    </row>
    <row r="4370" spans="1:3">
      <c r="A4370" t="s">
        <v>8357</v>
      </c>
      <c r="B4370" t="str">
        <f ca="1">IF(ISBLANK(OFFSET(B4370,0,'Field labels'!$Q$1)),C4370,OFFSET(B4370,0,'Field labels'!$Q$1))</f>
        <v>Operarios en cemento armado, enfoscadores y afines - 0340</v>
      </c>
      <c r="C4370" t="s">
        <v>8246</v>
      </c>
    </row>
    <row r="4371" spans="1:3">
      <c r="A4371" t="s">
        <v>8357</v>
      </c>
      <c r="B4371" t="str">
        <f ca="1">IF(ISBLANK(OFFSET(B4371,0,'Field labels'!$Q$1)),C4371,OFFSET(B4371,0,'Field labels'!$Q$1))</f>
        <v>Operarios en el tratamiento de la madera - 0393</v>
      </c>
      <c r="C4371" t="s">
        <v>8247</v>
      </c>
    </row>
    <row r="4372" spans="1:3">
      <c r="A4372" t="s">
        <v>8357</v>
      </c>
      <c r="B4372" t="str">
        <f ca="1">IF(ISBLANK(OFFSET(B4372,0,'Field labels'!$Q$1)),C4372,OFFSET(B4372,0,'Field labels'!$Q$1))</f>
        <v>Otros directores de departamentos, no clasificados bajo otros epígrafes - 0134</v>
      </c>
      <c r="C4372" t="s">
        <v>8248</v>
      </c>
    </row>
    <row r="4373" spans="1:3">
      <c r="A4373" t="s">
        <v>8357</v>
      </c>
      <c r="B4373" t="str">
        <f ca="1">IF(ISBLANK(OFFSET(B4373,0,'Field labels'!$Q$1)),C4373,OFFSET(B4373,0,'Field labels'!$Q$1))</f>
        <v>Otros maestros e instructores de nivel medio - 0241</v>
      </c>
      <c r="C4373" t="s">
        <v>8249</v>
      </c>
    </row>
    <row r="4374" spans="1:3">
      <c r="A4374" t="s">
        <v>8357</v>
      </c>
      <c r="B4374" t="str">
        <f ca="1">IF(ISBLANK(OFFSET(B4374,0,'Field labels'!$Q$1)),C4374,OFFSET(B4374,0,'Field labels'!$Q$1))</f>
        <v>Otros oficinistas - 0286</v>
      </c>
      <c r="C4374" t="s">
        <v>8250</v>
      </c>
    </row>
    <row r="4375" spans="1:3">
      <c r="A4375" t="s">
        <v>8357</v>
      </c>
      <c r="B4375" t="str">
        <f ca="1">IF(ISBLANK(OFFSET(B4375,0,'Field labels'!$Q$1)),C4375,OFFSET(B4375,0,'Field labels'!$Q$1))</f>
        <v>Otros operadores de máquinas y montadores - 0463</v>
      </c>
      <c r="C4375" t="s">
        <v>8251</v>
      </c>
    </row>
    <row r="4376" spans="1:3">
      <c r="A4376" t="s">
        <v>8357</v>
      </c>
      <c r="B4376" t="str">
        <f ca="1">IF(ISBLANK(OFFSET(B4376,0,'Field labels'!$Q$1)),C4376,OFFSET(B4376,0,'Field labels'!$Q$1))</f>
        <v>Otros profesionales de la enseñanza, no clasificados bajo otros epígrafes - 0178</v>
      </c>
      <c r="C4376" t="s">
        <v>8252</v>
      </c>
    </row>
    <row r="4377" spans="1:3">
      <c r="A4377" t="s">
        <v>8357</v>
      </c>
      <c r="B4377" t="str">
        <f ca="1">IF(ISBLANK(OFFSET(B4377,0,'Field labels'!$Q$1)),C4377,OFFSET(B4377,0,'Field labels'!$Q$1))</f>
        <v>Otros trabajadores de servicios personales a particulares, clasificados bajo otros epígrafes - 0308</v>
      </c>
      <c r="C4377" t="s">
        <v>8253</v>
      </c>
    </row>
    <row r="4378" spans="1:3">
      <c r="A4378" t="s">
        <v>8357</v>
      </c>
      <c r="B4378" t="str">
        <f ca="1">IF(ISBLANK(OFFSET(B4378,0,'Field labels'!$Q$1)),C4378,OFFSET(B4378,0,'Field labels'!$Q$1))</f>
        <v>Panaderos, pasteleros y confiteros - 0388</v>
      </c>
      <c r="C4378" t="s">
        <v>8254</v>
      </c>
    </row>
    <row r="4379" spans="1:3">
      <c r="A4379" t="s">
        <v>8357</v>
      </c>
      <c r="B4379" t="str">
        <f ca="1">IF(ISBLANK(OFFSET(B4379,0,'Field labels'!$Q$1)),C4379,OFFSET(B4379,0,'Field labels'!$Q$1))</f>
        <v>Paqueteros y colocadores de suelos - 0344</v>
      </c>
      <c r="C4379" t="s">
        <v>8255</v>
      </c>
    </row>
    <row r="4380" spans="1:3">
      <c r="A4380" t="s">
        <v>8357</v>
      </c>
      <c r="B4380" t="str">
        <f ca="1">IF(ISBLANK(OFFSET(B4380,0,'Field labels'!$Q$1)),C4380,OFFSET(B4380,0,'Field labels'!$Q$1))</f>
        <v>Patronistas y cortadores de tela, cuero y afines - 0401</v>
      </c>
      <c r="C4380" t="s">
        <v>8256</v>
      </c>
    </row>
    <row r="4381" spans="1:3">
      <c r="A4381" t="s">
        <v>8357</v>
      </c>
      <c r="B4381" t="str">
        <f ca="1">IF(ISBLANK(OFFSET(B4381,0,'Field labels'!$Q$1)),C4381,OFFSET(B4381,0,'Field labels'!$Q$1))</f>
        <v>Payasos, prestidigitadores, acróbatas y afines - 0269</v>
      </c>
      <c r="C4381" t="s">
        <v>8257</v>
      </c>
    </row>
    <row r="4382" spans="1:3">
      <c r="A4382" t="s">
        <v>8357</v>
      </c>
      <c r="B4382" t="str">
        <f ca="1">IF(ISBLANK(OFFSET(B4382,0,'Field labels'!$Q$1)),C4382,OFFSET(B4382,0,'Field labels'!$Q$1))</f>
        <v>Pegadores - 0336</v>
      </c>
      <c r="C4382" t="s">
        <v>8258</v>
      </c>
    </row>
    <row r="4383" spans="1:3">
      <c r="A4383" t="s">
        <v>8357</v>
      </c>
      <c r="B4383" t="str">
        <f ca="1">IF(ISBLANK(OFFSET(B4383,0,'Field labels'!$Q$1)),C4383,OFFSET(B4383,0,'Field labels'!$Q$1))</f>
        <v>Pegadores y cobradores de ventanilla y taquilleros - 0288</v>
      </c>
      <c r="C4383" t="s">
        <v>8259</v>
      </c>
    </row>
    <row r="4384" spans="1:3">
      <c r="A4384" t="s">
        <v>8357</v>
      </c>
      <c r="B4384" t="str">
        <f ca="1">IF(ISBLANK(OFFSET(B4384,0,'Field labels'!$Q$1)),C4384,OFFSET(B4384,0,'Field labels'!$Q$1))</f>
        <v>Peleteros y afines - 0400</v>
      </c>
      <c r="C4384" t="s">
        <v>8260</v>
      </c>
    </row>
    <row r="4385" spans="1:3">
      <c r="A4385" t="s">
        <v>8357</v>
      </c>
      <c r="B4385" t="str">
        <f ca="1">IF(ISBLANK(OFFSET(B4385,0,'Field labels'!$Q$1)),C4385,OFFSET(B4385,0,'Field labels'!$Q$1))</f>
        <v>Peluqueros, especialistas en tratamiento de belleza y afines - 0305</v>
      </c>
      <c r="C4385" t="s">
        <v>8261</v>
      </c>
    </row>
    <row r="4386" spans="1:3">
      <c r="A4386" t="s">
        <v>8357</v>
      </c>
      <c r="B4386" t="str">
        <f ca="1">IF(ISBLANK(OFFSET(B4386,0,'Field labels'!$Q$1)),C4386,OFFSET(B4386,0,'Field labels'!$Q$1))</f>
        <v>Peones de carga - 0499</v>
      </c>
      <c r="C4386" t="s">
        <v>8262</v>
      </c>
    </row>
    <row r="4387" spans="1:3">
      <c r="A4387" t="s">
        <v>8357</v>
      </c>
      <c r="B4387" t="str">
        <f ca="1">IF(ISBLANK(OFFSET(B4387,0,'Field labels'!$Q$1)),C4387,OFFSET(B4387,0,'Field labels'!$Q$1))</f>
        <v>Peones de la construcción de edificios - 0494</v>
      </c>
      <c r="C4387" t="s">
        <v>8263</v>
      </c>
    </row>
    <row r="4388" spans="1:3">
      <c r="A4388" t="s">
        <v>8357</v>
      </c>
      <c r="B4388" t="str">
        <f ca="1">IF(ISBLANK(OFFSET(B4388,0,'Field labels'!$Q$1)),C4388,OFFSET(B4388,0,'Field labels'!$Q$1))</f>
        <v>Peones de la pesca, la caza y la trampa - 0491</v>
      </c>
      <c r="C4388" t="s">
        <v>8264</v>
      </c>
    </row>
    <row r="4389" spans="1:3">
      <c r="A4389" t="s">
        <v>8357</v>
      </c>
      <c r="B4389" t="str">
        <f ca="1">IF(ISBLANK(OFFSET(B4389,0,'Field labels'!$Q$1)),C4389,OFFSET(B4389,0,'Field labels'!$Q$1))</f>
        <v>Peones de minas y canteras - 0492</v>
      </c>
      <c r="C4389" t="s">
        <v>8265</v>
      </c>
    </row>
    <row r="4390" spans="1:3">
      <c r="A4390" t="s">
        <v>8357</v>
      </c>
      <c r="B4390" t="str">
        <f ca="1">IF(ISBLANK(OFFSET(B4390,0,'Field labels'!$Q$1)),C4390,OFFSET(B4390,0,'Field labels'!$Q$1))</f>
        <v>Peones de montaje - 0495</v>
      </c>
      <c r="C4390" t="s">
        <v>8266</v>
      </c>
    </row>
    <row r="4391" spans="1:3">
      <c r="A4391" t="s">
        <v>8357</v>
      </c>
      <c r="B4391" t="str">
        <f ca="1">IF(ISBLANK(OFFSET(B4391,0,'Field labels'!$Q$1)),C4391,OFFSET(B4391,0,'Field labels'!$Q$1))</f>
        <v>Peones de obras públicas y mantenimiento de carreteras, presas y obras similares - 0493</v>
      </c>
      <c r="C4391" t="s">
        <v>8267</v>
      </c>
    </row>
    <row r="4392" spans="1:3">
      <c r="A4392" t="s">
        <v>8357</v>
      </c>
      <c r="B4392" t="str">
        <f ca="1">IF(ISBLANK(OFFSET(B4392,0,'Field labels'!$Q$1)),C4392,OFFSET(B4392,0,'Field labels'!$Q$1))</f>
        <v>Peones forestales - 0490</v>
      </c>
      <c r="C4392" t="s">
        <v>8268</v>
      </c>
    </row>
    <row r="4393" spans="1:3">
      <c r="A4393" t="s">
        <v>8357</v>
      </c>
      <c r="B4393" t="str">
        <f ca="1">IF(ISBLANK(OFFSET(B4393,0,'Field labels'!$Q$1)),C4393,OFFSET(B4393,0,'Field labels'!$Q$1))</f>
        <v>Perforadores y sondistas de pozos y afines - 0408</v>
      </c>
      <c r="C4393" t="s">
        <v>8269</v>
      </c>
    </row>
    <row r="4394" spans="1:3">
      <c r="A4394" t="s">
        <v>8357</v>
      </c>
      <c r="B4394" t="str">
        <f ca="1">IF(ISBLANK(OFFSET(B4394,0,'Field labels'!$Q$1)),C4394,OFFSET(B4394,0,'Field labels'!$Q$1))</f>
        <v>Personal de enfermería de nivel medio - 0234</v>
      </c>
      <c r="C4394" t="s">
        <v>8270</v>
      </c>
    </row>
    <row r="4395" spans="1:3">
      <c r="A4395" t="s">
        <v>8357</v>
      </c>
      <c r="B4395" t="str">
        <f ca="1">IF(ISBLANK(OFFSET(B4395,0,'Field labels'!$Q$1)),C4395,OFFSET(B4395,0,'Field labels'!$Q$1))</f>
        <v>Personal de enfermería y partería a nivel superior - 0170</v>
      </c>
      <c r="C4395" t="s">
        <v>8271</v>
      </c>
    </row>
    <row r="4396" spans="1:3">
      <c r="A4396" t="s">
        <v>8357</v>
      </c>
      <c r="B4396" t="str">
        <f ca="1">IF(ISBLANK(OFFSET(B4396,0,'Field labels'!$Q$1)),C4396,OFFSET(B4396,0,'Field labels'!$Q$1))</f>
        <v>Personal de los servicios de protección y seguridad, no clasificados en otros epígrafes - 0314</v>
      </c>
      <c r="C4396" t="s">
        <v>8272</v>
      </c>
    </row>
    <row r="4397" spans="1:3">
      <c r="A4397" t="s">
        <v>8357</v>
      </c>
      <c r="B4397" t="str">
        <f ca="1">IF(ISBLANK(OFFSET(B4397,0,'Field labels'!$Q$1)),C4397,OFFSET(B4397,0,'Field labels'!$Q$1))</f>
        <v>Personal de partería de nivel medio - 0235</v>
      </c>
      <c r="C4397" t="s">
        <v>8273</v>
      </c>
    </row>
    <row r="4398" spans="1:3">
      <c r="A4398" t="s">
        <v>8357</v>
      </c>
      <c r="B4398" t="str">
        <f ca="1">IF(ISBLANK(OFFSET(B4398,0,'Field labels'!$Q$1)),C4398,OFFSET(B4398,0,'Field labels'!$Q$1))</f>
        <v>Personal de pompas fúnebres y embalsamadores - 0307</v>
      </c>
      <c r="C4398" t="s">
        <v>8274</v>
      </c>
    </row>
    <row r="4399" spans="1:3">
      <c r="A4399" t="s">
        <v>8357</v>
      </c>
      <c r="B4399" t="str">
        <f ca="1">IF(ISBLANK(OFFSET(B4399,0,'Field labels'!$Q$1)),C4399,OFFSET(B4399,0,'Field labels'!$Q$1))</f>
        <v>Personal directivo de la administración pública - 0112</v>
      </c>
      <c r="C4399" t="s">
        <v>8275</v>
      </c>
    </row>
    <row r="4400" spans="1:3">
      <c r="A4400" t="s">
        <v>8357</v>
      </c>
      <c r="B4400" t="str">
        <f ca="1">IF(ISBLANK(OFFSET(B4400,0,'Field labels'!$Q$1)),C4400,OFFSET(B4400,0,'Field labels'!$Q$1))</f>
        <v>Personal doméstico - 0479</v>
      </c>
      <c r="C4400" t="s">
        <v>8276</v>
      </c>
    </row>
    <row r="4401" spans="1:3">
      <c r="A4401" t="s">
        <v>8357</v>
      </c>
      <c r="B4401" t="str">
        <f ca="1">IF(ISBLANK(OFFSET(B4401,0,'Field labels'!$Q$1)),C4401,OFFSET(B4401,0,'Field labels'!$Q$1))</f>
        <v>Pescadores de agua dulce y en aguas costeras - 0331</v>
      </c>
      <c r="C4401" t="s">
        <v>8277</v>
      </c>
    </row>
    <row r="4402" spans="1:3">
      <c r="A4402" t="s">
        <v>8357</v>
      </c>
      <c r="B4402" t="str">
        <f ca="1">IF(ISBLANK(OFFSET(B4402,0,'Field labels'!$Q$1)),C4402,OFFSET(B4402,0,'Field labels'!$Q$1))</f>
        <v>Pescadores de alta mar - 0332</v>
      </c>
      <c r="C4402" t="s">
        <v>8278</v>
      </c>
    </row>
    <row r="4403" spans="1:3">
      <c r="A4403" t="s">
        <v>8357</v>
      </c>
      <c r="B4403" t="str">
        <f ca="1">IF(ISBLANK(OFFSET(B4403,0,'Field labels'!$Q$1)),C4403,OFFSET(B4403,0,'Field labels'!$Q$1))</f>
        <v>Pilotos de aviación y afines - 0217</v>
      </c>
      <c r="C4403" t="s">
        <v>8279</v>
      </c>
    </row>
    <row r="4404" spans="1:3">
      <c r="A4404" t="s">
        <v>8357</v>
      </c>
      <c r="B4404" t="str">
        <f ca="1">IF(ISBLANK(OFFSET(B4404,0,'Field labels'!$Q$1)),C4404,OFFSET(B4404,0,'Field labels'!$Q$1))</f>
        <v>Pintores y empapeladores - 0350</v>
      </c>
      <c r="C4404" t="s">
        <v>8280</v>
      </c>
    </row>
    <row r="4405" spans="1:3">
      <c r="A4405" t="s">
        <v>8357</v>
      </c>
      <c r="B4405" t="str">
        <f ca="1">IF(ISBLANK(OFFSET(B4405,0,'Field labels'!$Q$1)),C4405,OFFSET(B4405,0,'Field labels'!$Q$1))</f>
        <v>Pintores, decoradores de vidrio, cerámica y otros materiales - 0378</v>
      </c>
      <c r="C4405" t="s">
        <v>8281</v>
      </c>
    </row>
    <row r="4406" spans="1:3">
      <c r="A4406" t="s">
        <v>8357</v>
      </c>
      <c r="B4406" t="str">
        <f ca="1">IF(ISBLANK(OFFSET(B4406,0,'Field labels'!$Q$1)),C4406,OFFSET(B4406,0,'Field labels'!$Q$1))</f>
        <v>Policías - 0312</v>
      </c>
      <c r="C4406" t="s">
        <v>8282</v>
      </c>
    </row>
    <row r="4407" spans="1:3">
      <c r="A4407" t="s">
        <v>8357</v>
      </c>
      <c r="B4407" t="str">
        <f ca="1">IF(ISBLANK(OFFSET(B4407,0,'Field labels'!$Q$1)),C4407,OFFSET(B4407,0,'Field labels'!$Q$1))</f>
        <v>Porteros y guardianes y afines - 0485</v>
      </c>
      <c r="C4407" t="s">
        <v>8283</v>
      </c>
    </row>
    <row r="4408" spans="1:3">
      <c r="A4408" t="s">
        <v>8357</v>
      </c>
      <c r="B4408" t="str">
        <f ca="1">IF(ISBLANK(OFFSET(B4408,0,'Field labels'!$Q$1)),C4408,OFFSET(B4408,0,'Field labels'!$Q$1))</f>
        <v>Practicantes de la medicina tradicional - 0236</v>
      </c>
      <c r="C4408" t="s">
        <v>8284</v>
      </c>
    </row>
    <row r="4409" spans="1:3">
      <c r="A4409" t="s">
        <v>8357</v>
      </c>
      <c r="B4409" t="str">
        <f ca="1">IF(ISBLANK(OFFSET(B4409,0,'Field labels'!$Q$1)),C4409,OFFSET(B4409,0,'Field labels'!$Q$1))</f>
        <v>Practicantes y asistentes médicos - 0225</v>
      </c>
      <c r="C4409" t="s">
        <v>8285</v>
      </c>
    </row>
    <row r="4410" spans="1:3">
      <c r="A4410" t="s">
        <v>8357</v>
      </c>
      <c r="B4410" t="str">
        <f ca="1">IF(ISBLANK(OFFSET(B4410,0,'Field labels'!$Q$1)),C4410,OFFSET(B4410,0,'Field labels'!$Q$1))</f>
        <v>Preparadores de fibras - 0397</v>
      </c>
      <c r="C4410" t="s">
        <v>8286</v>
      </c>
    </row>
    <row r="4411" spans="1:3">
      <c r="A4411" t="s">
        <v>8357</v>
      </c>
      <c r="B4411" t="str">
        <f ca="1">IF(ISBLANK(OFFSET(B4411,0,'Field labels'!$Q$1)),C4411,OFFSET(B4411,0,'Field labels'!$Q$1))</f>
        <v>Preparadores y elaboradores de tabaco y productos afines - 0392</v>
      </c>
      <c r="C4411" t="s">
        <v>8287</v>
      </c>
    </row>
    <row r="4412" spans="1:3">
      <c r="A4412" t="s">
        <v>8357</v>
      </c>
      <c r="B4412" t="str">
        <f ca="1">IF(ISBLANK(OFFSET(B4412,0,'Field labels'!$Q$1)),C4412,OFFSET(B4412,0,'Field labels'!$Q$1))</f>
        <v>Prestamistas - 0290</v>
      </c>
      <c r="C4412" t="s">
        <v>8288</v>
      </c>
    </row>
    <row r="4413" spans="1:3">
      <c r="A4413" t="s">
        <v>8357</v>
      </c>
      <c r="B4413" t="str">
        <f ca="1">IF(ISBLANK(OFFSET(B4413,0,'Field labels'!$Q$1)),C4413,OFFSET(B4413,0,'Field labels'!$Q$1))</f>
        <v>Productores y trabajadores agropecuarios calificados cuya producción se destina al mercado - 0327</v>
      </c>
      <c r="C4413" t="s">
        <v>8289</v>
      </c>
    </row>
    <row r="4414" spans="1:3">
      <c r="A4414" t="s">
        <v>8357</v>
      </c>
      <c r="B4414" t="str">
        <f ca="1">IF(ISBLANK(OFFSET(B4414,0,'Field labels'!$Q$1)),C4414,OFFSET(B4414,0,'Field labels'!$Q$1))</f>
        <v>Profesionales de la informática no clasificados bajo otros epígrafes - 0152</v>
      </c>
      <c r="C4414" t="s">
        <v>8290</v>
      </c>
    </row>
    <row r="4415" spans="1:3">
      <c r="A4415" t="s">
        <v>8357</v>
      </c>
      <c r="B4415" t="str">
        <f ca="1">IF(ISBLANK(OFFSET(B4415,0,'Field labels'!$Q$1)),C4415,OFFSET(B4415,0,'Field labels'!$Q$1))</f>
        <v>Profesionales de nivel medio de la medicina moderna y la salud (excepto el personal de enfermería y partería), no clasificados bajo otros epígrafes - 0233</v>
      </c>
      <c r="C4415" t="s">
        <v>8291</v>
      </c>
    </row>
    <row r="4416" spans="1:3">
      <c r="A4416" t="s">
        <v>8357</v>
      </c>
      <c r="B4416" t="str">
        <f ca="1">IF(ISBLANK(OFFSET(B4416,0,'Field labels'!$Q$1)),C4416,OFFSET(B4416,0,'Field labels'!$Q$1))</f>
        <v>Profesionales de nivel medio de servicios administrativos afines - 0254</v>
      </c>
      <c r="C4416" t="s">
        <v>8292</v>
      </c>
    </row>
    <row r="4417" spans="1:3">
      <c r="A4417" t="s">
        <v>8357</v>
      </c>
      <c r="B4417" t="str">
        <f ca="1">IF(ISBLANK(OFFSET(B4417,0,'Field labels'!$Q$1)),C4417,OFFSET(B4417,0,'Field labels'!$Q$1))</f>
        <v>Profesionales de nivel medio de servicios de administración, no clasificados bajo otros epígrafes - 0258</v>
      </c>
      <c r="C4417" t="s">
        <v>8293</v>
      </c>
    </row>
    <row r="4418" spans="1:3">
      <c r="A4418" t="s">
        <v>8357</v>
      </c>
      <c r="B4418" t="str">
        <f ca="1">IF(ISBLANK(OFFSET(B4418,0,'Field labels'!$Q$1)),C4418,OFFSET(B4418,0,'Field labels'!$Q$1))</f>
        <v>Profesionales de nivel medio de servicios estadísticos, matemáticos y afines - 0257</v>
      </c>
      <c r="C4418" t="s">
        <v>8294</v>
      </c>
    </row>
    <row r="4419" spans="1:3">
      <c r="A4419" t="s">
        <v>8357</v>
      </c>
      <c r="B4419" t="str">
        <f ca="1">IF(ISBLANK(OFFSET(B4419,0,'Field labels'!$Q$1)),C4419,OFFSET(B4419,0,'Field labels'!$Q$1))</f>
        <v>Profesionales de nivel medio del derecho y servicios legales o afines - 0255</v>
      </c>
      <c r="C4419" t="s">
        <v>8295</v>
      </c>
    </row>
    <row r="4420" spans="1:3">
      <c r="A4420" t="s">
        <v>8357</v>
      </c>
      <c r="B4420" t="str">
        <f ca="1">IF(ISBLANK(OFFSET(B4420,0,'Field labels'!$Q$1)),C4420,OFFSET(B4420,0,'Field labels'!$Q$1))</f>
        <v>Profesionales de nivel medio en operaciones financiera y comerciales, no clasificados bajo otros epígrafes - 0249</v>
      </c>
      <c r="C4420" t="s">
        <v>8296</v>
      </c>
    </row>
    <row r="4421" spans="1:3">
      <c r="A4421" t="s">
        <v>8357</v>
      </c>
      <c r="B4421" t="str">
        <f ca="1">IF(ISBLANK(OFFSET(B4421,0,'Field labels'!$Q$1)),C4421,OFFSET(B4421,0,'Field labels'!$Q$1))</f>
        <v>profesionales del derecho, no clasificados bajo otros epígrafes - 0184</v>
      </c>
      <c r="C4421" t="s">
        <v>8297</v>
      </c>
    </row>
    <row r="4422" spans="1:3">
      <c r="A4422" t="s">
        <v>8357</v>
      </c>
      <c r="B4422" t="str">
        <f ca="1">IF(ISBLANK(OFFSET(B4422,0,'Field labels'!$Q$1)),C4422,OFFSET(B4422,0,'Field labels'!$Q$1))</f>
        <v>Profesionales del trabajo social - 0192</v>
      </c>
      <c r="C4422" t="s">
        <v>8298</v>
      </c>
    </row>
    <row r="4423" spans="1:3">
      <c r="A4423" t="s">
        <v>8357</v>
      </c>
      <c r="B4423" t="str">
        <f ca="1">IF(ISBLANK(OFFSET(B4423,0,'Field labels'!$Q$1)),C4423,OFFSET(B4423,0,'Field labels'!$Q$1))</f>
        <v>Profesores de la enseñanza secundaria - 0172</v>
      </c>
      <c r="C4423" t="s">
        <v>8299</v>
      </c>
    </row>
    <row r="4424" spans="1:3">
      <c r="A4424" t="s">
        <v>8357</v>
      </c>
      <c r="B4424" t="str">
        <f ca="1">IF(ISBLANK(OFFSET(B4424,0,'Field labels'!$Q$1)),C4424,OFFSET(B4424,0,'Field labels'!$Q$1))</f>
        <v>Profesores de universidades y otros establecimientos de la enseñanza superior - 0171</v>
      </c>
      <c r="C4424" t="s">
        <v>8300</v>
      </c>
    </row>
    <row r="4425" spans="1:3">
      <c r="A4425" t="s">
        <v>8357</v>
      </c>
      <c r="B4425" t="str">
        <f ca="1">IF(ISBLANK(OFFSET(B4425,0,'Field labels'!$Q$1)),C4425,OFFSET(B4425,0,'Field labels'!$Q$1))</f>
        <v>Programadores informáticos y obras públicas - 0151</v>
      </c>
      <c r="C4425" t="s">
        <v>8301</v>
      </c>
    </row>
    <row r="4426" spans="1:3">
      <c r="A4426" t="s">
        <v>8357</v>
      </c>
      <c r="B4426" t="str">
        <f ca="1">IF(ISBLANK(OFFSET(B4426,0,'Field labels'!$Q$1)),C4426,OFFSET(B4426,0,'Field labels'!$Q$1))</f>
        <v>Psicólogos - 0191</v>
      </c>
      <c r="C4426" t="s">
        <v>8302</v>
      </c>
    </row>
    <row r="4427" spans="1:3">
      <c r="A4427" t="s">
        <v>8357</v>
      </c>
      <c r="B4427" t="str">
        <f ca="1">IF(ISBLANK(OFFSET(B4427,0,'Field labels'!$Q$1)),C4427,OFFSET(B4427,0,'Field labels'!$Q$1))</f>
        <v>Pulidores de metales y afiladores de herramientas - 0362</v>
      </c>
      <c r="C4427" t="s">
        <v>8303</v>
      </c>
    </row>
    <row r="4428" spans="1:3">
      <c r="A4428" t="s">
        <v>8357</v>
      </c>
      <c r="B4428" t="str">
        <f ca="1">IF(ISBLANK(OFFSET(B4428,0,'Field labels'!$Q$1)),C4428,OFFSET(B4428,0,'Field labels'!$Q$1))</f>
        <v>Químicos - 0146</v>
      </c>
      <c r="C4428" t="s">
        <v>8304</v>
      </c>
    </row>
    <row r="4429" spans="1:3">
      <c r="A4429" t="s">
        <v>8357</v>
      </c>
      <c r="B4429" t="str">
        <f ca="1">IF(ISBLANK(OFFSET(B4429,0,'Field labels'!$Q$1)),C4429,OFFSET(B4429,0,'Field labels'!$Q$1))</f>
        <v>Recepcionistas y empleados de informaciones - 0293</v>
      </c>
      <c r="C4429" t="s">
        <v>8305</v>
      </c>
    </row>
    <row r="4430" spans="1:3">
      <c r="A4430" t="s">
        <v>8357</v>
      </c>
      <c r="B4430" t="str">
        <f ca="1">IF(ISBLANK(OFFSET(B4430,0,'Field labels'!$Q$1)),C4430,OFFSET(B4430,0,'Field labels'!$Q$1))</f>
        <v>Receptores de apuestas y afines - 0289</v>
      </c>
      <c r="C4430" t="s">
        <v>8306</v>
      </c>
    </row>
    <row r="4431" spans="1:3">
      <c r="A4431" t="s">
        <v>8357</v>
      </c>
      <c r="B4431" t="str">
        <f ca="1">IF(ISBLANK(OFFSET(B4431,0,'Field labels'!$Q$1)),C4431,OFFSET(B4431,0,'Field labels'!$Q$1))</f>
        <v>Recolectores de basura - 0487</v>
      </c>
      <c r="C4431" t="s">
        <v>8307</v>
      </c>
    </row>
    <row r="4432" spans="1:3">
      <c r="A4432" t="s">
        <v>8357</v>
      </c>
      <c r="B4432" t="str">
        <f ca="1">IF(ISBLANK(OFFSET(B4432,0,'Field labels'!$Q$1)),C4432,OFFSET(B4432,0,'Field labels'!$Q$1))</f>
        <v>Recolectores de dinero en aparatos de venta automática, lectores de medidores y afines - 0486</v>
      </c>
      <c r="C4432" t="s">
        <v>8308</v>
      </c>
    </row>
    <row r="4433" spans="1:3">
      <c r="A4433" t="s">
        <v>8357</v>
      </c>
      <c r="B4433" t="str">
        <f ca="1">IF(ISBLANK(OFFSET(B4433,0,'Field labels'!$Q$1)),C4433,OFFSET(B4433,0,'Field labels'!$Q$1))</f>
        <v>Reguladores y reguladores-operadores de máquinas de labrar madera - 0395</v>
      </c>
      <c r="C4433" t="s">
        <v>8309</v>
      </c>
    </row>
    <row r="4434" spans="1:3">
      <c r="A4434" t="s">
        <v>8357</v>
      </c>
      <c r="B4434" t="str">
        <f ca="1">IF(ISBLANK(OFFSET(B4434,0,'Field labels'!$Q$1)),C4434,OFFSET(B4434,0,'Field labels'!$Q$1))</f>
        <v>Reguladores y reguladores-operadores de máquinas herramientas - 0361</v>
      </c>
      <c r="C4434" t="s">
        <v>8310</v>
      </c>
    </row>
    <row r="4435" spans="1:3">
      <c r="A4435" t="s">
        <v>8357</v>
      </c>
      <c r="B4435" t="str">
        <f ca="1">IF(ISBLANK(OFFSET(B4435,0,'Field labels'!$Q$1)),C4435,OFFSET(B4435,0,'Field labels'!$Q$1))</f>
        <v>Representantes comerciales y técnicos de ventas - 0246</v>
      </c>
      <c r="C4435" t="s">
        <v>8311</v>
      </c>
    </row>
    <row r="4436" spans="1:3">
      <c r="A4436" t="s">
        <v>8357</v>
      </c>
      <c r="B4436" t="str">
        <f ca="1">IF(ISBLANK(OFFSET(B4436,0,'Field labels'!$Q$1)),C4436,OFFSET(B4436,0,'Field labels'!$Q$1))</f>
        <v>Revisores, guardas y cobradores de los transportes públicos - 0296</v>
      </c>
      <c r="C4436" t="s">
        <v>8312</v>
      </c>
    </row>
    <row r="4437" spans="1:3">
      <c r="A4437" t="s">
        <v>8357</v>
      </c>
      <c r="B4437" t="str">
        <f ca="1">IF(ISBLANK(OFFSET(B4437,0,'Field labels'!$Q$1)),C4437,OFFSET(B4437,0,'Field labels'!$Q$1))</f>
        <v>Revocadores - 0345</v>
      </c>
      <c r="C4437" t="s">
        <v>8313</v>
      </c>
    </row>
    <row r="4438" spans="1:3">
      <c r="A4438" t="s">
        <v>8357</v>
      </c>
      <c r="B4438" t="str">
        <f ca="1">IF(ISBLANK(OFFSET(B4438,0,'Field labels'!$Q$1)),C4438,OFFSET(B4438,0,'Field labels'!$Q$1))</f>
        <v>Sacerdotes de distintas religiones - 0198</v>
      </c>
      <c r="C4438" t="s">
        <v>8314</v>
      </c>
    </row>
    <row r="4439" spans="1:3">
      <c r="A4439" t="s">
        <v>8357</v>
      </c>
      <c r="B4439" t="str">
        <f ca="1">IF(ISBLANK(OFFSET(B4439,0,'Field labels'!$Q$1)),C4439,OFFSET(B4439,0,'Field labels'!$Q$1))</f>
        <v>Sastres, modistos y sombrereros - 0399</v>
      </c>
      <c r="C4439" t="s">
        <v>8315</v>
      </c>
    </row>
    <row r="4440" spans="1:3">
      <c r="A4440" t="s">
        <v>8357</v>
      </c>
      <c r="B4440" t="str">
        <f ca="1">IF(ISBLANK(OFFSET(B4440,0,'Field labels'!$Q$1)),C4440,OFFSET(B4440,0,'Field labels'!$Q$1))</f>
        <v>Secretarios - 0276</v>
      </c>
      <c r="C4440" t="s">
        <v>8316</v>
      </c>
    </row>
    <row r="4441" spans="1:3">
      <c r="A4441" t="s">
        <v>8357</v>
      </c>
      <c r="B4441" t="str">
        <f ca="1">IF(ISBLANK(OFFSET(B4441,0,'Field labels'!$Q$1)),C4441,OFFSET(B4441,0,'Field labels'!$Q$1))</f>
        <v>Sociólogos, antropólogos y afines - 0188</v>
      </c>
      <c r="C4441" t="s">
        <v>8317</v>
      </c>
    </row>
    <row r="4442" spans="1:3">
      <c r="A4442" t="s">
        <v>8357</v>
      </c>
      <c r="B4442" t="str">
        <f ca="1">IF(ISBLANK(OFFSET(B4442,0,'Field labels'!$Q$1)),C4442,OFFSET(B4442,0,'Field labels'!$Q$1))</f>
        <v>Soldadores y oxicortadores - 0354</v>
      </c>
      <c r="C4442" t="s">
        <v>8318</v>
      </c>
    </row>
    <row r="4443" spans="1:3">
      <c r="A4443" t="s">
        <v>8357</v>
      </c>
      <c r="B4443" t="str">
        <f ca="1">IF(ISBLANK(OFFSET(B4443,0,'Field labels'!$Q$1)),C4443,OFFSET(B4443,0,'Field labels'!$Q$1))</f>
        <v>Sopladores, modeladores, laminadores, cortadores y pulidores de vidrio - 0376</v>
      </c>
      <c r="C4443" t="s">
        <v>8319</v>
      </c>
    </row>
    <row r="4444" spans="1:3">
      <c r="A4444" t="s">
        <v>8357</v>
      </c>
      <c r="B4444" t="str">
        <f ca="1">IF(ISBLANK(OFFSET(B4444,0,'Field labels'!$Q$1)),C4444,OFFSET(B4444,0,'Field labels'!$Q$1))</f>
        <v>Taladores y otros trabajadores forestales - 0328</v>
      </c>
      <c r="C4444" t="s">
        <v>8320</v>
      </c>
    </row>
    <row r="4445" spans="1:3">
      <c r="A4445" t="s">
        <v>8357</v>
      </c>
      <c r="B4445" t="str">
        <f ca="1">IF(ISBLANK(OFFSET(B4445,0,'Field labels'!$Q$1)),C4445,OFFSET(B4445,0,'Field labels'!$Q$1))</f>
        <v>Tapiceros, colchoneros y afines - 0403</v>
      </c>
      <c r="C4445" t="s">
        <v>8321</v>
      </c>
    </row>
    <row r="4446" spans="1:3">
      <c r="A4446" t="s">
        <v>8357</v>
      </c>
      <c r="B4446" t="str">
        <f ca="1">IF(ISBLANK(OFFSET(B4446,0,'Field labels'!$Q$1)),C4446,OFFSET(B4446,0,'Field labels'!$Q$1))</f>
        <v>Taquígrafos y mecanógrafos - 0272</v>
      </c>
      <c r="C4446" t="s">
        <v>8322</v>
      </c>
    </row>
    <row r="4447" spans="1:3">
      <c r="A4447" t="s">
        <v>8357</v>
      </c>
      <c r="B4447" t="str">
        <f ca="1">IF(ISBLANK(OFFSET(B4447,0,'Field labels'!$Q$1)),C4447,OFFSET(B4447,0,'Field labels'!$Q$1))</f>
        <v>Tasadores y subastadores - 0248</v>
      </c>
      <c r="C4447" t="s">
        <v>8323</v>
      </c>
    </row>
    <row r="4448" spans="1:3">
      <c r="A4448" t="s">
        <v>8357</v>
      </c>
      <c r="B4448" t="str">
        <f ca="1">IF(ISBLANK(OFFSET(B4448,0,'Field labels'!$Q$1)),C4448,OFFSET(B4448,0,'Field labels'!$Q$1))</f>
        <v>Techadores - 0343</v>
      </c>
      <c r="C4448" t="s">
        <v>8324</v>
      </c>
    </row>
    <row r="4449" spans="1:3">
      <c r="A4449" t="s">
        <v>8357</v>
      </c>
      <c r="B4449" t="str">
        <f ca="1">IF(ISBLANK(OFFSET(B4449,0,'Field labels'!$Q$1)),C4449,OFFSET(B4449,0,'Field labels'!$Q$1))</f>
        <v>Técnicos en agronomía, zootecnia y silvicultura - 0223</v>
      </c>
      <c r="C4449" t="s">
        <v>8325</v>
      </c>
    </row>
    <row r="4450" spans="1:3">
      <c r="A4450" t="s">
        <v>8357</v>
      </c>
      <c r="B4450" t="str">
        <f ca="1">IF(ISBLANK(OFFSET(B4450,0,'Field labels'!$Q$1)),C4450,OFFSET(B4450,0,'Field labels'!$Q$1))</f>
        <v>Técnicos en ciencias biológicas y afines - 0222</v>
      </c>
      <c r="C4450" t="s">
        <v>8326</v>
      </c>
    </row>
    <row r="4451" spans="1:3">
      <c r="A4451" t="s">
        <v>8357</v>
      </c>
      <c r="B4451" t="str">
        <f ca="1">IF(ISBLANK(OFFSET(B4451,0,'Field labels'!$Q$1)),C4451,OFFSET(B4451,0,'Field labels'!$Q$1))</f>
        <v>Técnicos en ciencias físicas y Químicas - 0199</v>
      </c>
      <c r="C4451" t="s">
        <v>8327</v>
      </c>
    </row>
    <row r="4452" spans="1:3">
      <c r="A4452" t="s">
        <v>8357</v>
      </c>
      <c r="B4452" t="str">
        <f ca="1">IF(ISBLANK(OFFSET(B4452,0,'Field labels'!$Q$1)),C4452,OFFSET(B4452,0,'Field labels'!$Q$1))</f>
        <v>Técnicos en ciencias físicas y químicas y en ingeniería, no clasificados bajo otros epígrafes - 0207</v>
      </c>
      <c r="C4452" t="s">
        <v>8328</v>
      </c>
    </row>
    <row r="4453" spans="1:3">
      <c r="A4453" t="s">
        <v>8357</v>
      </c>
      <c r="B4453" t="str">
        <f ca="1">IF(ISBLANK(OFFSET(B4453,0,'Field labels'!$Q$1)),C4453,OFFSET(B4453,0,'Field labels'!$Q$1))</f>
        <v>Técnicos en control de equipos informáticos - 0209</v>
      </c>
      <c r="C4453" t="s">
        <v>8329</v>
      </c>
    </row>
    <row r="4454" spans="1:3">
      <c r="A4454" t="s">
        <v>8357</v>
      </c>
      <c r="B4454" t="str">
        <f ca="1">IF(ISBLANK(OFFSET(B4454,0,'Field labels'!$Q$1)),C4454,OFFSET(B4454,0,'Field labels'!$Q$1))</f>
        <v>Técnicos en control de robots industriales - 0210</v>
      </c>
      <c r="C4454" t="s">
        <v>8330</v>
      </c>
    </row>
    <row r="4455" spans="1:3">
      <c r="A4455" t="s">
        <v>8357</v>
      </c>
      <c r="B4455" t="str">
        <f ca="1">IF(ISBLANK(OFFSET(B4455,0,'Field labels'!$Q$1)),C4455,OFFSET(B4455,0,'Field labels'!$Q$1))</f>
        <v>Técnicos en dietética y nutrición - 0227</v>
      </c>
      <c r="C4455" t="s">
        <v>8331</v>
      </c>
    </row>
    <row r="4456" spans="1:3">
      <c r="A4456" t="s">
        <v>8357</v>
      </c>
      <c r="B4456" t="str">
        <f ca="1">IF(ISBLANK(OFFSET(B4456,0,'Field labels'!$Q$1)),C4456,OFFSET(B4456,0,'Field labels'!$Q$1))</f>
        <v>Técnicos en electrónica y telecomunicaciones - 0202</v>
      </c>
      <c r="C4456" t="s">
        <v>8332</v>
      </c>
    </row>
    <row r="4457" spans="1:3">
      <c r="A4457" t="s">
        <v>8357</v>
      </c>
      <c r="B4457" t="str">
        <f ca="1">IF(ISBLANK(OFFSET(B4457,0,'Field labels'!$Q$1)),C4457,OFFSET(B4457,0,'Field labels'!$Q$1))</f>
        <v>Técnicos en ingeniería civil - 0200</v>
      </c>
      <c r="C4457" t="s">
        <v>8333</v>
      </c>
    </row>
    <row r="4458" spans="1:3">
      <c r="A4458" t="s">
        <v>8357</v>
      </c>
      <c r="B4458" t="str">
        <f ca="1">IF(ISBLANK(OFFSET(B4458,0,'Field labels'!$Q$1)),C4458,OFFSET(B4458,0,'Field labels'!$Q$1))</f>
        <v>Técnicos en ingeniería de minas y metalurgia - 0205</v>
      </c>
      <c r="C4458" t="s">
        <v>8334</v>
      </c>
    </row>
    <row r="4459" spans="1:3">
      <c r="A4459" t="s">
        <v>8357</v>
      </c>
      <c r="B4459" t="str">
        <f ca="1">IF(ISBLANK(OFFSET(B4459,0,'Field labels'!$Q$1)),C4459,OFFSET(B4459,0,'Field labels'!$Q$1))</f>
        <v>Técnicos en mecánica y construcción mecánica - 0203</v>
      </c>
      <c r="C4459" t="s">
        <v>8335</v>
      </c>
    </row>
    <row r="4460" spans="1:3">
      <c r="A4460" t="s">
        <v>8357</v>
      </c>
      <c r="B4460" t="str">
        <f ca="1">IF(ISBLANK(OFFSET(B4460,0,'Field labels'!$Q$1)),C4460,OFFSET(B4460,0,'Field labels'!$Q$1))</f>
        <v>Técnicos en optometría y ópticos - 0228</v>
      </c>
      <c r="C4460" t="s">
        <v>8336</v>
      </c>
    </row>
    <row r="4461" spans="1:3">
      <c r="A4461" t="s">
        <v>8357</v>
      </c>
      <c r="B4461" t="str">
        <f ca="1">IF(ISBLANK(OFFSET(B4461,0,'Field labels'!$Q$1)),C4461,OFFSET(B4461,0,'Field labels'!$Q$1))</f>
        <v>Técnicos en programación informática - 0208</v>
      </c>
      <c r="C4461" t="s">
        <v>8337</v>
      </c>
    </row>
    <row r="4462" spans="1:3">
      <c r="A4462" t="s">
        <v>8357</v>
      </c>
      <c r="B4462" t="str">
        <f ca="1">IF(ISBLANK(OFFSET(B4462,0,'Field labels'!$Q$1)),C4462,OFFSET(B4462,0,'Field labels'!$Q$1))</f>
        <v>Técnicos en química industrial - 0204</v>
      </c>
      <c r="C4462" t="s">
        <v>8338</v>
      </c>
    </row>
    <row r="4463" spans="1:3">
      <c r="A4463" t="s">
        <v>8357</v>
      </c>
      <c r="B4463" t="str">
        <f ca="1">IF(ISBLANK(OFFSET(B4463,0,'Field labels'!$Q$1)),C4463,OFFSET(B4463,0,'Field labels'!$Q$1))</f>
        <v>Técnicos en seguridad aeronáutica - 0219</v>
      </c>
      <c r="C4463" t="s">
        <v>8339</v>
      </c>
    </row>
    <row r="4464" spans="1:3">
      <c r="A4464" t="s">
        <v>8357</v>
      </c>
      <c r="B4464" t="str">
        <f ca="1">IF(ISBLANK(OFFSET(B4464,0,'Field labels'!$Q$1)),C4464,OFFSET(B4464,0,'Field labels'!$Q$1))</f>
        <v>Técnicos y asistentes farmacéuticos - 0232</v>
      </c>
      <c r="C4464" t="s">
        <v>8340</v>
      </c>
    </row>
    <row r="4465" spans="1:3">
      <c r="A4465" t="s">
        <v>8357</v>
      </c>
      <c r="B4465" t="str">
        <f ca="1">IF(ISBLANK(OFFSET(B4465,0,'Field labels'!$Q$1)),C4465,OFFSET(B4465,0,'Field labels'!$Q$1))</f>
        <v>Técnicos y asistentes veterinarios - 0231</v>
      </c>
      <c r="C4465" t="s">
        <v>8341</v>
      </c>
    </row>
    <row r="4466" spans="1:3">
      <c r="A4466" t="s">
        <v>8357</v>
      </c>
      <c r="B4466" t="str">
        <f ca="1">IF(ISBLANK(OFFSET(B4466,0,'Field labels'!$Q$1)),C4466,OFFSET(B4466,0,'Field labels'!$Q$1))</f>
        <v>Tejedores con telares o de tejidos de punto y afines - 0398</v>
      </c>
      <c r="C4466" t="s">
        <v>8342</v>
      </c>
    </row>
    <row r="4467" spans="1:3">
      <c r="A4467" t="s">
        <v>8357</v>
      </c>
      <c r="B4467" t="str">
        <f ca="1">IF(ISBLANK(OFFSET(B4467,0,'Field labels'!$Q$1)),C4467,OFFSET(B4467,0,'Field labels'!$Q$1))</f>
        <v>telefonistas - 0294</v>
      </c>
      <c r="C4467" t="s">
        <v>8343</v>
      </c>
    </row>
    <row r="4468" spans="1:3">
      <c r="A4468" t="s">
        <v>8357</v>
      </c>
      <c r="B4468" t="str">
        <f ca="1">IF(ISBLANK(OFFSET(B4468,0,'Field labels'!$Q$1)),C4468,OFFSET(B4468,0,'Field labels'!$Q$1))</f>
        <v>Tenedores de libros - 0256</v>
      </c>
      <c r="C4468" t="s">
        <v>8344</v>
      </c>
    </row>
    <row r="4469" spans="1:3">
      <c r="A4469" t="s">
        <v>8357</v>
      </c>
      <c r="B4469" t="str">
        <f ca="1">IF(ISBLANK(OFFSET(B4469,0,'Field labels'!$Q$1)),C4469,OFFSET(B4469,0,'Field labels'!$Q$1))</f>
        <v>Trabajadores agropecuarios y pesqueros de subsistencia - 0334</v>
      </c>
      <c r="C4469" t="s">
        <v>8345</v>
      </c>
    </row>
    <row r="4470" spans="1:3">
      <c r="A4470" t="s">
        <v>8357</v>
      </c>
      <c r="B4470" t="str">
        <f ca="1">IF(ISBLANK(OFFSET(B4470,0,'Field labels'!$Q$1)),C4470,OFFSET(B4470,0,'Field labels'!$Q$1))</f>
        <v>Trabajadores asistentes sociales de nivel medio - 0265</v>
      </c>
      <c r="C4470" t="s">
        <v>8346</v>
      </c>
    </row>
    <row r="4471" spans="1:3">
      <c r="A4471" t="s">
        <v>8357</v>
      </c>
      <c r="B4471" t="str">
        <f ca="1">IF(ISBLANK(OFFSET(B4471,0,'Field labels'!$Q$1)),C4471,OFFSET(B4471,0,'Field labels'!$Q$1))</f>
        <v>Trabajadores de los cuidados personales y afines, no clasificados bajo otros epígrafes - 0304</v>
      </c>
      <c r="C4471" t="s">
        <v>8347</v>
      </c>
    </row>
    <row r="4472" spans="1:3">
      <c r="A4472" t="s">
        <v>8357</v>
      </c>
      <c r="B4472" t="str">
        <f ca="1">IF(ISBLANK(OFFSET(B4472,0,'Field labels'!$Q$1)),C4472,OFFSET(B4472,0,'Field labels'!$Q$1))</f>
        <v>Traductores e intérpretes - 0190</v>
      </c>
      <c r="C4472" t="s">
        <v>8348</v>
      </c>
    </row>
    <row r="4473" spans="1:3">
      <c r="A4473" t="s">
        <v>8357</v>
      </c>
      <c r="B4473" t="str">
        <f ca="1">IF(ISBLANK(OFFSET(B4473,0,'Field labels'!$Q$1)),C4473,OFFSET(B4473,0,'Field labels'!$Q$1))</f>
        <v>Trozadores, labrantes y grabadores de piedra - 0337</v>
      </c>
      <c r="C4473" t="s">
        <v>8349</v>
      </c>
    </row>
    <row r="4474" spans="1:3">
      <c r="A4474" t="s">
        <v>8357</v>
      </c>
      <c r="B4474" t="str">
        <f ca="1">IF(ISBLANK(OFFSET(B4474,0,'Field labels'!$Q$1)),C4474,OFFSET(B4474,0,'Field labels'!$Q$1))</f>
        <v>Vendedores a domicilio y por teléfono - 0477</v>
      </c>
      <c r="C4474" t="s">
        <v>8350</v>
      </c>
    </row>
    <row r="4475" spans="1:3">
      <c r="A4475" t="s">
        <v>8357</v>
      </c>
      <c r="B4475" t="str">
        <f ca="1">IF(ISBLANK(OFFSET(B4475,0,'Field labels'!$Q$1)),C4475,OFFSET(B4475,0,'Field labels'!$Q$1))</f>
        <v>Vendedores ambulantes de productos comestibles - 0475</v>
      </c>
      <c r="C4475" t="s">
        <v>8351</v>
      </c>
    </row>
    <row r="4476" spans="1:3">
      <c r="A4476" t="s">
        <v>8357</v>
      </c>
      <c r="B4476" t="str">
        <f ca="1">IF(ISBLANK(OFFSET(B4476,0,'Field labels'!$Q$1)),C4476,OFFSET(B4476,0,'Field labels'!$Q$1))</f>
        <v>Vendedores ambulantes de productos no comestibles - 0476</v>
      </c>
      <c r="C4476" t="s">
        <v>8352</v>
      </c>
    </row>
    <row r="4477" spans="1:3">
      <c r="A4477" t="s">
        <v>8357</v>
      </c>
      <c r="B4477" t="str">
        <f ca="1">IF(ISBLANK(OFFSET(B4477,0,'Field labels'!$Q$1)),C4477,OFFSET(B4477,0,'Field labels'!$Q$1))</f>
        <v>Vendedores de kioscos y de puestos de mercado - 0317</v>
      </c>
      <c r="C4477" t="s">
        <v>8353</v>
      </c>
    </row>
    <row r="4478" spans="1:3">
      <c r="A4478" t="s">
        <v>8357</v>
      </c>
      <c r="B4478" t="str">
        <f ca="1">IF(ISBLANK(OFFSET(B4478,0,'Field labels'!$Q$1)),C4478,OFFSET(B4478,0,'Field labels'!$Q$1))</f>
        <v>Vendedores y demostradores de tiendas y almacenes - 0316</v>
      </c>
      <c r="C4478" t="s">
        <v>8354</v>
      </c>
    </row>
    <row r="4479" spans="1:3">
      <c r="A4479" t="s">
        <v>8357</v>
      </c>
      <c r="B4479" t="str">
        <f ca="1">IF(ISBLANK(OFFSET(B4479,0,'Field labels'!$Q$1)),C4479,OFFSET(B4479,0,'Field labels'!$Q$1))</f>
        <v>Veterinarios - 0167</v>
      </c>
      <c r="C4479" t="s">
        <v>8355</v>
      </c>
    </row>
    <row r="4480" spans="1:3">
      <c r="A4480" t="s">
        <v>8357</v>
      </c>
      <c r="B4480" t="str">
        <f ca="1">IF(ISBLANK(OFFSET(B4480,0,'Field labels'!$Q$1)),C4480,OFFSET(B4480,0,'Field labels'!$Q$1))</f>
        <v>Zapateros y afines - 0405</v>
      </c>
      <c r="C4480" t="s">
        <v>8356</v>
      </c>
    </row>
    <row r="4481" spans="1:3">
      <c r="A4481" t="s">
        <v>2023</v>
      </c>
      <c r="B4481" t="str">
        <f ca="1">IF(ISBLANK(OFFSET(B4481,0,'Field labels'!$Q$1)),C4481,OFFSET(B4481,0,'Field labels'!$Q$1))</f>
        <v>Admin [21200001]</v>
      </c>
      <c r="C4481" t="s">
        <v>2026</v>
      </c>
    </row>
    <row r="4482" spans="1:3">
      <c r="A4482" t="s">
        <v>2023</v>
      </c>
      <c r="B4482" t="str">
        <f ca="1">IF(ISBLANK(OFFSET(B4482,0,'Field labels'!$Q$1)),C4482,OFFSET(B4482,0,'Field labels'!$Q$1))</f>
        <v>Application team [21200014]</v>
      </c>
      <c r="C4482" t="s">
        <v>2039</v>
      </c>
    </row>
    <row r="4483" spans="1:3">
      <c r="A4483" t="s">
        <v>2023</v>
      </c>
      <c r="B4483" t="str">
        <f ca="1">IF(ISBLANK(OFFSET(B4483,0,'Field labels'!$Q$1)),C4483,OFFSET(B4483,0,'Field labels'!$Q$1))</f>
        <v>CFN - Sales - Hog [21200008]</v>
      </c>
      <c r="C4483" t="s">
        <v>2033</v>
      </c>
    </row>
    <row r="4484" spans="1:3">
      <c r="A4484" t="s">
        <v>2023</v>
      </c>
      <c r="B4484" t="str">
        <f ca="1">IF(ISBLANK(OFFSET(B4484,0,'Field labels'!$Q$1)),C4484,OFFSET(B4484,0,'Field labels'!$Q$1))</f>
        <v>CFN - Sales - Ruminant [21200009]</v>
      </c>
      <c r="C4484" t="s">
        <v>2034</v>
      </c>
    </row>
    <row r="4485" spans="1:3">
      <c r="A4485" t="s">
        <v>2023</v>
      </c>
      <c r="B4485" t="str">
        <f ca="1">IF(ISBLANK(OFFSET(B4485,0,'Field labels'!$Q$1)),C4485,OFFSET(B4485,0,'Field labels'!$Q$1))</f>
        <v>CFN-Sales-Poultry&amp;Rabbit [21200007]</v>
      </c>
      <c r="C4485" t="s">
        <v>2032</v>
      </c>
    </row>
    <row r="4486" spans="1:3">
      <c r="A4486" t="s">
        <v>2023</v>
      </c>
      <c r="B4486" t="str">
        <f ca="1">IF(ISBLANK(OFFSET(B4486,0,'Field labels'!$Q$1)),C4486,OFFSET(B4486,0,'Field labels'!$Q$1))</f>
        <v>CFN-Sales-Purina Distrib. [21200012]</v>
      </c>
      <c r="C4486" t="s">
        <v>2037</v>
      </c>
    </row>
    <row r="4487" spans="1:3">
      <c r="A4487" t="s">
        <v>2023</v>
      </c>
      <c r="B4487" t="str">
        <f ca="1">IF(ISBLANK(OFFSET(B4487,0,'Field labels'!$Q$1)),C4487,OFFSET(B4487,0,'Field labels'!$Q$1))</f>
        <v>CPN admin [21200002]</v>
      </c>
      <c r="C4487" t="s">
        <v>2027</v>
      </c>
    </row>
    <row r="4488" spans="1:3">
      <c r="A4488" t="s">
        <v>2023</v>
      </c>
      <c r="B4488" t="str">
        <f ca="1">IF(ISBLANK(OFFSET(B4488,0,'Field labels'!$Q$1)),C4488,OFFSET(B4488,0,'Field labels'!$Q$1))</f>
        <v>CRM [21200003]</v>
      </c>
      <c r="C4488" t="s">
        <v>2028</v>
      </c>
    </row>
    <row r="4489" spans="1:3">
      <c r="A4489" t="s">
        <v>2023</v>
      </c>
      <c r="B4489" t="str">
        <f ca="1">IF(ISBLANK(OFFSET(B4489,0,'Field labels'!$Q$1)),C4489,OFFSET(B4489,0,'Field labels'!$Q$1))</f>
        <v>CTS - Sales [21200004]</v>
      </c>
      <c r="C4489" t="s">
        <v>2029</v>
      </c>
    </row>
    <row r="4490" spans="1:3">
      <c r="A4490" t="s">
        <v>2023</v>
      </c>
      <c r="B4490" t="str">
        <f ca="1">IF(ISBLANK(OFFSET(B4490,0,'Field labels'!$Q$1)),C4490,OFFSET(B4490,0,'Field labels'!$Q$1))</f>
        <v>Customer Demand [21200042]</v>
      </c>
      <c r="C4490" t="s">
        <v>2066</v>
      </c>
    </row>
    <row r="4491" spans="1:3">
      <c r="A4491" t="s">
        <v>2023</v>
      </c>
      <c r="B4491" t="str">
        <f ca="1">IF(ISBLANK(OFFSET(B4491,0,'Field labels'!$Q$1)),C4491,OFFSET(B4491,0,'Field labels'!$Q$1))</f>
        <v>EHS [21200005]</v>
      </c>
      <c r="C4491" t="s">
        <v>2030</v>
      </c>
    </row>
    <row r="4492" spans="1:3">
      <c r="A4492" t="s">
        <v>2023</v>
      </c>
      <c r="B4492" t="str">
        <f ca="1">IF(ISBLANK(OFFSET(B4492,0,'Field labels'!$Q$1)),C4492,OFFSET(B4492,0,'Field labels'!$Q$1))</f>
        <v>Feed [21200013]</v>
      </c>
      <c r="C4492" t="s">
        <v>2038</v>
      </c>
    </row>
    <row r="4493" spans="1:3">
      <c r="A4493" t="s">
        <v>2023</v>
      </c>
      <c r="B4493" t="str">
        <f ca="1">IF(ISBLANK(OFFSET(B4493,0,'Field labels'!$Q$1)),C4493,OFFSET(B4493,0,'Field labels'!$Q$1))</f>
        <v>Finance [21200030]</v>
      </c>
      <c r="C4493" t="s">
        <v>2054</v>
      </c>
    </row>
    <row r="4494" spans="1:3">
      <c r="A4494" t="s">
        <v>2023</v>
      </c>
      <c r="B4494" t="str">
        <f ca="1">IF(ISBLANK(OFFSET(B4494,0,'Field labels'!$Q$1)),C4494,OFFSET(B4494,0,'Field labels'!$Q$1))</f>
        <v>Freight Mgnt [21200024]</v>
      </c>
      <c r="C4494" t="s">
        <v>2048</v>
      </c>
    </row>
    <row r="4495" spans="1:3">
      <c r="A4495" t="s">
        <v>2023</v>
      </c>
      <c r="B4495" t="str">
        <f ca="1">IF(ISBLANK(OFFSET(B4495,0,'Field labels'!$Q$1)),C4495,OFFSET(B4495,0,'Field labels'!$Q$1))</f>
        <v>General Management [21200039]</v>
      </c>
      <c r="C4495" t="s">
        <v>2063</v>
      </c>
    </row>
    <row r="4496" spans="1:3">
      <c r="A4496" t="s">
        <v>2023</v>
      </c>
      <c r="B4496" t="str">
        <f ca="1">IF(ISBLANK(OFFSET(B4496,0,'Field labels'!$Q$1)),C4496,OFFSET(B4496,0,'Field labels'!$Q$1))</f>
        <v>HR [21200015]</v>
      </c>
      <c r="C4496" t="s">
        <v>2040</v>
      </c>
    </row>
    <row r="4497" spans="1:3">
      <c r="A4497" t="s">
        <v>2023</v>
      </c>
      <c r="B4497" t="str">
        <f ca="1">IF(ISBLANK(OFFSET(B4497,0,'Field labels'!$Q$1)),C4497,OFFSET(B4497,0,'Field labels'!$Q$1))</f>
        <v>HRSSC [21200016]</v>
      </c>
      <c r="C4497" t="s">
        <v>2041</v>
      </c>
    </row>
    <row r="4498" spans="1:3">
      <c r="A4498" t="s">
        <v>2023</v>
      </c>
      <c r="B4498" t="str">
        <f ca="1">IF(ISBLANK(OFFSET(B4498,0,'Field labels'!$Q$1)),C4498,OFFSET(B4498,0,'Field labels'!$Q$1))</f>
        <v>Input [21200017]</v>
      </c>
      <c r="C4498" t="s">
        <v>2042</v>
      </c>
    </row>
    <row r="4499" spans="1:3">
      <c r="A4499" t="s">
        <v>2023</v>
      </c>
      <c r="B4499" t="str">
        <f ca="1">IF(ISBLANK(OFFSET(B4499,0,'Field labels'!$Q$1)),C4499,OFFSET(B4499,0,'Field labels'!$Q$1))</f>
        <v>ITSB [21200018]</v>
      </c>
      <c r="C4499" t="s">
        <v>2043</v>
      </c>
    </row>
    <row r="4500" spans="1:3">
      <c r="A4500" t="s">
        <v>2023</v>
      </c>
      <c r="B4500" t="str">
        <f ca="1">IF(ISBLANK(OFFSET(B4500,0,'Field labels'!$Q$1)),C4500,OFFSET(B4500,0,'Field labels'!$Q$1))</f>
        <v>Laboratory [21200021]</v>
      </c>
      <c r="C4500" t="s">
        <v>2046</v>
      </c>
    </row>
    <row r="4501" spans="1:3">
      <c r="A4501" t="s">
        <v>2023</v>
      </c>
      <c r="B4501" t="str">
        <f ca="1">IF(ISBLANK(OFFSET(B4501,0,'Field labels'!$Q$1)),C4501,OFFSET(B4501,0,'Field labels'!$Q$1))</f>
        <v>Legal [21200019]</v>
      </c>
      <c r="C4501" t="s">
        <v>2044</v>
      </c>
    </row>
    <row r="4502" spans="1:3">
      <c r="A4502" t="s">
        <v>2023</v>
      </c>
      <c r="B4502" t="str">
        <f ca="1">IF(ISBLANK(OFFSET(B4502,0,'Field labels'!$Q$1)),C4502,OFFSET(B4502,0,'Field labels'!$Q$1))</f>
        <v>Logistics Compliance [21200025]</v>
      </c>
      <c r="C4502" t="s">
        <v>2049</v>
      </c>
    </row>
    <row r="4503" spans="1:3">
      <c r="A4503" t="s">
        <v>2023</v>
      </c>
      <c r="B4503" t="str">
        <f ca="1">IF(ISBLANK(OFFSET(B4503,0,'Field labels'!$Q$1)),C4503,OFFSET(B4503,0,'Field labels'!$Q$1))</f>
        <v>Marketing [21200029]</v>
      </c>
      <c r="C4503" t="s">
        <v>2053</v>
      </c>
    </row>
    <row r="4504" spans="1:3">
      <c r="A4504" t="s">
        <v>2023</v>
      </c>
      <c r="B4504" t="str">
        <f ca="1">IF(ISBLANK(OFFSET(B4504,0,'Field labels'!$Q$1)),C4504,OFFSET(B4504,0,'Field labels'!$Q$1))</f>
        <v>Merchandising [21200020]</v>
      </c>
      <c r="C4504" t="s">
        <v>2045</v>
      </c>
    </row>
    <row r="4505" spans="1:3">
      <c r="A4505" t="s">
        <v>2023</v>
      </c>
      <c r="B4505" t="str">
        <f ca="1">IF(ISBLANK(OFFSET(B4505,0,'Field labels'!$Q$1)),C4505,OFFSET(B4505,0,'Field labels'!$Q$1))</f>
        <v>NGFI [21200040]</v>
      </c>
      <c r="C4505" t="s">
        <v>2064</v>
      </c>
    </row>
    <row r="4506" spans="1:3">
      <c r="A4506" t="s">
        <v>2023</v>
      </c>
      <c r="B4506" t="str">
        <f ca="1">IF(ISBLANK(OFFSET(B4506,0,'Field labels'!$Q$1)),C4506,OFFSET(B4506,0,'Field labels'!$Q$1))</f>
        <v>No organisational unit [00000000]</v>
      </c>
      <c r="C4506" t="s">
        <v>2025</v>
      </c>
    </row>
    <row r="4507" spans="1:3">
      <c r="A4507" t="s">
        <v>2023</v>
      </c>
      <c r="B4507" t="str">
        <f ca="1">IF(ISBLANK(OFFSET(B4507,0,'Field labels'!$Q$1)),C4507,OFFSET(B4507,0,'Field labels'!$Q$1))</f>
        <v>Operations [21200038]</v>
      </c>
      <c r="C4507" t="s">
        <v>2062</v>
      </c>
    </row>
    <row r="4508" spans="1:3">
      <c r="A4508" t="s">
        <v>2023</v>
      </c>
      <c r="B4508" t="str">
        <f ca="1">IF(ISBLANK(OFFSET(B4508,0,'Field labels'!$Q$1)),C4508,OFFSET(B4508,0,'Field labels'!$Q$1))</f>
        <v>Petfood [21200031]</v>
      </c>
      <c r="C4508" t="s">
        <v>2055</v>
      </c>
    </row>
    <row r="4509" spans="1:3">
      <c r="A4509" t="s">
        <v>2023</v>
      </c>
      <c r="B4509" t="str">
        <f ca="1">IF(ISBLANK(OFFSET(B4509,0,'Field labels'!$Q$1)),C4509,OFFSET(B4509,0,'Field labels'!$Q$1))</f>
        <v>Petfood admin [21200032]</v>
      </c>
      <c r="C4509" t="s">
        <v>2056</v>
      </c>
    </row>
    <row r="4510" spans="1:3">
      <c r="A4510" t="s">
        <v>2023</v>
      </c>
      <c r="B4510" t="str">
        <f ca="1">IF(ISBLANK(OFFSET(B4510,0,'Field labels'!$Q$1)),C4510,OFFSET(B4510,0,'Field labels'!$Q$1))</f>
        <v>Planning [21200041]</v>
      </c>
      <c r="C4510" t="s">
        <v>2065</v>
      </c>
    </row>
    <row r="4511" spans="1:3">
      <c r="A4511" t="s">
        <v>2023</v>
      </c>
      <c r="B4511" t="str">
        <f ca="1">IF(ISBLANK(OFFSET(B4511,0,'Field labels'!$Q$1)),C4511,OFFSET(B4511,0,'Field labels'!$Q$1))</f>
        <v>Premix [21200033]</v>
      </c>
      <c r="C4511" t="s">
        <v>2057</v>
      </c>
    </row>
    <row r="4512" spans="1:3">
      <c r="A4512" t="s">
        <v>2023</v>
      </c>
      <c r="B4512" t="str">
        <f ca="1">IF(ISBLANK(OFFSET(B4512,0,'Field labels'!$Q$1)),C4512,OFFSET(B4512,0,'Field labels'!$Q$1))</f>
        <v>RMS [21200028]</v>
      </c>
      <c r="C4512" t="s">
        <v>2052</v>
      </c>
    </row>
    <row r="4513" spans="1:3">
      <c r="A4513" t="s">
        <v>2023</v>
      </c>
      <c r="B4513" t="str">
        <f ca="1">IF(ISBLANK(OFFSET(B4513,0,'Field labels'!$Q$1)),C4513,OFFSET(B4513,0,'Field labels'!$Q$1))</f>
        <v>Sales [21200006]</v>
      </c>
      <c r="C4513" t="s">
        <v>2031</v>
      </c>
    </row>
    <row r="4514" spans="1:3">
      <c r="A4514" t="s">
        <v>2023</v>
      </c>
      <c r="B4514" t="str">
        <f ca="1">IF(ISBLANK(OFFSET(B4514,0,'Field labels'!$Q$1)),C4514,OFFSET(B4514,0,'Field labels'!$Q$1))</f>
        <v>Sales Admin [21200010]</v>
      </c>
      <c r="C4514" t="s">
        <v>2035</v>
      </c>
    </row>
    <row r="4515" spans="1:3">
      <c r="A4515" t="s">
        <v>2023</v>
      </c>
      <c r="B4515" t="str">
        <f ca="1">IF(ISBLANK(OFFSET(B4515,0,'Field labels'!$Q$1)),C4515,OFFSET(B4515,0,'Field labels'!$Q$1))</f>
        <v>Sales CPN [21200011]</v>
      </c>
      <c r="C4515" t="s">
        <v>2036</v>
      </c>
    </row>
    <row r="4516" spans="1:3">
      <c r="A4516" t="s">
        <v>2023</v>
      </c>
      <c r="B4516" t="str">
        <f ca="1">IF(ISBLANK(OFFSET(B4516,0,'Field labels'!$Q$1)),C4516,OFFSET(B4516,0,'Field labels'!$Q$1))</f>
        <v>Silo [21200037]</v>
      </c>
      <c r="C4516" t="s">
        <v>2061</v>
      </c>
    </row>
    <row r="4517" spans="1:3">
      <c r="A4517" t="s">
        <v>2023</v>
      </c>
      <c r="B4517" t="str">
        <f ca="1">IF(ISBLANK(OFFSET(B4517,0,'Field labels'!$Q$1)),C4517,OFFSET(B4517,0,'Field labels'!$Q$1))</f>
        <v>SMT [21200034]</v>
      </c>
      <c r="C4517" t="s">
        <v>2058</v>
      </c>
    </row>
    <row r="4518" spans="1:3">
      <c r="A4518" t="s">
        <v>2023</v>
      </c>
      <c r="B4518" t="str">
        <f ca="1">IF(ISBLANK(OFFSET(B4518,0,'Field labels'!$Q$1)),C4518,OFFSET(B4518,0,'Field labels'!$Q$1))</f>
        <v>SSE - Admin [21200035]</v>
      </c>
      <c r="C4518" t="s">
        <v>2059</v>
      </c>
    </row>
    <row r="4519" spans="1:3">
      <c r="A4519" t="s">
        <v>2023</v>
      </c>
      <c r="B4519" t="str">
        <f ca="1">IF(ISBLANK(OFFSET(B4519,0,'Field labels'!$Q$1)),C4519,OFFSET(B4519,0,'Field labels'!$Q$1))</f>
        <v>SSE - Sales [21200036]</v>
      </c>
      <c r="C4519" t="s">
        <v>2060</v>
      </c>
    </row>
    <row r="4520" spans="1:3">
      <c r="A4520" t="s">
        <v>2023</v>
      </c>
      <c r="B4520" t="str">
        <f ca="1">IF(ISBLANK(OFFSET(B4520,0,'Field labels'!$Q$1)),C4520,OFFSET(B4520,0,'Field labels'!$Q$1))</f>
        <v>Supply Chain [21200026]</v>
      </c>
      <c r="C4520" t="s">
        <v>2050</v>
      </c>
    </row>
    <row r="4521" spans="1:3">
      <c r="A4521" t="s">
        <v>2023</v>
      </c>
      <c r="B4521" t="str">
        <f ca="1">IF(ISBLANK(OFFSET(B4521,0,'Field labels'!$Q$1)),C4521,OFFSET(B4521,0,'Field labels'!$Q$1))</f>
        <v>Supply Chain CPN [21200027]</v>
      </c>
      <c r="C4521" t="s">
        <v>2051</v>
      </c>
    </row>
    <row r="4522" spans="1:3">
      <c r="A4522" t="s">
        <v>2023</v>
      </c>
      <c r="B4522" t="str">
        <f ca="1">IF(ISBLANK(OFFSET(B4522,0,'Field labels'!$Q$1)),C4522,OFFSET(B4522,0,'Field labels'!$Q$1))</f>
        <v>Trade Execution [21200022]</v>
      </c>
      <c r="C4522" t="s">
        <v>2047</v>
      </c>
    </row>
    <row r="4523" spans="1:3">
      <c r="A4523" t="s">
        <v>5148</v>
      </c>
      <c r="B4523" t="str">
        <f ca="1">IF(ISBLANK(OFFSET(B4523,0,'Field labels'!$Q$1)),C4523,OFFSET(B4523,0,'Field labels'!$Q$1))</f>
        <v>IDN-ID Monthly (IDN/01)</v>
      </c>
      <c r="C4523" t="s">
        <v>5142</v>
      </c>
    </row>
    <row r="4524" spans="1:3">
      <c r="A4524" t="s">
        <v>5148</v>
      </c>
      <c r="B4524" t="str">
        <f ca="1">IF(ISBLANK(OFFSET(B4524,0,'Field labels'!$Q$1)),C4524,OFFSET(B4524,0,'Field labels'!$Q$1))</f>
        <v>Pay Scale Area IDN1 (IDN/Pay Scale Area IDN1)</v>
      </c>
      <c r="C4524" t="s">
        <v>5143</v>
      </c>
    </row>
    <row r="4525" spans="1:3">
      <c r="A4525" t="s">
        <v>7739</v>
      </c>
      <c r="B4525" t="str">
        <f ca="1">IF(ISBLANK(OFFSET(B4525,0,'Field labels'!$Q$1)),C4525,OFFSET(B4525,0,'Field labels'!$Q$1))</f>
        <v>JPN-Standard Area (JPN/.1)</v>
      </c>
      <c r="C4525" t="s">
        <v>7740</v>
      </c>
    </row>
    <row r="4526" spans="1:3">
      <c r="A4526" t="s">
        <v>7890</v>
      </c>
      <c r="B4526" t="str">
        <f ca="1">IF(ISBLANK(OFFSET(B4526,0,'Field labels'!$Q$1)),C4526,OFFSET(B4526,0,'Field labels'!$Q$1))</f>
        <v>MEX-Cargill MX (MEX/01)</v>
      </c>
      <c r="C4526" t="s">
        <v>7891</v>
      </c>
    </row>
    <row r="4527" spans="1:3">
      <c r="A4527" t="s">
        <v>5149</v>
      </c>
      <c r="B4527" t="str">
        <f ca="1">IF(ISBLANK(OFFSET(B4527,0,'Field labels'!$Q$1)),C4527,OFFSET(B4527,0,'Field labels'!$Q$1))</f>
        <v>PHL-Philippines Monthly (PHL/01)</v>
      </c>
      <c r="C4527" t="s">
        <v>5144</v>
      </c>
    </row>
    <row r="4528" spans="1:3">
      <c r="A4528" t="s">
        <v>7605</v>
      </c>
      <c r="B4528" t="str">
        <f ca="1">IF(ISBLANK(OFFSET(B4528,0,'Field labels'!$Q$1)),C4528,OFFSET(B4528,0,'Field labels'!$Q$1))</f>
        <v>SGP- Pay scale area (SGP/PSA01)</v>
      </c>
      <c r="C4528" t="s">
        <v>7606</v>
      </c>
    </row>
    <row r="4529" spans="1:3">
      <c r="A4529" t="s">
        <v>7605</v>
      </c>
      <c r="B4529" t="str">
        <f ca="1">IF(ISBLANK(OFFSET(B4529,0,'Field labels'!$Q$1)),C4529,OFFSET(B4529,0,'Field labels'!$Q$1))</f>
        <v>SGP-SG - Monthly (SGP/01)</v>
      </c>
      <c r="C4529" t="s">
        <v>7607</v>
      </c>
    </row>
    <row r="4530" spans="1:3">
      <c r="A4530" t="s">
        <v>5150</v>
      </c>
      <c r="B4530" t="str">
        <f ca="1">IF(ISBLANK(OFFSET(B4530,0,'Field labels'!$Q$1)),C4530,OFFSET(B4530,0,'Field labels'!$Q$1))</f>
        <v>THA-Daily (THA/01)</v>
      </c>
      <c r="C4530" t="s">
        <v>5145</v>
      </c>
    </row>
    <row r="4531" spans="1:3">
      <c r="A4531" t="s">
        <v>5150</v>
      </c>
      <c r="B4531" t="str">
        <f ca="1">IF(ISBLANK(OFFSET(B4531,0,'Field labels'!$Q$1)),C4531,OFFSET(B4531,0,'Field labels'!$Q$1))</f>
        <v>THA-Salary (THA/02)</v>
      </c>
      <c r="C4531" t="s">
        <v>5146</v>
      </c>
    </row>
    <row r="4532" spans="1:3">
      <c r="A4532" t="s">
        <v>7630</v>
      </c>
      <c r="B4532" t="str">
        <f ca="1">IF(ISBLANK(OFFSET(B4532,0,'Field labels'!$Q$1)),C4532,OFFSET(B4532,0,'Field labels'!$Q$1))</f>
        <v>TWN-Standard Area (TWN/.1)</v>
      </c>
      <c r="C4532" t="s">
        <v>7632</v>
      </c>
    </row>
    <row r="4533" spans="1:3">
      <c r="A4533" t="s">
        <v>5151</v>
      </c>
      <c r="B4533" t="str">
        <f ca="1">IF(ISBLANK(OFFSET(B4533,0,'Field labels'!$Q$1)),C4533,OFFSET(B4533,0,'Field labels'!$Q$1))</f>
        <v>VNM-VN - Monthly (VNM/01)</v>
      </c>
      <c r="C4533" t="s">
        <v>5147</v>
      </c>
    </row>
    <row r="4534" spans="1:3">
      <c r="A4534" t="s">
        <v>5152</v>
      </c>
      <c r="B4534" t="str">
        <f ca="1">IF(ISBLANK(OFFSET(B4534,0,'Field labels'!$Q$1)),C4534,OFFSET(B4534,0,'Field labels'!$Q$1))</f>
        <v>IDN-ADV (IDN/01/01/ADV)</v>
      </c>
      <c r="C4534" t="s">
        <v>5156</v>
      </c>
    </row>
    <row r="4535" spans="1:3">
      <c r="A4535" t="s">
        <v>5152</v>
      </c>
      <c r="B4535" t="str">
        <f ca="1">IF(ISBLANK(OFFSET(B4535,0,'Field labels'!$Q$1)),C4535,OFFSET(B4535,0,'Field labels'!$Q$1))</f>
        <v>IDN-ASSCPROF (IDN/01/01/ASSCPROF)</v>
      </c>
      <c r="C4535" t="s">
        <v>5157</v>
      </c>
    </row>
    <row r="4536" spans="1:3">
      <c r="A4536" t="s">
        <v>5152</v>
      </c>
      <c r="B4536" t="str">
        <f ca="1">IF(ISBLANK(OFFSET(B4536,0,'Field labels'!$Q$1)),C4536,OFFSET(B4536,0,'Field labels'!$Q$1))</f>
        <v>IDN-ASSCSUPP (IDN/01/01/ASSCSUPP)</v>
      </c>
      <c r="C4536" t="s">
        <v>5158</v>
      </c>
    </row>
    <row r="4537" spans="1:3">
      <c r="A4537" t="s">
        <v>5152</v>
      </c>
      <c r="B4537" t="str">
        <f ca="1">IF(ISBLANK(OFFSET(B4537,0,'Field labels'!$Q$1)),C4537,OFFSET(B4537,0,'Field labels'!$Q$1))</f>
        <v>IDN-EXECUTIV (IDN/01/01/EXECUTIV)</v>
      </c>
      <c r="C4537" t="s">
        <v>5159</v>
      </c>
    </row>
    <row r="4538" spans="1:3">
      <c r="A4538" t="s">
        <v>5152</v>
      </c>
      <c r="B4538" t="str">
        <f ca="1">IF(ISBLANK(OFFSET(B4538,0,'Field labels'!$Q$1)),C4538,OFFSET(B4538,0,'Field labels'!$Q$1))</f>
        <v>IDN-GROUP (IDN/01/01/GROUP)</v>
      </c>
      <c r="C4538" t="s">
        <v>5160</v>
      </c>
    </row>
    <row r="4539" spans="1:3">
      <c r="A4539" t="s">
        <v>5152</v>
      </c>
      <c r="B4539" t="str">
        <f ca="1">IF(ISBLANK(OFFSET(B4539,0,'Field labels'!$Q$1)),C4539,OFFSET(B4539,0,'Field labels'!$Q$1))</f>
        <v>IDN-MGRI (IDN/01/01/MGRI)</v>
      </c>
      <c r="C4539" t="s">
        <v>5161</v>
      </c>
    </row>
    <row r="4540" spans="1:3">
      <c r="A4540" t="s">
        <v>5152</v>
      </c>
      <c r="B4540" t="str">
        <f ca="1">IF(ISBLANK(OFFSET(B4540,0,'Field labels'!$Q$1)),C4540,OFFSET(B4540,0,'Field labels'!$Q$1))</f>
        <v>IDN-MGRII (IDN/01/01/MGRII)</v>
      </c>
      <c r="C4540" t="s">
        <v>5162</v>
      </c>
    </row>
    <row r="4541" spans="1:3">
      <c r="A4541" t="s">
        <v>5152</v>
      </c>
      <c r="B4541" t="str">
        <f ca="1">IF(ISBLANK(OFFSET(B4541,0,'Field labels'!$Q$1)),C4541,OFFSET(B4541,0,'Field labels'!$Q$1))</f>
        <v>IDN-SRPROF (IDN/01/01/SRPROF)</v>
      </c>
      <c r="C4541" t="s">
        <v>5163</v>
      </c>
    </row>
    <row r="4542" spans="1:3">
      <c r="A4542" t="s">
        <v>5152</v>
      </c>
      <c r="B4542" t="str">
        <f ca="1">IF(ISBLANK(OFFSET(B4542,0,'Field labels'!$Q$1)),C4542,OFFSET(B4542,0,'Field labels'!$Q$1))</f>
        <v>IDN-SRSUPP (IDN/01/01/SRSUPP)</v>
      </c>
      <c r="C4542" t="s">
        <v>5164</v>
      </c>
    </row>
    <row r="4543" spans="1:3">
      <c r="A4543" t="s">
        <v>5152</v>
      </c>
      <c r="B4543" t="str">
        <f ca="1">IF(ISBLANK(OFFSET(B4543,0,'Field labels'!$Q$1)),C4543,OFFSET(B4543,0,'Field labels'!$Q$1))</f>
        <v>IDN-SUPPORT (IDN/01/01/SUPPORT)</v>
      </c>
      <c r="C4543" t="s">
        <v>5165</v>
      </c>
    </row>
    <row r="4544" spans="1:3">
      <c r="A4544" t="s">
        <v>5152</v>
      </c>
      <c r="B4544" t="str">
        <f ca="1">IF(ISBLANK(OFFSET(B4544,0,'Field labels'!$Q$1)),C4544,OFFSET(B4544,0,'Field labels'!$Q$1))</f>
        <v>IDN-SUPVI (IDN/01/01/SUPVI)</v>
      </c>
      <c r="C4544" t="s">
        <v>5166</v>
      </c>
    </row>
    <row r="4545" spans="1:3">
      <c r="A4545" t="s">
        <v>5152</v>
      </c>
      <c r="B4545" t="str">
        <f ca="1">IF(ISBLANK(OFFSET(B4545,0,'Field labels'!$Q$1)),C4545,OFFSET(B4545,0,'Field labels'!$Q$1))</f>
        <v>IDN-SUPVII (IDN/01/01/SUPVII)</v>
      </c>
      <c r="C4545" t="s">
        <v>5167</v>
      </c>
    </row>
    <row r="4546" spans="1:3">
      <c r="A4546" t="s">
        <v>5152</v>
      </c>
      <c r="B4546" t="str">
        <f ca="1">IF(ISBLANK(OFFSET(B4546,0,'Field labels'!$Q$1)),C4546,OFFSET(B4546,0,'Field labels'!$Q$1))</f>
        <v>IDN-UNBANDED (IDN/01/01/UNBANDED)</v>
      </c>
      <c r="C4546" t="s">
        <v>5168</v>
      </c>
    </row>
    <row r="4547" spans="1:3">
      <c r="A4547" t="s">
        <v>7741</v>
      </c>
      <c r="B4547" t="str">
        <f ca="1">IF(ISBLANK(OFFSET(B4547,0,'Field labels'!$Q$1)),C4547,OFFSET(B4547,0,'Field labels'!$Q$1))</f>
        <v>JPN-Standard Group (JPN/.1/.1/001)</v>
      </c>
      <c r="C4547" s="48" t="s">
        <v>7742</v>
      </c>
    </row>
    <row r="4548" spans="1:3">
      <c r="A4548" t="s">
        <v>7892</v>
      </c>
      <c r="B4548" t="str">
        <f ca="1">IF(ISBLANK(OFFSET(B4548,0,'Field labels'!$Q$1)),C4548,OFFSET(B4548,0,'Field labels'!$Q$1))</f>
        <v>MEX-SALARY-1 (MEX/01/01/SALARY)</v>
      </c>
      <c r="C4548" s="48" t="s">
        <v>7893</v>
      </c>
    </row>
    <row r="4549" spans="1:3">
      <c r="A4549" t="s">
        <v>5153</v>
      </c>
      <c r="B4549" t="str">
        <f ca="1">IF(ISBLANK(OFFSET(B4549,0,'Field labels'!$Q$1)),C4549,OFFSET(B4549,0,'Field labels'!$Q$1))</f>
        <v>PHL-Associates professionals and technicians (PHL/01/01/ASSCPROF)</v>
      </c>
      <c r="C4549" t="s">
        <v>5169</v>
      </c>
    </row>
    <row r="4550" spans="1:3">
      <c r="A4550" t="s">
        <v>5153</v>
      </c>
      <c r="B4550" t="str">
        <f ca="1">IF(ISBLANK(OFFSET(B4550,0,'Field labels'!$Q$1)),C4550,OFFSET(B4550,0,'Field labels'!$Q$1))</f>
        <v>PHL-Clerical, sales, service and related employees (PHL/01/01/ASSCSUPP)</v>
      </c>
      <c r="C4550" t="s">
        <v>5170</v>
      </c>
    </row>
    <row r="4551" spans="1:3">
      <c r="A4551" t="s">
        <v>5153</v>
      </c>
      <c r="B4551" t="str">
        <f ca="1">IF(ISBLANK(OFFSET(B4551,0,'Field labels'!$Q$1)),C4551,OFFSET(B4551,0,'Field labels'!$Q$1))</f>
        <v>PHL-Clerical, sales, service and related employees (PHL/01/01/SRSUPP)</v>
      </c>
      <c r="C4551" t="s">
        <v>5171</v>
      </c>
    </row>
    <row r="4552" spans="1:3">
      <c r="A4552" t="s">
        <v>5153</v>
      </c>
      <c r="B4552" t="str">
        <f ca="1">IF(ISBLANK(OFFSET(B4552,0,'Field labels'!$Q$1)),C4552,OFFSET(B4552,0,'Field labels'!$Q$1))</f>
        <v>PHL-Clerical, sales, service and related employees (PHL/01/01/SUPPORT)</v>
      </c>
      <c r="C4552" t="s">
        <v>5172</v>
      </c>
    </row>
    <row r="4553" spans="1:3">
      <c r="A4553" t="s">
        <v>5153</v>
      </c>
      <c r="B4553" t="str">
        <f ca="1">IF(ISBLANK(OFFSET(B4553,0,'Field labels'!$Q$1)),C4553,OFFSET(B4553,0,'Field labels'!$Q$1))</f>
        <v>PHL-Clerical, sales, service and related employees (PHL/01/01/UNBANDED)</v>
      </c>
      <c r="C4553" t="s">
        <v>5173</v>
      </c>
    </row>
    <row r="4554" spans="1:3">
      <c r="A4554" t="s">
        <v>5153</v>
      </c>
      <c r="B4554" t="str">
        <f ca="1">IF(ISBLANK(OFFSET(B4554,0,'Field labels'!$Q$1)),C4554,OFFSET(B4554,0,'Field labels'!$Q$1))</f>
        <v>PHL-Professionals and managers (PHL/01/01/ADV)</v>
      </c>
      <c r="C4554" t="s">
        <v>5174</v>
      </c>
    </row>
    <row r="4555" spans="1:3">
      <c r="A4555" t="s">
        <v>5153</v>
      </c>
      <c r="B4555" t="str">
        <f ca="1">IF(ISBLANK(OFFSET(B4555,0,'Field labels'!$Q$1)),C4555,OFFSET(B4555,0,'Field labels'!$Q$1))</f>
        <v>PHL-Professionals and managers (PHL/01/01/EXECUTIV)</v>
      </c>
      <c r="C4555" t="s">
        <v>5175</v>
      </c>
    </row>
    <row r="4556" spans="1:3">
      <c r="A4556" t="s">
        <v>5153</v>
      </c>
      <c r="B4556" t="str">
        <f ca="1">IF(ISBLANK(OFFSET(B4556,0,'Field labels'!$Q$1)),C4556,OFFSET(B4556,0,'Field labels'!$Q$1))</f>
        <v>PHL-Professionals and managers (PHL/01/01/MGRI)</v>
      </c>
      <c r="C4556" t="s">
        <v>5176</v>
      </c>
    </row>
    <row r="4557" spans="1:3">
      <c r="A4557" t="s">
        <v>5153</v>
      </c>
      <c r="B4557" t="str">
        <f ca="1">IF(ISBLANK(OFFSET(B4557,0,'Field labels'!$Q$1)),C4557,OFFSET(B4557,0,'Field labels'!$Q$1))</f>
        <v>PHL-Professionals and managers (PHL/01/01/MGRII)</v>
      </c>
      <c r="C4557" t="s">
        <v>5177</v>
      </c>
    </row>
    <row r="4558" spans="1:3">
      <c r="A4558" t="s">
        <v>5153</v>
      </c>
      <c r="B4558" t="str">
        <f ca="1">IF(ISBLANK(OFFSET(B4558,0,'Field labels'!$Q$1)),C4558,OFFSET(B4558,0,'Field labels'!$Q$1))</f>
        <v>PHL-Professionals and managers (PHL/01/01/PROF)</v>
      </c>
      <c r="C4558" t="s">
        <v>5178</v>
      </c>
    </row>
    <row r="4559" spans="1:3">
      <c r="A4559" t="s">
        <v>5153</v>
      </c>
      <c r="B4559" t="str">
        <f ca="1">IF(ISBLANK(OFFSET(B4559,0,'Field labels'!$Q$1)),C4559,OFFSET(B4559,0,'Field labels'!$Q$1))</f>
        <v>PHL-Professionals and managers (PHL/01/01/SRADV)</v>
      </c>
      <c r="C4559" t="s">
        <v>5179</v>
      </c>
    </row>
    <row r="4560" spans="1:3">
      <c r="A4560" t="s">
        <v>5153</v>
      </c>
      <c r="B4560" t="str">
        <f ca="1">IF(ISBLANK(OFFSET(B4560,0,'Field labels'!$Q$1)),C4560,OFFSET(B4560,0,'Field labels'!$Q$1))</f>
        <v>PHL-Professionals and managers (PHL/01/01/SRMGRI)</v>
      </c>
      <c r="C4560" t="s">
        <v>5180</v>
      </c>
    </row>
    <row r="4561" spans="1:3">
      <c r="A4561" t="s">
        <v>5153</v>
      </c>
      <c r="B4561" t="str">
        <f ca="1">IF(ISBLANK(OFFSET(B4561,0,'Field labels'!$Q$1)),C4561,OFFSET(B4561,0,'Field labels'!$Q$1))</f>
        <v>PHL-Professionals and managers (PHL/01/01/SRMGRII)</v>
      </c>
      <c r="C4561" t="s">
        <v>5181</v>
      </c>
    </row>
    <row r="4562" spans="1:3">
      <c r="A4562" t="s">
        <v>5153</v>
      </c>
      <c r="B4562" t="str">
        <f ca="1">IF(ISBLANK(OFFSET(B4562,0,'Field labels'!$Q$1)),C4562,OFFSET(B4562,0,'Field labels'!$Q$1))</f>
        <v>PHL-Professionals and managers (PHL/01/01/SRPROF)</v>
      </c>
      <c r="C4562" t="s">
        <v>5182</v>
      </c>
    </row>
    <row r="4563" spans="1:3">
      <c r="A4563" t="s">
        <v>5153</v>
      </c>
      <c r="B4563" t="str">
        <f ca="1">IF(ISBLANK(OFFSET(B4563,0,'Field labels'!$Q$1)),C4563,OFFSET(B4563,0,'Field labels'!$Q$1))</f>
        <v>PHL-Professionals and managers (PHL/01/01/SUPVI)</v>
      </c>
      <c r="C4563" t="s">
        <v>5183</v>
      </c>
    </row>
    <row r="4564" spans="1:3">
      <c r="A4564" t="s">
        <v>5153</v>
      </c>
      <c r="B4564" t="str">
        <f ca="1">IF(ISBLANK(OFFSET(B4564,0,'Field labels'!$Q$1)),C4564,OFFSET(B4564,0,'Field labels'!$Q$1))</f>
        <v>PHL-Professionals and managers (PHL/01/01/SUPVII)</v>
      </c>
      <c r="C4564" t="s">
        <v>5184</v>
      </c>
    </row>
    <row r="4565" spans="1:3">
      <c r="A4565" t="s">
        <v>7608</v>
      </c>
      <c r="B4565" t="str">
        <f ca="1">IF(ISBLANK(OFFSET(B4565,0,'Field labels'!$Q$1)),C4565,OFFSET(B4565,0,'Field labels'!$Q$1))</f>
        <v>SGP-Associates professionals and technicians (SGP/01/01/ASSCPROF)</v>
      </c>
      <c r="C4565" s="48" t="s">
        <v>7609</v>
      </c>
    </row>
    <row r="4566" spans="1:3">
      <c r="A4566" t="s">
        <v>7608</v>
      </c>
      <c r="B4566" t="str">
        <f ca="1">IF(ISBLANK(OFFSET(B4566,0,'Field labels'!$Q$1)),C4566,OFFSET(B4566,0,'Field labels'!$Q$1))</f>
        <v>SGP-Clerical, sales, service and related employees (SGP/01/01/ASSCSUPP)</v>
      </c>
      <c r="C4566" s="48" t="s">
        <v>7610</v>
      </c>
    </row>
    <row r="4567" spans="1:3">
      <c r="A4567" t="s">
        <v>7608</v>
      </c>
      <c r="B4567" t="str">
        <f ca="1">IF(ISBLANK(OFFSET(B4567,0,'Field labels'!$Q$1)),C4567,OFFSET(B4567,0,'Field labels'!$Q$1))</f>
        <v>SGP-Clerical, sales, service and related employees (SGP/01/01/SRSUPP)</v>
      </c>
      <c r="C4567" s="48" t="s">
        <v>7611</v>
      </c>
    </row>
    <row r="4568" spans="1:3">
      <c r="A4568" t="s">
        <v>7608</v>
      </c>
      <c r="B4568" t="str">
        <f ca="1">IF(ISBLANK(OFFSET(B4568,0,'Field labels'!$Q$1)),C4568,OFFSET(B4568,0,'Field labels'!$Q$1))</f>
        <v>SGP-Clerical, sales, service and related employees (SGP/01/01/SUPPORT)</v>
      </c>
      <c r="C4568" s="48" t="s">
        <v>7612</v>
      </c>
    </row>
    <row r="4569" spans="1:3">
      <c r="A4569" t="s">
        <v>7608</v>
      </c>
      <c r="B4569" t="str">
        <f ca="1">IF(ISBLANK(OFFSET(B4569,0,'Field labels'!$Q$1)),C4569,OFFSET(B4569,0,'Field labels'!$Q$1))</f>
        <v>SGP-Clerical, sales, service and related employees (SGP/01/01/UNBANDED)</v>
      </c>
      <c r="C4569" s="48" t="s">
        <v>7613</v>
      </c>
    </row>
    <row r="4570" spans="1:3">
      <c r="A4570" t="s">
        <v>7608</v>
      </c>
      <c r="B4570" t="str">
        <f ca="1">IF(ISBLANK(OFFSET(B4570,0,'Field labels'!$Q$1)),C4570,OFFSET(B4570,0,'Field labels'!$Q$1))</f>
        <v>SGP-Professionals and managers (SGP/01/01/ADV)</v>
      </c>
      <c r="C4570" s="48" t="s">
        <v>7614</v>
      </c>
    </row>
    <row r="4571" spans="1:3">
      <c r="A4571" t="s">
        <v>5154</v>
      </c>
      <c r="B4571" t="str">
        <f ca="1">IF(ISBLANK(OFFSET(B4571,0,'Field labels'!$Q$1)),C4571,OFFSET(B4571,0,'Field labels'!$Q$1))</f>
        <v>THA-For daily wage employees including students &amp; trainees, Local employees and Expats (THA/01/01/01)</v>
      </c>
      <c r="C4571" t="s">
        <v>5185</v>
      </c>
    </row>
    <row r="4572" spans="1:3">
      <c r="A4572" t="s">
        <v>5154</v>
      </c>
      <c r="B4572" t="str">
        <f ca="1">IF(ISBLANK(OFFSET(B4572,0,'Field labels'!$Q$1)),C4572,OFFSET(B4572,0,'Field labels'!$Q$1))</f>
        <v>THA-For daily wage employees including students &amp; trainees, Local employees and Expats (THA/01/02/01)</v>
      </c>
      <c r="C4572" t="s">
        <v>5186</v>
      </c>
    </row>
    <row r="4573" spans="1:3">
      <c r="A4573" t="s">
        <v>7633</v>
      </c>
      <c r="B4573" t="str">
        <f ca="1">IF(ISBLANK(OFFSET(B4573,0,'Field labels'!$Q$1)),C4573,OFFSET(B4573,0,'Field labels'!$Q$1))</f>
        <v>TWN-Standard Group (TWN/.1/.1/001)</v>
      </c>
      <c r="C4573" s="48" t="s">
        <v>7634</v>
      </c>
    </row>
    <row r="4574" spans="1:3">
      <c r="A4574" t="s">
        <v>5155</v>
      </c>
      <c r="B4574" t="str">
        <f ca="1">IF(ISBLANK(OFFSET(B4574,0,'Field labels'!$Q$1)),C4574,OFFSET(B4574,0,'Field labels'!$Q$1))</f>
        <v>VNM-Associates professionals and technicians (VNM/01/01/ASSCPROF)</v>
      </c>
      <c r="C4574" s="48" t="s">
        <v>5187</v>
      </c>
    </row>
    <row r="4575" spans="1:3">
      <c r="A4575" t="s">
        <v>5155</v>
      </c>
      <c r="B4575" t="str">
        <f ca="1">IF(ISBLANK(OFFSET(B4575,0,'Field labels'!$Q$1)),C4575,OFFSET(B4575,0,'Field labels'!$Q$1))</f>
        <v>VNM-Clerical, sales, service and related employees (VNM/01/01/ASSCSUPP)</v>
      </c>
      <c r="C4575" s="48" t="s">
        <v>5188</v>
      </c>
    </row>
    <row r="4576" spans="1:3">
      <c r="A4576" t="s">
        <v>5155</v>
      </c>
      <c r="B4576" t="str">
        <f ca="1">IF(ISBLANK(OFFSET(B4576,0,'Field labels'!$Q$1)),C4576,OFFSET(B4576,0,'Field labels'!$Q$1))</f>
        <v>VNM-Clerical, sales, service and related employees (VNM/01/01/SRSUPP)</v>
      </c>
      <c r="C4576" s="48" t="s">
        <v>5189</v>
      </c>
    </row>
    <row r="4577" spans="1:3">
      <c r="A4577" t="s">
        <v>5155</v>
      </c>
      <c r="B4577" t="str">
        <f ca="1">IF(ISBLANK(OFFSET(B4577,0,'Field labels'!$Q$1)),C4577,OFFSET(B4577,0,'Field labels'!$Q$1))</f>
        <v>VNM-Clerical, sales, service and related employees (VNM/01/01/SUPPORT)</v>
      </c>
      <c r="C4577" s="48" t="s">
        <v>5190</v>
      </c>
    </row>
    <row r="4578" spans="1:3">
      <c r="A4578" t="s">
        <v>5155</v>
      </c>
      <c r="B4578" t="str">
        <f ca="1">IF(ISBLANK(OFFSET(B4578,0,'Field labels'!$Q$1)),C4578,OFFSET(B4578,0,'Field labels'!$Q$1))</f>
        <v>VNM-Clerical, sales, service and related employees (VNM/01/01/UNBANDED)</v>
      </c>
      <c r="C4578" s="48" t="s">
        <v>5191</v>
      </c>
    </row>
    <row r="4579" spans="1:3">
      <c r="A4579" t="s">
        <v>5155</v>
      </c>
      <c r="B4579" t="str">
        <f ca="1">IF(ISBLANK(OFFSET(B4579,0,'Field labels'!$Q$1)),C4579,OFFSET(B4579,0,'Field labels'!$Q$1))</f>
        <v>VNM-Professionals and managers (VNM/01/01/ADV)</v>
      </c>
      <c r="C4579" s="48" t="s">
        <v>5192</v>
      </c>
    </row>
    <row r="4580" spans="1:3">
      <c r="A4580" t="s">
        <v>5155</v>
      </c>
      <c r="B4580" t="str">
        <f ca="1">IF(ISBLANK(OFFSET(B4580,0,'Field labels'!$Q$1)),C4580,OFFSET(B4580,0,'Field labels'!$Q$1))</f>
        <v>VNM-Professionals and managers (VNM/01/01/EXECUTIV)</v>
      </c>
      <c r="C4580" s="48" t="s">
        <v>5193</v>
      </c>
    </row>
    <row r="4581" spans="1:3">
      <c r="A4581" t="s">
        <v>5155</v>
      </c>
      <c r="B4581" t="str">
        <f ca="1">IF(ISBLANK(OFFSET(B4581,0,'Field labels'!$Q$1)),C4581,OFFSET(B4581,0,'Field labels'!$Q$1))</f>
        <v>VNM-Professionals and managers (VNM/01/01/MGRI)</v>
      </c>
      <c r="C4581" s="48" t="s">
        <v>5194</v>
      </c>
    </row>
    <row r="4582" spans="1:3">
      <c r="A4582" t="s">
        <v>5155</v>
      </c>
      <c r="B4582" t="str">
        <f ca="1">IF(ISBLANK(OFFSET(B4582,0,'Field labels'!$Q$1)),C4582,OFFSET(B4582,0,'Field labels'!$Q$1))</f>
        <v>VNM-Professionals and managers (VNM/01/01/MGRII)</v>
      </c>
      <c r="C4582" s="48" t="s">
        <v>5195</v>
      </c>
    </row>
    <row r="4583" spans="1:3">
      <c r="A4583" t="s">
        <v>5155</v>
      </c>
      <c r="B4583" t="str">
        <f ca="1">IF(ISBLANK(OFFSET(B4583,0,'Field labels'!$Q$1)),C4583,OFFSET(B4583,0,'Field labels'!$Q$1))</f>
        <v>VNM-Professionals and managers (VNM/01/01/PROF)</v>
      </c>
      <c r="C4583" s="48" t="s">
        <v>5196</v>
      </c>
    </row>
    <row r="4584" spans="1:3">
      <c r="A4584" t="s">
        <v>5155</v>
      </c>
      <c r="B4584" t="str">
        <f ca="1">IF(ISBLANK(OFFSET(B4584,0,'Field labels'!$Q$1)),C4584,OFFSET(B4584,0,'Field labels'!$Q$1))</f>
        <v>VNM-Professionals and managers (VNM/01/01/SRADV)</v>
      </c>
      <c r="C4584" s="48" t="s">
        <v>5197</v>
      </c>
    </row>
    <row r="4585" spans="1:3">
      <c r="A4585" t="s">
        <v>5155</v>
      </c>
      <c r="B4585" t="str">
        <f ca="1">IF(ISBLANK(OFFSET(B4585,0,'Field labels'!$Q$1)),C4585,OFFSET(B4585,0,'Field labels'!$Q$1))</f>
        <v>VNM-Professionals and managers (VNM/01/01/SRMGRI)</v>
      </c>
      <c r="C4585" s="48" t="s">
        <v>5198</v>
      </c>
    </row>
    <row r="4586" spans="1:3">
      <c r="A4586" t="s">
        <v>5155</v>
      </c>
      <c r="B4586" t="str">
        <f ca="1">IF(ISBLANK(OFFSET(B4586,0,'Field labels'!$Q$1)),C4586,OFFSET(B4586,0,'Field labels'!$Q$1))</f>
        <v>VNM-Professionals and managers (VNM/01/01/SRMGRII)</v>
      </c>
      <c r="C4586" s="48" t="s">
        <v>5199</v>
      </c>
    </row>
    <row r="4587" spans="1:3">
      <c r="A4587" t="s">
        <v>5155</v>
      </c>
      <c r="B4587" t="str">
        <f ca="1">IF(ISBLANK(OFFSET(B4587,0,'Field labels'!$Q$1)),C4587,OFFSET(B4587,0,'Field labels'!$Q$1))</f>
        <v>VNM-Professionals and managers (VNM/01/01/SRPROF)</v>
      </c>
      <c r="C4587" s="48" t="s">
        <v>5200</v>
      </c>
    </row>
    <row r="4588" spans="1:3">
      <c r="A4588" t="s">
        <v>5155</v>
      </c>
      <c r="B4588" t="str">
        <f ca="1">IF(ISBLANK(OFFSET(B4588,0,'Field labels'!$Q$1)),C4588,OFFSET(B4588,0,'Field labels'!$Q$1))</f>
        <v>VNM-Professionals and managers (VNM/01/01/SUPVI)</v>
      </c>
      <c r="C4588" s="48" t="s">
        <v>5201</v>
      </c>
    </row>
    <row r="4589" spans="1:3">
      <c r="A4589" t="s">
        <v>5155</v>
      </c>
      <c r="B4589" t="str">
        <f ca="1">IF(ISBLANK(OFFSET(B4589,0,'Field labels'!$Q$1)),C4589,OFFSET(B4589,0,'Field labels'!$Q$1))</f>
        <v>VNM-Professionals and managers (VNM/01/01/SUPVII)</v>
      </c>
      <c r="C4589" s="48" t="s">
        <v>5202</v>
      </c>
    </row>
    <row r="4590" spans="1:3">
      <c r="A4590" s="85" t="s">
        <v>5203</v>
      </c>
      <c r="B4590" s="22" t="str">
        <f ca="1">IF(ISBLANK(OFFSET(B4590,0,'Field labels'!$Q$1)),C4590,OFFSET(B4590,0,'Field labels'!$Q$1))</f>
        <v>IDN-01 (IDN/01/01/ADV/01)</v>
      </c>
      <c r="C4590" s="48" t="s">
        <v>5206</v>
      </c>
    </row>
    <row r="4591" spans="1:3">
      <c r="A4591" s="85" t="s">
        <v>5203</v>
      </c>
      <c r="B4591" s="22" t="str">
        <f ca="1">IF(ISBLANK(OFFSET(B4591,0,'Field labels'!$Q$1)),C4591,OFFSET(B4591,0,'Field labels'!$Q$1))</f>
        <v>IDN-01 (IDN/01/01/ASSCPROF/01)</v>
      </c>
      <c r="C4591" s="48" t="s">
        <v>5207</v>
      </c>
    </row>
    <row r="4592" spans="1:3">
      <c r="A4592" s="85" t="s">
        <v>5203</v>
      </c>
      <c r="B4592" s="22" t="str">
        <f ca="1">IF(ISBLANK(OFFSET(B4592,0,'Field labels'!$Q$1)),C4592,OFFSET(B4592,0,'Field labels'!$Q$1))</f>
        <v>IDN-01 (IDN/01/01/ASSCSUPP/01)</v>
      </c>
      <c r="C4592" s="48" t="s">
        <v>5208</v>
      </c>
    </row>
    <row r="4593" spans="1:3">
      <c r="A4593" s="85" t="s">
        <v>5203</v>
      </c>
      <c r="B4593" s="22" t="str">
        <f ca="1">IF(ISBLANK(OFFSET(B4593,0,'Field labels'!$Q$1)),C4593,OFFSET(B4593,0,'Field labels'!$Q$1))</f>
        <v>IDN-01 (IDN/01/01/EXECUTIV/01)</v>
      </c>
      <c r="C4593" s="48" t="s">
        <v>5209</v>
      </c>
    </row>
    <row r="4594" spans="1:3">
      <c r="A4594" s="85" t="s">
        <v>5203</v>
      </c>
      <c r="B4594" s="22" t="str">
        <f ca="1">IF(ISBLANK(OFFSET(B4594,0,'Field labels'!$Q$1)),C4594,OFFSET(B4594,0,'Field labels'!$Q$1))</f>
        <v>IDN-01 (IDN/01/01/GROUP/01)</v>
      </c>
      <c r="C4594" s="48" t="s">
        <v>5210</v>
      </c>
    </row>
    <row r="4595" spans="1:3">
      <c r="A4595" s="85" t="s">
        <v>5203</v>
      </c>
      <c r="B4595" s="22" t="str">
        <f ca="1">IF(ISBLANK(OFFSET(B4595,0,'Field labels'!$Q$1)),C4595,OFFSET(B4595,0,'Field labels'!$Q$1))</f>
        <v>IDN-01 (IDN/01/01/MGRI/01)</v>
      </c>
      <c r="C4595" s="48" t="s">
        <v>5211</v>
      </c>
    </row>
    <row r="4596" spans="1:3">
      <c r="A4596" s="85" t="s">
        <v>5203</v>
      </c>
      <c r="B4596" s="22" t="str">
        <f ca="1">IF(ISBLANK(OFFSET(B4596,0,'Field labels'!$Q$1)),C4596,OFFSET(B4596,0,'Field labels'!$Q$1))</f>
        <v>IDN-01 (IDN/01/01/MGRII/01)</v>
      </c>
      <c r="C4596" s="48" t="s">
        <v>5212</v>
      </c>
    </row>
    <row r="4597" spans="1:3">
      <c r="A4597" s="85" t="s">
        <v>5203</v>
      </c>
      <c r="B4597" s="22" t="str">
        <f ca="1">IF(ISBLANK(OFFSET(B4597,0,'Field labels'!$Q$1)),C4597,OFFSET(B4597,0,'Field labels'!$Q$1))</f>
        <v>IDN-01 (IDN/01/01/PROF/01)</v>
      </c>
      <c r="C4597" s="48" t="s">
        <v>5213</v>
      </c>
    </row>
    <row r="4598" spans="1:3">
      <c r="A4598" s="85" t="s">
        <v>5203</v>
      </c>
      <c r="B4598" s="22" t="str">
        <f ca="1">IF(ISBLANK(OFFSET(B4598,0,'Field labels'!$Q$1)),C4598,OFFSET(B4598,0,'Field labels'!$Q$1))</f>
        <v>IDN-01 (IDN/01/01/SRADV/01)</v>
      </c>
      <c r="C4598" s="48" t="s">
        <v>5214</v>
      </c>
    </row>
    <row r="4599" spans="1:3">
      <c r="A4599" s="85" t="s">
        <v>5203</v>
      </c>
      <c r="B4599" s="22" t="str">
        <f ca="1">IF(ISBLANK(OFFSET(B4599,0,'Field labels'!$Q$1)),C4599,OFFSET(B4599,0,'Field labels'!$Q$1))</f>
        <v>IDN-01 (IDN/01/01/SRMGRI/01)</v>
      </c>
      <c r="C4599" s="48" t="s">
        <v>5215</v>
      </c>
    </row>
    <row r="4600" spans="1:3">
      <c r="A4600" s="85" t="s">
        <v>5203</v>
      </c>
      <c r="B4600" s="22" t="str">
        <f ca="1">IF(ISBLANK(OFFSET(B4600,0,'Field labels'!$Q$1)),C4600,OFFSET(B4600,0,'Field labels'!$Q$1))</f>
        <v>IDN-01 (IDN/01/01/SRMGRII/01)</v>
      </c>
      <c r="C4600" s="48" t="s">
        <v>5216</v>
      </c>
    </row>
    <row r="4601" spans="1:3">
      <c r="A4601" s="85" t="s">
        <v>5203</v>
      </c>
      <c r="B4601" s="22" t="str">
        <f ca="1">IF(ISBLANK(OFFSET(B4601,0,'Field labels'!$Q$1)),C4601,OFFSET(B4601,0,'Field labels'!$Q$1))</f>
        <v>IDN-01 (IDN/01/01/SRPROF/01)</v>
      </c>
      <c r="C4601" s="48" t="s">
        <v>5217</v>
      </c>
    </row>
    <row r="4602" spans="1:3">
      <c r="A4602" s="85" t="s">
        <v>5203</v>
      </c>
      <c r="B4602" s="22" t="str">
        <f ca="1">IF(ISBLANK(OFFSET(B4602,0,'Field labels'!$Q$1)),C4602,OFFSET(B4602,0,'Field labels'!$Q$1))</f>
        <v>IDN-01 (IDN/01/01/SRSUPP/01)</v>
      </c>
      <c r="C4602" s="48" t="s">
        <v>5218</v>
      </c>
    </row>
    <row r="4603" spans="1:3">
      <c r="A4603" s="85" t="s">
        <v>5203</v>
      </c>
      <c r="B4603" s="22" t="str">
        <f ca="1">IF(ISBLANK(OFFSET(B4603,0,'Field labels'!$Q$1)),C4603,OFFSET(B4603,0,'Field labels'!$Q$1))</f>
        <v>IDN-01 (IDN/01/01/SUPPORT/01)</v>
      </c>
      <c r="C4603" s="48" t="s">
        <v>5219</v>
      </c>
    </row>
    <row r="4604" spans="1:3">
      <c r="A4604" s="85" t="s">
        <v>5203</v>
      </c>
      <c r="B4604" s="22" t="str">
        <f ca="1">IF(ISBLANK(OFFSET(B4604,0,'Field labels'!$Q$1)),C4604,OFFSET(B4604,0,'Field labels'!$Q$1))</f>
        <v>IDN-01 (IDN/01/01/SUPVI/01)</v>
      </c>
      <c r="C4604" s="48" t="s">
        <v>5220</v>
      </c>
    </row>
    <row r="4605" spans="1:3">
      <c r="A4605" s="85" t="s">
        <v>5203</v>
      </c>
      <c r="B4605" s="22" t="str">
        <f ca="1">IF(ISBLANK(OFFSET(B4605,0,'Field labels'!$Q$1)),C4605,OFFSET(B4605,0,'Field labels'!$Q$1))</f>
        <v>IDN-01 (IDN/01/01/SUPVII/01)</v>
      </c>
      <c r="C4605" s="48" t="s">
        <v>5221</v>
      </c>
    </row>
    <row r="4606" spans="1:3">
      <c r="A4606" s="85" t="s">
        <v>5203</v>
      </c>
      <c r="B4606" s="22" t="str">
        <f ca="1">IF(ISBLANK(OFFSET(B4606,0,'Field labels'!$Q$1)),C4606,OFFSET(B4606,0,'Field labels'!$Q$1))</f>
        <v>IDN-01 (IDN/01/01/UNBANDED/01)</v>
      </c>
      <c r="C4606" s="48" t="s">
        <v>5222</v>
      </c>
    </row>
    <row r="4607" spans="1:3">
      <c r="A4607" s="85" t="s">
        <v>7743</v>
      </c>
      <c r="B4607" s="22" t="s">
        <v>7744</v>
      </c>
      <c r="C4607" s="48" t="s">
        <v>7744</v>
      </c>
    </row>
    <row r="4608" spans="1:3">
      <c r="A4608" s="85" t="s">
        <v>5204</v>
      </c>
      <c r="B4608" s="22" t="str">
        <f ca="1">IF(ISBLANK(OFFSET(B4608,0,'Field labels'!$Q$1)),C4608,OFFSET(B4608,0,'Field labels'!$Q$1))</f>
        <v>PHL-01 (PHL/01/01/ADV/01)</v>
      </c>
      <c r="C4608" s="48" t="s">
        <v>5223</v>
      </c>
    </row>
    <row r="4609" spans="1:3">
      <c r="A4609" s="85" t="s">
        <v>5204</v>
      </c>
      <c r="B4609" s="22" t="str">
        <f ca="1">IF(ISBLANK(OFFSET(B4609,0,'Field labels'!$Q$1)),C4609,OFFSET(B4609,0,'Field labels'!$Q$1))</f>
        <v>PHL-01 (PHL/01/01/ASSCPROF/01)</v>
      </c>
      <c r="C4609" s="48" t="s">
        <v>5224</v>
      </c>
    </row>
    <row r="4610" spans="1:3">
      <c r="A4610" s="85" t="s">
        <v>5204</v>
      </c>
      <c r="B4610" s="22" t="str">
        <f ca="1">IF(ISBLANK(OFFSET(B4610,0,'Field labels'!$Q$1)),C4610,OFFSET(B4610,0,'Field labels'!$Q$1))</f>
        <v>PHL-01 (PHL/01/01/ASSCSUPP/01)</v>
      </c>
      <c r="C4610" s="48" t="s">
        <v>5225</v>
      </c>
    </row>
    <row r="4611" spans="1:3">
      <c r="A4611" s="85" t="s">
        <v>5204</v>
      </c>
      <c r="B4611" s="22" t="str">
        <f ca="1">IF(ISBLANK(OFFSET(B4611,0,'Field labels'!$Q$1)),C4611,OFFSET(B4611,0,'Field labels'!$Q$1))</f>
        <v>PHL-01 (PHL/01/01/EXECUTIV/01)</v>
      </c>
      <c r="C4611" s="48" t="s">
        <v>5226</v>
      </c>
    </row>
    <row r="4612" spans="1:3">
      <c r="A4612" s="85" t="s">
        <v>5204</v>
      </c>
      <c r="B4612" s="22" t="str">
        <f ca="1">IF(ISBLANK(OFFSET(B4612,0,'Field labels'!$Q$1)),C4612,OFFSET(B4612,0,'Field labels'!$Q$1))</f>
        <v>PHL-01 (PHL/01/01/MGRI/01)</v>
      </c>
      <c r="C4612" s="48" t="s">
        <v>5227</v>
      </c>
    </row>
    <row r="4613" spans="1:3">
      <c r="A4613" s="85" t="s">
        <v>5204</v>
      </c>
      <c r="B4613" s="22" t="str">
        <f ca="1">IF(ISBLANK(OFFSET(B4613,0,'Field labels'!$Q$1)),C4613,OFFSET(B4613,0,'Field labels'!$Q$1))</f>
        <v>PHL-01 (PHL/01/01/MGRII/01)</v>
      </c>
      <c r="C4613" s="48" t="s">
        <v>5228</v>
      </c>
    </row>
    <row r="4614" spans="1:3">
      <c r="A4614" s="85" t="s">
        <v>5204</v>
      </c>
      <c r="B4614" s="22" t="str">
        <f ca="1">IF(ISBLANK(OFFSET(B4614,0,'Field labels'!$Q$1)),C4614,OFFSET(B4614,0,'Field labels'!$Q$1))</f>
        <v>PHL-01 (PHL/01/01/PROF/01)</v>
      </c>
      <c r="C4614" s="48" t="s">
        <v>5229</v>
      </c>
    </row>
    <row r="4615" spans="1:3">
      <c r="A4615" s="85" t="s">
        <v>5204</v>
      </c>
      <c r="B4615" s="22" t="str">
        <f ca="1">IF(ISBLANK(OFFSET(B4615,0,'Field labels'!$Q$1)),C4615,OFFSET(B4615,0,'Field labels'!$Q$1))</f>
        <v>PHL-01 (PHL/01/01/SRADV/01)</v>
      </c>
      <c r="C4615" s="48" t="s">
        <v>5230</v>
      </c>
    </row>
    <row r="4616" spans="1:3">
      <c r="A4616" s="85" t="s">
        <v>5204</v>
      </c>
      <c r="B4616" s="22" t="str">
        <f ca="1">IF(ISBLANK(OFFSET(B4616,0,'Field labels'!$Q$1)),C4616,OFFSET(B4616,0,'Field labels'!$Q$1))</f>
        <v>PHL-01 (PHL/01/01/SRMGRI/01)</v>
      </c>
      <c r="C4616" s="48" t="s">
        <v>5231</v>
      </c>
    </row>
    <row r="4617" spans="1:3">
      <c r="A4617" s="85" t="s">
        <v>5204</v>
      </c>
      <c r="B4617" s="22" t="str">
        <f ca="1">IF(ISBLANK(OFFSET(B4617,0,'Field labels'!$Q$1)),C4617,OFFSET(B4617,0,'Field labels'!$Q$1))</f>
        <v>PHL-01 (PHL/01/01/SRMGRII/01)</v>
      </c>
      <c r="C4617" s="48" t="s">
        <v>5232</v>
      </c>
    </row>
    <row r="4618" spans="1:3">
      <c r="A4618" s="85" t="s">
        <v>5204</v>
      </c>
      <c r="B4618" s="22" t="str">
        <f ca="1">IF(ISBLANK(OFFSET(B4618,0,'Field labels'!$Q$1)),C4618,OFFSET(B4618,0,'Field labels'!$Q$1))</f>
        <v>PHL-01 (PHL/01/01/SRPROF/01)</v>
      </c>
      <c r="C4618" s="48" t="s">
        <v>5233</v>
      </c>
    </row>
    <row r="4619" spans="1:3">
      <c r="A4619" s="85" t="s">
        <v>5204</v>
      </c>
      <c r="B4619" s="22" t="str">
        <f ca="1">IF(ISBLANK(OFFSET(B4619,0,'Field labels'!$Q$1)),C4619,OFFSET(B4619,0,'Field labels'!$Q$1))</f>
        <v>PHL-01 (PHL/01/01/SRSUPP/01)</v>
      </c>
      <c r="C4619" s="48" t="s">
        <v>5234</v>
      </c>
    </row>
    <row r="4620" spans="1:3">
      <c r="A4620" s="85" t="s">
        <v>5204</v>
      </c>
      <c r="B4620" s="22" t="str">
        <f ca="1">IF(ISBLANK(OFFSET(B4620,0,'Field labels'!$Q$1)),C4620,OFFSET(B4620,0,'Field labels'!$Q$1))</f>
        <v>PHL-01 (PHL/01/01/SUPPORT/01)</v>
      </c>
      <c r="C4620" s="48" t="s">
        <v>5235</v>
      </c>
    </row>
    <row r="4621" spans="1:3">
      <c r="A4621" s="85" t="s">
        <v>5204</v>
      </c>
      <c r="B4621" s="22" t="str">
        <f ca="1">IF(ISBLANK(OFFSET(B4621,0,'Field labels'!$Q$1)),C4621,OFFSET(B4621,0,'Field labels'!$Q$1))</f>
        <v>PHL-01 (PHL/01/01/SUPVI/01)</v>
      </c>
      <c r="C4621" s="48" t="s">
        <v>5236</v>
      </c>
    </row>
    <row r="4622" spans="1:3">
      <c r="A4622" s="85" t="s">
        <v>5204</v>
      </c>
      <c r="B4622" s="22" t="str">
        <f ca="1">IF(ISBLANK(OFFSET(B4622,0,'Field labels'!$Q$1)),C4622,OFFSET(B4622,0,'Field labels'!$Q$1))</f>
        <v>PHL-01 (PHL/01/01/SUPVII/01)</v>
      </c>
      <c r="C4622" s="48" t="s">
        <v>5237</v>
      </c>
    </row>
    <row r="4623" spans="1:3">
      <c r="A4623" s="85" t="s">
        <v>5204</v>
      </c>
      <c r="B4623" s="22" t="str">
        <f ca="1">IF(ISBLANK(OFFSET(B4623,0,'Field labels'!$Q$1)),C4623,OFFSET(B4623,0,'Field labels'!$Q$1))</f>
        <v>PHL-01 (PHL/01/01/UNBANDED/01)</v>
      </c>
      <c r="C4623" s="48" t="s">
        <v>5238</v>
      </c>
    </row>
    <row r="4624" spans="1:3">
      <c r="A4624" s="85" t="s">
        <v>7635</v>
      </c>
      <c r="B4624" s="22" t="str">
        <f ca="1">IF(ISBLANK(OFFSET(B4624,0,'Field labels'!$Q$1)),C4624,OFFSET(B4624,0,'Field labels'!$Q$1))</f>
        <v>TWN-01 (TWN/.1/.1/001/01)</v>
      </c>
      <c r="C4624" s="48" t="s">
        <v>7636</v>
      </c>
    </row>
    <row r="4625" spans="1:3">
      <c r="A4625" s="85" t="s">
        <v>5205</v>
      </c>
      <c r="B4625" s="22" t="str">
        <f ca="1">IF(ISBLANK(OFFSET(B4625,0,'Field labels'!$Q$1)),C4625,OFFSET(B4625,0,'Field labels'!$Q$1))</f>
        <v>VNM-01 (VNM/01/01/ADV/01)</v>
      </c>
      <c r="C4625" s="48" t="s">
        <v>5239</v>
      </c>
    </row>
    <row r="4626" spans="1:3">
      <c r="A4626" s="85" t="s">
        <v>5205</v>
      </c>
      <c r="B4626" s="22" t="str">
        <f ca="1">IF(ISBLANK(OFFSET(B4626,0,'Field labels'!$Q$1)),C4626,OFFSET(B4626,0,'Field labels'!$Q$1))</f>
        <v>VNM-01 (VNM/01/01/ASSCPROF/01)</v>
      </c>
      <c r="C4626" s="48" t="s">
        <v>5240</v>
      </c>
    </row>
    <row r="4627" spans="1:3">
      <c r="A4627" s="85" t="s">
        <v>5205</v>
      </c>
      <c r="B4627" s="22" t="str">
        <f ca="1">IF(ISBLANK(OFFSET(B4627,0,'Field labels'!$Q$1)),C4627,OFFSET(B4627,0,'Field labels'!$Q$1))</f>
        <v>VNM-01 (VNM/01/01/ASSCSUPP/01)</v>
      </c>
      <c r="C4627" s="48" t="s">
        <v>5241</v>
      </c>
    </row>
    <row r="4628" spans="1:3">
      <c r="A4628" s="85" t="s">
        <v>5205</v>
      </c>
      <c r="B4628" s="22" t="str">
        <f ca="1">IF(ISBLANK(OFFSET(B4628,0,'Field labels'!$Q$1)),C4628,OFFSET(B4628,0,'Field labels'!$Q$1))</f>
        <v>VNM-01 (VNM/01/01/EXECUTIV/01)</v>
      </c>
      <c r="C4628" s="48" t="s">
        <v>5242</v>
      </c>
    </row>
    <row r="4629" spans="1:3">
      <c r="A4629" s="85" t="s">
        <v>5205</v>
      </c>
      <c r="B4629" s="22" t="str">
        <f ca="1">IF(ISBLANK(OFFSET(B4629,0,'Field labels'!$Q$1)),C4629,OFFSET(B4629,0,'Field labels'!$Q$1))</f>
        <v>VNM-01 (VNM/01/01/MGRI/01)</v>
      </c>
      <c r="C4629" s="48" t="s">
        <v>5243</v>
      </c>
    </row>
    <row r="4630" spans="1:3">
      <c r="A4630" s="85" t="s">
        <v>5205</v>
      </c>
      <c r="B4630" s="22" t="str">
        <f ca="1">IF(ISBLANK(OFFSET(B4630,0,'Field labels'!$Q$1)),C4630,OFFSET(B4630,0,'Field labels'!$Q$1))</f>
        <v>VNM-01 (VNM/01/01/MGRII/01)</v>
      </c>
      <c r="C4630" s="48" t="s">
        <v>5244</v>
      </c>
    </row>
    <row r="4631" spans="1:3">
      <c r="A4631" s="85" t="s">
        <v>5205</v>
      </c>
      <c r="B4631" s="22" t="str">
        <f ca="1">IF(ISBLANK(OFFSET(B4631,0,'Field labels'!$Q$1)),C4631,OFFSET(B4631,0,'Field labels'!$Q$1))</f>
        <v>VNM-01 (VNM/01/01/PROF/01)</v>
      </c>
      <c r="C4631" s="48" t="s">
        <v>5245</v>
      </c>
    </row>
    <row r="4632" spans="1:3">
      <c r="A4632" s="85" t="s">
        <v>5205</v>
      </c>
      <c r="B4632" s="22" t="str">
        <f ca="1">IF(ISBLANK(OFFSET(B4632,0,'Field labels'!$Q$1)),C4632,OFFSET(B4632,0,'Field labels'!$Q$1))</f>
        <v>VNM-01 (VNM/01/01/SRADV/01)</v>
      </c>
      <c r="C4632" s="48" t="s">
        <v>5246</v>
      </c>
    </row>
    <row r="4633" spans="1:3">
      <c r="A4633" s="85" t="s">
        <v>5205</v>
      </c>
      <c r="B4633" s="22" t="str">
        <f ca="1">IF(ISBLANK(OFFSET(B4633,0,'Field labels'!$Q$1)),C4633,OFFSET(B4633,0,'Field labels'!$Q$1))</f>
        <v>VNM-01 (VNM/01/01/SRMGRI/01)</v>
      </c>
      <c r="C4633" s="48" t="s">
        <v>5247</v>
      </c>
    </row>
    <row r="4634" spans="1:3">
      <c r="A4634" s="85" t="s">
        <v>5205</v>
      </c>
      <c r="B4634" s="22" t="str">
        <f ca="1">IF(ISBLANK(OFFSET(B4634,0,'Field labels'!$Q$1)),C4634,OFFSET(B4634,0,'Field labels'!$Q$1))</f>
        <v>VNM-01 (VNM/01/01/SRMGRII/01)</v>
      </c>
      <c r="C4634" s="48" t="s">
        <v>5248</v>
      </c>
    </row>
    <row r="4635" spans="1:3">
      <c r="A4635" s="85" t="s">
        <v>5205</v>
      </c>
      <c r="B4635" s="22" t="str">
        <f ca="1">IF(ISBLANK(OFFSET(B4635,0,'Field labels'!$Q$1)),C4635,OFFSET(B4635,0,'Field labels'!$Q$1))</f>
        <v>VNM-01 (VNM/01/01/SRPROF/01)</v>
      </c>
      <c r="C4635" s="48" t="s">
        <v>5249</v>
      </c>
    </row>
    <row r="4636" spans="1:3">
      <c r="A4636" s="85" t="s">
        <v>5205</v>
      </c>
      <c r="B4636" s="22" t="str">
        <f ca="1">IF(ISBLANK(OFFSET(B4636,0,'Field labels'!$Q$1)),C4636,OFFSET(B4636,0,'Field labels'!$Q$1))</f>
        <v>VNM-01 (VNM/01/01/SRSUPP/01)</v>
      </c>
      <c r="C4636" s="48" t="s">
        <v>5250</v>
      </c>
    </row>
    <row r="4637" spans="1:3">
      <c r="A4637" s="85" t="s">
        <v>5205</v>
      </c>
      <c r="B4637" s="22" t="str">
        <f ca="1">IF(ISBLANK(OFFSET(B4637,0,'Field labels'!$Q$1)),C4637,OFFSET(B4637,0,'Field labels'!$Q$1))</f>
        <v>VNM-01 (VNM/01/01/SUPPORT/01)</v>
      </c>
      <c r="C4637" s="48" t="s">
        <v>5251</v>
      </c>
    </row>
    <row r="4638" spans="1:3">
      <c r="A4638" s="85" t="s">
        <v>5205</v>
      </c>
      <c r="B4638" s="22" t="str">
        <f ca="1">IF(ISBLANK(OFFSET(B4638,0,'Field labels'!$Q$1)),C4638,OFFSET(B4638,0,'Field labels'!$Q$1))</f>
        <v>VNM-01 (VNM/01/01/SUPVI/01)</v>
      </c>
      <c r="C4638" s="48" t="s">
        <v>5252</v>
      </c>
    </row>
    <row r="4639" spans="1:3">
      <c r="A4639" s="85" t="s">
        <v>5205</v>
      </c>
      <c r="B4639" s="22" t="str">
        <f ca="1">IF(ISBLANK(OFFSET(B4639,0,'Field labels'!$Q$1)),C4639,OFFSET(B4639,0,'Field labels'!$Q$1))</f>
        <v>VNM-01 (VNM/01/01/SUPVII/01)</v>
      </c>
      <c r="C4639" s="48" t="s">
        <v>5253</v>
      </c>
    </row>
    <row r="4640" spans="1:3">
      <c r="A4640" s="85" t="s">
        <v>5205</v>
      </c>
      <c r="B4640" s="22" t="str">
        <f ca="1">IF(ISBLANK(OFFSET(B4640,0,'Field labels'!$Q$1)),C4640,OFFSET(B4640,0,'Field labels'!$Q$1))</f>
        <v>VNM-01 (VNM/01/01/UNBANDED/01)</v>
      </c>
      <c r="C4640" s="48" t="s">
        <v>5254</v>
      </c>
    </row>
    <row r="4641" spans="1:15">
      <c r="A4641" s="22" t="s">
        <v>5135</v>
      </c>
      <c r="B4641" s="22" t="str">
        <f ca="1">IF(ISBLANK(OFFSET(B4641,0,'Field labels'!$Q$1)),C4641,OFFSET(B4641,0,'Field labels'!$Q$1))</f>
        <v>IDN-Salaried (IDN/01)</v>
      </c>
      <c r="C4641" t="s">
        <v>5136</v>
      </c>
    </row>
    <row r="4642" spans="1:15">
      <c r="A4642" s="22" t="s">
        <v>7737</v>
      </c>
      <c r="B4642" s="22" t="str">
        <f ca="1">IF(ISBLANK(OFFSET(B4642,0,'Field labels'!$Q$1)),C4642,OFFSET(B4642,0,'Field labels'!$Q$1))</f>
        <v>JPN-Monthly (JPN/.1)</v>
      </c>
      <c r="C4642" t="s">
        <v>7738</v>
      </c>
    </row>
    <row r="4643" spans="1:15">
      <c r="A4643" s="22" t="s">
        <v>7888</v>
      </c>
      <c r="B4643" s="22" t="str">
        <f ca="1">IF(ISBLANK(OFFSET(B4643,0,'Field labels'!$Q$1)),C4643,OFFSET(B4643,0,'Field labels'!$Q$1))</f>
        <v>MEX-Semi-Monthly (MEX/01)</v>
      </c>
      <c r="C4643" t="s">
        <v>7889</v>
      </c>
    </row>
    <row r="4644" spans="1:15">
      <c r="A4644" s="22" t="s">
        <v>7888</v>
      </c>
      <c r="B4644" s="22" t="str">
        <f ca="1">IF(ISBLANK(OFFSET(B4644,0,'Field labels'!$Q$1)),C4644,OFFSET(B4644,0,'Field labels'!$Q$1))</f>
        <v>MEX-Semi-Monthly (MEX/01)</v>
      </c>
      <c r="C4644" t="s">
        <v>7889</v>
      </c>
    </row>
    <row r="4645" spans="1:15">
      <c r="A4645" s="22" t="s">
        <v>5140</v>
      </c>
      <c r="B4645" s="22" t="str">
        <f ca="1">IF(ISBLANK(OFFSET(B4645,0,'Field labels'!$Q$1)),C4645,OFFSET(B4645,0,'Field labels'!$Q$1))</f>
        <v>PHL-Salaried (PHL/01)</v>
      </c>
      <c r="C4645" t="s">
        <v>5137</v>
      </c>
    </row>
    <row r="4646" spans="1:15">
      <c r="A4646" s="22" t="s">
        <v>7603</v>
      </c>
      <c r="B4646" s="22" t="str">
        <f ca="1">IF(ISBLANK(OFFSET(B4646,0,'Field labels'!$Q$1)),C4646,OFFSET(B4646,0,'Field labels'!$Q$1))</f>
        <v>SGP-SG - Standard (SGP/01)</v>
      </c>
      <c r="C4646" t="s">
        <v>7604</v>
      </c>
    </row>
    <row r="4647" spans="1:15">
      <c r="A4647" s="22" t="s">
        <v>5141</v>
      </c>
      <c r="B4647" s="22" t="str">
        <f ca="1">IF(ISBLANK(OFFSET(B4647,0,'Field labels'!$Q$1)),C4647,OFFSET(B4647,0,'Field labels'!$Q$1))</f>
        <v>THA-Monthly (THA/02)</v>
      </c>
      <c r="C4647" t="s">
        <v>5138</v>
      </c>
    </row>
    <row r="4648" spans="1:15">
      <c r="A4648" s="22" t="s">
        <v>5141</v>
      </c>
      <c r="B4648" s="22" t="str">
        <f ca="1">IF(ISBLANK(OFFSET(B4648,0,'Field labels'!$Q$1)),C4648,OFFSET(B4648,0,'Field labels'!$Q$1))</f>
        <v>THA-Semi-Monthly (THA/01)</v>
      </c>
      <c r="C4648" t="s">
        <v>5139</v>
      </c>
    </row>
    <row r="4649" spans="1:15">
      <c r="A4649" s="22" t="s">
        <v>7637</v>
      </c>
      <c r="B4649" s="22" t="str">
        <f ca="1">IF(ISBLANK(OFFSET(B4649,0,'Field labels'!$Q$1)),C4649,OFFSET(B4649,0,'Field labels'!$Q$1))</f>
        <v>TWN-Monthly (TWN/.1)</v>
      </c>
      <c r="C4649" t="s">
        <v>7631</v>
      </c>
    </row>
    <row r="4650" spans="1:15">
      <c r="A4650" s="22" t="s">
        <v>2587</v>
      </c>
      <c r="B4650" s="22" t="str">
        <f ca="1">IF(ISBLANK(OFFSET(B4650,0,'Field labels'!$Q$1)),C4650,OFFSET(B4650,0,'Field labels'!$Q$1))</f>
        <v>Checking</v>
      </c>
      <c r="C4650" s="22" t="s">
        <v>4654</v>
      </c>
      <c r="D4650" s="77" t="s">
        <v>4655</v>
      </c>
      <c r="E4650" s="77" t="s">
        <v>4654</v>
      </c>
      <c r="F4650" s="77" t="s">
        <v>4656</v>
      </c>
      <c r="G4650" s="77" t="s">
        <v>4657</v>
      </c>
      <c r="H4650" s="77" t="s">
        <v>4658</v>
      </c>
      <c r="I4650" s="77" t="s">
        <v>4659</v>
      </c>
      <c r="J4650" s="77" t="s">
        <v>4660</v>
      </c>
      <c r="K4650" s="77" t="s">
        <v>4661</v>
      </c>
      <c r="L4650" s="77" t="s">
        <v>4662</v>
      </c>
      <c r="M4650" s="77" t="s">
        <v>4663</v>
      </c>
      <c r="N4650" s="77" t="s">
        <v>4664</v>
      </c>
      <c r="O4650" s="77" t="s">
        <v>4665</v>
      </c>
    </row>
    <row r="4651" spans="1:15" ht="30">
      <c r="A4651" s="22" t="s">
        <v>2587</v>
      </c>
      <c r="B4651" s="22" t="str">
        <f ca="1">IF(ISBLANK(OFFSET(B4651,0,'Field labels'!$Q$1)),C4651,OFFSET(B4651,0,'Field labels'!$Q$1))</f>
        <v>Savings</v>
      </c>
      <c r="C4651" s="22" t="s">
        <v>4643</v>
      </c>
      <c r="D4651" t="s">
        <v>4644</v>
      </c>
      <c r="E4651" s="22" t="s">
        <v>4643</v>
      </c>
      <c r="F4651" t="s">
        <v>4645</v>
      </c>
      <c r="G4651" s="29" t="s">
        <v>4646</v>
      </c>
      <c r="H4651" s="29" t="s">
        <v>4647</v>
      </c>
      <c r="I4651" t="s">
        <v>4648</v>
      </c>
      <c r="J4651" t="s">
        <v>4643</v>
      </c>
      <c r="K4651" t="s">
        <v>4649</v>
      </c>
      <c r="L4651" t="s">
        <v>4650</v>
      </c>
      <c r="M4651" t="s">
        <v>4651</v>
      </c>
      <c r="N4651" s="29" t="s">
        <v>4652</v>
      </c>
      <c r="O4651" t="s">
        <v>4653</v>
      </c>
    </row>
    <row r="4652" spans="1:15">
      <c r="A4652" s="22" t="s">
        <v>300</v>
      </c>
      <c r="B4652" s="22" t="str">
        <f ca="1">IF(ISBLANK(OFFSET(B4652,0,'Field labels'!$Q$1)),C4652,OFFSET(B4652,0,'Field labels'!$Q$1))</f>
        <v>Current Residence</v>
      </c>
      <c r="C4652" t="s">
        <v>2563</v>
      </c>
      <c r="D4652" t="s">
        <v>2563</v>
      </c>
      <c r="E4652" t="s">
        <v>2563</v>
      </c>
      <c r="F4652" t="s">
        <v>2563</v>
      </c>
      <c r="G4652" t="s">
        <v>2563</v>
      </c>
      <c r="H4652" t="s">
        <v>2563</v>
      </c>
      <c r="I4652" t="s">
        <v>2563</v>
      </c>
      <c r="J4652" t="s">
        <v>2563</v>
      </c>
      <c r="K4652" t="s">
        <v>1651</v>
      </c>
      <c r="L4652" t="s">
        <v>2563</v>
      </c>
      <c r="M4652" t="s">
        <v>2563</v>
      </c>
      <c r="N4652" t="s">
        <v>2563</v>
      </c>
      <c r="O4652" t="s">
        <v>2563</v>
      </c>
    </row>
    <row r="4653" spans="1:15">
      <c r="A4653" s="22" t="s">
        <v>300</v>
      </c>
      <c r="B4653" s="22" t="str">
        <f ca="1">IF(ISBLANK(OFFSET(B4653,0,'Field labels'!$Q$1)),C4653,OFFSET(B4653,0,'Field labels'!$Q$1))</f>
        <v>Host Country Residence</v>
      </c>
      <c r="C4653" t="s">
        <v>3731</v>
      </c>
      <c r="D4653" t="s">
        <v>3731</v>
      </c>
      <c r="E4653" t="s">
        <v>3731</v>
      </c>
      <c r="F4653" t="s">
        <v>3731</v>
      </c>
      <c r="G4653" t="s">
        <v>3731</v>
      </c>
      <c r="H4653" t="s">
        <v>3731</v>
      </c>
      <c r="I4653" t="s">
        <v>3731</v>
      </c>
      <c r="J4653" t="s">
        <v>3731</v>
      </c>
      <c r="K4653" t="s">
        <v>3731</v>
      </c>
      <c r="L4653" t="s">
        <v>3731</v>
      </c>
      <c r="M4653" t="s">
        <v>3731</v>
      </c>
      <c r="N4653" t="s">
        <v>3731</v>
      </c>
      <c r="O4653" t="s">
        <v>3731</v>
      </c>
    </row>
    <row r="4654" spans="1:15">
      <c r="A4654" s="22" t="s">
        <v>300</v>
      </c>
      <c r="B4654" s="22" t="str">
        <f ca="1">IF(ISBLANK(OFFSET(B4654,0,'Field labels'!$Q$1)),C4654,OFFSET(B4654,0,'Field labels'!$Q$1))</f>
        <v>Mailing</v>
      </c>
      <c r="C4654" t="s">
        <v>433</v>
      </c>
      <c r="D4654" t="s">
        <v>433</v>
      </c>
      <c r="E4654" t="s">
        <v>433</v>
      </c>
      <c r="F4654" t="s">
        <v>1673</v>
      </c>
      <c r="G4654" t="s">
        <v>1674</v>
      </c>
      <c r="H4654" t="s">
        <v>1675</v>
      </c>
      <c r="I4654" t="s">
        <v>433</v>
      </c>
      <c r="J4654" t="s">
        <v>433</v>
      </c>
      <c r="K4654" t="s">
        <v>1676</v>
      </c>
      <c r="L4654" t="s">
        <v>433</v>
      </c>
      <c r="M4654" t="s">
        <v>1677</v>
      </c>
      <c r="N4654" t="s">
        <v>1677</v>
      </c>
      <c r="O4654" t="s">
        <v>433</v>
      </c>
    </row>
    <row r="4655" spans="1:15">
      <c r="A4655" s="22" t="s">
        <v>300</v>
      </c>
      <c r="B4655" s="22" t="str">
        <f ca="1">IF(ISBLANK(OFFSET(B4655,0,'Field labels'!$Q$1)),C4655,OFFSET(B4655,0,'Field labels'!$Q$1))</f>
        <v>Permanent Residence</v>
      </c>
      <c r="C4655" t="s">
        <v>2562</v>
      </c>
      <c r="D4655" t="s">
        <v>4608</v>
      </c>
      <c r="E4655" t="s">
        <v>2562</v>
      </c>
      <c r="F4655" t="s">
        <v>4609</v>
      </c>
      <c r="G4655" t="s">
        <v>4610</v>
      </c>
      <c r="H4655" t="s">
        <v>2562</v>
      </c>
      <c r="I4655" t="s">
        <v>2562</v>
      </c>
      <c r="J4655" t="s">
        <v>2562</v>
      </c>
      <c r="K4655" t="s">
        <v>4611</v>
      </c>
      <c r="L4655" t="s">
        <v>2562</v>
      </c>
      <c r="M4655" t="s">
        <v>2562</v>
      </c>
      <c r="N4655" t="s">
        <v>4612</v>
      </c>
      <c r="O4655" t="s">
        <v>2562</v>
      </c>
    </row>
    <row r="4656" spans="1:15">
      <c r="A4656" s="22" t="s">
        <v>313</v>
      </c>
      <c r="B4656" s="22" t="str">
        <f ca="1">IF(ISBLANK(OFFSET(B4656,0,'Field labels'!$Q$1)),C4656,OFFSET(B4656,0,'Field labels'!$Q$1))</f>
        <v>(Refer to country of Birth)</v>
      </c>
      <c r="C4656" s="22" t="s">
        <v>210</v>
      </c>
    </row>
    <row r="4657" spans="1:15">
      <c r="A4657" s="22" t="s">
        <v>324</v>
      </c>
      <c r="B4657" s="22" t="str">
        <f ca="1">IF(ISBLANK(OFFSET(B4657,0,'Field labels'!$Q$1)),C4657,OFFSET(B4657,0,'Field labels'!$Q$1))</f>
        <v>Aberdeen City</v>
      </c>
      <c r="C4657" s="22" t="s">
        <v>611</v>
      </c>
      <c r="D4657" t="s">
        <v>611</v>
      </c>
      <c r="E4657" t="s">
        <v>611</v>
      </c>
      <c r="F4657" t="s">
        <v>4035</v>
      </c>
      <c r="G4657" t="s">
        <v>611</v>
      </c>
      <c r="H4657" t="s">
        <v>611</v>
      </c>
      <c r="I4657" t="s">
        <v>611</v>
      </c>
      <c r="J4657" t="s">
        <v>611</v>
      </c>
      <c r="K4657" t="s">
        <v>4035</v>
      </c>
      <c r="L4657" t="s">
        <v>4036</v>
      </c>
      <c r="M4657" t="s">
        <v>611</v>
      </c>
      <c r="N4657" t="s">
        <v>611</v>
      </c>
      <c r="O4657" t="s">
        <v>611</v>
      </c>
    </row>
    <row r="4658" spans="1:15">
      <c r="A4658" s="22" t="s">
        <v>324</v>
      </c>
      <c r="B4658" s="22" t="str">
        <f ca="1">IF(ISBLANK(OFFSET(B4658,0,'Field labels'!$Q$1)),C4658,OFFSET(B4658,0,'Field labels'!$Q$1))</f>
        <v>Aberdeenshire</v>
      </c>
      <c r="C4658" s="22" t="s">
        <v>612</v>
      </c>
      <c r="D4658" t="s">
        <v>612</v>
      </c>
      <c r="E4658" t="s">
        <v>612</v>
      </c>
      <c r="F4658" t="s">
        <v>612</v>
      </c>
      <c r="G4658" t="s">
        <v>612</v>
      </c>
      <c r="H4658" t="s">
        <v>612</v>
      </c>
      <c r="I4658" t="s">
        <v>612</v>
      </c>
      <c r="J4658" t="s">
        <v>612</v>
      </c>
      <c r="K4658" t="s">
        <v>612</v>
      </c>
      <c r="L4658" t="s">
        <v>612</v>
      </c>
      <c r="M4658" t="s">
        <v>612</v>
      </c>
      <c r="N4658" t="s">
        <v>612</v>
      </c>
      <c r="O4658" t="s">
        <v>612</v>
      </c>
    </row>
    <row r="4659" spans="1:15">
      <c r="A4659" s="22" t="s">
        <v>324</v>
      </c>
      <c r="B4659" s="22" t="str">
        <f ca="1">IF(ISBLANK(OFFSET(B4659,0,'Field labels'!$Q$1)),C4659,OFFSET(B4659,0,'Field labels'!$Q$1))</f>
        <v>Angus</v>
      </c>
      <c r="C4659" s="22" t="s">
        <v>613</v>
      </c>
      <c r="D4659" t="s">
        <v>613</v>
      </c>
      <c r="E4659" t="s">
        <v>613</v>
      </c>
      <c r="F4659" t="s">
        <v>613</v>
      </c>
      <c r="G4659" t="s">
        <v>613</v>
      </c>
      <c r="H4659" t="s">
        <v>613</v>
      </c>
      <c r="I4659" t="s">
        <v>613</v>
      </c>
      <c r="J4659" t="s">
        <v>613</v>
      </c>
      <c r="K4659" t="s">
        <v>613</v>
      </c>
      <c r="L4659" t="s">
        <v>613</v>
      </c>
      <c r="M4659" t="s">
        <v>613</v>
      </c>
      <c r="N4659" t="s">
        <v>613</v>
      </c>
      <c r="O4659" t="s">
        <v>613</v>
      </c>
    </row>
    <row r="4660" spans="1:15">
      <c r="A4660" s="22" t="s">
        <v>324</v>
      </c>
      <c r="B4660" s="22" t="str">
        <f ca="1">IF(ISBLANK(OFFSET(B4660,0,'Field labels'!$Q$1)),C4660,OFFSET(B4660,0,'Field labels'!$Q$1))</f>
        <v>Antrim</v>
      </c>
      <c r="C4660" s="22" t="s">
        <v>585</v>
      </c>
      <c r="D4660" t="s">
        <v>585</v>
      </c>
      <c r="E4660" t="s">
        <v>585</v>
      </c>
      <c r="F4660" t="s">
        <v>585</v>
      </c>
      <c r="G4660" t="s">
        <v>585</v>
      </c>
      <c r="H4660" t="s">
        <v>585</v>
      </c>
      <c r="I4660" t="s">
        <v>585</v>
      </c>
      <c r="J4660" t="s">
        <v>585</v>
      </c>
      <c r="K4660" t="s">
        <v>585</v>
      </c>
      <c r="L4660" t="s">
        <v>585</v>
      </c>
      <c r="M4660" t="s">
        <v>585</v>
      </c>
      <c r="N4660" t="s">
        <v>585</v>
      </c>
      <c r="O4660" t="s">
        <v>585</v>
      </c>
    </row>
    <row r="4661" spans="1:15">
      <c r="A4661" s="22" t="s">
        <v>324</v>
      </c>
      <c r="B4661" s="22" t="str">
        <f ca="1">IF(ISBLANK(OFFSET(B4661,0,'Field labels'!$Q$1)),C4661,OFFSET(B4661,0,'Field labels'!$Q$1))</f>
        <v>Ards</v>
      </c>
      <c r="C4661" s="22" t="s">
        <v>586</v>
      </c>
      <c r="D4661" t="s">
        <v>586</v>
      </c>
      <c r="E4661" t="s">
        <v>586</v>
      </c>
      <c r="F4661" t="s">
        <v>586</v>
      </c>
      <c r="G4661" t="s">
        <v>586</v>
      </c>
      <c r="H4661" t="s">
        <v>586</v>
      </c>
      <c r="I4661" t="s">
        <v>586</v>
      </c>
      <c r="J4661" t="s">
        <v>586</v>
      </c>
      <c r="K4661" t="s">
        <v>586</v>
      </c>
      <c r="L4661" t="s">
        <v>586</v>
      </c>
      <c r="M4661" t="s">
        <v>586</v>
      </c>
      <c r="N4661" t="s">
        <v>586</v>
      </c>
      <c r="O4661" t="s">
        <v>586</v>
      </c>
    </row>
    <row r="4662" spans="1:15">
      <c r="A4662" s="22" t="s">
        <v>324</v>
      </c>
      <c r="B4662" s="22" t="str">
        <f ca="1">IF(ISBLANK(OFFSET(B4662,0,'Field labels'!$Q$1)),C4662,OFFSET(B4662,0,'Field labels'!$Q$1))</f>
        <v>Argyll and Bute</v>
      </c>
      <c r="C4662" s="22" t="s">
        <v>614</v>
      </c>
      <c r="D4662" t="s">
        <v>614</v>
      </c>
      <c r="E4662" t="s">
        <v>614</v>
      </c>
      <c r="F4662" t="s">
        <v>4037</v>
      </c>
      <c r="G4662" t="s">
        <v>614</v>
      </c>
      <c r="H4662" t="s">
        <v>614</v>
      </c>
      <c r="I4662" t="s">
        <v>614</v>
      </c>
      <c r="J4662" t="s">
        <v>614</v>
      </c>
      <c r="K4662" t="s">
        <v>4035</v>
      </c>
      <c r="L4662" t="s">
        <v>614</v>
      </c>
      <c r="M4662" t="s">
        <v>614</v>
      </c>
      <c r="N4662" t="s">
        <v>614</v>
      </c>
      <c r="O4662" t="s">
        <v>614</v>
      </c>
    </row>
    <row r="4663" spans="1:15">
      <c r="A4663" s="22" t="s">
        <v>324</v>
      </c>
      <c r="B4663" s="22" t="str">
        <f ca="1">IF(ISBLANK(OFFSET(B4663,0,'Field labels'!$Q$1)),C4663,OFFSET(B4663,0,'Field labels'!$Q$1))</f>
        <v>Armagh</v>
      </c>
      <c r="C4663" s="22" t="s">
        <v>587</v>
      </c>
      <c r="D4663" t="s">
        <v>587</v>
      </c>
      <c r="E4663" t="s">
        <v>587</v>
      </c>
      <c r="F4663" t="s">
        <v>587</v>
      </c>
      <c r="G4663" t="s">
        <v>587</v>
      </c>
      <c r="H4663" t="s">
        <v>587</v>
      </c>
      <c r="I4663" t="s">
        <v>587</v>
      </c>
      <c r="J4663" t="s">
        <v>587</v>
      </c>
      <c r="K4663" t="s">
        <v>587</v>
      </c>
      <c r="L4663" t="s">
        <v>587</v>
      </c>
      <c r="M4663" t="s">
        <v>587</v>
      </c>
      <c r="N4663" t="s">
        <v>587</v>
      </c>
      <c r="O4663" t="s">
        <v>587</v>
      </c>
    </row>
    <row r="4664" spans="1:15">
      <c r="A4664" s="22" t="s">
        <v>324</v>
      </c>
      <c r="B4664" s="22" t="str">
        <f ca="1">IF(ISBLANK(OFFSET(B4664,0,'Field labels'!$Q$1)),C4664,OFFSET(B4664,0,'Field labels'!$Q$1))</f>
        <v>Ballymena</v>
      </c>
      <c r="C4664" s="22" t="s">
        <v>588</v>
      </c>
      <c r="D4664" t="s">
        <v>588</v>
      </c>
      <c r="E4664" t="s">
        <v>588</v>
      </c>
      <c r="F4664" t="s">
        <v>588</v>
      </c>
      <c r="G4664" t="s">
        <v>588</v>
      </c>
      <c r="H4664" t="s">
        <v>588</v>
      </c>
      <c r="I4664" t="s">
        <v>588</v>
      </c>
      <c r="J4664" t="s">
        <v>588</v>
      </c>
      <c r="K4664" t="s">
        <v>588</v>
      </c>
      <c r="L4664" t="s">
        <v>588</v>
      </c>
      <c r="M4664" t="s">
        <v>588</v>
      </c>
      <c r="N4664" t="s">
        <v>588</v>
      </c>
      <c r="O4664" t="s">
        <v>588</v>
      </c>
    </row>
    <row r="4665" spans="1:15">
      <c r="A4665" s="22" t="s">
        <v>324</v>
      </c>
      <c r="B4665" s="22" t="str">
        <f ca="1">IF(ISBLANK(OFFSET(B4665,0,'Field labels'!$Q$1)),C4665,OFFSET(B4665,0,'Field labels'!$Q$1))</f>
        <v>Ballymoney</v>
      </c>
      <c r="C4665" s="22" t="s">
        <v>589</v>
      </c>
      <c r="D4665" t="s">
        <v>589</v>
      </c>
      <c r="E4665" t="s">
        <v>589</v>
      </c>
      <c r="F4665" t="s">
        <v>589</v>
      </c>
      <c r="G4665" t="s">
        <v>589</v>
      </c>
      <c r="H4665" t="s">
        <v>589</v>
      </c>
      <c r="I4665" t="s">
        <v>589</v>
      </c>
      <c r="J4665" t="s">
        <v>589</v>
      </c>
      <c r="K4665" t="s">
        <v>589</v>
      </c>
      <c r="L4665" t="s">
        <v>589</v>
      </c>
      <c r="M4665" t="s">
        <v>589</v>
      </c>
      <c r="N4665" t="s">
        <v>589</v>
      </c>
      <c r="O4665" t="s">
        <v>589</v>
      </c>
    </row>
    <row r="4666" spans="1:15">
      <c r="A4666" s="22" t="s">
        <v>324</v>
      </c>
      <c r="B4666" s="22" t="str">
        <f ca="1">IF(ISBLANK(OFFSET(B4666,0,'Field labels'!$Q$1)),C4666,OFFSET(B4666,0,'Field labels'!$Q$1))</f>
        <v>Banbridge</v>
      </c>
      <c r="C4666" s="22" t="s">
        <v>590</v>
      </c>
      <c r="D4666" t="s">
        <v>590</v>
      </c>
      <c r="E4666" t="s">
        <v>590</v>
      </c>
      <c r="F4666" t="s">
        <v>590</v>
      </c>
      <c r="G4666" t="s">
        <v>590</v>
      </c>
      <c r="H4666" t="s">
        <v>590</v>
      </c>
      <c r="I4666" t="s">
        <v>590</v>
      </c>
      <c r="J4666" t="s">
        <v>590</v>
      </c>
      <c r="K4666" t="s">
        <v>590</v>
      </c>
      <c r="L4666" t="s">
        <v>590</v>
      </c>
      <c r="M4666" t="s">
        <v>590</v>
      </c>
      <c r="N4666" t="s">
        <v>590</v>
      </c>
      <c r="O4666" t="s">
        <v>590</v>
      </c>
    </row>
    <row r="4667" spans="1:15">
      <c r="A4667" s="22" t="s">
        <v>324</v>
      </c>
      <c r="B4667" s="22" t="str">
        <f ca="1">IF(ISBLANK(OFFSET(B4667,0,'Field labels'!$Q$1)),C4667,OFFSET(B4667,0,'Field labels'!$Q$1))</f>
        <v>Barking and Dagenham</v>
      </c>
      <c r="C4667" s="22" t="s">
        <v>461</v>
      </c>
      <c r="D4667" t="s">
        <v>461</v>
      </c>
      <c r="E4667" t="s">
        <v>461</v>
      </c>
      <c r="F4667" t="s">
        <v>4038</v>
      </c>
      <c r="G4667" t="s">
        <v>461</v>
      </c>
      <c r="H4667" t="s">
        <v>461</v>
      </c>
      <c r="I4667" t="s">
        <v>461</v>
      </c>
      <c r="J4667" t="s">
        <v>461</v>
      </c>
      <c r="K4667" t="s">
        <v>461</v>
      </c>
      <c r="L4667" t="s">
        <v>461</v>
      </c>
      <c r="M4667" t="s">
        <v>461</v>
      </c>
      <c r="N4667" t="s">
        <v>461</v>
      </c>
      <c r="O4667" t="s">
        <v>461</v>
      </c>
    </row>
    <row r="4668" spans="1:15">
      <c r="A4668" s="22" t="s">
        <v>324</v>
      </c>
      <c r="B4668" s="22" t="str">
        <f ca="1">IF(ISBLANK(OFFSET(B4668,0,'Field labels'!$Q$1)),C4668,OFFSET(B4668,0,'Field labels'!$Q$1))</f>
        <v>Barnet</v>
      </c>
      <c r="C4668" s="22" t="s">
        <v>462</v>
      </c>
      <c r="D4668" t="s">
        <v>462</v>
      </c>
      <c r="E4668" t="s">
        <v>462</v>
      </c>
      <c r="F4668" t="s">
        <v>462</v>
      </c>
      <c r="G4668" t="s">
        <v>462</v>
      </c>
      <c r="H4668" t="s">
        <v>462</v>
      </c>
      <c r="I4668" t="s">
        <v>462</v>
      </c>
      <c r="J4668" t="s">
        <v>462</v>
      </c>
      <c r="K4668" t="s">
        <v>462</v>
      </c>
      <c r="L4668" t="s">
        <v>462</v>
      </c>
      <c r="M4668" t="s">
        <v>462</v>
      </c>
      <c r="N4668" t="s">
        <v>462</v>
      </c>
      <c r="O4668" t="s">
        <v>462</v>
      </c>
    </row>
    <row r="4669" spans="1:15">
      <c r="A4669" s="22" t="s">
        <v>324</v>
      </c>
      <c r="B4669" s="22" t="str">
        <f ca="1">IF(ISBLANK(OFFSET(B4669,0,'Field labels'!$Q$1)),C4669,OFFSET(B4669,0,'Field labels'!$Q$1))</f>
        <v>Barnsley</v>
      </c>
      <c r="C4669" s="22" t="s">
        <v>493</v>
      </c>
      <c r="D4669" t="s">
        <v>493</v>
      </c>
      <c r="E4669" t="s">
        <v>493</v>
      </c>
      <c r="F4669" t="s">
        <v>493</v>
      </c>
      <c r="G4669" t="s">
        <v>493</v>
      </c>
      <c r="H4669" t="s">
        <v>493</v>
      </c>
      <c r="I4669" t="s">
        <v>493</v>
      </c>
      <c r="J4669" t="s">
        <v>493</v>
      </c>
      <c r="K4669" t="s">
        <v>493</v>
      </c>
      <c r="L4669" t="s">
        <v>493</v>
      </c>
      <c r="M4669" t="s">
        <v>493</v>
      </c>
      <c r="N4669" t="s">
        <v>493</v>
      </c>
      <c r="O4669" t="s">
        <v>493</v>
      </c>
    </row>
    <row r="4670" spans="1:15">
      <c r="A4670" s="22" t="s">
        <v>324</v>
      </c>
      <c r="B4670" s="22" t="str">
        <f ca="1">IF(ISBLANK(OFFSET(B4670,0,'Field labels'!$Q$1)),C4670,OFFSET(B4670,0,'Field labels'!$Q$1))</f>
        <v>Bath and North East Somerset</v>
      </c>
      <c r="C4670" s="22" t="s">
        <v>529</v>
      </c>
      <c r="D4670" t="s">
        <v>529</v>
      </c>
      <c r="E4670" t="s">
        <v>529</v>
      </c>
      <c r="F4670" t="s">
        <v>4039</v>
      </c>
      <c r="G4670" t="s">
        <v>529</v>
      </c>
      <c r="H4670" t="s">
        <v>529</v>
      </c>
      <c r="I4670" t="s">
        <v>529</v>
      </c>
      <c r="J4670" t="s">
        <v>529</v>
      </c>
      <c r="K4670" t="s">
        <v>529</v>
      </c>
      <c r="L4670" t="s">
        <v>529</v>
      </c>
      <c r="M4670" t="s">
        <v>529</v>
      </c>
      <c r="N4670" t="s">
        <v>529</v>
      </c>
      <c r="O4670" t="s">
        <v>529</v>
      </c>
    </row>
    <row r="4671" spans="1:15">
      <c r="A4671" s="22" t="s">
        <v>324</v>
      </c>
      <c r="B4671" s="22" t="str">
        <f ca="1">IF(ISBLANK(OFFSET(B4671,0,'Field labels'!$Q$1)),C4671,OFFSET(B4671,0,'Field labels'!$Q$1))</f>
        <v>Bedford</v>
      </c>
      <c r="C4671" s="22" t="s">
        <v>531</v>
      </c>
      <c r="D4671" t="s">
        <v>531</v>
      </c>
      <c r="E4671" t="s">
        <v>531</v>
      </c>
      <c r="F4671" t="s">
        <v>531</v>
      </c>
      <c r="G4671" t="s">
        <v>531</v>
      </c>
      <c r="H4671" t="s">
        <v>531</v>
      </c>
      <c r="I4671" t="s">
        <v>531</v>
      </c>
      <c r="J4671" t="s">
        <v>531</v>
      </c>
      <c r="K4671" t="s">
        <v>531</v>
      </c>
      <c r="L4671" t="s">
        <v>531</v>
      </c>
      <c r="M4671" t="s">
        <v>531</v>
      </c>
      <c r="N4671" t="s">
        <v>531</v>
      </c>
      <c r="O4671" t="s">
        <v>531</v>
      </c>
    </row>
    <row r="4672" spans="1:15">
      <c r="A4672" s="22" t="s">
        <v>324</v>
      </c>
      <c r="B4672" s="22" t="str">
        <f ca="1">IF(ISBLANK(OFFSET(B4672,0,'Field labels'!$Q$1)),C4672,OFFSET(B4672,0,'Field labels'!$Q$1))</f>
        <v>Belfast</v>
      </c>
      <c r="C4672" s="22" t="s">
        <v>591</v>
      </c>
      <c r="D4672" t="s">
        <v>591</v>
      </c>
      <c r="E4672" t="s">
        <v>591</v>
      </c>
      <c r="F4672" t="s">
        <v>591</v>
      </c>
      <c r="G4672" t="s">
        <v>591</v>
      </c>
      <c r="H4672" t="s">
        <v>591</v>
      </c>
      <c r="I4672" t="s">
        <v>591</v>
      </c>
      <c r="J4672" t="s">
        <v>591</v>
      </c>
      <c r="K4672" t="s">
        <v>591</v>
      </c>
      <c r="L4672" t="s">
        <v>591</v>
      </c>
      <c r="M4672" t="s">
        <v>591</v>
      </c>
      <c r="N4672" t="s">
        <v>591</v>
      </c>
      <c r="O4672" t="s">
        <v>591</v>
      </c>
    </row>
    <row r="4673" spans="1:15">
      <c r="A4673" s="22" t="s">
        <v>324</v>
      </c>
      <c r="B4673" s="22" t="str">
        <f ca="1">IF(ISBLANK(OFFSET(B4673,0,'Field labels'!$Q$1)),C4673,OFFSET(B4673,0,'Field labels'!$Q$1))</f>
        <v>Bexley</v>
      </c>
      <c r="C4673" s="22" t="s">
        <v>463</v>
      </c>
      <c r="D4673" t="s">
        <v>463</v>
      </c>
      <c r="E4673" t="s">
        <v>463</v>
      </c>
      <c r="F4673" t="s">
        <v>463</v>
      </c>
      <c r="G4673" t="s">
        <v>463</v>
      </c>
      <c r="H4673" t="s">
        <v>463</v>
      </c>
      <c r="I4673" t="s">
        <v>463</v>
      </c>
      <c r="J4673" t="s">
        <v>463</v>
      </c>
      <c r="K4673" t="s">
        <v>463</v>
      </c>
      <c r="L4673" t="s">
        <v>463</v>
      </c>
      <c r="M4673" t="s">
        <v>463</v>
      </c>
      <c r="N4673" t="s">
        <v>463</v>
      </c>
      <c r="O4673" t="s">
        <v>463</v>
      </c>
    </row>
    <row r="4674" spans="1:15">
      <c r="A4674" s="22" t="s">
        <v>324</v>
      </c>
      <c r="B4674" s="22" t="str">
        <f ca="1">IF(ISBLANK(OFFSET(B4674,0,'Field labels'!$Q$1)),C4674,OFFSET(B4674,0,'Field labels'!$Q$1))</f>
        <v>Birmingham</v>
      </c>
      <c r="C4674" s="22" t="s">
        <v>494</v>
      </c>
      <c r="D4674" t="s">
        <v>494</v>
      </c>
      <c r="E4674" t="s">
        <v>494</v>
      </c>
      <c r="F4674" t="s">
        <v>494</v>
      </c>
      <c r="G4674" t="s">
        <v>494</v>
      </c>
      <c r="H4674" t="s">
        <v>494</v>
      </c>
      <c r="I4674" t="s">
        <v>494</v>
      </c>
      <c r="J4674" t="s">
        <v>494</v>
      </c>
      <c r="K4674" t="s">
        <v>494</v>
      </c>
      <c r="L4674" t="s">
        <v>494</v>
      </c>
      <c r="M4674" t="s">
        <v>494</v>
      </c>
      <c r="N4674" t="s">
        <v>494</v>
      </c>
      <c r="O4674" t="s">
        <v>494</v>
      </c>
    </row>
    <row r="4675" spans="1:15">
      <c r="A4675" s="22" t="s">
        <v>324</v>
      </c>
      <c r="B4675" s="22" t="str">
        <f ca="1">IF(ISBLANK(OFFSET(B4675,0,'Field labels'!$Q$1)),C4675,OFFSET(B4675,0,'Field labels'!$Q$1))</f>
        <v>Blackburn with Darwen</v>
      </c>
      <c r="C4675" s="22" t="s">
        <v>530</v>
      </c>
      <c r="D4675" t="s">
        <v>530</v>
      </c>
      <c r="E4675" t="s">
        <v>530</v>
      </c>
      <c r="F4675" t="s">
        <v>4040</v>
      </c>
      <c r="G4675" t="s">
        <v>530</v>
      </c>
      <c r="H4675" t="s">
        <v>530</v>
      </c>
      <c r="I4675" t="s">
        <v>530</v>
      </c>
      <c r="J4675" t="s">
        <v>530</v>
      </c>
      <c r="K4675" t="s">
        <v>530</v>
      </c>
      <c r="L4675" t="s">
        <v>530</v>
      </c>
      <c r="M4675" t="s">
        <v>530</v>
      </c>
      <c r="N4675" t="s">
        <v>530</v>
      </c>
      <c r="O4675" t="s">
        <v>530</v>
      </c>
    </row>
    <row r="4676" spans="1:15">
      <c r="A4676" s="22" t="s">
        <v>324</v>
      </c>
      <c r="B4676" s="22" t="str">
        <f ca="1">IF(ISBLANK(OFFSET(B4676,0,'Field labels'!$Q$1)),C4676,OFFSET(B4676,0,'Field labels'!$Q$1))</f>
        <v>Blackpool</v>
      </c>
      <c r="C4676" s="22" t="s">
        <v>532</v>
      </c>
      <c r="D4676" t="s">
        <v>532</v>
      </c>
      <c r="E4676" t="s">
        <v>532</v>
      </c>
      <c r="F4676" t="s">
        <v>532</v>
      </c>
      <c r="G4676" t="s">
        <v>532</v>
      </c>
      <c r="H4676" t="s">
        <v>532</v>
      </c>
      <c r="I4676" t="s">
        <v>532</v>
      </c>
      <c r="J4676" t="s">
        <v>532</v>
      </c>
      <c r="K4676" t="s">
        <v>532</v>
      </c>
      <c r="L4676" t="s">
        <v>532</v>
      </c>
      <c r="M4676" t="s">
        <v>532</v>
      </c>
      <c r="N4676" t="s">
        <v>532</v>
      </c>
      <c r="O4676" t="s">
        <v>532</v>
      </c>
    </row>
    <row r="4677" spans="1:15">
      <c r="A4677" s="22" t="s">
        <v>324</v>
      </c>
      <c r="B4677" s="22" t="str">
        <f ca="1">IF(ISBLANK(OFFSET(B4677,0,'Field labels'!$Q$1)),C4677,OFFSET(B4677,0,'Field labels'!$Q$1))</f>
        <v>Blaenau Gwent</v>
      </c>
      <c r="C4677" s="22" t="s">
        <v>643</v>
      </c>
      <c r="D4677" t="s">
        <v>643</v>
      </c>
      <c r="E4677" t="s">
        <v>643</v>
      </c>
      <c r="F4677" t="s">
        <v>643</v>
      </c>
      <c r="G4677" t="s">
        <v>643</v>
      </c>
      <c r="H4677" t="s">
        <v>643</v>
      </c>
      <c r="I4677" t="s">
        <v>643</v>
      </c>
      <c r="J4677" t="s">
        <v>643</v>
      </c>
      <c r="K4677" t="s">
        <v>643</v>
      </c>
      <c r="L4677" t="s">
        <v>643</v>
      </c>
      <c r="M4677" t="s">
        <v>643</v>
      </c>
      <c r="N4677" t="s">
        <v>643</v>
      </c>
      <c r="O4677" t="s">
        <v>643</v>
      </c>
    </row>
    <row r="4678" spans="1:15">
      <c r="A4678" s="22" t="s">
        <v>324</v>
      </c>
      <c r="B4678" s="22" t="str">
        <f ca="1">IF(ISBLANK(OFFSET(B4678,0,'Field labels'!$Q$1)),C4678,OFFSET(B4678,0,'Field labels'!$Q$1))</f>
        <v>Blekinge</v>
      </c>
      <c r="C4678" s="22" t="s">
        <v>4041</v>
      </c>
      <c r="D4678" t="s">
        <v>4041</v>
      </c>
      <c r="E4678" t="s">
        <v>4041</v>
      </c>
      <c r="F4678" t="s">
        <v>4041</v>
      </c>
      <c r="G4678" t="s">
        <v>4041</v>
      </c>
      <c r="H4678" t="s">
        <v>4041</v>
      </c>
      <c r="I4678" t="s">
        <v>4041</v>
      </c>
      <c r="J4678" t="s">
        <v>4041</v>
      </c>
      <c r="K4678" t="s">
        <v>4041</v>
      </c>
      <c r="L4678" t="s">
        <v>4041</v>
      </c>
      <c r="M4678" t="s">
        <v>4041</v>
      </c>
      <c r="N4678" t="s">
        <v>4041</v>
      </c>
      <c r="O4678" t="s">
        <v>4041</v>
      </c>
    </row>
    <row r="4679" spans="1:15">
      <c r="A4679" s="22" t="s">
        <v>324</v>
      </c>
      <c r="B4679" s="22" t="str">
        <f ca="1">IF(ISBLANK(OFFSET(B4679,0,'Field labels'!$Q$1)),C4679,OFFSET(B4679,0,'Field labels'!$Q$1))</f>
        <v>Bolton</v>
      </c>
      <c r="C4679" s="22" t="s">
        <v>495</v>
      </c>
      <c r="D4679" t="s">
        <v>495</v>
      </c>
      <c r="E4679" t="s">
        <v>495</v>
      </c>
      <c r="F4679" t="s">
        <v>495</v>
      </c>
      <c r="G4679" t="s">
        <v>495</v>
      </c>
      <c r="H4679" t="s">
        <v>495</v>
      </c>
      <c r="I4679" t="s">
        <v>495</v>
      </c>
      <c r="J4679" t="s">
        <v>495</v>
      </c>
      <c r="K4679" t="s">
        <v>495</v>
      </c>
      <c r="L4679" t="s">
        <v>495</v>
      </c>
      <c r="M4679" t="s">
        <v>495</v>
      </c>
      <c r="N4679" t="s">
        <v>495</v>
      </c>
      <c r="O4679" t="s">
        <v>495</v>
      </c>
    </row>
    <row r="4680" spans="1:15">
      <c r="A4680" s="22" t="s">
        <v>324</v>
      </c>
      <c r="B4680" s="22" t="str">
        <f ca="1">IF(ISBLANK(OFFSET(B4680,0,'Field labels'!$Q$1)),C4680,OFFSET(B4680,0,'Field labels'!$Q$1))</f>
        <v>Bournemouth</v>
      </c>
      <c r="C4680" s="22" t="s">
        <v>533</v>
      </c>
      <c r="D4680" t="s">
        <v>533</v>
      </c>
      <c r="E4680" t="s">
        <v>533</v>
      </c>
      <c r="F4680" t="s">
        <v>4042</v>
      </c>
      <c r="G4680" t="s">
        <v>533</v>
      </c>
      <c r="H4680" t="s">
        <v>533</v>
      </c>
      <c r="I4680" t="s">
        <v>533</v>
      </c>
      <c r="J4680" t="s">
        <v>533</v>
      </c>
      <c r="K4680" t="s">
        <v>533</v>
      </c>
      <c r="L4680" t="s">
        <v>533</v>
      </c>
      <c r="M4680" t="s">
        <v>533</v>
      </c>
      <c r="N4680" t="s">
        <v>533</v>
      </c>
      <c r="O4680" t="s">
        <v>533</v>
      </c>
    </row>
    <row r="4681" spans="1:15">
      <c r="A4681" s="22" t="s">
        <v>324</v>
      </c>
      <c r="B4681" s="22" t="str">
        <f ca="1">IF(ISBLANK(OFFSET(B4681,0,'Field labels'!$Q$1)),C4681,OFFSET(B4681,0,'Field labels'!$Q$1))</f>
        <v>Bracknell Forest</v>
      </c>
      <c r="C4681" s="22" t="s">
        <v>534</v>
      </c>
      <c r="D4681" t="s">
        <v>534</v>
      </c>
      <c r="E4681" t="s">
        <v>534</v>
      </c>
      <c r="F4681" t="s">
        <v>534</v>
      </c>
      <c r="G4681" t="s">
        <v>534</v>
      </c>
      <c r="H4681" t="s">
        <v>534</v>
      </c>
      <c r="I4681" t="s">
        <v>534</v>
      </c>
      <c r="J4681" t="s">
        <v>534</v>
      </c>
      <c r="K4681" t="s">
        <v>534</v>
      </c>
      <c r="L4681" t="s">
        <v>534</v>
      </c>
      <c r="M4681" t="s">
        <v>534</v>
      </c>
      <c r="N4681" t="s">
        <v>534</v>
      </c>
      <c r="O4681" t="s">
        <v>534</v>
      </c>
    </row>
    <row r="4682" spans="1:15">
      <c r="A4682" s="22" t="s">
        <v>324</v>
      </c>
      <c r="B4682" s="22" t="str">
        <f ca="1">IF(ISBLANK(OFFSET(B4682,0,'Field labels'!$Q$1)),C4682,OFFSET(B4682,0,'Field labels'!$Q$1))</f>
        <v>Bradford</v>
      </c>
      <c r="C4682" s="22" t="s">
        <v>496</v>
      </c>
      <c r="D4682" t="s">
        <v>496</v>
      </c>
      <c r="E4682" t="s">
        <v>496</v>
      </c>
      <c r="F4682" t="s">
        <v>496</v>
      </c>
      <c r="G4682" t="s">
        <v>496</v>
      </c>
      <c r="H4682" t="s">
        <v>496</v>
      </c>
      <c r="I4682" t="s">
        <v>496</v>
      </c>
      <c r="J4682" t="s">
        <v>496</v>
      </c>
      <c r="K4682" t="s">
        <v>496</v>
      </c>
      <c r="L4682" t="s">
        <v>496</v>
      </c>
      <c r="M4682" t="s">
        <v>496</v>
      </c>
      <c r="N4682" t="s">
        <v>496</v>
      </c>
      <c r="O4682" t="s">
        <v>496</v>
      </c>
    </row>
    <row r="4683" spans="1:15">
      <c r="A4683" s="22" t="s">
        <v>324</v>
      </c>
      <c r="B4683" s="22" t="str">
        <f ca="1">IF(ISBLANK(OFFSET(B4683,0,'Field labels'!$Q$1)),C4683,OFFSET(B4683,0,'Field labels'!$Q$1))</f>
        <v>Brent</v>
      </c>
      <c r="C4683" s="22" t="s">
        <v>464</v>
      </c>
      <c r="D4683" t="s">
        <v>464</v>
      </c>
      <c r="E4683" t="s">
        <v>464</v>
      </c>
      <c r="F4683" t="s">
        <v>464</v>
      </c>
      <c r="G4683" t="s">
        <v>464</v>
      </c>
      <c r="H4683" t="s">
        <v>464</v>
      </c>
      <c r="I4683" t="s">
        <v>464</v>
      </c>
      <c r="J4683" t="s">
        <v>464</v>
      </c>
      <c r="K4683" t="s">
        <v>464</v>
      </c>
      <c r="L4683" t="s">
        <v>464</v>
      </c>
      <c r="M4683" t="s">
        <v>464</v>
      </c>
      <c r="N4683" t="s">
        <v>464</v>
      </c>
      <c r="O4683" t="s">
        <v>464</v>
      </c>
    </row>
    <row r="4684" spans="1:15">
      <c r="A4684" s="22" t="s">
        <v>324</v>
      </c>
      <c r="B4684" s="22" t="str">
        <f ca="1">IF(ISBLANK(OFFSET(B4684,0,'Field labels'!$Q$1)),C4684,OFFSET(B4684,0,'Field labels'!$Q$1))</f>
        <v>Bridgend</v>
      </c>
      <c r="C4684" s="22" t="s">
        <v>644</v>
      </c>
      <c r="D4684" t="s">
        <v>644</v>
      </c>
      <c r="E4684" t="s">
        <v>644</v>
      </c>
      <c r="F4684" t="s">
        <v>644</v>
      </c>
      <c r="G4684" t="s">
        <v>644</v>
      </c>
      <c r="H4684" t="s">
        <v>644</v>
      </c>
      <c r="I4684" t="s">
        <v>644</v>
      </c>
      <c r="J4684" t="s">
        <v>644</v>
      </c>
      <c r="K4684" t="s">
        <v>644</v>
      </c>
      <c r="L4684" t="s">
        <v>644</v>
      </c>
      <c r="M4684" t="s">
        <v>644</v>
      </c>
      <c r="N4684" t="s">
        <v>644</v>
      </c>
      <c r="O4684" t="s">
        <v>644</v>
      </c>
    </row>
    <row r="4685" spans="1:15">
      <c r="A4685" s="22" t="s">
        <v>324</v>
      </c>
      <c r="B4685" s="22" t="str">
        <f ca="1">IF(ISBLANK(OFFSET(B4685,0,'Field labels'!$Q$1)),C4685,OFFSET(B4685,0,'Field labels'!$Q$1))</f>
        <v>Brighton and Hove</v>
      </c>
      <c r="C4685" s="22" t="s">
        <v>535</v>
      </c>
      <c r="D4685" t="s">
        <v>535</v>
      </c>
      <c r="E4685" t="s">
        <v>535</v>
      </c>
      <c r="F4685" t="s">
        <v>4043</v>
      </c>
      <c r="G4685" t="s">
        <v>535</v>
      </c>
      <c r="H4685" t="s">
        <v>535</v>
      </c>
      <c r="I4685" t="s">
        <v>535</v>
      </c>
      <c r="J4685" t="s">
        <v>535</v>
      </c>
      <c r="K4685" t="s">
        <v>535</v>
      </c>
      <c r="L4685" t="s">
        <v>535</v>
      </c>
      <c r="M4685" t="s">
        <v>535</v>
      </c>
      <c r="N4685" t="s">
        <v>535</v>
      </c>
      <c r="O4685" t="s">
        <v>535</v>
      </c>
    </row>
    <row r="4686" spans="1:15">
      <c r="A4686" s="22" t="s">
        <v>324</v>
      </c>
      <c r="B4686" s="22" t="str">
        <f ca="1">IF(ISBLANK(OFFSET(B4686,0,'Field labels'!$Q$1)),C4686,OFFSET(B4686,0,'Field labels'!$Q$1))</f>
        <v>Bristol, City of</v>
      </c>
      <c r="C4686" s="22" t="s">
        <v>536</v>
      </c>
      <c r="D4686" t="s">
        <v>536</v>
      </c>
      <c r="E4686" t="s">
        <v>536</v>
      </c>
      <c r="F4686" t="s">
        <v>4044</v>
      </c>
      <c r="G4686" t="s">
        <v>536</v>
      </c>
      <c r="H4686" t="s">
        <v>536</v>
      </c>
      <c r="I4686" t="s">
        <v>536</v>
      </c>
      <c r="J4686" t="s">
        <v>536</v>
      </c>
      <c r="K4686" t="s">
        <v>4045</v>
      </c>
      <c r="L4686" t="s">
        <v>4046</v>
      </c>
      <c r="M4686" t="s">
        <v>4047</v>
      </c>
      <c r="N4686" t="s">
        <v>4048</v>
      </c>
      <c r="O4686" t="s">
        <v>536</v>
      </c>
    </row>
    <row r="4687" spans="1:15">
      <c r="A4687" s="22" t="s">
        <v>324</v>
      </c>
      <c r="B4687" s="22" t="str">
        <f ca="1">IF(ISBLANK(OFFSET(B4687,0,'Field labels'!$Q$1)),C4687,OFFSET(B4687,0,'Field labels'!$Q$1))</f>
        <v>Bromley</v>
      </c>
      <c r="C4687" s="22" t="s">
        <v>465</v>
      </c>
      <c r="D4687" t="s">
        <v>465</v>
      </c>
      <c r="E4687" t="s">
        <v>465</v>
      </c>
      <c r="F4687" t="s">
        <v>465</v>
      </c>
      <c r="G4687" t="s">
        <v>465</v>
      </c>
      <c r="H4687" t="s">
        <v>465</v>
      </c>
      <c r="I4687" t="s">
        <v>465</v>
      </c>
      <c r="J4687" t="s">
        <v>465</v>
      </c>
      <c r="K4687" t="s">
        <v>465</v>
      </c>
      <c r="L4687" t="s">
        <v>465</v>
      </c>
      <c r="M4687" t="s">
        <v>465</v>
      </c>
      <c r="N4687" t="s">
        <v>465</v>
      </c>
      <c r="O4687" t="s">
        <v>465</v>
      </c>
    </row>
    <row r="4688" spans="1:15">
      <c r="A4688" s="22" t="s">
        <v>324</v>
      </c>
      <c r="B4688" s="22" t="str">
        <f ca="1">IF(ISBLANK(OFFSET(B4688,0,'Field labels'!$Q$1)),C4688,OFFSET(B4688,0,'Field labels'!$Q$1))</f>
        <v>Buckinghamshire</v>
      </c>
      <c r="C4688" s="22" t="s">
        <v>434</v>
      </c>
      <c r="D4688" t="s">
        <v>434</v>
      </c>
      <c r="E4688" t="s">
        <v>434</v>
      </c>
      <c r="F4688" t="s">
        <v>434</v>
      </c>
      <c r="G4688" t="s">
        <v>434</v>
      </c>
      <c r="H4688" t="s">
        <v>434</v>
      </c>
      <c r="I4688" t="s">
        <v>434</v>
      </c>
      <c r="J4688" t="s">
        <v>434</v>
      </c>
      <c r="K4688" t="s">
        <v>434</v>
      </c>
      <c r="L4688" t="s">
        <v>434</v>
      </c>
      <c r="M4688" t="s">
        <v>434</v>
      </c>
      <c r="N4688" t="s">
        <v>434</v>
      </c>
      <c r="O4688" t="s">
        <v>434</v>
      </c>
    </row>
    <row r="4689" spans="1:15">
      <c r="A4689" s="22" t="s">
        <v>324</v>
      </c>
      <c r="B4689" s="22" t="str">
        <f ca="1">IF(ISBLANK(OFFSET(B4689,0,'Field labels'!$Q$1)),C4689,OFFSET(B4689,0,'Field labels'!$Q$1))</f>
        <v>Bury</v>
      </c>
      <c r="C4689" s="22" t="s">
        <v>497</v>
      </c>
      <c r="D4689" t="s">
        <v>497</v>
      </c>
      <c r="E4689" t="s">
        <v>497</v>
      </c>
      <c r="F4689" t="s">
        <v>497</v>
      </c>
      <c r="G4689" t="s">
        <v>497</v>
      </c>
      <c r="H4689" t="s">
        <v>497</v>
      </c>
      <c r="I4689" t="s">
        <v>497</v>
      </c>
      <c r="J4689" t="s">
        <v>497</v>
      </c>
      <c r="K4689" t="s">
        <v>497</v>
      </c>
      <c r="L4689" t="s">
        <v>497</v>
      </c>
      <c r="M4689" t="s">
        <v>497</v>
      </c>
      <c r="N4689" t="s">
        <v>497</v>
      </c>
      <c r="O4689" t="s">
        <v>497</v>
      </c>
    </row>
    <row r="4690" spans="1:15">
      <c r="A4690" s="22" t="s">
        <v>324</v>
      </c>
      <c r="B4690" s="22" t="str">
        <f ca="1">IF(ISBLANK(OFFSET(B4690,0,'Field labels'!$Q$1)),C4690,OFFSET(B4690,0,'Field labels'!$Q$1))</f>
        <v>Caerphilly</v>
      </c>
      <c r="C4690" s="22" t="s">
        <v>645</v>
      </c>
      <c r="D4690" t="s">
        <v>645</v>
      </c>
      <c r="E4690" t="s">
        <v>645</v>
      </c>
      <c r="F4690" t="s">
        <v>645</v>
      </c>
      <c r="G4690" t="s">
        <v>645</v>
      </c>
      <c r="H4690" t="s">
        <v>645</v>
      </c>
      <c r="I4690" t="s">
        <v>645</v>
      </c>
      <c r="J4690" t="s">
        <v>645</v>
      </c>
      <c r="K4690" t="s">
        <v>645</v>
      </c>
      <c r="L4690" t="s">
        <v>645</v>
      </c>
      <c r="M4690" t="s">
        <v>645</v>
      </c>
      <c r="N4690" t="s">
        <v>645</v>
      </c>
      <c r="O4690" t="s">
        <v>645</v>
      </c>
    </row>
    <row r="4691" spans="1:15">
      <c r="A4691" s="22" t="s">
        <v>324</v>
      </c>
      <c r="B4691" s="22" t="str">
        <f ca="1">IF(ISBLANK(OFFSET(B4691,0,'Field labels'!$Q$1)),C4691,OFFSET(B4691,0,'Field labels'!$Q$1))</f>
        <v>Calderdale</v>
      </c>
      <c r="C4691" s="22" t="s">
        <v>498</v>
      </c>
      <c r="D4691" t="s">
        <v>498</v>
      </c>
      <c r="E4691" t="s">
        <v>498</v>
      </c>
      <c r="F4691" t="s">
        <v>498</v>
      </c>
      <c r="G4691" t="s">
        <v>498</v>
      </c>
      <c r="H4691" t="s">
        <v>498</v>
      </c>
      <c r="I4691" t="s">
        <v>498</v>
      </c>
      <c r="J4691" t="s">
        <v>498</v>
      </c>
      <c r="K4691" t="s">
        <v>498</v>
      </c>
      <c r="L4691" t="s">
        <v>498</v>
      </c>
      <c r="M4691" t="s">
        <v>498</v>
      </c>
      <c r="N4691" t="s">
        <v>498</v>
      </c>
      <c r="O4691" t="s">
        <v>498</v>
      </c>
    </row>
    <row r="4692" spans="1:15">
      <c r="A4692" s="22" t="s">
        <v>324</v>
      </c>
      <c r="B4692" s="22" t="str">
        <f ca="1">IF(ISBLANK(OFFSET(B4692,0,'Field labels'!$Q$1)),C4692,OFFSET(B4692,0,'Field labels'!$Q$1))</f>
        <v>Cambridgeshire</v>
      </c>
      <c r="C4692" s="22" t="s">
        <v>435</v>
      </c>
      <c r="D4692" t="s">
        <v>435</v>
      </c>
      <c r="E4692" t="s">
        <v>435</v>
      </c>
      <c r="F4692" t="s">
        <v>435</v>
      </c>
      <c r="G4692" t="s">
        <v>435</v>
      </c>
      <c r="H4692" t="s">
        <v>435</v>
      </c>
      <c r="I4692" t="s">
        <v>435</v>
      </c>
      <c r="J4692" t="s">
        <v>435</v>
      </c>
      <c r="K4692" t="s">
        <v>435</v>
      </c>
      <c r="L4692" t="s">
        <v>435</v>
      </c>
      <c r="M4692" t="s">
        <v>435</v>
      </c>
      <c r="N4692" t="s">
        <v>435</v>
      </c>
      <c r="O4692" t="s">
        <v>435</v>
      </c>
    </row>
    <row r="4693" spans="1:15">
      <c r="A4693" s="22" t="s">
        <v>324</v>
      </c>
      <c r="B4693" s="22" t="str">
        <f ca="1">IF(ISBLANK(OFFSET(B4693,0,'Field labels'!$Q$1)),C4693,OFFSET(B4693,0,'Field labels'!$Q$1))</f>
        <v>Camden</v>
      </c>
      <c r="C4693" s="22" t="s">
        <v>466</v>
      </c>
      <c r="D4693" t="s">
        <v>466</v>
      </c>
      <c r="E4693" t="s">
        <v>466</v>
      </c>
      <c r="F4693" t="s">
        <v>466</v>
      </c>
      <c r="G4693" t="s">
        <v>466</v>
      </c>
      <c r="H4693" t="s">
        <v>466</v>
      </c>
      <c r="I4693" t="s">
        <v>466</v>
      </c>
      <c r="J4693" t="s">
        <v>466</v>
      </c>
      <c r="K4693" t="s">
        <v>466</v>
      </c>
      <c r="L4693" t="s">
        <v>466</v>
      </c>
      <c r="M4693" t="s">
        <v>466</v>
      </c>
      <c r="N4693" t="s">
        <v>466</v>
      </c>
      <c r="O4693" t="s">
        <v>466</v>
      </c>
    </row>
    <row r="4694" spans="1:15">
      <c r="A4694" s="22" t="s">
        <v>324</v>
      </c>
      <c r="B4694" s="22" t="str">
        <f ca="1">IF(ISBLANK(OFFSET(B4694,0,'Field labels'!$Q$1)),C4694,OFFSET(B4694,0,'Field labels'!$Q$1))</f>
        <v>Cardiff</v>
      </c>
      <c r="C4694" s="22" t="s">
        <v>646</v>
      </c>
      <c r="D4694" t="s">
        <v>646</v>
      </c>
      <c r="E4694" t="s">
        <v>646</v>
      </c>
      <c r="F4694" t="s">
        <v>646</v>
      </c>
      <c r="G4694" t="s">
        <v>646</v>
      </c>
      <c r="H4694" t="s">
        <v>646</v>
      </c>
      <c r="I4694" t="s">
        <v>646</v>
      </c>
      <c r="J4694" t="s">
        <v>646</v>
      </c>
      <c r="K4694" t="s">
        <v>646</v>
      </c>
      <c r="L4694" t="s">
        <v>646</v>
      </c>
      <c r="M4694" t="s">
        <v>646</v>
      </c>
      <c r="N4694" t="s">
        <v>646</v>
      </c>
      <c r="O4694" t="s">
        <v>646</v>
      </c>
    </row>
    <row r="4695" spans="1:15">
      <c r="A4695" s="22" t="s">
        <v>324</v>
      </c>
      <c r="B4695" s="22" t="str">
        <f ca="1">IF(ISBLANK(OFFSET(B4695,0,'Field labels'!$Q$1)),C4695,OFFSET(B4695,0,'Field labels'!$Q$1))</f>
        <v>Carlow</v>
      </c>
      <c r="C4695" s="22" t="s">
        <v>4049</v>
      </c>
      <c r="D4695" t="s">
        <v>4049</v>
      </c>
      <c r="E4695" t="s">
        <v>4049</v>
      </c>
      <c r="F4695" t="s">
        <v>4049</v>
      </c>
      <c r="G4695" t="s">
        <v>4049</v>
      </c>
      <c r="H4695" t="s">
        <v>4049</v>
      </c>
      <c r="I4695" t="s">
        <v>4049</v>
      </c>
      <c r="J4695" t="s">
        <v>4049</v>
      </c>
      <c r="K4695" t="s">
        <v>4049</v>
      </c>
      <c r="L4695" t="s">
        <v>4049</v>
      </c>
      <c r="M4695" t="s">
        <v>4049</v>
      </c>
      <c r="N4695" t="s">
        <v>4049</v>
      </c>
      <c r="O4695" t="s">
        <v>4049</v>
      </c>
    </row>
    <row r="4696" spans="1:15">
      <c r="A4696" s="22" t="s">
        <v>324</v>
      </c>
      <c r="B4696" s="22" t="str">
        <f ca="1">IF(ISBLANK(OFFSET(B4696,0,'Field labels'!$Q$1)),C4696,OFFSET(B4696,0,'Field labels'!$Q$1))</f>
        <v>Carmarthenshire</v>
      </c>
      <c r="C4696" s="22" t="s">
        <v>647</v>
      </c>
      <c r="D4696" t="s">
        <v>647</v>
      </c>
      <c r="E4696" t="s">
        <v>647</v>
      </c>
      <c r="F4696" t="s">
        <v>647</v>
      </c>
      <c r="G4696" t="s">
        <v>647</v>
      </c>
      <c r="H4696" t="s">
        <v>647</v>
      </c>
      <c r="I4696" t="s">
        <v>647</v>
      </c>
      <c r="J4696" t="s">
        <v>647</v>
      </c>
      <c r="K4696" t="s">
        <v>647</v>
      </c>
      <c r="L4696" t="s">
        <v>647</v>
      </c>
      <c r="M4696" t="s">
        <v>647</v>
      </c>
      <c r="N4696" t="s">
        <v>647</v>
      </c>
      <c r="O4696" t="s">
        <v>647</v>
      </c>
    </row>
    <row r="4697" spans="1:15">
      <c r="A4697" s="22" t="s">
        <v>324</v>
      </c>
      <c r="B4697" s="22" t="str">
        <f ca="1">IF(ISBLANK(OFFSET(B4697,0,'Field labels'!$Q$1)),C4697,OFFSET(B4697,0,'Field labels'!$Q$1))</f>
        <v>Carrickfergus</v>
      </c>
      <c r="C4697" s="22" t="s">
        <v>592</v>
      </c>
      <c r="D4697" t="s">
        <v>592</v>
      </c>
      <c r="E4697" t="s">
        <v>592</v>
      </c>
      <c r="F4697" t="s">
        <v>592</v>
      </c>
      <c r="G4697" t="s">
        <v>592</v>
      </c>
      <c r="H4697" t="s">
        <v>592</v>
      </c>
      <c r="I4697" t="s">
        <v>592</v>
      </c>
      <c r="J4697" t="s">
        <v>592</v>
      </c>
      <c r="K4697" t="s">
        <v>592</v>
      </c>
      <c r="L4697" t="s">
        <v>592</v>
      </c>
      <c r="M4697" t="s">
        <v>592</v>
      </c>
      <c r="N4697" t="s">
        <v>592</v>
      </c>
      <c r="O4697" t="s">
        <v>592</v>
      </c>
    </row>
    <row r="4698" spans="1:15">
      <c r="A4698" s="22" t="s">
        <v>324</v>
      </c>
      <c r="B4698" s="22" t="str">
        <f ca="1">IF(ISBLANK(OFFSET(B4698,0,'Field labels'!$Q$1)),C4698,OFFSET(B4698,0,'Field labels'!$Q$1))</f>
        <v>Castlereagh</v>
      </c>
      <c r="C4698" s="22" t="s">
        <v>593</v>
      </c>
      <c r="D4698" t="s">
        <v>593</v>
      </c>
      <c r="E4698" t="s">
        <v>593</v>
      </c>
      <c r="F4698" t="s">
        <v>593</v>
      </c>
      <c r="G4698" t="s">
        <v>593</v>
      </c>
      <c r="H4698" t="s">
        <v>593</v>
      </c>
      <c r="I4698" t="s">
        <v>593</v>
      </c>
      <c r="J4698" t="s">
        <v>593</v>
      </c>
      <c r="K4698" t="s">
        <v>593</v>
      </c>
      <c r="L4698" t="s">
        <v>593</v>
      </c>
      <c r="M4698" t="s">
        <v>593</v>
      </c>
      <c r="N4698" t="s">
        <v>593</v>
      </c>
      <c r="O4698" t="s">
        <v>593</v>
      </c>
    </row>
    <row r="4699" spans="1:15">
      <c r="A4699" s="22" t="s">
        <v>324</v>
      </c>
      <c r="B4699" s="22" t="str">
        <f ca="1">IF(ISBLANK(OFFSET(B4699,0,'Field labels'!$Q$1)),C4699,OFFSET(B4699,0,'Field labels'!$Q$1))</f>
        <v>Cavan</v>
      </c>
      <c r="C4699" s="22" t="s">
        <v>4050</v>
      </c>
      <c r="D4699" t="s">
        <v>4050</v>
      </c>
      <c r="E4699" t="s">
        <v>4050</v>
      </c>
      <c r="F4699" t="s">
        <v>4050</v>
      </c>
      <c r="G4699" t="s">
        <v>4050</v>
      </c>
      <c r="H4699" t="s">
        <v>4050</v>
      </c>
      <c r="I4699" t="s">
        <v>4050</v>
      </c>
      <c r="J4699" t="s">
        <v>4050</v>
      </c>
      <c r="K4699" t="s">
        <v>4050</v>
      </c>
      <c r="L4699" t="s">
        <v>4050</v>
      </c>
      <c r="M4699" t="s">
        <v>4050</v>
      </c>
      <c r="N4699" t="s">
        <v>4050</v>
      </c>
      <c r="O4699" t="s">
        <v>4050</v>
      </c>
    </row>
    <row r="4700" spans="1:15">
      <c r="A4700" s="22" t="s">
        <v>324</v>
      </c>
      <c r="B4700" s="22" t="str">
        <f ca="1">IF(ISBLANK(OFFSET(B4700,0,'Field labels'!$Q$1)),C4700,OFFSET(B4700,0,'Field labels'!$Q$1))</f>
        <v>Central Bedfordshire</v>
      </c>
      <c r="C4700" s="22" t="s">
        <v>537</v>
      </c>
      <c r="D4700" t="s">
        <v>537</v>
      </c>
      <c r="E4700" t="s">
        <v>537</v>
      </c>
      <c r="F4700" t="s">
        <v>537</v>
      </c>
      <c r="G4700" t="s">
        <v>537</v>
      </c>
      <c r="H4700" t="s">
        <v>537</v>
      </c>
      <c r="I4700" t="s">
        <v>537</v>
      </c>
      <c r="J4700" t="s">
        <v>537</v>
      </c>
      <c r="K4700" t="s">
        <v>537</v>
      </c>
      <c r="L4700" t="s">
        <v>537</v>
      </c>
      <c r="M4700" t="s">
        <v>537</v>
      </c>
      <c r="N4700" t="s">
        <v>537</v>
      </c>
      <c r="O4700" t="s">
        <v>537</v>
      </c>
    </row>
    <row r="4701" spans="1:15">
      <c r="A4701" s="22" t="s">
        <v>324</v>
      </c>
      <c r="B4701" s="22" t="str">
        <f ca="1">IF(ISBLANK(OFFSET(B4701,0,'Field labels'!$Q$1)),C4701,OFFSET(B4701,0,'Field labels'!$Q$1))</f>
        <v>Ceredigion</v>
      </c>
      <c r="C4701" s="22" t="s">
        <v>648</v>
      </c>
      <c r="D4701" t="s">
        <v>648</v>
      </c>
      <c r="E4701" t="s">
        <v>648</v>
      </c>
      <c r="F4701" t="s">
        <v>648</v>
      </c>
      <c r="G4701" t="s">
        <v>648</v>
      </c>
      <c r="H4701" t="s">
        <v>648</v>
      </c>
      <c r="I4701" t="s">
        <v>648</v>
      </c>
      <c r="J4701" t="s">
        <v>648</v>
      </c>
      <c r="K4701" t="s">
        <v>648</v>
      </c>
      <c r="L4701" t="s">
        <v>648</v>
      </c>
      <c r="M4701" t="s">
        <v>648</v>
      </c>
      <c r="N4701" t="s">
        <v>648</v>
      </c>
      <c r="O4701" t="s">
        <v>648</v>
      </c>
    </row>
    <row r="4702" spans="1:15">
      <c r="A4702" s="22" t="s">
        <v>324</v>
      </c>
      <c r="B4702" s="22" t="str">
        <f ca="1">IF(ISBLANK(OFFSET(B4702,0,'Field labels'!$Q$1)),C4702,OFFSET(B4702,0,'Field labels'!$Q$1))</f>
        <v>Cheshire East</v>
      </c>
      <c r="C4702" s="22" t="s">
        <v>538</v>
      </c>
      <c r="D4702" t="s">
        <v>538</v>
      </c>
      <c r="E4702" t="s">
        <v>538</v>
      </c>
      <c r="F4702" t="s">
        <v>4051</v>
      </c>
      <c r="G4702" t="s">
        <v>538</v>
      </c>
      <c r="H4702" t="s">
        <v>538</v>
      </c>
      <c r="I4702" t="s">
        <v>538</v>
      </c>
      <c r="J4702" t="s">
        <v>538</v>
      </c>
      <c r="K4702" t="s">
        <v>538</v>
      </c>
      <c r="L4702" t="s">
        <v>538</v>
      </c>
      <c r="M4702" t="s">
        <v>538</v>
      </c>
      <c r="N4702" t="s">
        <v>538</v>
      </c>
      <c r="O4702" t="s">
        <v>538</v>
      </c>
    </row>
    <row r="4703" spans="1:15">
      <c r="A4703" s="22" t="s">
        <v>324</v>
      </c>
      <c r="B4703" s="22" t="str">
        <f ca="1">IF(ISBLANK(OFFSET(B4703,0,'Field labels'!$Q$1)),C4703,OFFSET(B4703,0,'Field labels'!$Q$1))</f>
        <v>Cheshire West and Chester</v>
      </c>
      <c r="C4703" s="22" t="s">
        <v>539</v>
      </c>
      <c r="D4703" t="s">
        <v>539</v>
      </c>
      <c r="E4703" t="s">
        <v>539</v>
      </c>
      <c r="F4703" t="s">
        <v>4052</v>
      </c>
      <c r="G4703" t="s">
        <v>539</v>
      </c>
      <c r="H4703" t="s">
        <v>539</v>
      </c>
      <c r="I4703" t="s">
        <v>539</v>
      </c>
      <c r="J4703" t="s">
        <v>539</v>
      </c>
      <c r="K4703" t="s">
        <v>4053</v>
      </c>
      <c r="L4703" t="s">
        <v>539</v>
      </c>
      <c r="M4703" t="s">
        <v>539</v>
      </c>
      <c r="N4703" t="s">
        <v>539</v>
      </c>
      <c r="O4703" t="s">
        <v>539</v>
      </c>
    </row>
    <row r="4704" spans="1:15">
      <c r="A4704" s="22" t="s">
        <v>324</v>
      </c>
      <c r="B4704" s="22" t="str">
        <f ca="1">IF(ISBLANK(OFFSET(B4704,0,'Field labels'!$Q$1)),C4704,OFFSET(B4704,0,'Field labels'!$Q$1))</f>
        <v>Clackmannanshire</v>
      </c>
      <c r="C4704" s="22" t="s">
        <v>615</v>
      </c>
      <c r="D4704" t="s">
        <v>615</v>
      </c>
      <c r="E4704" t="s">
        <v>615</v>
      </c>
      <c r="F4704" t="s">
        <v>615</v>
      </c>
      <c r="G4704" t="s">
        <v>615</v>
      </c>
      <c r="H4704" t="s">
        <v>615</v>
      </c>
      <c r="I4704" t="s">
        <v>615</v>
      </c>
      <c r="J4704" t="s">
        <v>615</v>
      </c>
      <c r="K4704" t="s">
        <v>615</v>
      </c>
      <c r="L4704" t="s">
        <v>615</v>
      </c>
      <c r="M4704" t="s">
        <v>615</v>
      </c>
      <c r="N4704" t="s">
        <v>615</v>
      </c>
      <c r="O4704" t="s">
        <v>615</v>
      </c>
    </row>
    <row r="4705" spans="1:15">
      <c r="A4705" s="22" t="s">
        <v>324</v>
      </c>
      <c r="B4705" s="22" t="str">
        <f ca="1">IF(ISBLANK(OFFSET(B4705,0,'Field labels'!$Q$1)),C4705,OFFSET(B4705,0,'Field labels'!$Q$1))</f>
        <v>Clare</v>
      </c>
      <c r="C4705" s="22" t="s">
        <v>4054</v>
      </c>
      <c r="D4705" t="s">
        <v>4054</v>
      </c>
      <c r="E4705" t="s">
        <v>4054</v>
      </c>
      <c r="F4705" t="s">
        <v>4054</v>
      </c>
      <c r="G4705" t="s">
        <v>4054</v>
      </c>
      <c r="H4705" t="s">
        <v>4054</v>
      </c>
      <c r="I4705" t="s">
        <v>4054</v>
      </c>
      <c r="J4705" t="s">
        <v>4054</v>
      </c>
      <c r="K4705" t="s">
        <v>4054</v>
      </c>
      <c r="L4705" t="s">
        <v>4054</v>
      </c>
      <c r="M4705" t="s">
        <v>4054</v>
      </c>
      <c r="N4705" t="s">
        <v>4054</v>
      </c>
      <c r="O4705" t="s">
        <v>4054</v>
      </c>
    </row>
    <row r="4706" spans="1:15">
      <c r="A4706" s="22" t="s">
        <v>324</v>
      </c>
      <c r="B4706" s="22" t="str">
        <f ca="1">IF(ISBLANK(OFFSET(B4706,0,'Field labels'!$Q$1)),C4706,OFFSET(B4706,0,'Field labels'!$Q$1))</f>
        <v>Coleraine</v>
      </c>
      <c r="C4706" s="22" t="s">
        <v>594</v>
      </c>
      <c r="D4706" t="s">
        <v>594</v>
      </c>
      <c r="E4706" t="s">
        <v>594</v>
      </c>
      <c r="F4706" t="s">
        <v>594</v>
      </c>
      <c r="G4706" t="s">
        <v>594</v>
      </c>
      <c r="H4706" t="s">
        <v>594</v>
      </c>
      <c r="I4706" t="s">
        <v>594</v>
      </c>
      <c r="J4706" t="s">
        <v>594</v>
      </c>
      <c r="K4706" t="s">
        <v>594</v>
      </c>
      <c r="L4706" t="s">
        <v>594</v>
      </c>
      <c r="M4706" t="s">
        <v>594</v>
      </c>
      <c r="N4706" t="s">
        <v>594</v>
      </c>
      <c r="O4706" t="s">
        <v>594</v>
      </c>
    </row>
    <row r="4707" spans="1:15">
      <c r="A4707" s="22" t="s">
        <v>324</v>
      </c>
      <c r="B4707" s="22" t="str">
        <f ca="1">IF(ISBLANK(OFFSET(B4707,0,'Field labels'!$Q$1)),C4707,OFFSET(B4707,0,'Field labels'!$Q$1))</f>
        <v>Conwy</v>
      </c>
      <c r="C4707" s="22" t="s">
        <v>649</v>
      </c>
      <c r="D4707" t="s">
        <v>649</v>
      </c>
      <c r="E4707" t="s">
        <v>649</v>
      </c>
      <c r="F4707" t="s">
        <v>649</v>
      </c>
      <c r="G4707" t="s">
        <v>649</v>
      </c>
      <c r="H4707" t="s">
        <v>649</v>
      </c>
      <c r="I4707" t="s">
        <v>649</v>
      </c>
      <c r="J4707" t="s">
        <v>649</v>
      </c>
      <c r="K4707" t="s">
        <v>649</v>
      </c>
      <c r="L4707" t="s">
        <v>649</v>
      </c>
      <c r="M4707" t="s">
        <v>649</v>
      </c>
      <c r="N4707" t="s">
        <v>649</v>
      </c>
      <c r="O4707" t="s">
        <v>649</v>
      </c>
    </row>
    <row r="4708" spans="1:15">
      <c r="A4708" s="22" t="s">
        <v>324</v>
      </c>
      <c r="B4708" s="22" t="str">
        <f ca="1">IF(ISBLANK(OFFSET(B4708,0,'Field labels'!$Q$1)),C4708,OFFSET(B4708,0,'Field labels'!$Q$1))</f>
        <v>Cookstown</v>
      </c>
      <c r="C4708" s="22" t="s">
        <v>595</v>
      </c>
      <c r="D4708" t="s">
        <v>595</v>
      </c>
      <c r="E4708" t="s">
        <v>595</v>
      </c>
      <c r="F4708" t="s">
        <v>595</v>
      </c>
      <c r="G4708" t="s">
        <v>595</v>
      </c>
      <c r="H4708" t="s">
        <v>595</v>
      </c>
      <c r="I4708" t="s">
        <v>595</v>
      </c>
      <c r="J4708" t="s">
        <v>595</v>
      </c>
      <c r="K4708" t="s">
        <v>595</v>
      </c>
      <c r="L4708" t="s">
        <v>595</v>
      </c>
      <c r="M4708" t="s">
        <v>595</v>
      </c>
      <c r="N4708" t="s">
        <v>595</v>
      </c>
      <c r="O4708" t="s">
        <v>595</v>
      </c>
    </row>
    <row r="4709" spans="1:15">
      <c r="A4709" s="22" t="s">
        <v>324</v>
      </c>
      <c r="B4709" s="22" t="str">
        <f ca="1">IF(ISBLANK(OFFSET(B4709,0,'Field labels'!$Q$1)),C4709,OFFSET(B4709,0,'Field labels'!$Q$1))</f>
        <v>Cork</v>
      </c>
      <c r="C4709" s="22" t="s">
        <v>4055</v>
      </c>
      <c r="D4709" t="s">
        <v>4055</v>
      </c>
      <c r="E4709" t="s">
        <v>4055</v>
      </c>
      <c r="F4709" t="s">
        <v>4055</v>
      </c>
      <c r="G4709" t="s">
        <v>4055</v>
      </c>
      <c r="H4709" t="s">
        <v>4055</v>
      </c>
      <c r="I4709" t="s">
        <v>4055</v>
      </c>
      <c r="J4709" t="s">
        <v>4055</v>
      </c>
      <c r="K4709" t="s">
        <v>4055</v>
      </c>
      <c r="L4709" t="s">
        <v>4055</v>
      </c>
      <c r="M4709" t="s">
        <v>4055</v>
      </c>
      <c r="N4709" t="s">
        <v>4055</v>
      </c>
      <c r="O4709" t="s">
        <v>4055</v>
      </c>
    </row>
    <row r="4710" spans="1:15">
      <c r="A4710" s="22" t="s">
        <v>324</v>
      </c>
      <c r="B4710" s="22" t="str">
        <f ca="1">IF(ISBLANK(OFFSET(B4710,0,'Field labels'!$Q$1)),C4710,OFFSET(B4710,0,'Field labels'!$Q$1))</f>
        <v>Cornwall</v>
      </c>
      <c r="C4710" s="22" t="s">
        <v>540</v>
      </c>
      <c r="D4710" t="s">
        <v>540</v>
      </c>
      <c r="E4710" t="s">
        <v>540</v>
      </c>
      <c r="F4710" t="s">
        <v>4056</v>
      </c>
      <c r="G4710" t="s">
        <v>540</v>
      </c>
      <c r="H4710" t="s">
        <v>540</v>
      </c>
      <c r="I4710" t="s">
        <v>4057</v>
      </c>
      <c r="J4710" t="s">
        <v>540</v>
      </c>
      <c r="K4710" t="s">
        <v>540</v>
      </c>
      <c r="L4710" t="s">
        <v>540</v>
      </c>
      <c r="M4710" t="s">
        <v>540</v>
      </c>
      <c r="N4710" t="s">
        <v>540</v>
      </c>
      <c r="O4710" t="s">
        <v>540</v>
      </c>
    </row>
    <row r="4711" spans="1:15">
      <c r="A4711" s="22" t="s">
        <v>324</v>
      </c>
      <c r="B4711" s="22" t="str">
        <f ca="1">IF(ISBLANK(OFFSET(B4711,0,'Field labels'!$Q$1)),C4711,OFFSET(B4711,0,'Field labels'!$Q$1))</f>
        <v>Coventry</v>
      </c>
      <c r="C4711" s="22" t="s">
        <v>499</v>
      </c>
      <c r="D4711" t="s">
        <v>499</v>
      </c>
      <c r="E4711" t="s">
        <v>499</v>
      </c>
      <c r="F4711" t="s">
        <v>499</v>
      </c>
      <c r="G4711" t="s">
        <v>499</v>
      </c>
      <c r="H4711" t="s">
        <v>499</v>
      </c>
      <c r="I4711" t="s">
        <v>499</v>
      </c>
      <c r="J4711" t="s">
        <v>499</v>
      </c>
      <c r="K4711" t="s">
        <v>499</v>
      </c>
      <c r="L4711" t="s">
        <v>499</v>
      </c>
      <c r="M4711" t="s">
        <v>499</v>
      </c>
      <c r="N4711" t="s">
        <v>499</v>
      </c>
      <c r="O4711" t="s">
        <v>499</v>
      </c>
    </row>
    <row r="4712" spans="1:15">
      <c r="A4712" s="22" t="s">
        <v>324</v>
      </c>
      <c r="B4712" s="22" t="str">
        <f ca="1">IF(ISBLANK(OFFSET(B4712,0,'Field labels'!$Q$1)),C4712,OFFSET(B4712,0,'Field labels'!$Q$1))</f>
        <v>Craigavon</v>
      </c>
      <c r="C4712" s="22" t="s">
        <v>596</v>
      </c>
      <c r="D4712" t="s">
        <v>596</v>
      </c>
      <c r="E4712" t="s">
        <v>596</v>
      </c>
      <c r="F4712" t="s">
        <v>596</v>
      </c>
      <c r="G4712" t="s">
        <v>596</v>
      </c>
      <c r="H4712" t="s">
        <v>596</v>
      </c>
      <c r="I4712" t="s">
        <v>596</v>
      </c>
      <c r="J4712" t="s">
        <v>596</v>
      </c>
      <c r="K4712" t="s">
        <v>596</v>
      </c>
      <c r="L4712" t="s">
        <v>596</v>
      </c>
      <c r="M4712" t="s">
        <v>596</v>
      </c>
      <c r="N4712" t="s">
        <v>596</v>
      </c>
      <c r="O4712" t="s">
        <v>596</v>
      </c>
    </row>
    <row r="4713" spans="1:15">
      <c r="A4713" s="22" t="s">
        <v>324</v>
      </c>
      <c r="B4713" s="22" t="str">
        <f ca="1">IF(ISBLANK(OFFSET(B4713,0,'Field labels'!$Q$1)),C4713,OFFSET(B4713,0,'Field labels'!$Q$1))</f>
        <v>Croydon</v>
      </c>
      <c r="C4713" s="22" t="s">
        <v>467</v>
      </c>
      <c r="D4713" t="s">
        <v>467</v>
      </c>
      <c r="E4713" t="s">
        <v>467</v>
      </c>
      <c r="F4713" t="s">
        <v>467</v>
      </c>
      <c r="G4713" t="s">
        <v>467</v>
      </c>
      <c r="H4713" t="s">
        <v>467</v>
      </c>
      <c r="I4713" t="s">
        <v>467</v>
      </c>
      <c r="J4713" t="s">
        <v>467</v>
      </c>
      <c r="K4713" t="s">
        <v>467</v>
      </c>
      <c r="L4713" t="s">
        <v>467</v>
      </c>
      <c r="M4713" t="s">
        <v>467</v>
      </c>
      <c r="N4713" t="s">
        <v>467</v>
      </c>
      <c r="O4713" t="s">
        <v>467</v>
      </c>
    </row>
    <row r="4714" spans="1:15">
      <c r="A4714" s="22" t="s">
        <v>324</v>
      </c>
      <c r="B4714" s="22" t="str">
        <f ca="1">IF(ISBLANK(OFFSET(B4714,0,'Field labels'!$Q$1)),C4714,OFFSET(B4714,0,'Field labels'!$Q$1))</f>
        <v>Cumbria</v>
      </c>
      <c r="C4714" s="22" t="s">
        <v>436</v>
      </c>
      <c r="D4714" t="s">
        <v>436</v>
      </c>
      <c r="E4714" t="s">
        <v>436</v>
      </c>
      <c r="F4714" t="s">
        <v>436</v>
      </c>
      <c r="G4714" t="s">
        <v>436</v>
      </c>
      <c r="H4714" t="s">
        <v>436</v>
      </c>
      <c r="I4714" t="s">
        <v>436</v>
      </c>
      <c r="J4714" t="s">
        <v>436</v>
      </c>
      <c r="K4714" t="s">
        <v>436</v>
      </c>
      <c r="L4714" t="s">
        <v>436</v>
      </c>
      <c r="M4714" t="s">
        <v>436</v>
      </c>
      <c r="N4714" t="s">
        <v>436</v>
      </c>
      <c r="O4714" t="s">
        <v>436</v>
      </c>
    </row>
    <row r="4715" spans="1:15">
      <c r="A4715" s="22" t="s">
        <v>324</v>
      </c>
      <c r="B4715" s="22" t="str">
        <f ca="1">IF(ISBLANK(OFFSET(B4715,0,'Field labels'!$Q$1)),C4715,OFFSET(B4715,0,'Field labels'!$Q$1))</f>
        <v>Dalarna</v>
      </c>
      <c r="C4715" s="22" t="s">
        <v>4058</v>
      </c>
      <c r="D4715" t="s">
        <v>4058</v>
      </c>
      <c r="E4715" t="s">
        <v>4058</v>
      </c>
      <c r="F4715" t="s">
        <v>4059</v>
      </c>
      <c r="G4715" t="s">
        <v>4058</v>
      </c>
      <c r="H4715" t="s">
        <v>4058</v>
      </c>
      <c r="I4715" t="s">
        <v>4058</v>
      </c>
      <c r="J4715" t="s">
        <v>4058</v>
      </c>
      <c r="K4715" t="s">
        <v>4058</v>
      </c>
      <c r="L4715" t="s">
        <v>4058</v>
      </c>
      <c r="M4715" t="s">
        <v>4058</v>
      </c>
      <c r="N4715" t="s">
        <v>4058</v>
      </c>
      <c r="O4715" t="s">
        <v>4058</v>
      </c>
    </row>
    <row r="4716" spans="1:15">
      <c r="A4716" s="22" t="s">
        <v>324</v>
      </c>
      <c r="B4716" s="22" t="str">
        <f ca="1">IF(ISBLANK(OFFSET(B4716,0,'Field labels'!$Q$1)),C4716,OFFSET(B4716,0,'Field labels'!$Q$1))</f>
        <v>Darlington</v>
      </c>
      <c r="C4716" s="22" t="s">
        <v>541</v>
      </c>
      <c r="D4716" t="s">
        <v>541</v>
      </c>
      <c r="E4716" t="s">
        <v>541</v>
      </c>
      <c r="F4716" t="s">
        <v>541</v>
      </c>
      <c r="G4716" t="s">
        <v>541</v>
      </c>
      <c r="H4716" t="s">
        <v>541</v>
      </c>
      <c r="I4716" t="s">
        <v>541</v>
      </c>
      <c r="J4716" t="s">
        <v>541</v>
      </c>
      <c r="K4716" t="s">
        <v>541</v>
      </c>
      <c r="L4716" t="s">
        <v>541</v>
      </c>
      <c r="M4716" t="s">
        <v>541</v>
      </c>
      <c r="N4716" t="s">
        <v>541</v>
      </c>
      <c r="O4716" t="s">
        <v>541</v>
      </c>
    </row>
    <row r="4717" spans="1:15">
      <c r="A4717" s="22" t="s">
        <v>324</v>
      </c>
      <c r="B4717" s="22" t="str">
        <f ca="1">IF(ISBLANK(OFFSET(B4717,0,'Field labels'!$Q$1)),C4717,OFFSET(B4717,0,'Field labels'!$Q$1))</f>
        <v>Denbighshire</v>
      </c>
      <c r="C4717" s="22" t="s">
        <v>650</v>
      </c>
      <c r="D4717" t="s">
        <v>650</v>
      </c>
      <c r="E4717" t="s">
        <v>650</v>
      </c>
      <c r="F4717" t="s">
        <v>650</v>
      </c>
      <c r="G4717" t="s">
        <v>650</v>
      </c>
      <c r="H4717" t="s">
        <v>650</v>
      </c>
      <c r="I4717" t="s">
        <v>650</v>
      </c>
      <c r="J4717" t="s">
        <v>650</v>
      </c>
      <c r="K4717" t="s">
        <v>650</v>
      </c>
      <c r="L4717" t="s">
        <v>650</v>
      </c>
      <c r="M4717" t="s">
        <v>650</v>
      </c>
      <c r="N4717" t="s">
        <v>650</v>
      </c>
      <c r="O4717" t="s">
        <v>650</v>
      </c>
    </row>
    <row r="4718" spans="1:15">
      <c r="A4718" s="22" t="s">
        <v>324</v>
      </c>
      <c r="B4718" s="22" t="str">
        <f ca="1">IF(ISBLANK(OFFSET(B4718,0,'Field labels'!$Q$1)),C4718,OFFSET(B4718,0,'Field labels'!$Q$1))</f>
        <v>Derby</v>
      </c>
      <c r="C4718" s="22" t="s">
        <v>542</v>
      </c>
      <c r="D4718" t="s">
        <v>542</v>
      </c>
      <c r="E4718" t="s">
        <v>542</v>
      </c>
      <c r="F4718" t="s">
        <v>542</v>
      </c>
      <c r="G4718" t="s">
        <v>542</v>
      </c>
      <c r="H4718" t="s">
        <v>542</v>
      </c>
      <c r="I4718" t="s">
        <v>542</v>
      </c>
      <c r="J4718" t="s">
        <v>542</v>
      </c>
      <c r="K4718" t="s">
        <v>542</v>
      </c>
      <c r="L4718" t="s">
        <v>542</v>
      </c>
      <c r="M4718" t="s">
        <v>542</v>
      </c>
      <c r="N4718" t="s">
        <v>542</v>
      </c>
      <c r="O4718" t="s">
        <v>542</v>
      </c>
    </row>
    <row r="4719" spans="1:15">
      <c r="A4719" s="22" t="s">
        <v>324</v>
      </c>
      <c r="B4719" s="22" t="str">
        <f ca="1">IF(ISBLANK(OFFSET(B4719,0,'Field labels'!$Q$1)),C4719,OFFSET(B4719,0,'Field labels'!$Q$1))</f>
        <v>Derbyshire</v>
      </c>
      <c r="C4719" s="22" t="s">
        <v>437</v>
      </c>
      <c r="D4719" t="s">
        <v>437</v>
      </c>
      <c r="E4719" t="s">
        <v>437</v>
      </c>
      <c r="F4719" t="s">
        <v>437</v>
      </c>
      <c r="G4719" t="s">
        <v>437</v>
      </c>
      <c r="H4719" t="s">
        <v>437</v>
      </c>
      <c r="I4719" t="s">
        <v>437</v>
      </c>
      <c r="J4719" t="s">
        <v>437</v>
      </c>
      <c r="K4719" t="s">
        <v>437</v>
      </c>
      <c r="L4719" t="s">
        <v>437</v>
      </c>
      <c r="M4719" t="s">
        <v>437</v>
      </c>
      <c r="N4719" t="s">
        <v>437</v>
      </c>
      <c r="O4719" t="s">
        <v>437</v>
      </c>
    </row>
    <row r="4720" spans="1:15">
      <c r="A4720" s="22" t="s">
        <v>324</v>
      </c>
      <c r="B4720" s="22" t="str">
        <f ca="1">IF(ISBLANK(OFFSET(B4720,0,'Field labels'!$Q$1)),C4720,OFFSET(B4720,0,'Field labels'!$Q$1))</f>
        <v>Derry</v>
      </c>
      <c r="C4720" s="22" t="s">
        <v>597</v>
      </c>
      <c r="D4720" t="s">
        <v>597</v>
      </c>
      <c r="E4720" t="s">
        <v>597</v>
      </c>
      <c r="F4720" t="s">
        <v>597</v>
      </c>
      <c r="G4720" t="s">
        <v>597</v>
      </c>
      <c r="H4720" t="s">
        <v>597</v>
      </c>
      <c r="I4720" t="s">
        <v>597</v>
      </c>
      <c r="J4720" t="s">
        <v>597</v>
      </c>
      <c r="K4720" t="s">
        <v>597</v>
      </c>
      <c r="L4720" t="s">
        <v>597</v>
      </c>
      <c r="M4720" t="s">
        <v>597</v>
      </c>
      <c r="N4720" t="s">
        <v>597</v>
      </c>
      <c r="O4720" t="s">
        <v>597</v>
      </c>
    </row>
    <row r="4721" spans="1:15">
      <c r="A4721" s="22" t="s">
        <v>324</v>
      </c>
      <c r="B4721" s="22" t="str">
        <f ca="1">IF(ISBLANK(OFFSET(B4721,0,'Field labels'!$Q$1)),C4721,OFFSET(B4721,0,'Field labels'!$Q$1))</f>
        <v>Devon</v>
      </c>
      <c r="C4721" s="22" t="s">
        <v>438</v>
      </c>
      <c r="D4721" t="s">
        <v>438</v>
      </c>
      <c r="E4721" t="s">
        <v>438</v>
      </c>
      <c r="F4721" t="s">
        <v>4060</v>
      </c>
      <c r="G4721" t="s">
        <v>438</v>
      </c>
      <c r="H4721" t="s">
        <v>438</v>
      </c>
      <c r="I4721" t="s">
        <v>438</v>
      </c>
      <c r="J4721" t="s">
        <v>438</v>
      </c>
      <c r="K4721" t="s">
        <v>438</v>
      </c>
      <c r="L4721" t="s">
        <v>438</v>
      </c>
      <c r="M4721" t="s">
        <v>438</v>
      </c>
      <c r="N4721" t="s">
        <v>438</v>
      </c>
      <c r="O4721" t="s">
        <v>438</v>
      </c>
    </row>
    <row r="4722" spans="1:15">
      <c r="A4722" s="22" t="s">
        <v>324</v>
      </c>
      <c r="B4722" s="22" t="str">
        <f ca="1">IF(ISBLANK(OFFSET(B4722,0,'Field labels'!$Q$1)),C4722,OFFSET(B4722,0,'Field labels'!$Q$1))</f>
        <v>Doncaster</v>
      </c>
      <c r="C4722" s="22" t="s">
        <v>500</v>
      </c>
      <c r="D4722" t="s">
        <v>500</v>
      </c>
      <c r="E4722" t="s">
        <v>500</v>
      </c>
      <c r="F4722" t="s">
        <v>500</v>
      </c>
      <c r="G4722" t="s">
        <v>500</v>
      </c>
      <c r="H4722" t="s">
        <v>500</v>
      </c>
      <c r="I4722" t="s">
        <v>500</v>
      </c>
      <c r="J4722" t="s">
        <v>500</v>
      </c>
      <c r="K4722" t="s">
        <v>500</v>
      </c>
      <c r="L4722" t="s">
        <v>500</v>
      </c>
      <c r="M4722" t="s">
        <v>500</v>
      </c>
      <c r="N4722" t="s">
        <v>500</v>
      </c>
      <c r="O4722" t="s">
        <v>500</v>
      </c>
    </row>
    <row r="4723" spans="1:15">
      <c r="A4723" s="22" t="s">
        <v>324</v>
      </c>
      <c r="B4723" s="22" t="str">
        <f ca="1">IF(ISBLANK(OFFSET(B4723,0,'Field labels'!$Q$1)),C4723,OFFSET(B4723,0,'Field labels'!$Q$1))</f>
        <v>Donegal</v>
      </c>
      <c r="C4723" s="22" t="s">
        <v>4061</v>
      </c>
      <c r="D4723" t="s">
        <v>4061</v>
      </c>
      <c r="E4723" t="s">
        <v>4061</v>
      </c>
      <c r="F4723" t="s">
        <v>4061</v>
      </c>
      <c r="G4723" t="s">
        <v>4061</v>
      </c>
      <c r="H4723" t="s">
        <v>4061</v>
      </c>
      <c r="I4723" t="s">
        <v>4061</v>
      </c>
      <c r="J4723" t="s">
        <v>4061</v>
      </c>
      <c r="K4723" t="s">
        <v>4061</v>
      </c>
      <c r="L4723" t="s">
        <v>4061</v>
      </c>
      <c r="M4723" t="s">
        <v>4061</v>
      </c>
      <c r="N4723" t="s">
        <v>4061</v>
      </c>
      <c r="O4723" t="s">
        <v>4061</v>
      </c>
    </row>
    <row r="4724" spans="1:15">
      <c r="A4724" s="22" t="s">
        <v>324</v>
      </c>
      <c r="B4724" s="22" t="str">
        <f ca="1">IF(ISBLANK(OFFSET(B4724,0,'Field labels'!$Q$1)),C4724,OFFSET(B4724,0,'Field labels'!$Q$1))</f>
        <v>Dorset</v>
      </c>
      <c r="C4724" s="22" t="s">
        <v>439</v>
      </c>
      <c r="D4724" t="s">
        <v>439</v>
      </c>
      <c r="E4724" t="s">
        <v>439</v>
      </c>
      <c r="F4724" t="s">
        <v>439</v>
      </c>
      <c r="G4724" t="s">
        <v>439</v>
      </c>
      <c r="H4724" t="s">
        <v>439</v>
      </c>
      <c r="I4724" t="s">
        <v>439</v>
      </c>
      <c r="J4724" t="s">
        <v>439</v>
      </c>
      <c r="K4724" t="s">
        <v>439</v>
      </c>
      <c r="L4724" t="s">
        <v>439</v>
      </c>
      <c r="M4724" t="s">
        <v>439</v>
      </c>
      <c r="N4724" t="s">
        <v>439</v>
      </c>
      <c r="O4724" t="s">
        <v>439</v>
      </c>
    </row>
    <row r="4725" spans="1:15">
      <c r="A4725" s="22" t="s">
        <v>324</v>
      </c>
      <c r="B4725" s="22" t="str">
        <f ca="1">IF(ISBLANK(OFFSET(B4725,0,'Field labels'!$Q$1)),C4725,OFFSET(B4725,0,'Field labels'!$Q$1))</f>
        <v>Down</v>
      </c>
      <c r="C4725" s="22" t="s">
        <v>598</v>
      </c>
      <c r="D4725" t="s">
        <v>598</v>
      </c>
      <c r="E4725" t="s">
        <v>598</v>
      </c>
      <c r="F4725" t="s">
        <v>598</v>
      </c>
      <c r="G4725" t="s">
        <v>598</v>
      </c>
      <c r="H4725" t="s">
        <v>598</v>
      </c>
      <c r="I4725" t="s">
        <v>598</v>
      </c>
      <c r="J4725" t="s">
        <v>598</v>
      </c>
      <c r="K4725" t="s">
        <v>598</v>
      </c>
      <c r="L4725" t="s">
        <v>598</v>
      </c>
      <c r="M4725" t="s">
        <v>598</v>
      </c>
      <c r="N4725" t="s">
        <v>4062</v>
      </c>
      <c r="O4725" t="s">
        <v>598</v>
      </c>
    </row>
    <row r="4726" spans="1:15">
      <c r="A4726" s="22" t="s">
        <v>324</v>
      </c>
      <c r="B4726" s="22" t="str">
        <f ca="1">IF(ISBLANK(OFFSET(B4726,0,'Field labels'!$Q$1)),C4726,OFFSET(B4726,0,'Field labels'!$Q$1))</f>
        <v>Dublin</v>
      </c>
      <c r="C4726" s="22" t="s">
        <v>4063</v>
      </c>
      <c r="D4726" t="s">
        <v>4063</v>
      </c>
      <c r="E4726" t="s">
        <v>4063</v>
      </c>
      <c r="F4726" t="s">
        <v>4063</v>
      </c>
      <c r="G4726" t="s">
        <v>4063</v>
      </c>
      <c r="H4726" t="s">
        <v>4063</v>
      </c>
      <c r="I4726" t="s">
        <v>4064</v>
      </c>
      <c r="J4726" t="s">
        <v>4063</v>
      </c>
      <c r="K4726" t="s">
        <v>4063</v>
      </c>
      <c r="L4726" t="s">
        <v>4063</v>
      </c>
      <c r="M4726" t="s">
        <v>4063</v>
      </c>
      <c r="N4726" t="s">
        <v>4063</v>
      </c>
      <c r="O4726" t="s">
        <v>4063</v>
      </c>
    </row>
    <row r="4727" spans="1:15">
      <c r="A4727" s="22" t="s">
        <v>324</v>
      </c>
      <c r="B4727" s="22" t="str">
        <f ca="1">IF(ISBLANK(OFFSET(B4727,0,'Field labels'!$Q$1)),C4727,OFFSET(B4727,0,'Field labels'!$Q$1))</f>
        <v>Dudley</v>
      </c>
      <c r="C4727" s="22" t="s">
        <v>501</v>
      </c>
      <c r="D4727" t="s">
        <v>501</v>
      </c>
      <c r="E4727" t="s">
        <v>501</v>
      </c>
      <c r="F4727" t="s">
        <v>501</v>
      </c>
      <c r="G4727" t="s">
        <v>501</v>
      </c>
      <c r="H4727" t="s">
        <v>501</v>
      </c>
      <c r="I4727" t="s">
        <v>501</v>
      </c>
      <c r="J4727" t="s">
        <v>501</v>
      </c>
      <c r="K4727" t="s">
        <v>501</v>
      </c>
      <c r="L4727" t="s">
        <v>501</v>
      </c>
      <c r="M4727" t="s">
        <v>501</v>
      </c>
      <c r="N4727" t="s">
        <v>501</v>
      </c>
      <c r="O4727" t="s">
        <v>501</v>
      </c>
    </row>
    <row r="4728" spans="1:15">
      <c r="A4728" s="22" t="s">
        <v>324</v>
      </c>
      <c r="B4728" s="22" t="str">
        <f ca="1">IF(ISBLANK(OFFSET(B4728,0,'Field labels'!$Q$1)),C4728,OFFSET(B4728,0,'Field labels'!$Q$1))</f>
        <v>Dumfries and Galloway</v>
      </c>
      <c r="C4728" s="22" t="s">
        <v>616</v>
      </c>
      <c r="D4728" t="s">
        <v>616</v>
      </c>
      <c r="E4728" t="s">
        <v>616</v>
      </c>
      <c r="F4728" t="s">
        <v>4065</v>
      </c>
      <c r="G4728" t="s">
        <v>616</v>
      </c>
      <c r="H4728" t="s">
        <v>616</v>
      </c>
      <c r="I4728" t="s">
        <v>616</v>
      </c>
      <c r="J4728" t="s">
        <v>616</v>
      </c>
      <c r="K4728" t="s">
        <v>616</v>
      </c>
      <c r="L4728" t="s">
        <v>616</v>
      </c>
      <c r="M4728" t="s">
        <v>616</v>
      </c>
      <c r="N4728" t="s">
        <v>616</v>
      </c>
      <c r="O4728" t="s">
        <v>616</v>
      </c>
    </row>
    <row r="4729" spans="1:15">
      <c r="A4729" s="22" t="s">
        <v>324</v>
      </c>
      <c r="B4729" s="22" t="str">
        <f ca="1">IF(ISBLANK(OFFSET(B4729,0,'Field labels'!$Q$1)),C4729,OFFSET(B4729,0,'Field labels'!$Q$1))</f>
        <v>Dundee City</v>
      </c>
      <c r="C4729" s="22" t="s">
        <v>617</v>
      </c>
      <c r="D4729" t="s">
        <v>617</v>
      </c>
      <c r="E4729" t="s">
        <v>617</v>
      </c>
      <c r="F4729" t="s">
        <v>4066</v>
      </c>
      <c r="G4729" t="s">
        <v>617</v>
      </c>
      <c r="H4729" t="s">
        <v>617</v>
      </c>
      <c r="I4729" t="s">
        <v>617</v>
      </c>
      <c r="J4729" t="s">
        <v>617</v>
      </c>
      <c r="K4729" t="s">
        <v>4067</v>
      </c>
      <c r="L4729" t="s">
        <v>4068</v>
      </c>
      <c r="M4729" t="s">
        <v>617</v>
      </c>
      <c r="N4729" t="s">
        <v>617</v>
      </c>
      <c r="O4729" t="s">
        <v>617</v>
      </c>
    </row>
    <row r="4730" spans="1:15">
      <c r="A4730" s="22" t="s">
        <v>324</v>
      </c>
      <c r="B4730" s="22" t="str">
        <f ca="1">IF(ISBLANK(OFFSET(B4730,0,'Field labels'!$Q$1)),C4730,OFFSET(B4730,0,'Field labels'!$Q$1))</f>
        <v>Dungannon and South Tyrone</v>
      </c>
      <c r="C4730" s="22" t="s">
        <v>599</v>
      </c>
      <c r="D4730" t="s">
        <v>599</v>
      </c>
      <c r="E4730" t="s">
        <v>599</v>
      </c>
      <c r="F4730" t="s">
        <v>599</v>
      </c>
      <c r="G4730" t="s">
        <v>599</v>
      </c>
      <c r="H4730" t="s">
        <v>599</v>
      </c>
      <c r="I4730" t="s">
        <v>599</v>
      </c>
      <c r="J4730" t="s">
        <v>599</v>
      </c>
      <c r="K4730" t="s">
        <v>599</v>
      </c>
      <c r="L4730" t="s">
        <v>599</v>
      </c>
      <c r="M4730" t="s">
        <v>599</v>
      </c>
      <c r="N4730" t="s">
        <v>599</v>
      </c>
      <c r="O4730" t="s">
        <v>599</v>
      </c>
    </row>
    <row r="4731" spans="1:15">
      <c r="A4731" s="22" t="s">
        <v>324</v>
      </c>
      <c r="B4731" s="22" t="str">
        <f ca="1">IF(ISBLANK(OFFSET(B4731,0,'Field labels'!$Q$1)),C4731,OFFSET(B4731,0,'Field labels'!$Q$1))</f>
        <v>Durham, County</v>
      </c>
      <c r="C4731" s="22" t="s">
        <v>543</v>
      </c>
      <c r="D4731" t="s">
        <v>543</v>
      </c>
      <c r="E4731" t="s">
        <v>543</v>
      </c>
      <c r="F4731" t="s">
        <v>4069</v>
      </c>
      <c r="G4731" t="s">
        <v>543</v>
      </c>
      <c r="H4731" t="s">
        <v>543</v>
      </c>
      <c r="I4731" t="s">
        <v>543</v>
      </c>
      <c r="J4731" t="s">
        <v>543</v>
      </c>
      <c r="K4731" t="s">
        <v>4070</v>
      </c>
      <c r="L4731" t="s">
        <v>4071</v>
      </c>
      <c r="M4731" t="s">
        <v>543</v>
      </c>
      <c r="N4731" t="s">
        <v>4072</v>
      </c>
      <c r="O4731" t="s">
        <v>543</v>
      </c>
    </row>
    <row r="4732" spans="1:15">
      <c r="A4732" s="22" t="s">
        <v>324</v>
      </c>
      <c r="B4732" s="22" t="str">
        <f ca="1">IF(ISBLANK(OFFSET(B4732,0,'Field labels'!$Q$1)),C4732,OFFSET(B4732,0,'Field labels'!$Q$1))</f>
        <v>Ealing</v>
      </c>
      <c r="C4732" s="22" t="s">
        <v>468</v>
      </c>
      <c r="D4732" t="s">
        <v>468</v>
      </c>
      <c r="E4732" t="s">
        <v>468</v>
      </c>
      <c r="F4732" t="s">
        <v>468</v>
      </c>
      <c r="G4732" t="s">
        <v>468</v>
      </c>
      <c r="H4732" t="s">
        <v>468</v>
      </c>
      <c r="I4732" t="s">
        <v>468</v>
      </c>
      <c r="J4732" t="s">
        <v>468</v>
      </c>
      <c r="K4732" t="s">
        <v>468</v>
      </c>
      <c r="L4732" t="s">
        <v>468</v>
      </c>
      <c r="M4732" t="s">
        <v>468</v>
      </c>
      <c r="N4732" t="s">
        <v>468</v>
      </c>
      <c r="O4732" t="s">
        <v>468</v>
      </c>
    </row>
    <row r="4733" spans="1:15">
      <c r="A4733" s="22" t="s">
        <v>324</v>
      </c>
      <c r="B4733" s="22" t="str">
        <f ca="1">IF(ISBLANK(OFFSET(B4733,0,'Field labels'!$Q$1)),C4733,OFFSET(B4733,0,'Field labels'!$Q$1))</f>
        <v>East Ayrshire</v>
      </c>
      <c r="C4733" s="22" t="s">
        <v>618</v>
      </c>
      <c r="D4733" t="s">
        <v>618</v>
      </c>
      <c r="E4733" t="s">
        <v>618</v>
      </c>
      <c r="F4733" t="s">
        <v>618</v>
      </c>
      <c r="G4733" t="s">
        <v>618</v>
      </c>
      <c r="H4733" t="s">
        <v>618</v>
      </c>
      <c r="I4733" t="s">
        <v>618</v>
      </c>
      <c r="J4733" t="s">
        <v>618</v>
      </c>
      <c r="K4733" t="s">
        <v>618</v>
      </c>
      <c r="L4733" t="s">
        <v>618</v>
      </c>
      <c r="M4733" t="s">
        <v>618</v>
      </c>
      <c r="N4733" t="s">
        <v>618</v>
      </c>
      <c r="O4733" t="s">
        <v>618</v>
      </c>
    </row>
    <row r="4734" spans="1:15">
      <c r="A4734" s="22" t="s">
        <v>324</v>
      </c>
      <c r="B4734" s="22" t="str">
        <f ca="1">IF(ISBLANK(OFFSET(B4734,0,'Field labels'!$Q$1)),C4734,OFFSET(B4734,0,'Field labels'!$Q$1))</f>
        <v>East Dunbartonshire</v>
      </c>
      <c r="C4734" s="22" t="s">
        <v>619</v>
      </c>
      <c r="D4734" t="s">
        <v>619</v>
      </c>
      <c r="E4734" t="s">
        <v>619</v>
      </c>
      <c r="F4734" t="s">
        <v>619</v>
      </c>
      <c r="G4734" t="s">
        <v>619</v>
      </c>
      <c r="H4734" t="s">
        <v>619</v>
      </c>
      <c r="I4734" t="s">
        <v>619</v>
      </c>
      <c r="J4734" t="s">
        <v>619</v>
      </c>
      <c r="K4734" t="s">
        <v>619</v>
      </c>
      <c r="L4734" t="s">
        <v>619</v>
      </c>
      <c r="M4734" t="s">
        <v>619</v>
      </c>
      <c r="N4734" t="s">
        <v>619</v>
      </c>
      <c r="O4734" t="s">
        <v>619</v>
      </c>
    </row>
    <row r="4735" spans="1:15">
      <c r="A4735" s="22" t="s">
        <v>324</v>
      </c>
      <c r="B4735" s="22" t="str">
        <f ca="1">IF(ISBLANK(OFFSET(B4735,0,'Field labels'!$Q$1)),C4735,OFFSET(B4735,0,'Field labels'!$Q$1))</f>
        <v>East Lothian</v>
      </c>
      <c r="C4735" s="22" t="s">
        <v>620</v>
      </c>
      <c r="D4735" t="s">
        <v>620</v>
      </c>
      <c r="E4735" t="s">
        <v>620</v>
      </c>
      <c r="F4735" t="s">
        <v>620</v>
      </c>
      <c r="G4735" t="s">
        <v>620</v>
      </c>
      <c r="H4735" t="s">
        <v>620</v>
      </c>
      <c r="I4735" t="s">
        <v>620</v>
      </c>
      <c r="J4735" t="s">
        <v>620</v>
      </c>
      <c r="K4735" t="s">
        <v>620</v>
      </c>
      <c r="L4735" t="s">
        <v>620</v>
      </c>
      <c r="M4735" t="s">
        <v>620</v>
      </c>
      <c r="N4735" t="s">
        <v>620</v>
      </c>
      <c r="O4735" t="s">
        <v>620</v>
      </c>
    </row>
    <row r="4736" spans="1:15">
      <c r="A4736" s="22" t="s">
        <v>324</v>
      </c>
      <c r="B4736" s="22" t="str">
        <f ca="1">IF(ISBLANK(OFFSET(B4736,0,'Field labels'!$Q$1)),C4736,OFFSET(B4736,0,'Field labels'!$Q$1))</f>
        <v>East Renfrewshire</v>
      </c>
      <c r="C4736" s="22" t="s">
        <v>621</v>
      </c>
      <c r="D4736" t="s">
        <v>621</v>
      </c>
      <c r="E4736" t="s">
        <v>621</v>
      </c>
      <c r="F4736" t="s">
        <v>621</v>
      </c>
      <c r="G4736" t="s">
        <v>621</v>
      </c>
      <c r="H4736" t="s">
        <v>621</v>
      </c>
      <c r="I4736" t="s">
        <v>621</v>
      </c>
      <c r="J4736" t="s">
        <v>621</v>
      </c>
      <c r="K4736" t="s">
        <v>621</v>
      </c>
      <c r="L4736" t="s">
        <v>621</v>
      </c>
      <c r="M4736" t="s">
        <v>621</v>
      </c>
      <c r="N4736" t="s">
        <v>621</v>
      </c>
      <c r="O4736" t="s">
        <v>621</v>
      </c>
    </row>
    <row r="4737" spans="1:15">
      <c r="A4737" s="22" t="s">
        <v>324</v>
      </c>
      <c r="B4737" s="22" t="str">
        <f ca="1">IF(ISBLANK(OFFSET(B4737,0,'Field labels'!$Q$1)),C4737,OFFSET(B4737,0,'Field labels'!$Q$1))</f>
        <v>East Riding of Yorkshire</v>
      </c>
      <c r="C4737" s="22" t="s">
        <v>544</v>
      </c>
      <c r="D4737" t="s">
        <v>544</v>
      </c>
      <c r="E4737" t="s">
        <v>544</v>
      </c>
      <c r="F4737" t="s">
        <v>4073</v>
      </c>
      <c r="G4737" t="s">
        <v>544</v>
      </c>
      <c r="H4737" t="s">
        <v>544</v>
      </c>
      <c r="I4737" t="s">
        <v>544</v>
      </c>
      <c r="J4737" t="s">
        <v>544</v>
      </c>
      <c r="K4737" t="s">
        <v>544</v>
      </c>
      <c r="L4737" t="s">
        <v>544</v>
      </c>
      <c r="M4737" t="s">
        <v>544</v>
      </c>
      <c r="N4737" t="s">
        <v>544</v>
      </c>
      <c r="O4737" t="s">
        <v>544</v>
      </c>
    </row>
    <row r="4738" spans="1:15">
      <c r="A4738" s="22" t="s">
        <v>324</v>
      </c>
      <c r="B4738" s="22" t="str">
        <f ca="1">IF(ISBLANK(OFFSET(B4738,0,'Field labels'!$Q$1)),C4738,OFFSET(B4738,0,'Field labels'!$Q$1))</f>
        <v>East Sussex</v>
      </c>
      <c r="C4738" s="22" t="s">
        <v>440</v>
      </c>
      <c r="D4738" t="s">
        <v>440</v>
      </c>
      <c r="E4738" t="s">
        <v>440</v>
      </c>
      <c r="F4738" t="s">
        <v>4074</v>
      </c>
      <c r="G4738" t="s">
        <v>440</v>
      </c>
      <c r="H4738" t="s">
        <v>440</v>
      </c>
      <c r="I4738" t="s">
        <v>440</v>
      </c>
      <c r="J4738" t="s">
        <v>440</v>
      </c>
      <c r="K4738" t="s">
        <v>440</v>
      </c>
      <c r="L4738" t="s">
        <v>440</v>
      </c>
      <c r="M4738" t="s">
        <v>440</v>
      </c>
      <c r="N4738" t="s">
        <v>440</v>
      </c>
      <c r="O4738" t="s">
        <v>4075</v>
      </c>
    </row>
    <row r="4739" spans="1:15">
      <c r="A4739" s="22" t="s">
        <v>324</v>
      </c>
      <c r="B4739" s="22" t="str">
        <f ca="1">IF(ISBLANK(OFFSET(B4739,0,'Field labels'!$Q$1)),C4739,OFFSET(B4739,0,'Field labels'!$Q$1))</f>
        <v>Edinburgh, City of</v>
      </c>
      <c r="C4739" s="22" t="s">
        <v>622</v>
      </c>
      <c r="D4739" t="s">
        <v>622</v>
      </c>
      <c r="E4739" t="s">
        <v>622</v>
      </c>
      <c r="F4739" t="s">
        <v>4076</v>
      </c>
      <c r="G4739" t="s">
        <v>622</v>
      </c>
      <c r="H4739" t="s">
        <v>622</v>
      </c>
      <c r="I4739" t="s">
        <v>622</v>
      </c>
      <c r="J4739" t="s">
        <v>622</v>
      </c>
      <c r="K4739" t="s">
        <v>4077</v>
      </c>
      <c r="L4739" t="s">
        <v>4078</v>
      </c>
      <c r="M4739" t="s">
        <v>4079</v>
      </c>
      <c r="N4739" t="s">
        <v>4080</v>
      </c>
      <c r="O4739" t="s">
        <v>622</v>
      </c>
    </row>
    <row r="4740" spans="1:15">
      <c r="A4740" s="22" t="s">
        <v>324</v>
      </c>
      <c r="B4740" s="22" t="str">
        <f ca="1">IF(ISBLANK(OFFSET(B4740,0,'Field labels'!$Q$1)),C4740,OFFSET(B4740,0,'Field labels'!$Q$1))</f>
        <v>Eilean Siar</v>
      </c>
      <c r="C4740" s="22" t="s">
        <v>623</v>
      </c>
      <c r="D4740" t="s">
        <v>623</v>
      </c>
      <c r="E4740" t="s">
        <v>623</v>
      </c>
      <c r="F4740" t="s">
        <v>623</v>
      </c>
      <c r="G4740" t="s">
        <v>623</v>
      </c>
      <c r="H4740" t="s">
        <v>623</v>
      </c>
      <c r="I4740" t="s">
        <v>623</v>
      </c>
      <c r="J4740" t="s">
        <v>623</v>
      </c>
      <c r="K4740" t="s">
        <v>623</v>
      </c>
      <c r="L4740" t="s">
        <v>623</v>
      </c>
      <c r="M4740" t="s">
        <v>623</v>
      </c>
      <c r="N4740" t="s">
        <v>623</v>
      </c>
      <c r="O4740" t="s">
        <v>623</v>
      </c>
    </row>
    <row r="4741" spans="1:15">
      <c r="A4741" s="22" t="s">
        <v>324</v>
      </c>
      <c r="B4741" s="22" t="str">
        <f ca="1">IF(ISBLANK(OFFSET(B4741,0,'Field labels'!$Q$1)),C4741,OFFSET(B4741,0,'Field labels'!$Q$1))</f>
        <v>Enfield</v>
      </c>
      <c r="C4741" s="22" t="s">
        <v>469</v>
      </c>
      <c r="D4741" t="s">
        <v>469</v>
      </c>
      <c r="E4741" t="s">
        <v>469</v>
      </c>
      <c r="F4741" t="s">
        <v>469</v>
      </c>
      <c r="G4741" t="s">
        <v>469</v>
      </c>
      <c r="H4741" t="s">
        <v>469</v>
      </c>
      <c r="I4741" t="s">
        <v>469</v>
      </c>
      <c r="J4741" t="s">
        <v>469</v>
      </c>
      <c r="K4741" t="s">
        <v>469</v>
      </c>
      <c r="L4741" t="s">
        <v>469</v>
      </c>
      <c r="M4741" t="s">
        <v>469</v>
      </c>
      <c r="N4741" t="s">
        <v>469</v>
      </c>
      <c r="O4741" t="s">
        <v>469</v>
      </c>
    </row>
    <row r="4742" spans="1:15">
      <c r="A4742" s="22" t="s">
        <v>324</v>
      </c>
      <c r="B4742" s="22" t="str">
        <f ca="1">IF(ISBLANK(OFFSET(B4742,0,'Field labels'!$Q$1)),C4742,OFFSET(B4742,0,'Field labels'!$Q$1))</f>
        <v>Essex</v>
      </c>
      <c r="C4742" s="22" t="s">
        <v>441</v>
      </c>
      <c r="D4742" t="s">
        <v>441</v>
      </c>
      <c r="E4742" t="s">
        <v>441</v>
      </c>
      <c r="F4742" t="s">
        <v>441</v>
      </c>
      <c r="G4742" t="s">
        <v>441</v>
      </c>
      <c r="H4742" t="s">
        <v>441</v>
      </c>
      <c r="I4742" t="s">
        <v>441</v>
      </c>
      <c r="J4742" t="s">
        <v>441</v>
      </c>
      <c r="K4742" t="s">
        <v>441</v>
      </c>
      <c r="L4742" t="s">
        <v>441</v>
      </c>
      <c r="M4742" t="s">
        <v>441</v>
      </c>
      <c r="N4742" t="s">
        <v>441</v>
      </c>
      <c r="O4742" t="s">
        <v>441</v>
      </c>
    </row>
    <row r="4743" spans="1:15">
      <c r="A4743" s="22" t="s">
        <v>324</v>
      </c>
      <c r="B4743" s="22" t="str">
        <f ca="1">IF(ISBLANK(OFFSET(B4743,0,'Field labels'!$Q$1)),C4743,OFFSET(B4743,0,'Field labels'!$Q$1))</f>
        <v>Falkirk</v>
      </c>
      <c r="C4743" s="22" t="s">
        <v>624</v>
      </c>
      <c r="D4743" t="s">
        <v>624</v>
      </c>
      <c r="E4743" t="s">
        <v>624</v>
      </c>
      <c r="F4743" t="s">
        <v>624</v>
      </c>
      <c r="G4743" t="s">
        <v>624</v>
      </c>
      <c r="H4743" t="s">
        <v>624</v>
      </c>
      <c r="I4743" t="s">
        <v>624</v>
      </c>
      <c r="J4743" t="s">
        <v>624</v>
      </c>
      <c r="K4743" t="s">
        <v>624</v>
      </c>
      <c r="L4743" t="s">
        <v>624</v>
      </c>
      <c r="M4743" t="s">
        <v>624</v>
      </c>
      <c r="N4743" t="s">
        <v>624</v>
      </c>
      <c r="O4743" t="s">
        <v>624</v>
      </c>
    </row>
    <row r="4744" spans="1:15">
      <c r="A4744" s="22" t="s">
        <v>324</v>
      </c>
      <c r="B4744" s="22" t="str">
        <f ca="1">IF(ISBLANK(OFFSET(B4744,0,'Field labels'!$Q$1)),C4744,OFFSET(B4744,0,'Field labels'!$Q$1))</f>
        <v>Fermanagh</v>
      </c>
      <c r="C4744" s="22" t="s">
        <v>600</v>
      </c>
      <c r="D4744" t="s">
        <v>600</v>
      </c>
      <c r="E4744" t="s">
        <v>600</v>
      </c>
      <c r="F4744" t="s">
        <v>600</v>
      </c>
      <c r="G4744" t="s">
        <v>600</v>
      </c>
      <c r="H4744" t="s">
        <v>600</v>
      </c>
      <c r="I4744" t="s">
        <v>600</v>
      </c>
      <c r="J4744" t="s">
        <v>600</v>
      </c>
      <c r="K4744" t="s">
        <v>600</v>
      </c>
      <c r="L4744" t="s">
        <v>600</v>
      </c>
      <c r="M4744" t="s">
        <v>600</v>
      </c>
      <c r="N4744" t="s">
        <v>600</v>
      </c>
      <c r="O4744" t="s">
        <v>600</v>
      </c>
    </row>
    <row r="4745" spans="1:15">
      <c r="A4745" s="22" t="s">
        <v>324</v>
      </c>
      <c r="B4745" s="22" t="str">
        <f ca="1">IF(ISBLANK(OFFSET(B4745,0,'Field labels'!$Q$1)),C4745,OFFSET(B4745,0,'Field labels'!$Q$1))</f>
        <v>Fife</v>
      </c>
      <c r="C4745" s="22" t="s">
        <v>625</v>
      </c>
      <c r="D4745" t="s">
        <v>625</v>
      </c>
      <c r="E4745" t="s">
        <v>625</v>
      </c>
      <c r="F4745" t="s">
        <v>625</v>
      </c>
      <c r="G4745" t="s">
        <v>625</v>
      </c>
      <c r="H4745" t="s">
        <v>625</v>
      </c>
      <c r="I4745" t="s">
        <v>625</v>
      </c>
      <c r="J4745" t="s">
        <v>625</v>
      </c>
      <c r="K4745" t="s">
        <v>625</v>
      </c>
      <c r="L4745" t="s">
        <v>625</v>
      </c>
      <c r="M4745" t="s">
        <v>625</v>
      </c>
      <c r="N4745" t="s">
        <v>625</v>
      </c>
      <c r="O4745" t="s">
        <v>625</v>
      </c>
    </row>
    <row r="4746" spans="1:15">
      <c r="A4746" s="22" t="s">
        <v>324</v>
      </c>
      <c r="B4746" s="22" t="str">
        <f ca="1">IF(ISBLANK(OFFSET(B4746,0,'Field labels'!$Q$1)),C4746,OFFSET(B4746,0,'Field labels'!$Q$1))</f>
        <v>Flintshire</v>
      </c>
      <c r="C4746" s="22" t="s">
        <v>651</v>
      </c>
      <c r="D4746" t="s">
        <v>651</v>
      </c>
      <c r="E4746" t="s">
        <v>651</v>
      </c>
      <c r="F4746" t="s">
        <v>651</v>
      </c>
      <c r="G4746" t="s">
        <v>651</v>
      </c>
      <c r="H4746" t="s">
        <v>651</v>
      </c>
      <c r="I4746" t="s">
        <v>651</v>
      </c>
      <c r="J4746" t="s">
        <v>651</v>
      </c>
      <c r="K4746" t="s">
        <v>651</v>
      </c>
      <c r="L4746" t="s">
        <v>651</v>
      </c>
      <c r="M4746" t="s">
        <v>651</v>
      </c>
      <c r="N4746" t="s">
        <v>651</v>
      </c>
      <c r="O4746" t="s">
        <v>651</v>
      </c>
    </row>
    <row r="4747" spans="1:15">
      <c r="A4747" s="22" t="s">
        <v>324</v>
      </c>
      <c r="B4747" s="22" t="str">
        <f ca="1">IF(ISBLANK(OFFSET(B4747,0,'Field labels'!$Q$1)),C4747,OFFSET(B4747,0,'Field labels'!$Q$1))</f>
        <v>Galway</v>
      </c>
      <c r="C4747" s="22" t="s">
        <v>4081</v>
      </c>
      <c r="D4747" t="s">
        <v>4081</v>
      </c>
      <c r="E4747" t="s">
        <v>4081</v>
      </c>
      <c r="F4747" t="s">
        <v>4081</v>
      </c>
      <c r="G4747" t="s">
        <v>4081</v>
      </c>
      <c r="H4747" t="s">
        <v>4081</v>
      </c>
      <c r="I4747" t="s">
        <v>4081</v>
      </c>
      <c r="J4747" t="s">
        <v>4081</v>
      </c>
      <c r="K4747" t="s">
        <v>4081</v>
      </c>
      <c r="L4747" t="s">
        <v>4081</v>
      </c>
      <c r="M4747" t="s">
        <v>4081</v>
      </c>
      <c r="N4747" t="s">
        <v>4081</v>
      </c>
      <c r="O4747" t="s">
        <v>4081</v>
      </c>
    </row>
    <row r="4748" spans="1:15">
      <c r="A4748" s="22" t="s">
        <v>324</v>
      </c>
      <c r="B4748" s="22" t="str">
        <f ca="1">IF(ISBLANK(OFFSET(B4748,0,'Field labels'!$Q$1)),C4748,OFFSET(B4748,0,'Field labels'!$Q$1))</f>
        <v>Gateshead</v>
      </c>
      <c r="C4748" s="22" t="s">
        <v>502</v>
      </c>
      <c r="D4748" t="s">
        <v>502</v>
      </c>
      <c r="E4748" t="s">
        <v>502</v>
      </c>
      <c r="F4748" t="s">
        <v>502</v>
      </c>
      <c r="G4748" t="s">
        <v>502</v>
      </c>
      <c r="H4748" t="s">
        <v>502</v>
      </c>
      <c r="I4748" t="s">
        <v>502</v>
      </c>
      <c r="J4748" t="s">
        <v>502</v>
      </c>
      <c r="K4748" t="s">
        <v>502</v>
      </c>
      <c r="L4748" t="s">
        <v>502</v>
      </c>
      <c r="M4748" t="s">
        <v>502</v>
      </c>
      <c r="N4748" t="s">
        <v>502</v>
      </c>
      <c r="O4748" t="s">
        <v>502</v>
      </c>
    </row>
    <row r="4749" spans="1:15">
      <c r="A4749" s="22" t="s">
        <v>324</v>
      </c>
      <c r="B4749" s="22" t="str">
        <f ca="1">IF(ISBLANK(OFFSET(B4749,0,'Field labels'!$Q$1)),C4749,OFFSET(B4749,0,'Field labels'!$Q$1))</f>
        <v>Gävleborg</v>
      </c>
      <c r="C4749" s="22" t="s">
        <v>4082</v>
      </c>
      <c r="D4749" t="s">
        <v>4082</v>
      </c>
      <c r="E4749" t="s">
        <v>4082</v>
      </c>
      <c r="F4749" t="s">
        <v>4082</v>
      </c>
      <c r="G4749" t="s">
        <v>4082</v>
      </c>
      <c r="H4749" t="s">
        <v>4082</v>
      </c>
      <c r="I4749" t="s">
        <v>4082</v>
      </c>
      <c r="J4749" t="s">
        <v>4082</v>
      </c>
      <c r="K4749" t="s">
        <v>4082</v>
      </c>
      <c r="L4749" t="s">
        <v>4082</v>
      </c>
      <c r="M4749" t="s">
        <v>4082</v>
      </c>
      <c r="N4749" t="s">
        <v>4082</v>
      </c>
      <c r="O4749" t="s">
        <v>4082</v>
      </c>
    </row>
    <row r="4750" spans="1:15">
      <c r="A4750" s="22" t="s">
        <v>324</v>
      </c>
      <c r="B4750" s="22" t="str">
        <f ca="1">IF(ISBLANK(OFFSET(B4750,0,'Field labels'!$Q$1)),C4750,OFFSET(B4750,0,'Field labels'!$Q$1))</f>
        <v>Glasgow City</v>
      </c>
      <c r="C4750" s="22" t="s">
        <v>626</v>
      </c>
      <c r="D4750" t="s">
        <v>626</v>
      </c>
      <c r="E4750" t="s">
        <v>626</v>
      </c>
      <c r="F4750" t="s">
        <v>4083</v>
      </c>
      <c r="G4750" t="s">
        <v>626</v>
      </c>
      <c r="H4750" t="s">
        <v>626</v>
      </c>
      <c r="I4750" t="s">
        <v>626</v>
      </c>
      <c r="J4750" t="s">
        <v>626</v>
      </c>
      <c r="K4750" t="s">
        <v>4084</v>
      </c>
      <c r="L4750" t="s">
        <v>4085</v>
      </c>
      <c r="M4750" t="s">
        <v>626</v>
      </c>
      <c r="N4750" t="s">
        <v>4086</v>
      </c>
      <c r="O4750" t="s">
        <v>626</v>
      </c>
    </row>
    <row r="4751" spans="1:15">
      <c r="A4751" s="22" t="s">
        <v>324</v>
      </c>
      <c r="B4751" s="22" t="str">
        <f ca="1">IF(ISBLANK(OFFSET(B4751,0,'Field labels'!$Q$1)),C4751,OFFSET(B4751,0,'Field labels'!$Q$1))</f>
        <v>Gloucestershire</v>
      </c>
      <c r="C4751" s="22" t="s">
        <v>442</v>
      </c>
      <c r="D4751" t="s">
        <v>442</v>
      </c>
      <c r="E4751" t="s">
        <v>442</v>
      </c>
      <c r="F4751" t="s">
        <v>442</v>
      </c>
      <c r="G4751" t="s">
        <v>442</v>
      </c>
      <c r="H4751" t="s">
        <v>442</v>
      </c>
      <c r="I4751" t="s">
        <v>442</v>
      </c>
      <c r="J4751" t="s">
        <v>442</v>
      </c>
      <c r="K4751" t="s">
        <v>442</v>
      </c>
      <c r="L4751" t="s">
        <v>442</v>
      </c>
      <c r="M4751" t="s">
        <v>442</v>
      </c>
      <c r="N4751" t="s">
        <v>442</v>
      </c>
      <c r="O4751" t="s">
        <v>442</v>
      </c>
    </row>
    <row r="4752" spans="1:15">
      <c r="A4752" s="22" t="s">
        <v>324</v>
      </c>
      <c r="B4752" s="22" t="str">
        <f ca="1">IF(ISBLANK(OFFSET(B4752,0,'Field labels'!$Q$1)),C4752,OFFSET(B4752,0,'Field labels'!$Q$1))</f>
        <v>Gotland</v>
      </c>
      <c r="C4752" s="22" t="s">
        <v>4087</v>
      </c>
      <c r="D4752" t="s">
        <v>4087</v>
      </c>
      <c r="E4752" t="s">
        <v>4087</v>
      </c>
      <c r="F4752" t="s">
        <v>4087</v>
      </c>
      <c r="G4752" t="s">
        <v>4087</v>
      </c>
      <c r="H4752" t="s">
        <v>4087</v>
      </c>
      <c r="I4752" t="s">
        <v>4087</v>
      </c>
      <c r="J4752" t="s">
        <v>4087</v>
      </c>
      <c r="K4752" t="s">
        <v>4087</v>
      </c>
      <c r="L4752" t="s">
        <v>4087</v>
      </c>
      <c r="M4752" t="s">
        <v>4087</v>
      </c>
      <c r="N4752" t="s">
        <v>4087</v>
      </c>
      <c r="O4752" t="s">
        <v>4087</v>
      </c>
    </row>
    <row r="4753" spans="1:15">
      <c r="A4753" s="22" t="s">
        <v>324</v>
      </c>
      <c r="B4753" s="22" t="str">
        <f ca="1">IF(ISBLANK(OFFSET(B4753,0,'Field labels'!$Q$1)),C4753,OFFSET(B4753,0,'Field labels'!$Q$1))</f>
        <v>Greenwich</v>
      </c>
      <c r="C4753" s="22" t="s">
        <v>470</v>
      </c>
      <c r="D4753" t="s">
        <v>470</v>
      </c>
      <c r="E4753" t="s">
        <v>470</v>
      </c>
      <c r="F4753" t="s">
        <v>470</v>
      </c>
      <c r="G4753" t="s">
        <v>470</v>
      </c>
      <c r="H4753" t="s">
        <v>470</v>
      </c>
      <c r="I4753" t="s">
        <v>470</v>
      </c>
      <c r="J4753" t="s">
        <v>470</v>
      </c>
      <c r="K4753" t="s">
        <v>470</v>
      </c>
      <c r="L4753" t="s">
        <v>470</v>
      </c>
      <c r="M4753" t="s">
        <v>470</v>
      </c>
      <c r="N4753" t="s">
        <v>470</v>
      </c>
      <c r="O4753" t="s">
        <v>470</v>
      </c>
    </row>
    <row r="4754" spans="1:15">
      <c r="A4754" s="22" t="s">
        <v>324</v>
      </c>
      <c r="B4754" s="22" t="str">
        <f ca="1">IF(ISBLANK(OFFSET(B4754,0,'Field labels'!$Q$1)),C4754,OFFSET(B4754,0,'Field labels'!$Q$1))</f>
        <v>Gwynedd</v>
      </c>
      <c r="C4754" s="22" t="s">
        <v>652</v>
      </c>
      <c r="D4754" t="s">
        <v>652</v>
      </c>
      <c r="E4754" t="s">
        <v>652</v>
      </c>
      <c r="F4754" t="s">
        <v>652</v>
      </c>
      <c r="G4754" t="s">
        <v>652</v>
      </c>
      <c r="H4754" t="s">
        <v>652</v>
      </c>
      <c r="I4754" t="s">
        <v>652</v>
      </c>
      <c r="J4754" t="s">
        <v>652</v>
      </c>
      <c r="K4754" t="s">
        <v>652</v>
      </c>
      <c r="L4754" t="s">
        <v>652</v>
      </c>
      <c r="M4754" t="s">
        <v>652</v>
      </c>
      <c r="N4754" t="s">
        <v>652</v>
      </c>
      <c r="O4754" t="s">
        <v>652</v>
      </c>
    </row>
    <row r="4755" spans="1:15">
      <c r="A4755" s="22" t="s">
        <v>324</v>
      </c>
      <c r="B4755" s="22" t="str">
        <f ca="1">IF(ISBLANK(OFFSET(B4755,0,'Field labels'!$Q$1)),C4755,OFFSET(B4755,0,'Field labels'!$Q$1))</f>
        <v>Hackney</v>
      </c>
      <c r="C4755" s="22" t="s">
        <v>471</v>
      </c>
      <c r="D4755" t="s">
        <v>471</v>
      </c>
      <c r="E4755" t="s">
        <v>471</v>
      </c>
      <c r="F4755" t="s">
        <v>471</v>
      </c>
      <c r="G4755" t="s">
        <v>471</v>
      </c>
      <c r="H4755" t="s">
        <v>471</v>
      </c>
      <c r="I4755" t="s">
        <v>471</v>
      </c>
      <c r="J4755" t="s">
        <v>471</v>
      </c>
      <c r="K4755" t="s">
        <v>471</v>
      </c>
      <c r="L4755" t="s">
        <v>471</v>
      </c>
      <c r="M4755" t="s">
        <v>471</v>
      </c>
      <c r="N4755" t="s">
        <v>471</v>
      </c>
      <c r="O4755" t="s">
        <v>471</v>
      </c>
    </row>
    <row r="4756" spans="1:15">
      <c r="A4756" s="22" t="s">
        <v>324</v>
      </c>
      <c r="B4756" s="22" t="str">
        <f ca="1">IF(ISBLANK(OFFSET(B4756,0,'Field labels'!$Q$1)),C4756,OFFSET(B4756,0,'Field labels'!$Q$1))</f>
        <v>Halland</v>
      </c>
      <c r="C4756" s="22" t="s">
        <v>4088</v>
      </c>
      <c r="D4756" t="s">
        <v>4088</v>
      </c>
      <c r="E4756" t="s">
        <v>4088</v>
      </c>
      <c r="F4756" t="s">
        <v>4088</v>
      </c>
      <c r="G4756" t="s">
        <v>4088</v>
      </c>
      <c r="H4756" t="s">
        <v>4088</v>
      </c>
      <c r="I4756" t="s">
        <v>4088</v>
      </c>
      <c r="J4756" t="s">
        <v>4088</v>
      </c>
      <c r="K4756" t="s">
        <v>4088</v>
      </c>
      <c r="L4756" t="s">
        <v>4088</v>
      </c>
      <c r="M4756" t="s">
        <v>4088</v>
      </c>
      <c r="N4756" t="s">
        <v>4088</v>
      </c>
      <c r="O4756" t="s">
        <v>4088</v>
      </c>
    </row>
    <row r="4757" spans="1:15">
      <c r="A4757" s="22" t="s">
        <v>324</v>
      </c>
      <c r="B4757" s="22" t="str">
        <f ca="1">IF(ISBLANK(OFFSET(B4757,0,'Field labels'!$Q$1)),C4757,OFFSET(B4757,0,'Field labels'!$Q$1))</f>
        <v>Halton</v>
      </c>
      <c r="C4757" s="22" t="s">
        <v>545</v>
      </c>
      <c r="D4757" t="s">
        <v>545</v>
      </c>
      <c r="E4757" t="s">
        <v>545</v>
      </c>
      <c r="F4757" t="s">
        <v>545</v>
      </c>
      <c r="G4757" t="s">
        <v>545</v>
      </c>
      <c r="H4757" t="s">
        <v>545</v>
      </c>
      <c r="I4757" t="s">
        <v>545</v>
      </c>
      <c r="J4757" t="s">
        <v>545</v>
      </c>
      <c r="K4757" t="s">
        <v>545</v>
      </c>
      <c r="L4757" t="s">
        <v>545</v>
      </c>
      <c r="M4757" t="s">
        <v>545</v>
      </c>
      <c r="N4757" t="s">
        <v>545</v>
      </c>
      <c r="O4757" t="s">
        <v>545</v>
      </c>
    </row>
    <row r="4758" spans="1:15">
      <c r="A4758" s="22" t="s">
        <v>324</v>
      </c>
      <c r="B4758" s="22" t="str">
        <f ca="1">IF(ISBLANK(OFFSET(B4758,0,'Field labels'!$Q$1)),C4758,OFFSET(B4758,0,'Field labels'!$Q$1))</f>
        <v>Hammersmith and Fulham</v>
      </c>
      <c r="C4758" s="22" t="s">
        <v>472</v>
      </c>
      <c r="D4758" t="s">
        <v>472</v>
      </c>
      <c r="E4758" t="s">
        <v>472</v>
      </c>
      <c r="F4758" t="s">
        <v>4089</v>
      </c>
      <c r="G4758" t="s">
        <v>472</v>
      </c>
      <c r="H4758" t="s">
        <v>472</v>
      </c>
      <c r="I4758" t="s">
        <v>472</v>
      </c>
      <c r="J4758" t="s">
        <v>472</v>
      </c>
      <c r="K4758" t="s">
        <v>472</v>
      </c>
      <c r="L4758" t="s">
        <v>472</v>
      </c>
      <c r="M4758" t="s">
        <v>472</v>
      </c>
      <c r="N4758" t="s">
        <v>472</v>
      </c>
      <c r="O4758" t="s">
        <v>472</v>
      </c>
    </row>
    <row r="4759" spans="1:15">
      <c r="A4759" s="22" t="s">
        <v>324</v>
      </c>
      <c r="B4759" s="22" t="str">
        <f ca="1">IF(ISBLANK(OFFSET(B4759,0,'Field labels'!$Q$1)),C4759,OFFSET(B4759,0,'Field labels'!$Q$1))</f>
        <v>Hampshire</v>
      </c>
      <c r="C4759" s="22" t="s">
        <v>443</v>
      </c>
      <c r="D4759" t="s">
        <v>443</v>
      </c>
      <c r="E4759" t="s">
        <v>443</v>
      </c>
      <c r="F4759" t="s">
        <v>443</v>
      </c>
      <c r="G4759" t="s">
        <v>443</v>
      </c>
      <c r="H4759" t="s">
        <v>443</v>
      </c>
      <c r="I4759" t="s">
        <v>443</v>
      </c>
      <c r="J4759" t="s">
        <v>443</v>
      </c>
      <c r="K4759" t="s">
        <v>443</v>
      </c>
      <c r="L4759" t="s">
        <v>443</v>
      </c>
      <c r="M4759" t="s">
        <v>443</v>
      </c>
      <c r="N4759" t="s">
        <v>443</v>
      </c>
      <c r="O4759" t="s">
        <v>443</v>
      </c>
    </row>
    <row r="4760" spans="1:15">
      <c r="A4760" s="22" t="s">
        <v>324</v>
      </c>
      <c r="B4760" s="22" t="str">
        <f ca="1">IF(ISBLANK(OFFSET(B4760,0,'Field labels'!$Q$1)),C4760,OFFSET(B4760,0,'Field labels'!$Q$1))</f>
        <v>Haringey</v>
      </c>
      <c r="C4760" s="22" t="s">
        <v>473</v>
      </c>
      <c r="D4760" t="s">
        <v>473</v>
      </c>
      <c r="E4760" t="s">
        <v>473</v>
      </c>
      <c r="F4760" t="s">
        <v>473</v>
      </c>
      <c r="G4760" t="s">
        <v>473</v>
      </c>
      <c r="H4760" t="s">
        <v>473</v>
      </c>
      <c r="I4760" t="s">
        <v>473</v>
      </c>
      <c r="J4760" t="s">
        <v>473</v>
      </c>
      <c r="K4760" t="s">
        <v>473</v>
      </c>
      <c r="L4760" t="s">
        <v>473</v>
      </c>
      <c r="M4760" t="s">
        <v>473</v>
      </c>
      <c r="N4760" t="s">
        <v>473</v>
      </c>
      <c r="O4760" t="s">
        <v>473</v>
      </c>
    </row>
    <row r="4761" spans="1:15">
      <c r="A4761" s="22" t="s">
        <v>324</v>
      </c>
      <c r="B4761" s="22" t="str">
        <f ca="1">IF(ISBLANK(OFFSET(B4761,0,'Field labels'!$Q$1)),C4761,OFFSET(B4761,0,'Field labels'!$Q$1))</f>
        <v>Harrow</v>
      </c>
      <c r="C4761" s="22" t="s">
        <v>474</v>
      </c>
      <c r="D4761" t="s">
        <v>474</v>
      </c>
      <c r="E4761" t="s">
        <v>474</v>
      </c>
      <c r="F4761" t="s">
        <v>474</v>
      </c>
      <c r="G4761" t="s">
        <v>474</v>
      </c>
      <c r="H4761" t="s">
        <v>474</v>
      </c>
      <c r="I4761" t="s">
        <v>474</v>
      </c>
      <c r="J4761" t="s">
        <v>474</v>
      </c>
      <c r="K4761" t="s">
        <v>474</v>
      </c>
      <c r="L4761" t="s">
        <v>474</v>
      </c>
      <c r="M4761" t="s">
        <v>474</v>
      </c>
      <c r="N4761" t="s">
        <v>474</v>
      </c>
      <c r="O4761" t="s">
        <v>474</v>
      </c>
    </row>
    <row r="4762" spans="1:15">
      <c r="A4762" s="22" t="s">
        <v>324</v>
      </c>
      <c r="B4762" s="22" t="str">
        <f ca="1">IF(ISBLANK(OFFSET(B4762,0,'Field labels'!$Q$1)),C4762,OFFSET(B4762,0,'Field labels'!$Q$1))</f>
        <v>Hartlepool</v>
      </c>
      <c r="C4762" s="22" t="s">
        <v>546</v>
      </c>
      <c r="D4762" t="s">
        <v>546</v>
      </c>
      <c r="E4762" t="s">
        <v>546</v>
      </c>
      <c r="F4762" t="s">
        <v>546</v>
      </c>
      <c r="G4762" t="s">
        <v>546</v>
      </c>
      <c r="H4762" t="s">
        <v>546</v>
      </c>
      <c r="I4762" t="s">
        <v>546</v>
      </c>
      <c r="J4762" t="s">
        <v>546</v>
      </c>
      <c r="K4762" t="s">
        <v>546</v>
      </c>
      <c r="L4762" t="s">
        <v>546</v>
      </c>
      <c r="M4762" t="s">
        <v>546</v>
      </c>
      <c r="N4762" t="s">
        <v>546</v>
      </c>
      <c r="O4762" t="s">
        <v>546</v>
      </c>
    </row>
    <row r="4763" spans="1:15">
      <c r="A4763" s="22" t="s">
        <v>324</v>
      </c>
      <c r="B4763" s="22" t="str">
        <f ca="1">IF(ISBLANK(OFFSET(B4763,0,'Field labels'!$Q$1)),C4763,OFFSET(B4763,0,'Field labels'!$Q$1))</f>
        <v>Havering</v>
      </c>
      <c r="C4763" s="22" t="s">
        <v>475</v>
      </c>
      <c r="D4763" t="s">
        <v>475</v>
      </c>
      <c r="E4763" t="s">
        <v>475</v>
      </c>
      <c r="F4763" t="s">
        <v>475</v>
      </c>
      <c r="G4763" t="s">
        <v>475</v>
      </c>
      <c r="H4763" t="s">
        <v>475</v>
      </c>
      <c r="I4763" t="s">
        <v>475</v>
      </c>
      <c r="J4763" t="s">
        <v>475</v>
      </c>
      <c r="K4763" t="s">
        <v>475</v>
      </c>
      <c r="L4763" t="s">
        <v>475</v>
      </c>
      <c r="M4763" t="s">
        <v>475</v>
      </c>
      <c r="N4763" t="s">
        <v>475</v>
      </c>
      <c r="O4763" t="s">
        <v>475</v>
      </c>
    </row>
    <row r="4764" spans="1:15">
      <c r="A4764" s="22" t="s">
        <v>324</v>
      </c>
      <c r="B4764" s="22" t="str">
        <f ca="1">IF(ISBLANK(OFFSET(B4764,0,'Field labels'!$Q$1)),C4764,OFFSET(B4764,0,'Field labels'!$Q$1))</f>
        <v>Herefordshire</v>
      </c>
      <c r="C4764" s="22" t="s">
        <v>547</v>
      </c>
      <c r="D4764" t="s">
        <v>547</v>
      </c>
      <c r="E4764" t="s">
        <v>547</v>
      </c>
      <c r="F4764" t="s">
        <v>547</v>
      </c>
      <c r="G4764" t="s">
        <v>547</v>
      </c>
      <c r="H4764" t="s">
        <v>547</v>
      </c>
      <c r="I4764" t="s">
        <v>547</v>
      </c>
      <c r="J4764" t="s">
        <v>547</v>
      </c>
      <c r="K4764" t="s">
        <v>547</v>
      </c>
      <c r="L4764" t="s">
        <v>547</v>
      </c>
      <c r="M4764" t="s">
        <v>547</v>
      </c>
      <c r="N4764" t="s">
        <v>547</v>
      </c>
      <c r="O4764" t="s">
        <v>547</v>
      </c>
    </row>
    <row r="4765" spans="1:15">
      <c r="A4765" s="22" t="s">
        <v>324</v>
      </c>
      <c r="B4765" s="22" t="str">
        <f ca="1">IF(ISBLANK(OFFSET(B4765,0,'Field labels'!$Q$1)),C4765,OFFSET(B4765,0,'Field labels'!$Q$1))</f>
        <v>Hertfordshire</v>
      </c>
      <c r="C4765" s="22" t="s">
        <v>444</v>
      </c>
      <c r="D4765" t="s">
        <v>444</v>
      </c>
      <c r="E4765" t="s">
        <v>444</v>
      </c>
      <c r="F4765" t="s">
        <v>444</v>
      </c>
      <c r="G4765" t="s">
        <v>444</v>
      </c>
      <c r="H4765" t="s">
        <v>444</v>
      </c>
      <c r="I4765" t="s">
        <v>444</v>
      </c>
      <c r="J4765" t="s">
        <v>444</v>
      </c>
      <c r="K4765" t="s">
        <v>444</v>
      </c>
      <c r="L4765" t="s">
        <v>444</v>
      </c>
      <c r="M4765" t="s">
        <v>444</v>
      </c>
      <c r="N4765" t="s">
        <v>444</v>
      </c>
      <c r="O4765" t="s">
        <v>444</v>
      </c>
    </row>
    <row r="4766" spans="1:15">
      <c r="A4766" s="22" t="s">
        <v>324</v>
      </c>
      <c r="B4766" s="22" t="str">
        <f ca="1">IF(ISBLANK(OFFSET(B4766,0,'Field labels'!$Q$1)),C4766,OFFSET(B4766,0,'Field labels'!$Q$1))</f>
        <v>Highland</v>
      </c>
      <c r="C4766" s="22" t="s">
        <v>627</v>
      </c>
      <c r="D4766" t="s">
        <v>627</v>
      </c>
      <c r="E4766" t="s">
        <v>627</v>
      </c>
      <c r="F4766" t="s">
        <v>4090</v>
      </c>
      <c r="G4766" t="s">
        <v>627</v>
      </c>
      <c r="H4766" t="s">
        <v>627</v>
      </c>
      <c r="I4766" t="s">
        <v>627</v>
      </c>
      <c r="J4766" t="s">
        <v>627</v>
      </c>
      <c r="K4766" t="s">
        <v>627</v>
      </c>
      <c r="L4766" t="s">
        <v>627</v>
      </c>
      <c r="M4766" t="s">
        <v>627</v>
      </c>
      <c r="N4766" t="s">
        <v>627</v>
      </c>
      <c r="O4766" t="s">
        <v>627</v>
      </c>
    </row>
    <row r="4767" spans="1:15">
      <c r="A4767" s="22" t="s">
        <v>324</v>
      </c>
      <c r="B4767" s="22" t="str">
        <f ca="1">IF(ISBLANK(OFFSET(B4767,0,'Field labels'!$Q$1)),C4767,OFFSET(B4767,0,'Field labels'!$Q$1))</f>
        <v>Hillingdon</v>
      </c>
      <c r="C4767" s="22" t="s">
        <v>476</v>
      </c>
      <c r="D4767" t="s">
        <v>476</v>
      </c>
      <c r="E4767" t="s">
        <v>476</v>
      </c>
      <c r="F4767" t="s">
        <v>476</v>
      </c>
      <c r="G4767" t="s">
        <v>476</v>
      </c>
      <c r="H4767" t="s">
        <v>476</v>
      </c>
      <c r="I4767" t="s">
        <v>476</v>
      </c>
      <c r="J4767" t="s">
        <v>476</v>
      </c>
      <c r="K4767" t="s">
        <v>476</v>
      </c>
      <c r="L4767" t="s">
        <v>476</v>
      </c>
      <c r="M4767" t="s">
        <v>476</v>
      </c>
      <c r="N4767" t="s">
        <v>476</v>
      </c>
      <c r="O4767" t="s">
        <v>476</v>
      </c>
    </row>
    <row r="4768" spans="1:15">
      <c r="A4768" s="22" t="s">
        <v>324</v>
      </c>
      <c r="B4768" s="22" t="str">
        <f ca="1">IF(ISBLANK(OFFSET(B4768,0,'Field labels'!$Q$1)),C4768,OFFSET(B4768,0,'Field labels'!$Q$1))</f>
        <v>Hounslow</v>
      </c>
      <c r="C4768" s="22" t="s">
        <v>477</v>
      </c>
      <c r="D4768" t="s">
        <v>477</v>
      </c>
      <c r="E4768" t="s">
        <v>477</v>
      </c>
      <c r="F4768" t="s">
        <v>477</v>
      </c>
      <c r="G4768" t="s">
        <v>477</v>
      </c>
      <c r="H4768" t="s">
        <v>477</v>
      </c>
      <c r="I4768" t="s">
        <v>477</v>
      </c>
      <c r="J4768" t="s">
        <v>477</v>
      </c>
      <c r="K4768" t="s">
        <v>477</v>
      </c>
      <c r="L4768" t="s">
        <v>477</v>
      </c>
      <c r="M4768" t="s">
        <v>477</v>
      </c>
      <c r="N4768" t="s">
        <v>477</v>
      </c>
      <c r="O4768" t="s">
        <v>477</v>
      </c>
    </row>
    <row r="4769" spans="1:15">
      <c r="A4769" s="22" t="s">
        <v>324</v>
      </c>
      <c r="B4769" s="22" t="str">
        <f ca="1">IF(ISBLANK(OFFSET(B4769,0,'Field labels'!$Q$1)),C4769,OFFSET(B4769,0,'Field labels'!$Q$1))</f>
        <v>Inverclyde</v>
      </c>
      <c r="C4769" s="22" t="s">
        <v>628</v>
      </c>
      <c r="D4769" t="s">
        <v>628</v>
      </c>
      <c r="E4769" t="s">
        <v>628</v>
      </c>
      <c r="F4769" t="s">
        <v>628</v>
      </c>
      <c r="G4769" t="s">
        <v>628</v>
      </c>
      <c r="H4769" t="s">
        <v>628</v>
      </c>
      <c r="I4769" t="s">
        <v>628</v>
      </c>
      <c r="J4769" t="s">
        <v>628</v>
      </c>
      <c r="K4769" t="s">
        <v>628</v>
      </c>
      <c r="L4769" t="s">
        <v>628</v>
      </c>
      <c r="M4769" t="s">
        <v>628</v>
      </c>
      <c r="N4769" t="s">
        <v>628</v>
      </c>
      <c r="O4769" t="s">
        <v>628</v>
      </c>
    </row>
    <row r="4770" spans="1:15">
      <c r="A4770" s="22" t="s">
        <v>324</v>
      </c>
      <c r="B4770" s="22" t="str">
        <f ca="1">IF(ISBLANK(OFFSET(B4770,0,'Field labels'!$Q$1)),C4770,OFFSET(B4770,0,'Field labels'!$Q$1))</f>
        <v>Isle of Anglesey</v>
      </c>
      <c r="C4770" s="22" t="s">
        <v>653</v>
      </c>
      <c r="D4770" t="s">
        <v>653</v>
      </c>
      <c r="E4770" t="s">
        <v>653</v>
      </c>
      <c r="F4770" t="s">
        <v>4091</v>
      </c>
      <c r="G4770" t="s">
        <v>653</v>
      </c>
      <c r="H4770" t="s">
        <v>4092</v>
      </c>
      <c r="I4770" t="s">
        <v>4093</v>
      </c>
      <c r="J4770" t="s">
        <v>653</v>
      </c>
      <c r="K4770" t="s">
        <v>653</v>
      </c>
      <c r="L4770" t="s">
        <v>4094</v>
      </c>
      <c r="M4770" t="s">
        <v>4095</v>
      </c>
      <c r="N4770" t="s">
        <v>4096</v>
      </c>
      <c r="O4770" t="s">
        <v>653</v>
      </c>
    </row>
    <row r="4771" spans="1:15">
      <c r="A4771" s="22" t="s">
        <v>324</v>
      </c>
      <c r="B4771" s="22" t="str">
        <f ca="1">IF(ISBLANK(OFFSET(B4771,0,'Field labels'!$Q$1)),C4771,OFFSET(B4771,0,'Field labels'!$Q$1))</f>
        <v>Isle of Wight</v>
      </c>
      <c r="C4771" s="22" t="s">
        <v>548</v>
      </c>
      <c r="D4771" t="s">
        <v>548</v>
      </c>
      <c r="E4771" t="s">
        <v>548</v>
      </c>
      <c r="F4771" t="s">
        <v>4097</v>
      </c>
      <c r="G4771" t="s">
        <v>548</v>
      </c>
      <c r="H4771" t="s">
        <v>548</v>
      </c>
      <c r="I4771" t="s">
        <v>4098</v>
      </c>
      <c r="J4771" t="s">
        <v>548</v>
      </c>
      <c r="K4771" t="s">
        <v>548</v>
      </c>
      <c r="L4771" t="s">
        <v>4099</v>
      </c>
      <c r="M4771" t="s">
        <v>548</v>
      </c>
      <c r="N4771" t="s">
        <v>548</v>
      </c>
      <c r="O4771" t="s">
        <v>548</v>
      </c>
    </row>
    <row r="4772" spans="1:15">
      <c r="A4772" s="22" t="s">
        <v>324</v>
      </c>
      <c r="B4772" s="22" t="str">
        <f ca="1">IF(ISBLANK(OFFSET(B4772,0,'Field labels'!$Q$1)),C4772,OFFSET(B4772,0,'Field labels'!$Q$1))</f>
        <v>Islington</v>
      </c>
      <c r="C4772" s="22" t="s">
        <v>478</v>
      </c>
      <c r="D4772" t="s">
        <v>478</v>
      </c>
      <c r="E4772" t="s">
        <v>478</v>
      </c>
      <c r="F4772" t="s">
        <v>478</v>
      </c>
      <c r="G4772" t="s">
        <v>478</v>
      </c>
      <c r="H4772" t="s">
        <v>478</v>
      </c>
      <c r="I4772" t="s">
        <v>478</v>
      </c>
      <c r="J4772" t="s">
        <v>478</v>
      </c>
      <c r="K4772" t="s">
        <v>478</v>
      </c>
      <c r="L4772" t="s">
        <v>478</v>
      </c>
      <c r="M4772" t="s">
        <v>478</v>
      </c>
      <c r="N4772" t="s">
        <v>478</v>
      </c>
      <c r="O4772" t="s">
        <v>478</v>
      </c>
    </row>
    <row r="4773" spans="1:15">
      <c r="A4773" s="22" t="s">
        <v>324</v>
      </c>
      <c r="B4773" s="22" t="str">
        <f ca="1">IF(ISBLANK(OFFSET(B4773,0,'Field labels'!$Q$1)),C4773,OFFSET(B4773,0,'Field labels'!$Q$1))</f>
        <v>Jämtland</v>
      </c>
      <c r="C4773" s="22" t="s">
        <v>4100</v>
      </c>
      <c r="D4773" t="s">
        <v>4100</v>
      </c>
      <c r="E4773" t="s">
        <v>4100</v>
      </c>
      <c r="F4773" t="s">
        <v>4100</v>
      </c>
      <c r="G4773" t="s">
        <v>4100</v>
      </c>
      <c r="H4773" t="s">
        <v>4100</v>
      </c>
      <c r="I4773" t="s">
        <v>4100</v>
      </c>
      <c r="J4773" t="s">
        <v>4100</v>
      </c>
      <c r="K4773" t="s">
        <v>4100</v>
      </c>
      <c r="L4773" t="s">
        <v>4100</v>
      </c>
      <c r="M4773" t="s">
        <v>4100</v>
      </c>
      <c r="N4773" t="s">
        <v>4100</v>
      </c>
      <c r="O4773" t="s">
        <v>4100</v>
      </c>
    </row>
    <row r="4774" spans="1:15">
      <c r="A4774" s="22" t="s">
        <v>324</v>
      </c>
      <c r="B4774" s="22" t="str">
        <f ca="1">IF(ISBLANK(OFFSET(B4774,0,'Field labels'!$Q$1)),C4774,OFFSET(B4774,0,'Field labels'!$Q$1))</f>
        <v>Jönköping</v>
      </c>
      <c r="C4774" s="22" t="s">
        <v>4101</v>
      </c>
      <c r="D4774" t="s">
        <v>4101</v>
      </c>
      <c r="E4774" t="s">
        <v>4101</v>
      </c>
      <c r="F4774" t="s">
        <v>4101</v>
      </c>
      <c r="G4774" t="s">
        <v>4101</v>
      </c>
      <c r="H4774" t="s">
        <v>4101</v>
      </c>
      <c r="I4774" t="s">
        <v>4101</v>
      </c>
      <c r="J4774" t="s">
        <v>4101</v>
      </c>
      <c r="K4774" t="s">
        <v>4101</v>
      </c>
      <c r="L4774" t="s">
        <v>4101</v>
      </c>
      <c r="M4774" t="s">
        <v>4101</v>
      </c>
      <c r="N4774" t="s">
        <v>4101</v>
      </c>
      <c r="O4774" t="s">
        <v>4101</v>
      </c>
    </row>
    <row r="4775" spans="1:15">
      <c r="A4775" s="22" t="s">
        <v>324</v>
      </c>
      <c r="B4775" s="22" t="str">
        <f ca="1">IF(ISBLANK(OFFSET(B4775,0,'Field labels'!$Q$1)),C4775,OFFSET(B4775,0,'Field labels'!$Q$1))</f>
        <v>Kalmar</v>
      </c>
      <c r="C4775" s="22" t="s">
        <v>4102</v>
      </c>
      <c r="D4775" t="s">
        <v>4102</v>
      </c>
      <c r="E4775" t="s">
        <v>4102</v>
      </c>
      <c r="F4775" t="s">
        <v>4102</v>
      </c>
      <c r="G4775" t="s">
        <v>4102</v>
      </c>
      <c r="H4775" t="s">
        <v>4102</v>
      </c>
      <c r="I4775" t="s">
        <v>4102</v>
      </c>
      <c r="J4775" t="s">
        <v>4102</v>
      </c>
      <c r="K4775" t="s">
        <v>4102</v>
      </c>
      <c r="L4775" t="s">
        <v>4102</v>
      </c>
      <c r="M4775" t="s">
        <v>4102</v>
      </c>
      <c r="N4775" t="s">
        <v>4102</v>
      </c>
      <c r="O4775" t="s">
        <v>4102</v>
      </c>
    </row>
    <row r="4776" spans="1:15">
      <c r="A4776" s="22" t="s">
        <v>324</v>
      </c>
      <c r="B4776" s="22" t="str">
        <f ca="1">IF(ISBLANK(OFFSET(B4776,0,'Field labels'!$Q$1)),C4776,OFFSET(B4776,0,'Field labels'!$Q$1))</f>
        <v>Kensington and Chelsea</v>
      </c>
      <c r="C4776" s="22" t="s">
        <v>479</v>
      </c>
      <c r="D4776" t="s">
        <v>479</v>
      </c>
      <c r="E4776" t="s">
        <v>479</v>
      </c>
      <c r="F4776" t="s">
        <v>4103</v>
      </c>
      <c r="G4776" t="s">
        <v>479</v>
      </c>
      <c r="H4776" t="s">
        <v>479</v>
      </c>
      <c r="I4776" t="s">
        <v>479</v>
      </c>
      <c r="J4776" t="s">
        <v>479</v>
      </c>
      <c r="K4776" t="s">
        <v>479</v>
      </c>
      <c r="L4776" t="s">
        <v>479</v>
      </c>
      <c r="M4776" t="s">
        <v>479</v>
      </c>
      <c r="N4776" t="s">
        <v>479</v>
      </c>
      <c r="O4776" t="s">
        <v>479</v>
      </c>
    </row>
    <row r="4777" spans="1:15">
      <c r="A4777" s="22" t="s">
        <v>324</v>
      </c>
      <c r="B4777" s="22" t="str">
        <f ca="1">IF(ISBLANK(OFFSET(B4777,0,'Field labels'!$Q$1)),C4777,OFFSET(B4777,0,'Field labels'!$Q$1))</f>
        <v>Kent</v>
      </c>
      <c r="C4777" s="22" t="s">
        <v>445</v>
      </c>
      <c r="D4777" t="s">
        <v>445</v>
      </c>
      <c r="E4777" t="s">
        <v>445</v>
      </c>
      <c r="F4777" t="s">
        <v>445</v>
      </c>
      <c r="G4777" t="s">
        <v>445</v>
      </c>
      <c r="H4777" t="s">
        <v>445</v>
      </c>
      <c r="I4777" t="s">
        <v>445</v>
      </c>
      <c r="J4777" t="s">
        <v>445</v>
      </c>
      <c r="K4777" t="s">
        <v>445</v>
      </c>
      <c r="L4777" t="s">
        <v>445</v>
      </c>
      <c r="M4777" t="s">
        <v>445</v>
      </c>
      <c r="N4777" t="s">
        <v>445</v>
      </c>
      <c r="O4777" t="s">
        <v>445</v>
      </c>
    </row>
    <row r="4778" spans="1:15">
      <c r="A4778" s="22" t="s">
        <v>324</v>
      </c>
      <c r="B4778" s="22" t="str">
        <f ca="1">IF(ISBLANK(OFFSET(B4778,0,'Field labels'!$Q$1)),C4778,OFFSET(B4778,0,'Field labels'!$Q$1))</f>
        <v>Kerry</v>
      </c>
      <c r="C4778" s="22" t="s">
        <v>4104</v>
      </c>
      <c r="D4778" t="s">
        <v>4104</v>
      </c>
      <c r="E4778" t="s">
        <v>4104</v>
      </c>
      <c r="F4778" t="s">
        <v>4104</v>
      </c>
      <c r="G4778" t="s">
        <v>4104</v>
      </c>
      <c r="H4778" t="s">
        <v>4104</v>
      </c>
      <c r="I4778" t="s">
        <v>4104</v>
      </c>
      <c r="J4778" t="s">
        <v>4104</v>
      </c>
      <c r="K4778" t="s">
        <v>4104</v>
      </c>
      <c r="L4778" t="s">
        <v>4104</v>
      </c>
      <c r="M4778" t="s">
        <v>4104</v>
      </c>
      <c r="N4778" t="s">
        <v>4104</v>
      </c>
      <c r="O4778" t="s">
        <v>4104</v>
      </c>
    </row>
    <row r="4779" spans="1:15">
      <c r="A4779" s="22" t="s">
        <v>324</v>
      </c>
      <c r="B4779" s="22" t="str">
        <f ca="1">IF(ISBLANK(OFFSET(B4779,0,'Field labels'!$Q$1)),C4779,OFFSET(B4779,0,'Field labels'!$Q$1))</f>
        <v>Kildare</v>
      </c>
      <c r="C4779" s="22" t="s">
        <v>4105</v>
      </c>
      <c r="D4779" t="s">
        <v>4105</v>
      </c>
      <c r="E4779" t="s">
        <v>4105</v>
      </c>
      <c r="F4779" t="s">
        <v>4105</v>
      </c>
      <c r="G4779" t="s">
        <v>4105</v>
      </c>
      <c r="H4779" t="s">
        <v>4105</v>
      </c>
      <c r="I4779" t="s">
        <v>4105</v>
      </c>
      <c r="J4779" t="s">
        <v>4105</v>
      </c>
      <c r="K4779" t="s">
        <v>4105</v>
      </c>
      <c r="L4779" t="s">
        <v>4105</v>
      </c>
      <c r="M4779" t="s">
        <v>4105</v>
      </c>
      <c r="N4779" t="s">
        <v>4105</v>
      </c>
      <c r="O4779" t="s">
        <v>4105</v>
      </c>
    </row>
    <row r="4780" spans="1:15">
      <c r="A4780" s="22" t="s">
        <v>324</v>
      </c>
      <c r="B4780" s="22" t="str">
        <f ca="1">IF(ISBLANK(OFFSET(B4780,0,'Field labels'!$Q$1)),C4780,OFFSET(B4780,0,'Field labels'!$Q$1))</f>
        <v>Kilkenny</v>
      </c>
      <c r="C4780" s="22" t="s">
        <v>4106</v>
      </c>
      <c r="D4780" t="s">
        <v>4106</v>
      </c>
      <c r="E4780" t="s">
        <v>4106</v>
      </c>
      <c r="F4780" t="s">
        <v>4106</v>
      </c>
      <c r="G4780" t="s">
        <v>4106</v>
      </c>
      <c r="H4780" t="s">
        <v>4106</v>
      </c>
      <c r="I4780" t="s">
        <v>4106</v>
      </c>
      <c r="J4780" t="s">
        <v>4106</v>
      </c>
      <c r="K4780" t="s">
        <v>4106</v>
      </c>
      <c r="L4780" t="s">
        <v>4106</v>
      </c>
      <c r="M4780" t="s">
        <v>4106</v>
      </c>
      <c r="N4780" t="s">
        <v>4106</v>
      </c>
      <c r="O4780" t="s">
        <v>4106</v>
      </c>
    </row>
    <row r="4781" spans="1:15">
      <c r="A4781" s="22" t="s">
        <v>324</v>
      </c>
      <c r="B4781" s="22" t="str">
        <f ca="1">IF(ISBLANK(OFFSET(B4781,0,'Field labels'!$Q$1)),C4781,OFFSET(B4781,0,'Field labels'!$Q$1))</f>
        <v>Kingston upon Hull</v>
      </c>
      <c r="C4781" s="22" t="s">
        <v>549</v>
      </c>
      <c r="D4781" t="s">
        <v>4107</v>
      </c>
      <c r="E4781" t="s">
        <v>549</v>
      </c>
      <c r="F4781" t="s">
        <v>4107</v>
      </c>
      <c r="G4781" t="s">
        <v>549</v>
      </c>
      <c r="H4781" t="s">
        <v>549</v>
      </c>
      <c r="I4781" t="s">
        <v>549</v>
      </c>
      <c r="J4781" t="s">
        <v>549</v>
      </c>
      <c r="K4781" t="s">
        <v>549</v>
      </c>
      <c r="L4781" t="s">
        <v>549</v>
      </c>
      <c r="M4781" t="s">
        <v>549</v>
      </c>
      <c r="N4781" t="s">
        <v>549</v>
      </c>
      <c r="O4781" t="s">
        <v>549</v>
      </c>
    </row>
    <row r="4782" spans="1:15">
      <c r="A4782" s="22" t="s">
        <v>324</v>
      </c>
      <c r="B4782" s="22" t="str">
        <f ca="1">IF(ISBLANK(OFFSET(B4782,0,'Field labels'!$Q$1)),C4782,OFFSET(B4782,0,'Field labels'!$Q$1))</f>
        <v>Kingston upon Thames</v>
      </c>
      <c r="C4782" s="22" t="s">
        <v>480</v>
      </c>
      <c r="D4782" t="s">
        <v>480</v>
      </c>
      <c r="E4782" t="s">
        <v>480</v>
      </c>
      <c r="F4782" t="s">
        <v>4108</v>
      </c>
      <c r="G4782" t="s">
        <v>480</v>
      </c>
      <c r="H4782" t="s">
        <v>480</v>
      </c>
      <c r="I4782" t="s">
        <v>480</v>
      </c>
      <c r="J4782" t="s">
        <v>480</v>
      </c>
      <c r="K4782" t="s">
        <v>480</v>
      </c>
      <c r="L4782" t="s">
        <v>480</v>
      </c>
      <c r="M4782" t="s">
        <v>480</v>
      </c>
      <c r="N4782" t="s">
        <v>480</v>
      </c>
      <c r="O4782" t="s">
        <v>480</v>
      </c>
    </row>
    <row r="4783" spans="1:15">
      <c r="A4783" s="22" t="s">
        <v>324</v>
      </c>
      <c r="B4783" s="22" t="str">
        <f ca="1">IF(ISBLANK(OFFSET(B4783,0,'Field labels'!$Q$1)),C4783,OFFSET(B4783,0,'Field labels'!$Q$1))</f>
        <v>Kirklees</v>
      </c>
      <c r="C4783" s="22" t="s">
        <v>503</v>
      </c>
      <c r="D4783" t="s">
        <v>503</v>
      </c>
      <c r="E4783" t="s">
        <v>503</v>
      </c>
      <c r="F4783" t="s">
        <v>503</v>
      </c>
      <c r="G4783" t="s">
        <v>503</v>
      </c>
      <c r="H4783" t="s">
        <v>503</v>
      </c>
      <c r="I4783" t="s">
        <v>503</v>
      </c>
      <c r="J4783" t="s">
        <v>503</v>
      </c>
      <c r="K4783" t="s">
        <v>503</v>
      </c>
      <c r="L4783" t="s">
        <v>503</v>
      </c>
      <c r="M4783" t="s">
        <v>503</v>
      </c>
      <c r="N4783" t="s">
        <v>503</v>
      </c>
      <c r="O4783" t="s">
        <v>503</v>
      </c>
    </row>
    <row r="4784" spans="1:15">
      <c r="A4784" s="22" t="s">
        <v>324</v>
      </c>
      <c r="B4784" s="22" t="str">
        <f ca="1">IF(ISBLANK(OFFSET(B4784,0,'Field labels'!$Q$1)),C4784,OFFSET(B4784,0,'Field labels'!$Q$1))</f>
        <v>Knowsley</v>
      </c>
      <c r="C4784" s="22" t="s">
        <v>504</v>
      </c>
      <c r="D4784" t="s">
        <v>504</v>
      </c>
      <c r="E4784" t="s">
        <v>504</v>
      </c>
      <c r="F4784" t="s">
        <v>504</v>
      </c>
      <c r="G4784" t="s">
        <v>504</v>
      </c>
      <c r="H4784" t="s">
        <v>504</v>
      </c>
      <c r="I4784" t="s">
        <v>504</v>
      </c>
      <c r="J4784" t="s">
        <v>504</v>
      </c>
      <c r="K4784" t="s">
        <v>504</v>
      </c>
      <c r="L4784" t="s">
        <v>504</v>
      </c>
      <c r="M4784" t="s">
        <v>504</v>
      </c>
      <c r="N4784" t="s">
        <v>504</v>
      </c>
      <c r="O4784" t="s">
        <v>504</v>
      </c>
    </row>
    <row r="4785" spans="1:15">
      <c r="A4785" s="22" t="s">
        <v>324</v>
      </c>
      <c r="B4785" s="22" t="str">
        <f ca="1">IF(ISBLANK(OFFSET(B4785,0,'Field labels'!$Q$1)),C4785,OFFSET(B4785,0,'Field labels'!$Q$1))</f>
        <v>Kronoberg</v>
      </c>
      <c r="C4785" s="22" t="s">
        <v>4109</v>
      </c>
      <c r="D4785" t="s">
        <v>4109</v>
      </c>
      <c r="E4785" t="s">
        <v>4109</v>
      </c>
      <c r="F4785" t="s">
        <v>4109</v>
      </c>
      <c r="G4785" t="s">
        <v>4109</v>
      </c>
      <c r="H4785" t="s">
        <v>4109</v>
      </c>
      <c r="I4785" t="s">
        <v>4109</v>
      </c>
      <c r="J4785" t="s">
        <v>4109</v>
      </c>
      <c r="K4785" t="s">
        <v>4109</v>
      </c>
      <c r="L4785" t="s">
        <v>4109</v>
      </c>
      <c r="M4785" t="s">
        <v>4109</v>
      </c>
      <c r="N4785" t="s">
        <v>4109</v>
      </c>
      <c r="O4785" t="s">
        <v>4109</v>
      </c>
    </row>
    <row r="4786" spans="1:15">
      <c r="A4786" s="22" t="s">
        <v>324</v>
      </c>
      <c r="B4786" s="22" t="str">
        <f ca="1">IF(ISBLANK(OFFSET(B4786,0,'Field labels'!$Q$1)),C4786,OFFSET(B4786,0,'Field labels'!$Q$1))</f>
        <v>Lambeth</v>
      </c>
      <c r="C4786" s="22" t="s">
        <v>481</v>
      </c>
      <c r="D4786" t="s">
        <v>481</v>
      </c>
      <c r="E4786" t="s">
        <v>481</v>
      </c>
      <c r="F4786" t="s">
        <v>481</v>
      </c>
      <c r="G4786" t="s">
        <v>481</v>
      </c>
      <c r="H4786" t="s">
        <v>481</v>
      </c>
      <c r="I4786" t="s">
        <v>486</v>
      </c>
      <c r="J4786" t="s">
        <v>481</v>
      </c>
      <c r="K4786" t="s">
        <v>481</v>
      </c>
      <c r="L4786" t="s">
        <v>481</v>
      </c>
      <c r="M4786" t="s">
        <v>481</v>
      </c>
      <c r="N4786" t="s">
        <v>481</v>
      </c>
      <c r="O4786" t="s">
        <v>481</v>
      </c>
    </row>
    <row r="4787" spans="1:15">
      <c r="A4787" s="22" t="s">
        <v>324</v>
      </c>
      <c r="B4787" s="22" t="str">
        <f ca="1">IF(ISBLANK(OFFSET(B4787,0,'Field labels'!$Q$1)),C4787,OFFSET(B4787,0,'Field labels'!$Q$1))</f>
        <v>Lancashire</v>
      </c>
      <c r="C4787" s="22" t="s">
        <v>446</v>
      </c>
      <c r="D4787" t="s">
        <v>446</v>
      </c>
      <c r="E4787" t="s">
        <v>446</v>
      </c>
      <c r="F4787" t="s">
        <v>446</v>
      </c>
      <c r="G4787" t="s">
        <v>446</v>
      </c>
      <c r="H4787" t="s">
        <v>446</v>
      </c>
      <c r="I4787" t="s">
        <v>446</v>
      </c>
      <c r="J4787" t="s">
        <v>446</v>
      </c>
      <c r="K4787" t="s">
        <v>446</v>
      </c>
      <c r="L4787" t="s">
        <v>446</v>
      </c>
      <c r="M4787" t="s">
        <v>446</v>
      </c>
      <c r="N4787" t="s">
        <v>446</v>
      </c>
      <c r="O4787" t="s">
        <v>446</v>
      </c>
    </row>
    <row r="4788" spans="1:15">
      <c r="A4788" s="22" t="s">
        <v>324</v>
      </c>
      <c r="B4788" s="22" t="str">
        <f ca="1">IF(ISBLANK(OFFSET(B4788,0,'Field labels'!$Q$1)),C4788,OFFSET(B4788,0,'Field labels'!$Q$1))</f>
        <v>Laois</v>
      </c>
      <c r="C4788" s="22" t="s">
        <v>4110</v>
      </c>
      <c r="D4788" t="s">
        <v>4110</v>
      </c>
      <c r="E4788" t="s">
        <v>4110</v>
      </c>
      <c r="F4788" t="s">
        <v>4110</v>
      </c>
      <c r="G4788" t="s">
        <v>4110</v>
      </c>
      <c r="H4788" t="s">
        <v>4110</v>
      </c>
      <c r="I4788" t="s">
        <v>4110</v>
      </c>
      <c r="J4788" t="s">
        <v>4111</v>
      </c>
      <c r="K4788" t="s">
        <v>4110</v>
      </c>
      <c r="L4788" t="s">
        <v>4110</v>
      </c>
      <c r="M4788" t="s">
        <v>4110</v>
      </c>
      <c r="N4788" t="s">
        <v>4110</v>
      </c>
      <c r="O4788" t="s">
        <v>4110</v>
      </c>
    </row>
    <row r="4789" spans="1:15">
      <c r="A4789" s="22" t="s">
        <v>324</v>
      </c>
      <c r="B4789" s="22" t="str">
        <f ca="1">IF(ISBLANK(OFFSET(B4789,0,'Field labels'!$Q$1)),C4789,OFFSET(B4789,0,'Field labels'!$Q$1))</f>
        <v>Larne</v>
      </c>
      <c r="C4789" s="22" t="s">
        <v>601</v>
      </c>
      <c r="D4789" t="s">
        <v>601</v>
      </c>
      <c r="E4789" t="s">
        <v>601</v>
      </c>
      <c r="F4789" t="s">
        <v>601</v>
      </c>
      <c r="G4789" t="s">
        <v>601</v>
      </c>
      <c r="H4789" t="s">
        <v>601</v>
      </c>
      <c r="I4789" t="s">
        <v>601</v>
      </c>
      <c r="J4789" t="s">
        <v>601</v>
      </c>
      <c r="K4789" t="s">
        <v>601</v>
      </c>
      <c r="L4789" t="s">
        <v>601</v>
      </c>
      <c r="M4789" t="s">
        <v>601</v>
      </c>
      <c r="N4789" t="s">
        <v>601</v>
      </c>
      <c r="O4789" t="s">
        <v>601</v>
      </c>
    </row>
    <row r="4790" spans="1:15">
      <c r="A4790" s="22" t="s">
        <v>324</v>
      </c>
      <c r="B4790" s="22" t="str">
        <f ca="1">IF(ISBLANK(OFFSET(B4790,0,'Field labels'!$Q$1)),C4790,OFFSET(B4790,0,'Field labels'!$Q$1))</f>
        <v>Leeds</v>
      </c>
      <c r="C4790" s="22" t="s">
        <v>505</v>
      </c>
      <c r="D4790" t="s">
        <v>505</v>
      </c>
      <c r="E4790" t="s">
        <v>505</v>
      </c>
      <c r="F4790" t="s">
        <v>505</v>
      </c>
      <c r="G4790" t="s">
        <v>505</v>
      </c>
      <c r="H4790" t="s">
        <v>505</v>
      </c>
      <c r="I4790" t="s">
        <v>505</v>
      </c>
      <c r="J4790" t="s">
        <v>505</v>
      </c>
      <c r="K4790" t="s">
        <v>505</v>
      </c>
      <c r="L4790" t="s">
        <v>505</v>
      </c>
      <c r="M4790" t="s">
        <v>505</v>
      </c>
      <c r="N4790" t="s">
        <v>505</v>
      </c>
      <c r="O4790" t="s">
        <v>505</v>
      </c>
    </row>
    <row r="4791" spans="1:15">
      <c r="A4791" s="22" t="s">
        <v>324</v>
      </c>
      <c r="B4791" s="22" t="str">
        <f ca="1">IF(ISBLANK(OFFSET(B4791,0,'Field labels'!$Q$1)),C4791,OFFSET(B4791,0,'Field labels'!$Q$1))</f>
        <v>Leicester</v>
      </c>
      <c r="C4791" s="22" t="s">
        <v>550</v>
      </c>
      <c r="D4791" t="s">
        <v>550</v>
      </c>
      <c r="E4791" t="s">
        <v>550</v>
      </c>
      <c r="F4791" t="s">
        <v>550</v>
      </c>
      <c r="G4791" t="s">
        <v>550</v>
      </c>
      <c r="H4791" t="s">
        <v>550</v>
      </c>
      <c r="I4791" t="s">
        <v>550</v>
      </c>
      <c r="J4791" t="s">
        <v>550</v>
      </c>
      <c r="K4791" t="s">
        <v>550</v>
      </c>
      <c r="L4791" t="s">
        <v>550</v>
      </c>
      <c r="M4791" t="s">
        <v>550</v>
      </c>
      <c r="N4791" t="s">
        <v>550</v>
      </c>
      <c r="O4791" t="s">
        <v>550</v>
      </c>
    </row>
    <row r="4792" spans="1:15">
      <c r="A4792" s="22" t="s">
        <v>324</v>
      </c>
      <c r="B4792" s="22" t="str">
        <f ca="1">IF(ISBLANK(OFFSET(B4792,0,'Field labels'!$Q$1)),C4792,OFFSET(B4792,0,'Field labels'!$Q$1))</f>
        <v>Leicestershire</v>
      </c>
      <c r="C4792" s="22" t="s">
        <v>447</v>
      </c>
      <c r="D4792" t="s">
        <v>447</v>
      </c>
      <c r="E4792" t="s">
        <v>447</v>
      </c>
      <c r="F4792" t="s">
        <v>447</v>
      </c>
      <c r="G4792" t="s">
        <v>447</v>
      </c>
      <c r="H4792" t="s">
        <v>447</v>
      </c>
      <c r="I4792" t="s">
        <v>447</v>
      </c>
      <c r="J4792" t="s">
        <v>447</v>
      </c>
      <c r="K4792" t="s">
        <v>447</v>
      </c>
      <c r="L4792" t="s">
        <v>447</v>
      </c>
      <c r="M4792" t="s">
        <v>447</v>
      </c>
      <c r="N4792" t="s">
        <v>447</v>
      </c>
      <c r="O4792" t="s">
        <v>447</v>
      </c>
    </row>
    <row r="4793" spans="1:15">
      <c r="A4793" s="22" t="s">
        <v>324</v>
      </c>
      <c r="B4793" s="22" t="str">
        <f ca="1">IF(ISBLANK(OFFSET(B4793,0,'Field labels'!$Q$1)),C4793,OFFSET(B4793,0,'Field labels'!$Q$1))</f>
        <v>Leitrim</v>
      </c>
      <c r="C4793" s="22" t="s">
        <v>4112</v>
      </c>
      <c r="D4793" t="s">
        <v>4112</v>
      </c>
      <c r="E4793" t="s">
        <v>4112</v>
      </c>
      <c r="F4793" t="s">
        <v>4112</v>
      </c>
      <c r="G4793" t="s">
        <v>4112</v>
      </c>
      <c r="H4793" t="s">
        <v>4112</v>
      </c>
      <c r="I4793" t="s">
        <v>4112</v>
      </c>
      <c r="J4793" t="s">
        <v>4112</v>
      </c>
      <c r="K4793" t="s">
        <v>4112</v>
      </c>
      <c r="L4793" t="s">
        <v>4112</v>
      </c>
      <c r="M4793" t="s">
        <v>4112</v>
      </c>
      <c r="N4793" t="s">
        <v>4112</v>
      </c>
      <c r="O4793" t="s">
        <v>4112</v>
      </c>
    </row>
    <row r="4794" spans="1:15">
      <c r="A4794" s="22" t="s">
        <v>324</v>
      </c>
      <c r="B4794" s="22" t="str">
        <f ca="1">IF(ISBLANK(OFFSET(B4794,0,'Field labels'!$Q$1)),C4794,OFFSET(B4794,0,'Field labels'!$Q$1))</f>
        <v>Lewisham</v>
      </c>
      <c r="C4794" s="22" t="s">
        <v>482</v>
      </c>
      <c r="D4794" t="s">
        <v>482</v>
      </c>
      <c r="E4794" t="s">
        <v>482</v>
      </c>
      <c r="F4794" t="s">
        <v>482</v>
      </c>
      <c r="G4794" t="s">
        <v>482</v>
      </c>
      <c r="H4794" t="s">
        <v>482</v>
      </c>
      <c r="I4794" t="s">
        <v>482</v>
      </c>
      <c r="J4794" t="s">
        <v>482</v>
      </c>
      <c r="K4794" t="s">
        <v>482</v>
      </c>
      <c r="L4794" t="s">
        <v>482</v>
      </c>
      <c r="M4794" t="s">
        <v>482</v>
      </c>
      <c r="N4794" t="s">
        <v>482</v>
      </c>
      <c r="O4794" t="s">
        <v>482</v>
      </c>
    </row>
    <row r="4795" spans="1:15">
      <c r="A4795" s="22" t="s">
        <v>324</v>
      </c>
      <c r="B4795" s="22" t="str">
        <f ca="1">IF(ISBLANK(OFFSET(B4795,0,'Field labels'!$Q$1)),C4795,OFFSET(B4795,0,'Field labels'!$Q$1))</f>
        <v>Limavady</v>
      </c>
      <c r="C4795" s="22" t="s">
        <v>602</v>
      </c>
      <c r="D4795" t="s">
        <v>602</v>
      </c>
      <c r="E4795" t="s">
        <v>602</v>
      </c>
      <c r="F4795" t="s">
        <v>602</v>
      </c>
      <c r="G4795" t="s">
        <v>602</v>
      </c>
      <c r="H4795" t="s">
        <v>602</v>
      </c>
      <c r="I4795" t="s">
        <v>602</v>
      </c>
      <c r="J4795" t="s">
        <v>602</v>
      </c>
      <c r="K4795" t="s">
        <v>602</v>
      </c>
      <c r="L4795" t="s">
        <v>602</v>
      </c>
      <c r="M4795" t="s">
        <v>602</v>
      </c>
      <c r="N4795" t="s">
        <v>602</v>
      </c>
      <c r="O4795" t="s">
        <v>602</v>
      </c>
    </row>
    <row r="4796" spans="1:15">
      <c r="A4796" s="22" t="s">
        <v>324</v>
      </c>
      <c r="B4796" s="22" t="str">
        <f ca="1">IF(ISBLANK(OFFSET(B4796,0,'Field labels'!$Q$1)),C4796,OFFSET(B4796,0,'Field labels'!$Q$1))</f>
        <v>Limerick</v>
      </c>
      <c r="C4796" s="22" t="s">
        <v>4113</v>
      </c>
      <c r="D4796" t="s">
        <v>4113</v>
      </c>
      <c r="E4796" t="s">
        <v>4113</v>
      </c>
      <c r="F4796" t="s">
        <v>4113</v>
      </c>
      <c r="G4796" t="s">
        <v>4113</v>
      </c>
      <c r="H4796" t="s">
        <v>4113</v>
      </c>
      <c r="I4796" t="s">
        <v>4113</v>
      </c>
      <c r="J4796" t="s">
        <v>4113</v>
      </c>
      <c r="K4796" t="s">
        <v>4113</v>
      </c>
      <c r="L4796" t="s">
        <v>4113</v>
      </c>
      <c r="M4796" t="s">
        <v>4113</v>
      </c>
      <c r="N4796" t="s">
        <v>4113</v>
      </c>
      <c r="O4796" t="s">
        <v>4113</v>
      </c>
    </row>
    <row r="4797" spans="1:15">
      <c r="A4797" s="22" t="s">
        <v>324</v>
      </c>
      <c r="B4797" s="22" t="str">
        <f ca="1">IF(ISBLANK(OFFSET(B4797,0,'Field labels'!$Q$1)),C4797,OFFSET(B4797,0,'Field labels'!$Q$1))</f>
        <v>Lincolnshire</v>
      </c>
      <c r="C4797" s="22" t="s">
        <v>448</v>
      </c>
      <c r="D4797" t="s">
        <v>448</v>
      </c>
      <c r="E4797" t="s">
        <v>448</v>
      </c>
      <c r="F4797" t="s">
        <v>448</v>
      </c>
      <c r="G4797" t="s">
        <v>448</v>
      </c>
      <c r="H4797" t="s">
        <v>448</v>
      </c>
      <c r="I4797" t="s">
        <v>448</v>
      </c>
      <c r="J4797" t="s">
        <v>448</v>
      </c>
      <c r="K4797" t="s">
        <v>448</v>
      </c>
      <c r="L4797" t="s">
        <v>448</v>
      </c>
      <c r="M4797" t="s">
        <v>448</v>
      </c>
      <c r="N4797" t="s">
        <v>448</v>
      </c>
      <c r="O4797" t="s">
        <v>448</v>
      </c>
    </row>
    <row r="4798" spans="1:15">
      <c r="A4798" s="22" t="s">
        <v>324</v>
      </c>
      <c r="B4798" s="22" t="str">
        <f ca="1">IF(ISBLANK(OFFSET(B4798,0,'Field labels'!$Q$1)),C4798,OFFSET(B4798,0,'Field labels'!$Q$1))</f>
        <v>Lisburn</v>
      </c>
      <c r="C4798" s="22" t="s">
        <v>603</v>
      </c>
      <c r="D4798" t="s">
        <v>603</v>
      </c>
      <c r="E4798" t="s">
        <v>603</v>
      </c>
      <c r="F4798" t="s">
        <v>603</v>
      </c>
      <c r="G4798" t="s">
        <v>603</v>
      </c>
      <c r="H4798" t="s">
        <v>603</v>
      </c>
      <c r="I4798" t="s">
        <v>603</v>
      </c>
      <c r="J4798" t="s">
        <v>603</v>
      </c>
      <c r="K4798" t="s">
        <v>603</v>
      </c>
      <c r="L4798" t="s">
        <v>603</v>
      </c>
      <c r="M4798" t="s">
        <v>603</v>
      </c>
      <c r="N4798" t="s">
        <v>603</v>
      </c>
      <c r="O4798" t="s">
        <v>603</v>
      </c>
    </row>
    <row r="4799" spans="1:15">
      <c r="A4799" s="22" t="s">
        <v>324</v>
      </c>
      <c r="B4799" s="22" t="str">
        <f ca="1">IF(ISBLANK(OFFSET(B4799,0,'Field labels'!$Q$1)),C4799,OFFSET(B4799,0,'Field labels'!$Q$1))</f>
        <v>Liverpool</v>
      </c>
      <c r="C4799" s="22" t="s">
        <v>506</v>
      </c>
      <c r="D4799" t="s">
        <v>506</v>
      </c>
      <c r="E4799" t="s">
        <v>506</v>
      </c>
      <c r="F4799" t="s">
        <v>506</v>
      </c>
      <c r="G4799" t="s">
        <v>506</v>
      </c>
      <c r="H4799" t="s">
        <v>506</v>
      </c>
      <c r="I4799" t="s">
        <v>506</v>
      </c>
      <c r="J4799" t="s">
        <v>506</v>
      </c>
      <c r="K4799" t="s">
        <v>506</v>
      </c>
      <c r="L4799" t="s">
        <v>506</v>
      </c>
      <c r="M4799" t="s">
        <v>506</v>
      </c>
      <c r="N4799" t="s">
        <v>506</v>
      </c>
      <c r="O4799" t="s">
        <v>506</v>
      </c>
    </row>
    <row r="4800" spans="1:15">
      <c r="A4800" s="22" t="s">
        <v>324</v>
      </c>
      <c r="B4800" s="22" t="str">
        <f ca="1">IF(ISBLANK(OFFSET(B4800,0,'Field labels'!$Q$1)),C4800,OFFSET(B4800,0,'Field labels'!$Q$1))</f>
        <v>London, City of</v>
      </c>
      <c r="C4800" s="22" t="s">
        <v>584</v>
      </c>
      <c r="D4800" t="s">
        <v>584</v>
      </c>
      <c r="E4800" t="s">
        <v>584</v>
      </c>
      <c r="F4800" t="s">
        <v>4114</v>
      </c>
      <c r="G4800" t="s">
        <v>584</v>
      </c>
      <c r="H4800" t="s">
        <v>584</v>
      </c>
      <c r="I4800" t="s">
        <v>584</v>
      </c>
      <c r="J4800" t="s">
        <v>584</v>
      </c>
      <c r="K4800" t="s">
        <v>4115</v>
      </c>
      <c r="L4800" t="s">
        <v>4116</v>
      </c>
      <c r="M4800" t="s">
        <v>4117</v>
      </c>
      <c r="N4800" t="s">
        <v>4118</v>
      </c>
      <c r="O4800" t="s">
        <v>584</v>
      </c>
    </row>
    <row r="4801" spans="1:15">
      <c r="A4801" s="22" t="s">
        <v>324</v>
      </c>
      <c r="B4801" s="22" t="str">
        <f ca="1">IF(ISBLANK(OFFSET(B4801,0,'Field labels'!$Q$1)),C4801,OFFSET(B4801,0,'Field labels'!$Q$1))</f>
        <v>Longford</v>
      </c>
      <c r="C4801" s="22" t="s">
        <v>4119</v>
      </c>
      <c r="D4801" t="s">
        <v>4119</v>
      </c>
      <c r="E4801" t="s">
        <v>4119</v>
      </c>
      <c r="F4801" t="s">
        <v>4119</v>
      </c>
      <c r="G4801" t="s">
        <v>4119</v>
      </c>
      <c r="H4801" t="s">
        <v>4119</v>
      </c>
      <c r="I4801" t="s">
        <v>4119</v>
      </c>
      <c r="J4801" t="s">
        <v>4119</v>
      </c>
      <c r="K4801" t="s">
        <v>4119</v>
      </c>
      <c r="L4801" t="s">
        <v>4119</v>
      </c>
      <c r="M4801" t="s">
        <v>4119</v>
      </c>
      <c r="N4801" t="s">
        <v>4119</v>
      </c>
      <c r="O4801" t="s">
        <v>4119</v>
      </c>
    </row>
    <row r="4802" spans="1:15">
      <c r="A4802" s="22" t="s">
        <v>324</v>
      </c>
      <c r="B4802" s="22" t="str">
        <f ca="1">IF(ISBLANK(OFFSET(B4802,0,'Field labels'!$Q$1)),C4802,OFFSET(B4802,0,'Field labels'!$Q$1))</f>
        <v>Louth</v>
      </c>
      <c r="C4802" s="22" t="s">
        <v>4120</v>
      </c>
      <c r="D4802" t="s">
        <v>4120</v>
      </c>
      <c r="E4802" t="s">
        <v>4120</v>
      </c>
      <c r="F4802" t="s">
        <v>4120</v>
      </c>
      <c r="G4802" t="s">
        <v>4120</v>
      </c>
      <c r="H4802" t="s">
        <v>4120</v>
      </c>
      <c r="I4802" t="s">
        <v>4120</v>
      </c>
      <c r="J4802" t="s">
        <v>4120</v>
      </c>
      <c r="K4802" t="s">
        <v>4120</v>
      </c>
      <c r="L4802" t="s">
        <v>4120</v>
      </c>
      <c r="M4802" t="s">
        <v>4120</v>
      </c>
      <c r="N4802" t="s">
        <v>4120</v>
      </c>
      <c r="O4802" t="s">
        <v>4120</v>
      </c>
    </row>
    <row r="4803" spans="1:15">
      <c r="A4803" s="22" t="s">
        <v>324</v>
      </c>
      <c r="B4803" s="22" t="str">
        <f ca="1">IF(ISBLANK(OFFSET(B4803,0,'Field labels'!$Q$1)),C4803,OFFSET(B4803,0,'Field labels'!$Q$1))</f>
        <v>Luton</v>
      </c>
      <c r="C4803" s="22" t="s">
        <v>551</v>
      </c>
      <c r="D4803" t="s">
        <v>551</v>
      </c>
      <c r="E4803" t="s">
        <v>551</v>
      </c>
      <c r="F4803" t="s">
        <v>551</v>
      </c>
      <c r="G4803" t="s">
        <v>551</v>
      </c>
      <c r="H4803" t="s">
        <v>551</v>
      </c>
      <c r="I4803" t="s">
        <v>551</v>
      </c>
      <c r="J4803" t="s">
        <v>551</v>
      </c>
      <c r="K4803" t="s">
        <v>551</v>
      </c>
      <c r="L4803" t="s">
        <v>551</v>
      </c>
      <c r="M4803" t="s">
        <v>551</v>
      </c>
      <c r="N4803" t="s">
        <v>551</v>
      </c>
      <c r="O4803" t="s">
        <v>551</v>
      </c>
    </row>
    <row r="4804" spans="1:15">
      <c r="A4804" s="22" t="s">
        <v>324</v>
      </c>
      <c r="B4804" s="22" t="str">
        <f ca="1">IF(ISBLANK(OFFSET(B4804,0,'Field labels'!$Q$1)),C4804,OFFSET(B4804,0,'Field labels'!$Q$1))</f>
        <v>Magherafelt</v>
      </c>
      <c r="C4804" s="22" t="s">
        <v>604</v>
      </c>
      <c r="D4804" t="s">
        <v>604</v>
      </c>
      <c r="E4804" t="s">
        <v>604</v>
      </c>
      <c r="F4804" t="s">
        <v>604</v>
      </c>
      <c r="G4804" t="s">
        <v>604</v>
      </c>
      <c r="H4804" t="s">
        <v>604</v>
      </c>
      <c r="I4804" t="s">
        <v>604</v>
      </c>
      <c r="J4804" t="s">
        <v>604</v>
      </c>
      <c r="K4804" t="s">
        <v>604</v>
      </c>
      <c r="L4804" t="s">
        <v>604</v>
      </c>
      <c r="M4804" t="s">
        <v>604</v>
      </c>
      <c r="N4804" t="s">
        <v>604</v>
      </c>
      <c r="O4804" t="s">
        <v>604</v>
      </c>
    </row>
    <row r="4805" spans="1:15">
      <c r="A4805" s="22" t="s">
        <v>324</v>
      </c>
      <c r="B4805" s="22" t="str">
        <f ca="1">IF(ISBLANK(OFFSET(B4805,0,'Field labels'!$Q$1)),C4805,OFFSET(B4805,0,'Field labels'!$Q$1))</f>
        <v>Manchester</v>
      </c>
      <c r="C4805" s="22" t="s">
        <v>507</v>
      </c>
      <c r="D4805" t="s">
        <v>507</v>
      </c>
      <c r="E4805" t="s">
        <v>507</v>
      </c>
      <c r="F4805" t="s">
        <v>507</v>
      </c>
      <c r="G4805" t="s">
        <v>507</v>
      </c>
      <c r="H4805" t="s">
        <v>507</v>
      </c>
      <c r="I4805" t="s">
        <v>507</v>
      </c>
      <c r="J4805" t="s">
        <v>507</v>
      </c>
      <c r="K4805" t="s">
        <v>507</v>
      </c>
      <c r="L4805" t="s">
        <v>507</v>
      </c>
      <c r="M4805" t="s">
        <v>507</v>
      </c>
      <c r="N4805" t="s">
        <v>507</v>
      </c>
      <c r="O4805" t="s">
        <v>507</v>
      </c>
    </row>
    <row r="4806" spans="1:15">
      <c r="A4806" s="22" t="s">
        <v>324</v>
      </c>
      <c r="B4806" s="22" t="str">
        <f ca="1">IF(ISBLANK(OFFSET(B4806,0,'Field labels'!$Q$1)),C4806,OFFSET(B4806,0,'Field labels'!$Q$1))</f>
        <v>Mayo</v>
      </c>
      <c r="C4806" s="22" t="s">
        <v>4121</v>
      </c>
      <c r="D4806" t="s">
        <v>4121</v>
      </c>
      <c r="E4806" t="s">
        <v>4121</v>
      </c>
      <c r="F4806" t="s">
        <v>4121</v>
      </c>
      <c r="G4806" t="s">
        <v>4121</v>
      </c>
      <c r="H4806" t="s">
        <v>4121</v>
      </c>
      <c r="I4806" t="s">
        <v>4121</v>
      </c>
      <c r="J4806" t="s">
        <v>4121</v>
      </c>
      <c r="K4806" t="s">
        <v>4121</v>
      </c>
      <c r="L4806" t="s">
        <v>4121</v>
      </c>
      <c r="M4806" t="s">
        <v>4121</v>
      </c>
      <c r="N4806" t="s">
        <v>4121</v>
      </c>
      <c r="O4806" t="s">
        <v>4121</v>
      </c>
    </row>
    <row r="4807" spans="1:15">
      <c r="A4807" s="22" t="s">
        <v>324</v>
      </c>
      <c r="B4807" s="22" t="str">
        <f ca="1">IF(ISBLANK(OFFSET(B4807,0,'Field labels'!$Q$1)),C4807,OFFSET(B4807,0,'Field labels'!$Q$1))</f>
        <v>Meath</v>
      </c>
      <c r="C4807" s="22" t="s">
        <v>4122</v>
      </c>
      <c r="D4807" t="s">
        <v>4122</v>
      </c>
      <c r="E4807" t="s">
        <v>4122</v>
      </c>
      <c r="F4807" t="s">
        <v>4122</v>
      </c>
      <c r="G4807" t="s">
        <v>4122</v>
      </c>
      <c r="H4807" t="s">
        <v>4122</v>
      </c>
      <c r="I4807" t="s">
        <v>4122</v>
      </c>
      <c r="J4807" t="s">
        <v>4122</v>
      </c>
      <c r="K4807" t="s">
        <v>4122</v>
      </c>
      <c r="L4807" t="s">
        <v>4122</v>
      </c>
      <c r="M4807" t="s">
        <v>4122</v>
      </c>
      <c r="N4807" t="s">
        <v>4122</v>
      </c>
      <c r="O4807" t="s">
        <v>4122</v>
      </c>
    </row>
    <row r="4808" spans="1:15">
      <c r="A4808" s="22" t="s">
        <v>324</v>
      </c>
      <c r="B4808" s="22" t="str">
        <f ca="1">IF(ISBLANK(OFFSET(B4808,0,'Field labels'!$Q$1)),C4808,OFFSET(B4808,0,'Field labels'!$Q$1))</f>
        <v>Medway</v>
      </c>
      <c r="C4808" s="22" t="s">
        <v>552</v>
      </c>
      <c r="D4808" t="s">
        <v>552</v>
      </c>
      <c r="E4808" t="s">
        <v>552</v>
      </c>
      <c r="F4808" t="s">
        <v>552</v>
      </c>
      <c r="G4808" t="s">
        <v>552</v>
      </c>
      <c r="H4808" t="s">
        <v>552</v>
      </c>
      <c r="I4808" t="s">
        <v>552</v>
      </c>
      <c r="J4808" t="s">
        <v>552</v>
      </c>
      <c r="K4808" t="s">
        <v>552</v>
      </c>
      <c r="L4808" t="s">
        <v>552</v>
      </c>
      <c r="M4808" t="s">
        <v>552</v>
      </c>
      <c r="N4808" t="s">
        <v>552</v>
      </c>
      <c r="O4808" t="s">
        <v>552</v>
      </c>
    </row>
    <row r="4809" spans="1:15">
      <c r="A4809" s="22" t="s">
        <v>324</v>
      </c>
      <c r="B4809" s="22" t="str">
        <f ca="1">IF(ISBLANK(OFFSET(B4809,0,'Field labels'!$Q$1)),C4809,OFFSET(B4809,0,'Field labels'!$Q$1))</f>
        <v>Merthyr Tydfil</v>
      </c>
      <c r="C4809" s="22" t="s">
        <v>654</v>
      </c>
      <c r="D4809" t="s">
        <v>654</v>
      </c>
      <c r="E4809" t="s">
        <v>654</v>
      </c>
      <c r="F4809" t="s">
        <v>654</v>
      </c>
      <c r="G4809" t="s">
        <v>654</v>
      </c>
      <c r="H4809" t="s">
        <v>654</v>
      </c>
      <c r="I4809" t="s">
        <v>654</v>
      </c>
      <c r="J4809" t="s">
        <v>654</v>
      </c>
      <c r="K4809" t="s">
        <v>654</v>
      </c>
      <c r="L4809" t="s">
        <v>654</v>
      </c>
      <c r="M4809" t="s">
        <v>654</v>
      </c>
      <c r="N4809" t="s">
        <v>654</v>
      </c>
      <c r="O4809" t="s">
        <v>654</v>
      </c>
    </row>
    <row r="4810" spans="1:15">
      <c r="A4810" s="22" t="s">
        <v>324</v>
      </c>
      <c r="B4810" s="22" t="str">
        <f ca="1">IF(ISBLANK(OFFSET(B4810,0,'Field labels'!$Q$1)),C4810,OFFSET(B4810,0,'Field labels'!$Q$1))</f>
        <v>Merton</v>
      </c>
      <c r="C4810" s="22" t="s">
        <v>483</v>
      </c>
      <c r="D4810" t="s">
        <v>483</v>
      </c>
      <c r="E4810" t="s">
        <v>483</v>
      </c>
      <c r="F4810" t="s">
        <v>483</v>
      </c>
      <c r="G4810" t="s">
        <v>483</v>
      </c>
      <c r="H4810" t="s">
        <v>483</v>
      </c>
      <c r="I4810" t="s">
        <v>483</v>
      </c>
      <c r="J4810" t="s">
        <v>483</v>
      </c>
      <c r="K4810" t="s">
        <v>483</v>
      </c>
      <c r="L4810" t="s">
        <v>483</v>
      </c>
      <c r="M4810" t="s">
        <v>483</v>
      </c>
      <c r="N4810" t="s">
        <v>483</v>
      </c>
      <c r="O4810" t="s">
        <v>483</v>
      </c>
    </row>
    <row r="4811" spans="1:15">
      <c r="A4811" s="22" t="s">
        <v>324</v>
      </c>
      <c r="B4811" s="22" t="str">
        <f ca="1">IF(ISBLANK(OFFSET(B4811,0,'Field labels'!$Q$1)),C4811,OFFSET(B4811,0,'Field labels'!$Q$1))</f>
        <v>Middlesbrough</v>
      </c>
      <c r="C4811" s="22" t="s">
        <v>553</v>
      </c>
      <c r="D4811" t="s">
        <v>553</v>
      </c>
      <c r="E4811" t="s">
        <v>553</v>
      </c>
      <c r="F4811" t="s">
        <v>553</v>
      </c>
      <c r="G4811" t="s">
        <v>553</v>
      </c>
      <c r="H4811" t="s">
        <v>553</v>
      </c>
      <c r="I4811" t="s">
        <v>553</v>
      </c>
      <c r="J4811" t="s">
        <v>553</v>
      </c>
      <c r="K4811" t="s">
        <v>553</v>
      </c>
      <c r="L4811" t="s">
        <v>553</v>
      </c>
      <c r="M4811" t="s">
        <v>553</v>
      </c>
      <c r="N4811" t="s">
        <v>553</v>
      </c>
      <c r="O4811" t="s">
        <v>553</v>
      </c>
    </row>
    <row r="4812" spans="1:15">
      <c r="A4812" s="22" t="s">
        <v>324</v>
      </c>
      <c r="B4812" s="22" t="str">
        <f ca="1">IF(ISBLANK(OFFSET(B4812,0,'Field labels'!$Q$1)),C4812,OFFSET(B4812,0,'Field labels'!$Q$1))</f>
        <v>Midlothian</v>
      </c>
      <c r="C4812" s="22" t="s">
        <v>629</v>
      </c>
      <c r="D4812" t="s">
        <v>629</v>
      </c>
      <c r="E4812" t="s">
        <v>629</v>
      </c>
      <c r="F4812" t="s">
        <v>629</v>
      </c>
      <c r="G4812" t="s">
        <v>629</v>
      </c>
      <c r="H4812" t="s">
        <v>629</v>
      </c>
      <c r="I4812" t="s">
        <v>629</v>
      </c>
      <c r="J4812" t="s">
        <v>629</v>
      </c>
      <c r="K4812" t="s">
        <v>629</v>
      </c>
      <c r="L4812" t="s">
        <v>629</v>
      </c>
      <c r="M4812" t="s">
        <v>629</v>
      </c>
      <c r="N4812" t="s">
        <v>629</v>
      </c>
      <c r="O4812" t="s">
        <v>629</v>
      </c>
    </row>
    <row r="4813" spans="1:15">
      <c r="A4813" s="22" t="s">
        <v>324</v>
      </c>
      <c r="B4813" s="22" t="str">
        <f ca="1">IF(ISBLANK(OFFSET(B4813,0,'Field labels'!$Q$1)),C4813,OFFSET(B4813,0,'Field labels'!$Q$1))</f>
        <v>Milton Keynes</v>
      </c>
      <c r="C4813" s="22" t="s">
        <v>554</v>
      </c>
      <c r="D4813" t="s">
        <v>554</v>
      </c>
      <c r="E4813" t="s">
        <v>554</v>
      </c>
      <c r="F4813" t="s">
        <v>554</v>
      </c>
      <c r="G4813" t="s">
        <v>554</v>
      </c>
      <c r="H4813" t="s">
        <v>554</v>
      </c>
      <c r="I4813" t="s">
        <v>554</v>
      </c>
      <c r="J4813" t="s">
        <v>554</v>
      </c>
      <c r="K4813" t="s">
        <v>554</v>
      </c>
      <c r="L4813" t="s">
        <v>554</v>
      </c>
      <c r="M4813" t="s">
        <v>554</v>
      </c>
      <c r="N4813" t="s">
        <v>554</v>
      </c>
      <c r="O4813" t="s">
        <v>554</v>
      </c>
    </row>
    <row r="4814" spans="1:15">
      <c r="A4814" s="22" t="s">
        <v>324</v>
      </c>
      <c r="B4814" s="22" t="str">
        <f ca="1">IF(ISBLANK(OFFSET(B4814,0,'Field labels'!$Q$1)),C4814,OFFSET(B4814,0,'Field labels'!$Q$1))</f>
        <v>Monaghan</v>
      </c>
      <c r="C4814" s="22" t="s">
        <v>4123</v>
      </c>
      <c r="D4814" t="s">
        <v>4123</v>
      </c>
      <c r="E4814" t="s">
        <v>4123</v>
      </c>
      <c r="F4814" t="s">
        <v>4123</v>
      </c>
      <c r="G4814" t="s">
        <v>4123</v>
      </c>
      <c r="H4814" t="s">
        <v>4123</v>
      </c>
      <c r="I4814" t="s">
        <v>4123</v>
      </c>
      <c r="J4814" t="s">
        <v>4123</v>
      </c>
      <c r="K4814" t="s">
        <v>4123</v>
      </c>
      <c r="L4814" t="s">
        <v>4123</v>
      </c>
      <c r="M4814" t="s">
        <v>4123</v>
      </c>
      <c r="N4814" t="s">
        <v>4123</v>
      </c>
      <c r="O4814" t="s">
        <v>4123</v>
      </c>
    </row>
    <row r="4815" spans="1:15">
      <c r="A4815" s="22" t="s">
        <v>324</v>
      </c>
      <c r="B4815" s="22" t="str">
        <f ca="1">IF(ISBLANK(OFFSET(B4815,0,'Field labels'!$Q$1)),C4815,OFFSET(B4815,0,'Field labels'!$Q$1))</f>
        <v>Monmouthshire</v>
      </c>
      <c r="C4815" s="22" t="s">
        <v>655</v>
      </c>
      <c r="D4815" t="s">
        <v>655</v>
      </c>
      <c r="E4815" t="s">
        <v>655</v>
      </c>
      <c r="F4815" t="s">
        <v>655</v>
      </c>
      <c r="G4815" t="s">
        <v>655</v>
      </c>
      <c r="H4815" t="s">
        <v>655</v>
      </c>
      <c r="I4815" t="s">
        <v>655</v>
      </c>
      <c r="J4815" t="s">
        <v>655</v>
      </c>
      <c r="K4815" t="s">
        <v>655</v>
      </c>
      <c r="L4815" t="s">
        <v>655</v>
      </c>
      <c r="M4815" t="s">
        <v>655</v>
      </c>
      <c r="N4815" t="s">
        <v>655</v>
      </c>
      <c r="O4815" t="s">
        <v>655</v>
      </c>
    </row>
    <row r="4816" spans="1:15">
      <c r="A4816" s="22" t="s">
        <v>324</v>
      </c>
      <c r="B4816" s="22" t="str">
        <f ca="1">IF(ISBLANK(OFFSET(B4816,0,'Field labels'!$Q$1)),C4816,OFFSET(B4816,0,'Field labels'!$Q$1))</f>
        <v>Moray</v>
      </c>
      <c r="C4816" s="22" t="s">
        <v>630</v>
      </c>
      <c r="D4816" t="s">
        <v>630</v>
      </c>
      <c r="E4816" t="s">
        <v>630</v>
      </c>
      <c r="F4816" t="s">
        <v>630</v>
      </c>
      <c r="G4816" t="s">
        <v>630</v>
      </c>
      <c r="H4816" t="s">
        <v>630</v>
      </c>
      <c r="I4816" t="s">
        <v>630</v>
      </c>
      <c r="J4816" t="s">
        <v>630</v>
      </c>
      <c r="K4816" t="s">
        <v>630</v>
      </c>
      <c r="L4816" t="s">
        <v>630</v>
      </c>
      <c r="M4816" t="s">
        <v>630</v>
      </c>
      <c r="N4816" t="s">
        <v>630</v>
      </c>
      <c r="O4816" t="s">
        <v>630</v>
      </c>
    </row>
    <row r="4817" spans="1:15">
      <c r="A4817" s="22" t="s">
        <v>324</v>
      </c>
      <c r="B4817" s="22" t="str">
        <f ca="1">IF(ISBLANK(OFFSET(B4817,0,'Field labels'!$Q$1)),C4817,OFFSET(B4817,0,'Field labels'!$Q$1))</f>
        <v>Moyle</v>
      </c>
      <c r="C4817" s="22" t="s">
        <v>605</v>
      </c>
      <c r="D4817" t="s">
        <v>605</v>
      </c>
      <c r="E4817" t="s">
        <v>605</v>
      </c>
      <c r="F4817" t="s">
        <v>605</v>
      </c>
      <c r="G4817" t="s">
        <v>605</v>
      </c>
      <c r="H4817" t="s">
        <v>605</v>
      </c>
      <c r="I4817" t="s">
        <v>605</v>
      </c>
      <c r="J4817" t="s">
        <v>605</v>
      </c>
      <c r="K4817" t="s">
        <v>605</v>
      </c>
      <c r="L4817" t="s">
        <v>605</v>
      </c>
      <c r="M4817" t="s">
        <v>605</v>
      </c>
      <c r="N4817" t="s">
        <v>605</v>
      </c>
      <c r="O4817" t="s">
        <v>605</v>
      </c>
    </row>
    <row r="4818" spans="1:15">
      <c r="A4818" s="22" t="s">
        <v>324</v>
      </c>
      <c r="B4818" s="22" t="str">
        <f ca="1">IF(ISBLANK(OFFSET(B4818,0,'Field labels'!$Q$1)),C4818,OFFSET(B4818,0,'Field labels'!$Q$1))</f>
        <v>Neath Port Talbot</v>
      </c>
      <c r="C4818" s="22" t="s">
        <v>656</v>
      </c>
      <c r="D4818" t="s">
        <v>656</v>
      </c>
      <c r="E4818" t="s">
        <v>656</v>
      </c>
      <c r="F4818" t="s">
        <v>656</v>
      </c>
      <c r="G4818" t="s">
        <v>656</v>
      </c>
      <c r="H4818" t="s">
        <v>656</v>
      </c>
      <c r="I4818" t="s">
        <v>656</v>
      </c>
      <c r="J4818" t="s">
        <v>656</v>
      </c>
      <c r="K4818" t="s">
        <v>656</v>
      </c>
      <c r="L4818" t="s">
        <v>656</v>
      </c>
      <c r="M4818" t="s">
        <v>656</v>
      </c>
      <c r="N4818" t="s">
        <v>656</v>
      </c>
      <c r="O4818" t="s">
        <v>656</v>
      </c>
    </row>
    <row r="4819" spans="1:15">
      <c r="A4819" s="22" t="s">
        <v>324</v>
      </c>
      <c r="B4819" s="22" t="str">
        <f ca="1">IF(ISBLANK(OFFSET(B4819,0,'Field labels'!$Q$1)),C4819,OFFSET(B4819,0,'Field labels'!$Q$1))</f>
        <v>Newcastle upon Tyne</v>
      </c>
      <c r="C4819" s="22" t="s">
        <v>508</v>
      </c>
      <c r="D4819" t="s">
        <v>508</v>
      </c>
      <c r="E4819" t="s">
        <v>508</v>
      </c>
      <c r="F4819" t="s">
        <v>508</v>
      </c>
      <c r="G4819" t="s">
        <v>508</v>
      </c>
      <c r="H4819" t="s">
        <v>508</v>
      </c>
      <c r="I4819" t="s">
        <v>508</v>
      </c>
      <c r="J4819" t="s">
        <v>508</v>
      </c>
      <c r="K4819" t="s">
        <v>508</v>
      </c>
      <c r="L4819" t="s">
        <v>508</v>
      </c>
      <c r="M4819" t="s">
        <v>508</v>
      </c>
      <c r="N4819" t="s">
        <v>508</v>
      </c>
      <c r="O4819" t="s">
        <v>508</v>
      </c>
    </row>
    <row r="4820" spans="1:15">
      <c r="A4820" s="22" t="s">
        <v>324</v>
      </c>
      <c r="B4820" s="22" t="str">
        <f ca="1">IF(ISBLANK(OFFSET(B4820,0,'Field labels'!$Q$1)),C4820,OFFSET(B4820,0,'Field labels'!$Q$1))</f>
        <v>Newham</v>
      </c>
      <c r="C4820" s="22" t="s">
        <v>484</v>
      </c>
      <c r="D4820" t="s">
        <v>484</v>
      </c>
      <c r="E4820" t="s">
        <v>484</v>
      </c>
      <c r="F4820" t="s">
        <v>484</v>
      </c>
      <c r="G4820" t="s">
        <v>484</v>
      </c>
      <c r="H4820" t="s">
        <v>484</v>
      </c>
      <c r="I4820" t="s">
        <v>484</v>
      </c>
      <c r="J4820" t="s">
        <v>484</v>
      </c>
      <c r="K4820" t="s">
        <v>484</v>
      </c>
      <c r="L4820" t="s">
        <v>484</v>
      </c>
      <c r="M4820" t="s">
        <v>484</v>
      </c>
      <c r="N4820" t="s">
        <v>484</v>
      </c>
      <c r="O4820" t="s">
        <v>484</v>
      </c>
    </row>
    <row r="4821" spans="1:15">
      <c r="A4821" s="22" t="s">
        <v>324</v>
      </c>
      <c r="B4821" s="22" t="str">
        <f ca="1">IF(ISBLANK(OFFSET(B4821,0,'Field labels'!$Q$1)),C4821,OFFSET(B4821,0,'Field labels'!$Q$1))</f>
        <v>Newport</v>
      </c>
      <c r="C4821" s="22" t="s">
        <v>657</v>
      </c>
      <c r="D4821" t="s">
        <v>657</v>
      </c>
      <c r="E4821" t="s">
        <v>657</v>
      </c>
      <c r="F4821" t="s">
        <v>657</v>
      </c>
      <c r="G4821" t="s">
        <v>657</v>
      </c>
      <c r="H4821" t="s">
        <v>657</v>
      </c>
      <c r="I4821" t="s">
        <v>657</v>
      </c>
      <c r="J4821" t="s">
        <v>657</v>
      </c>
      <c r="K4821" t="s">
        <v>657</v>
      </c>
      <c r="L4821" t="s">
        <v>657</v>
      </c>
      <c r="M4821" t="s">
        <v>657</v>
      </c>
      <c r="N4821" t="s">
        <v>657</v>
      </c>
      <c r="O4821" t="s">
        <v>657</v>
      </c>
    </row>
    <row r="4822" spans="1:15">
      <c r="A4822" s="22" t="s">
        <v>324</v>
      </c>
      <c r="B4822" s="22" t="str">
        <f ca="1">IF(ISBLANK(OFFSET(B4822,0,'Field labels'!$Q$1)),C4822,OFFSET(B4822,0,'Field labels'!$Q$1))</f>
        <v>Newry and Mourne District</v>
      </c>
      <c r="C4822" s="22" t="s">
        <v>606</v>
      </c>
      <c r="D4822" t="s">
        <v>606</v>
      </c>
      <c r="E4822" t="s">
        <v>606</v>
      </c>
      <c r="F4822" t="s">
        <v>4124</v>
      </c>
      <c r="G4822" t="s">
        <v>606</v>
      </c>
      <c r="H4822" t="s">
        <v>4125</v>
      </c>
      <c r="I4822" t="s">
        <v>606</v>
      </c>
      <c r="J4822" t="s">
        <v>606</v>
      </c>
      <c r="K4822" t="s">
        <v>4126</v>
      </c>
      <c r="L4822" t="s">
        <v>4127</v>
      </c>
      <c r="M4822" t="s">
        <v>606</v>
      </c>
      <c r="N4822" t="s">
        <v>606</v>
      </c>
      <c r="O4822" t="s">
        <v>606</v>
      </c>
    </row>
    <row r="4823" spans="1:15">
      <c r="A4823" s="22" t="s">
        <v>324</v>
      </c>
      <c r="B4823" s="22" t="str">
        <f ca="1">IF(ISBLANK(OFFSET(B4823,0,'Field labels'!$Q$1)),C4823,OFFSET(B4823,0,'Field labels'!$Q$1))</f>
        <v>Newtownabbey</v>
      </c>
      <c r="C4823" s="22" t="s">
        <v>607</v>
      </c>
      <c r="D4823" t="s">
        <v>607</v>
      </c>
      <c r="E4823" t="s">
        <v>607</v>
      </c>
      <c r="F4823" t="s">
        <v>607</v>
      </c>
      <c r="G4823" t="s">
        <v>607</v>
      </c>
      <c r="H4823" t="s">
        <v>607</v>
      </c>
      <c r="I4823" t="s">
        <v>607</v>
      </c>
      <c r="J4823" t="s">
        <v>607</v>
      </c>
      <c r="K4823" t="s">
        <v>607</v>
      </c>
      <c r="L4823" t="s">
        <v>607</v>
      </c>
      <c r="M4823" t="s">
        <v>607</v>
      </c>
      <c r="N4823" t="s">
        <v>607</v>
      </c>
      <c r="O4823" t="s">
        <v>607</v>
      </c>
    </row>
    <row r="4824" spans="1:15">
      <c r="A4824" s="22" t="s">
        <v>324</v>
      </c>
      <c r="B4824" s="22" t="str">
        <f ca="1">IF(ISBLANK(OFFSET(B4824,0,'Field labels'!$Q$1)),C4824,OFFSET(B4824,0,'Field labels'!$Q$1))</f>
        <v>Norfolk</v>
      </c>
      <c r="C4824" s="22" t="s">
        <v>449</v>
      </c>
      <c r="D4824" t="s">
        <v>449</v>
      </c>
      <c r="E4824" t="s">
        <v>449</v>
      </c>
      <c r="F4824" t="s">
        <v>449</v>
      </c>
      <c r="G4824" t="s">
        <v>449</v>
      </c>
      <c r="H4824" t="s">
        <v>449</v>
      </c>
      <c r="I4824" t="s">
        <v>449</v>
      </c>
      <c r="J4824" t="s">
        <v>449</v>
      </c>
      <c r="K4824" t="s">
        <v>449</v>
      </c>
      <c r="L4824" t="s">
        <v>449</v>
      </c>
      <c r="M4824" t="s">
        <v>449</v>
      </c>
      <c r="N4824" t="s">
        <v>449</v>
      </c>
      <c r="O4824" t="s">
        <v>449</v>
      </c>
    </row>
    <row r="4825" spans="1:15">
      <c r="A4825" s="22" t="s">
        <v>324</v>
      </c>
      <c r="B4825" s="22" t="str">
        <f ca="1">IF(ISBLANK(OFFSET(B4825,0,'Field labels'!$Q$1)),C4825,OFFSET(B4825,0,'Field labels'!$Q$1))</f>
        <v>Norrbotten</v>
      </c>
      <c r="C4825" s="22" t="s">
        <v>4128</v>
      </c>
      <c r="D4825" t="s">
        <v>4128</v>
      </c>
      <c r="E4825" t="s">
        <v>4128</v>
      </c>
      <c r="F4825" t="s">
        <v>4128</v>
      </c>
      <c r="G4825" t="s">
        <v>4128</v>
      </c>
      <c r="H4825" t="s">
        <v>4128</v>
      </c>
      <c r="I4825" t="s">
        <v>4128</v>
      </c>
      <c r="J4825" t="s">
        <v>4128</v>
      </c>
      <c r="K4825" t="s">
        <v>4128</v>
      </c>
      <c r="L4825" t="s">
        <v>4128</v>
      </c>
      <c r="M4825" t="s">
        <v>4128</v>
      </c>
      <c r="N4825" t="s">
        <v>4128</v>
      </c>
      <c r="O4825" t="s">
        <v>4128</v>
      </c>
    </row>
    <row r="4826" spans="1:15">
      <c r="A4826" s="22" t="s">
        <v>324</v>
      </c>
      <c r="B4826" s="22" t="str">
        <f ca="1">IF(ISBLANK(OFFSET(B4826,0,'Field labels'!$Q$1)),C4826,OFFSET(B4826,0,'Field labels'!$Q$1))</f>
        <v>North Ayrshire</v>
      </c>
      <c r="C4826" s="22" t="s">
        <v>631</v>
      </c>
      <c r="D4826" t="s">
        <v>631</v>
      </c>
      <c r="E4826" t="s">
        <v>631</v>
      </c>
      <c r="F4826" t="s">
        <v>631</v>
      </c>
      <c r="G4826" t="s">
        <v>631</v>
      </c>
      <c r="H4826" t="s">
        <v>631</v>
      </c>
      <c r="I4826" t="s">
        <v>631</v>
      </c>
      <c r="J4826" t="s">
        <v>631</v>
      </c>
      <c r="K4826" t="s">
        <v>631</v>
      </c>
      <c r="L4826" t="s">
        <v>631</v>
      </c>
      <c r="M4826" t="s">
        <v>631</v>
      </c>
      <c r="N4826" t="s">
        <v>631</v>
      </c>
      <c r="O4826" t="s">
        <v>631</v>
      </c>
    </row>
    <row r="4827" spans="1:15">
      <c r="A4827" s="22" t="s">
        <v>324</v>
      </c>
      <c r="B4827" s="22" t="str">
        <f ca="1">IF(ISBLANK(OFFSET(B4827,0,'Field labels'!$Q$1)),C4827,OFFSET(B4827,0,'Field labels'!$Q$1))</f>
        <v>North Down</v>
      </c>
      <c r="C4827" s="22" t="s">
        <v>608</v>
      </c>
      <c r="D4827" t="s">
        <v>608</v>
      </c>
      <c r="E4827" t="s">
        <v>608</v>
      </c>
      <c r="F4827" t="s">
        <v>608</v>
      </c>
      <c r="G4827" t="s">
        <v>608</v>
      </c>
      <c r="H4827" t="s">
        <v>608</v>
      </c>
      <c r="I4827" t="s">
        <v>608</v>
      </c>
      <c r="J4827" t="s">
        <v>608</v>
      </c>
      <c r="K4827" t="s">
        <v>608</v>
      </c>
      <c r="L4827" t="s">
        <v>608</v>
      </c>
      <c r="M4827" t="s">
        <v>608</v>
      </c>
      <c r="N4827" t="s">
        <v>608</v>
      </c>
      <c r="O4827" t="s">
        <v>608</v>
      </c>
    </row>
    <row r="4828" spans="1:15">
      <c r="A4828" s="22" t="s">
        <v>324</v>
      </c>
      <c r="B4828" s="22" t="str">
        <f ca="1">IF(ISBLANK(OFFSET(B4828,0,'Field labels'!$Q$1)),C4828,OFFSET(B4828,0,'Field labels'!$Q$1))</f>
        <v>North East Lincolnshire</v>
      </c>
      <c r="C4828" s="22" t="s">
        <v>555</v>
      </c>
      <c r="D4828" t="s">
        <v>555</v>
      </c>
      <c r="E4828" t="s">
        <v>555</v>
      </c>
      <c r="F4828" t="s">
        <v>4129</v>
      </c>
      <c r="G4828" t="s">
        <v>555</v>
      </c>
      <c r="H4828" t="s">
        <v>555</v>
      </c>
      <c r="I4828" t="s">
        <v>555</v>
      </c>
      <c r="J4828" t="s">
        <v>555</v>
      </c>
      <c r="K4828" t="s">
        <v>555</v>
      </c>
      <c r="L4828" t="s">
        <v>555</v>
      </c>
      <c r="M4828" t="s">
        <v>555</v>
      </c>
      <c r="N4828" t="s">
        <v>555</v>
      </c>
      <c r="O4828" t="s">
        <v>555</v>
      </c>
    </row>
    <row r="4829" spans="1:15">
      <c r="A4829" s="22" t="s">
        <v>324</v>
      </c>
      <c r="B4829" s="22" t="str">
        <f ca="1">IF(ISBLANK(OFFSET(B4829,0,'Field labels'!$Q$1)),C4829,OFFSET(B4829,0,'Field labels'!$Q$1))</f>
        <v>North Lanarkshire</v>
      </c>
      <c r="C4829" s="22" t="s">
        <v>632</v>
      </c>
      <c r="D4829" t="s">
        <v>632</v>
      </c>
      <c r="E4829" t="s">
        <v>632</v>
      </c>
      <c r="F4829" t="s">
        <v>632</v>
      </c>
      <c r="G4829" t="s">
        <v>632</v>
      </c>
      <c r="H4829" t="s">
        <v>632</v>
      </c>
      <c r="I4829" t="s">
        <v>632</v>
      </c>
      <c r="J4829" t="s">
        <v>632</v>
      </c>
      <c r="K4829" t="s">
        <v>632</v>
      </c>
      <c r="L4829" t="s">
        <v>632</v>
      </c>
      <c r="M4829" t="s">
        <v>632</v>
      </c>
      <c r="N4829" t="s">
        <v>632</v>
      </c>
      <c r="O4829" t="s">
        <v>632</v>
      </c>
    </row>
    <row r="4830" spans="1:15">
      <c r="A4830" s="22" t="s">
        <v>324</v>
      </c>
      <c r="B4830" s="22" t="str">
        <f ca="1">IF(ISBLANK(OFFSET(B4830,0,'Field labels'!$Q$1)),C4830,OFFSET(B4830,0,'Field labels'!$Q$1))</f>
        <v>North Lincolnshire</v>
      </c>
      <c r="C4830" s="22" t="s">
        <v>556</v>
      </c>
      <c r="D4830" t="s">
        <v>556</v>
      </c>
      <c r="E4830" t="s">
        <v>556</v>
      </c>
      <c r="F4830" t="s">
        <v>4130</v>
      </c>
      <c r="G4830" t="s">
        <v>556</v>
      </c>
      <c r="H4830" t="s">
        <v>556</v>
      </c>
      <c r="I4830" t="s">
        <v>556</v>
      </c>
      <c r="J4830" t="s">
        <v>556</v>
      </c>
      <c r="K4830" t="s">
        <v>556</v>
      </c>
      <c r="L4830" t="s">
        <v>556</v>
      </c>
      <c r="M4830" t="s">
        <v>556</v>
      </c>
      <c r="N4830" t="s">
        <v>556</v>
      </c>
      <c r="O4830" t="s">
        <v>556</v>
      </c>
    </row>
    <row r="4831" spans="1:15">
      <c r="A4831" s="22" t="s">
        <v>324</v>
      </c>
      <c r="B4831" s="22" t="str">
        <f ca="1">IF(ISBLANK(OFFSET(B4831,0,'Field labels'!$Q$1)),C4831,OFFSET(B4831,0,'Field labels'!$Q$1))</f>
        <v>North Somerset</v>
      </c>
      <c r="C4831" s="22" t="s">
        <v>557</v>
      </c>
      <c r="D4831" t="s">
        <v>557</v>
      </c>
      <c r="E4831" t="s">
        <v>557</v>
      </c>
      <c r="F4831" t="s">
        <v>4131</v>
      </c>
      <c r="G4831" t="s">
        <v>557</v>
      </c>
      <c r="H4831" t="s">
        <v>557</v>
      </c>
      <c r="I4831" t="s">
        <v>557</v>
      </c>
      <c r="J4831" t="s">
        <v>557</v>
      </c>
      <c r="K4831" t="s">
        <v>557</v>
      </c>
      <c r="L4831" t="s">
        <v>557</v>
      </c>
      <c r="M4831" t="s">
        <v>557</v>
      </c>
      <c r="N4831" t="s">
        <v>557</v>
      </c>
      <c r="O4831" t="s">
        <v>557</v>
      </c>
    </row>
    <row r="4832" spans="1:15">
      <c r="A4832" s="22" t="s">
        <v>324</v>
      </c>
      <c r="B4832" s="22" t="str">
        <f ca="1">IF(ISBLANK(OFFSET(B4832,0,'Field labels'!$Q$1)),C4832,OFFSET(B4832,0,'Field labels'!$Q$1))</f>
        <v>North Tyneside</v>
      </c>
      <c r="C4832" s="22" t="s">
        <v>509</v>
      </c>
      <c r="D4832" t="s">
        <v>509</v>
      </c>
      <c r="E4832" t="s">
        <v>509</v>
      </c>
      <c r="F4832" t="s">
        <v>4132</v>
      </c>
      <c r="G4832" t="s">
        <v>509</v>
      </c>
      <c r="H4832" t="s">
        <v>509</v>
      </c>
      <c r="I4832" t="s">
        <v>509</v>
      </c>
      <c r="J4832" t="s">
        <v>509</v>
      </c>
      <c r="K4832" t="s">
        <v>509</v>
      </c>
      <c r="L4832" t="s">
        <v>509</v>
      </c>
      <c r="M4832" t="s">
        <v>509</v>
      </c>
      <c r="N4832" t="s">
        <v>509</v>
      </c>
      <c r="O4832" t="s">
        <v>509</v>
      </c>
    </row>
    <row r="4833" spans="1:15">
      <c r="A4833" s="22" t="s">
        <v>324</v>
      </c>
      <c r="B4833" s="22" t="str">
        <f ca="1">IF(ISBLANK(OFFSET(B4833,0,'Field labels'!$Q$1)),C4833,OFFSET(B4833,0,'Field labels'!$Q$1))</f>
        <v>North Yorkshire</v>
      </c>
      <c r="C4833" s="22" t="s">
        <v>450</v>
      </c>
      <c r="D4833" t="s">
        <v>450</v>
      </c>
      <c r="E4833" t="s">
        <v>450</v>
      </c>
      <c r="F4833" t="s">
        <v>4133</v>
      </c>
      <c r="G4833" t="s">
        <v>450</v>
      </c>
      <c r="H4833" t="s">
        <v>450</v>
      </c>
      <c r="I4833" t="s">
        <v>450</v>
      </c>
      <c r="J4833" t="s">
        <v>450</v>
      </c>
      <c r="K4833" t="s">
        <v>450</v>
      </c>
      <c r="L4833" t="s">
        <v>450</v>
      </c>
      <c r="M4833" t="s">
        <v>450</v>
      </c>
      <c r="N4833" t="s">
        <v>450</v>
      </c>
      <c r="O4833" t="s">
        <v>450</v>
      </c>
    </row>
    <row r="4834" spans="1:15">
      <c r="A4834" s="22" t="s">
        <v>324</v>
      </c>
      <c r="B4834" s="22" t="str">
        <f ca="1">IF(ISBLANK(OFFSET(B4834,0,'Field labels'!$Q$1)),C4834,OFFSET(B4834,0,'Field labels'!$Q$1))</f>
        <v>Northamptonshire</v>
      </c>
      <c r="C4834" s="22" t="s">
        <v>451</v>
      </c>
      <c r="D4834" t="s">
        <v>451</v>
      </c>
      <c r="E4834" t="s">
        <v>451</v>
      </c>
      <c r="F4834" t="s">
        <v>451</v>
      </c>
      <c r="G4834" t="s">
        <v>451</v>
      </c>
      <c r="H4834" t="s">
        <v>451</v>
      </c>
      <c r="I4834" t="s">
        <v>451</v>
      </c>
      <c r="J4834" t="s">
        <v>451</v>
      </c>
      <c r="K4834" t="s">
        <v>451</v>
      </c>
      <c r="L4834" t="s">
        <v>451</v>
      </c>
      <c r="M4834" t="s">
        <v>451</v>
      </c>
      <c r="N4834" t="s">
        <v>451</v>
      </c>
      <c r="O4834" t="s">
        <v>451</v>
      </c>
    </row>
    <row r="4835" spans="1:15">
      <c r="A4835" s="22" t="s">
        <v>324</v>
      </c>
      <c r="B4835" s="22" t="str">
        <f ca="1">IF(ISBLANK(OFFSET(B4835,0,'Field labels'!$Q$1)),C4835,OFFSET(B4835,0,'Field labels'!$Q$1))</f>
        <v>Northumberland</v>
      </c>
      <c r="C4835" s="22" t="s">
        <v>558</v>
      </c>
      <c r="D4835" t="s">
        <v>558</v>
      </c>
      <c r="E4835" t="s">
        <v>558</v>
      </c>
      <c r="F4835" t="s">
        <v>558</v>
      </c>
      <c r="G4835" t="s">
        <v>558</v>
      </c>
      <c r="H4835" t="s">
        <v>558</v>
      </c>
      <c r="I4835" t="s">
        <v>558</v>
      </c>
      <c r="J4835" t="s">
        <v>558</v>
      </c>
      <c r="K4835" t="s">
        <v>558</v>
      </c>
      <c r="L4835" t="s">
        <v>558</v>
      </c>
      <c r="M4835" t="s">
        <v>558</v>
      </c>
      <c r="N4835" t="s">
        <v>558</v>
      </c>
      <c r="O4835" t="s">
        <v>558</v>
      </c>
    </row>
    <row r="4836" spans="1:15">
      <c r="A4836" s="22" t="s">
        <v>324</v>
      </c>
      <c r="B4836" s="22" t="str">
        <f ca="1">IF(ISBLANK(OFFSET(B4836,0,'Field labels'!$Q$1)),C4836,OFFSET(B4836,0,'Field labels'!$Q$1))</f>
        <v>Nottingham</v>
      </c>
      <c r="C4836" s="22" t="s">
        <v>559</v>
      </c>
      <c r="D4836" t="s">
        <v>559</v>
      </c>
      <c r="E4836" t="s">
        <v>559</v>
      </c>
      <c r="F4836" t="s">
        <v>559</v>
      </c>
      <c r="G4836" t="s">
        <v>559</v>
      </c>
      <c r="H4836" t="s">
        <v>559</v>
      </c>
      <c r="I4836" t="s">
        <v>559</v>
      </c>
      <c r="J4836" t="s">
        <v>559</v>
      </c>
      <c r="K4836" t="s">
        <v>559</v>
      </c>
      <c r="L4836" t="s">
        <v>559</v>
      </c>
      <c r="M4836" t="s">
        <v>559</v>
      </c>
      <c r="N4836" t="s">
        <v>559</v>
      </c>
      <c r="O4836" t="s">
        <v>559</v>
      </c>
    </row>
    <row r="4837" spans="1:15">
      <c r="A4837" s="22" t="s">
        <v>324</v>
      </c>
      <c r="B4837" s="22" t="str">
        <f ca="1">IF(ISBLANK(OFFSET(B4837,0,'Field labels'!$Q$1)),C4837,OFFSET(B4837,0,'Field labels'!$Q$1))</f>
        <v>Nottinghamshire</v>
      </c>
      <c r="C4837" s="22" t="s">
        <v>452</v>
      </c>
      <c r="D4837" t="s">
        <v>452</v>
      </c>
      <c r="E4837" t="s">
        <v>452</v>
      </c>
      <c r="F4837" t="s">
        <v>452</v>
      </c>
      <c r="G4837" t="s">
        <v>452</v>
      </c>
      <c r="H4837" t="s">
        <v>452</v>
      </c>
      <c r="I4837" t="s">
        <v>452</v>
      </c>
      <c r="J4837" t="s">
        <v>452</v>
      </c>
      <c r="K4837" t="s">
        <v>452</v>
      </c>
      <c r="L4837" t="s">
        <v>452</v>
      </c>
      <c r="M4837" t="s">
        <v>452</v>
      </c>
      <c r="N4837" t="s">
        <v>452</v>
      </c>
      <c r="O4837" t="s">
        <v>452</v>
      </c>
    </row>
    <row r="4838" spans="1:15">
      <c r="A4838" s="22" t="s">
        <v>324</v>
      </c>
      <c r="B4838" s="22" t="str">
        <f ca="1">IF(ISBLANK(OFFSET(B4838,0,'Field labels'!$Q$1)),C4838,OFFSET(B4838,0,'Field labels'!$Q$1))</f>
        <v>Offaly</v>
      </c>
      <c r="C4838" s="22" t="s">
        <v>4134</v>
      </c>
      <c r="D4838" t="s">
        <v>4134</v>
      </c>
      <c r="E4838" t="s">
        <v>4134</v>
      </c>
      <c r="F4838" t="s">
        <v>4134</v>
      </c>
      <c r="G4838" t="s">
        <v>4134</v>
      </c>
      <c r="H4838" t="s">
        <v>4134</v>
      </c>
      <c r="I4838" t="s">
        <v>4134</v>
      </c>
      <c r="J4838" t="s">
        <v>4134</v>
      </c>
      <c r="K4838" t="s">
        <v>4134</v>
      </c>
      <c r="L4838" t="s">
        <v>4134</v>
      </c>
      <c r="M4838" t="s">
        <v>4134</v>
      </c>
      <c r="N4838" t="s">
        <v>4134</v>
      </c>
      <c r="O4838" t="s">
        <v>4134</v>
      </c>
    </row>
    <row r="4839" spans="1:15">
      <c r="A4839" s="22" t="s">
        <v>324</v>
      </c>
      <c r="B4839" s="22" t="str">
        <f ca="1">IF(ISBLANK(OFFSET(B4839,0,'Field labels'!$Q$1)),C4839,OFFSET(B4839,0,'Field labels'!$Q$1))</f>
        <v>Oldham</v>
      </c>
      <c r="C4839" s="22" t="s">
        <v>510</v>
      </c>
      <c r="D4839" t="s">
        <v>510</v>
      </c>
      <c r="E4839" t="s">
        <v>510</v>
      </c>
      <c r="F4839" t="s">
        <v>510</v>
      </c>
      <c r="G4839" t="s">
        <v>510</v>
      </c>
      <c r="H4839" t="s">
        <v>510</v>
      </c>
      <c r="I4839" t="s">
        <v>510</v>
      </c>
      <c r="J4839" t="s">
        <v>510</v>
      </c>
      <c r="K4839" t="s">
        <v>510</v>
      </c>
      <c r="L4839" t="s">
        <v>510</v>
      </c>
      <c r="M4839" t="s">
        <v>510</v>
      </c>
      <c r="N4839" t="s">
        <v>510</v>
      </c>
      <c r="O4839" t="s">
        <v>510</v>
      </c>
    </row>
    <row r="4840" spans="1:15">
      <c r="A4840" s="22" t="s">
        <v>324</v>
      </c>
      <c r="B4840" s="22" t="str">
        <f ca="1">IF(ISBLANK(OFFSET(B4840,0,'Field labels'!$Q$1)),C4840,OFFSET(B4840,0,'Field labels'!$Q$1))</f>
        <v>Omagh</v>
      </c>
      <c r="C4840" s="22" t="s">
        <v>609</v>
      </c>
      <c r="D4840" t="s">
        <v>609</v>
      </c>
      <c r="E4840" t="s">
        <v>609</v>
      </c>
      <c r="F4840" t="s">
        <v>609</v>
      </c>
      <c r="G4840" t="s">
        <v>609</v>
      </c>
      <c r="H4840" t="s">
        <v>609</v>
      </c>
      <c r="I4840" t="s">
        <v>609</v>
      </c>
      <c r="J4840" t="s">
        <v>609</v>
      </c>
      <c r="K4840" t="s">
        <v>609</v>
      </c>
      <c r="L4840" t="s">
        <v>609</v>
      </c>
      <c r="M4840" t="s">
        <v>609</v>
      </c>
      <c r="N4840" t="s">
        <v>609</v>
      </c>
      <c r="O4840" t="s">
        <v>609</v>
      </c>
    </row>
    <row r="4841" spans="1:15">
      <c r="A4841" s="22" t="s">
        <v>324</v>
      </c>
      <c r="B4841" s="22" t="str">
        <f ca="1">IF(ISBLANK(OFFSET(B4841,0,'Field labels'!$Q$1)),C4841,OFFSET(B4841,0,'Field labels'!$Q$1))</f>
        <v>Örebro</v>
      </c>
      <c r="C4841" s="22" t="s">
        <v>4135</v>
      </c>
      <c r="D4841" t="s">
        <v>4135</v>
      </c>
      <c r="E4841" t="s">
        <v>4135</v>
      </c>
      <c r="F4841" t="s">
        <v>4135</v>
      </c>
      <c r="G4841" t="s">
        <v>4135</v>
      </c>
      <c r="H4841" t="s">
        <v>4135</v>
      </c>
      <c r="I4841" t="s">
        <v>4135</v>
      </c>
      <c r="J4841" t="s">
        <v>4135</v>
      </c>
      <c r="K4841" t="s">
        <v>4135</v>
      </c>
      <c r="L4841" t="s">
        <v>4135</v>
      </c>
      <c r="M4841" t="s">
        <v>4135</v>
      </c>
      <c r="N4841" t="s">
        <v>4135</v>
      </c>
      <c r="O4841" t="s">
        <v>4135</v>
      </c>
    </row>
    <row r="4842" spans="1:15">
      <c r="A4842" s="22" t="s">
        <v>324</v>
      </c>
      <c r="B4842" s="22" t="str">
        <f ca="1">IF(ISBLANK(OFFSET(B4842,0,'Field labels'!$Q$1)),C4842,OFFSET(B4842,0,'Field labels'!$Q$1))</f>
        <v>Orkney Islands</v>
      </c>
      <c r="C4842" s="22" t="s">
        <v>633</v>
      </c>
      <c r="D4842" t="s">
        <v>4136</v>
      </c>
      <c r="E4842" t="s">
        <v>633</v>
      </c>
      <c r="F4842" t="s">
        <v>4137</v>
      </c>
      <c r="G4842" t="s">
        <v>633</v>
      </c>
      <c r="H4842" t="s">
        <v>633</v>
      </c>
      <c r="I4842" t="s">
        <v>4138</v>
      </c>
      <c r="J4842" t="s">
        <v>633</v>
      </c>
      <c r="K4842" t="s">
        <v>4139</v>
      </c>
      <c r="L4842" t="s">
        <v>633</v>
      </c>
      <c r="M4842" t="s">
        <v>633</v>
      </c>
      <c r="N4842" t="s">
        <v>4140</v>
      </c>
      <c r="O4842" t="s">
        <v>4141</v>
      </c>
    </row>
    <row r="4843" spans="1:15">
      <c r="A4843" s="22" t="s">
        <v>324</v>
      </c>
      <c r="B4843" s="22" t="str">
        <f ca="1">IF(ISBLANK(OFFSET(B4843,0,'Field labels'!$Q$1)),C4843,OFFSET(B4843,0,'Field labels'!$Q$1))</f>
        <v>Östergötland</v>
      </c>
      <c r="C4843" s="22" t="s">
        <v>4142</v>
      </c>
      <c r="D4843" t="s">
        <v>4142</v>
      </c>
      <c r="E4843" t="s">
        <v>4142</v>
      </c>
      <c r="F4843" t="s">
        <v>4142</v>
      </c>
      <c r="G4843" t="s">
        <v>4142</v>
      </c>
      <c r="H4843" t="s">
        <v>4142</v>
      </c>
      <c r="I4843" t="s">
        <v>4142</v>
      </c>
      <c r="J4843" t="s">
        <v>4142</v>
      </c>
      <c r="K4843" t="s">
        <v>4142</v>
      </c>
      <c r="L4843" t="s">
        <v>4142</v>
      </c>
      <c r="M4843" t="s">
        <v>4142</v>
      </c>
      <c r="N4843" t="s">
        <v>4142</v>
      </c>
      <c r="O4843" t="s">
        <v>4142</v>
      </c>
    </row>
    <row r="4844" spans="1:15">
      <c r="A4844" s="22" t="s">
        <v>324</v>
      </c>
      <c r="B4844" s="22" t="str">
        <f ca="1">IF(ISBLANK(OFFSET(B4844,0,'Field labels'!$Q$1)),C4844,OFFSET(B4844,0,'Field labels'!$Q$1))</f>
        <v>Oxfordshire</v>
      </c>
      <c r="C4844" s="22" t="s">
        <v>453</v>
      </c>
      <c r="D4844" t="s">
        <v>453</v>
      </c>
      <c r="E4844" t="s">
        <v>453</v>
      </c>
      <c r="F4844" t="s">
        <v>453</v>
      </c>
      <c r="G4844" t="s">
        <v>453</v>
      </c>
      <c r="H4844" t="s">
        <v>453</v>
      </c>
      <c r="I4844" t="s">
        <v>453</v>
      </c>
      <c r="J4844" t="s">
        <v>453</v>
      </c>
      <c r="K4844" t="s">
        <v>453</v>
      </c>
      <c r="L4844" t="s">
        <v>453</v>
      </c>
      <c r="M4844" t="s">
        <v>453</v>
      </c>
      <c r="N4844" t="s">
        <v>453</v>
      </c>
      <c r="O4844" t="s">
        <v>453</v>
      </c>
    </row>
    <row r="4845" spans="1:15">
      <c r="A4845" s="22" t="s">
        <v>324</v>
      </c>
      <c r="B4845" s="22" t="str">
        <f ca="1">IF(ISBLANK(OFFSET(B4845,0,'Field labels'!$Q$1)),C4845,OFFSET(B4845,0,'Field labels'!$Q$1))</f>
        <v>Pembrokeshire</v>
      </c>
      <c r="C4845" s="22" t="s">
        <v>658</v>
      </c>
      <c r="D4845" t="s">
        <v>658</v>
      </c>
      <c r="E4845" t="s">
        <v>658</v>
      </c>
      <c r="F4845" t="s">
        <v>658</v>
      </c>
      <c r="G4845" t="s">
        <v>658</v>
      </c>
      <c r="H4845" t="s">
        <v>658</v>
      </c>
      <c r="I4845" t="s">
        <v>658</v>
      </c>
      <c r="J4845" t="s">
        <v>658</v>
      </c>
      <c r="K4845" t="s">
        <v>658</v>
      </c>
      <c r="L4845" t="s">
        <v>658</v>
      </c>
      <c r="M4845" t="s">
        <v>658</v>
      </c>
      <c r="N4845" t="s">
        <v>658</v>
      </c>
      <c r="O4845" t="s">
        <v>658</v>
      </c>
    </row>
    <row r="4846" spans="1:15">
      <c r="A4846" s="22" t="s">
        <v>324</v>
      </c>
      <c r="B4846" s="22" t="str">
        <f ca="1">IF(ISBLANK(OFFSET(B4846,0,'Field labels'!$Q$1)),C4846,OFFSET(B4846,0,'Field labels'!$Q$1))</f>
        <v>Perth and Kinross</v>
      </c>
      <c r="C4846" s="22" t="s">
        <v>634</v>
      </c>
      <c r="D4846" t="s">
        <v>634</v>
      </c>
      <c r="E4846" t="s">
        <v>634</v>
      </c>
      <c r="F4846" t="s">
        <v>634</v>
      </c>
      <c r="G4846" t="s">
        <v>634</v>
      </c>
      <c r="H4846" t="s">
        <v>634</v>
      </c>
      <c r="I4846" t="s">
        <v>634</v>
      </c>
      <c r="J4846" t="s">
        <v>634</v>
      </c>
      <c r="K4846" t="s">
        <v>634</v>
      </c>
      <c r="L4846" t="s">
        <v>634</v>
      </c>
      <c r="M4846" t="s">
        <v>634</v>
      </c>
      <c r="N4846" t="s">
        <v>634</v>
      </c>
      <c r="O4846" t="s">
        <v>634</v>
      </c>
    </row>
    <row r="4847" spans="1:15">
      <c r="A4847" s="22" t="s">
        <v>324</v>
      </c>
      <c r="B4847" s="22" t="str">
        <f ca="1">IF(ISBLANK(OFFSET(B4847,0,'Field labels'!$Q$1)),C4847,OFFSET(B4847,0,'Field labels'!$Q$1))</f>
        <v>Peterborough</v>
      </c>
      <c r="C4847" s="22" t="s">
        <v>560</v>
      </c>
      <c r="D4847" t="s">
        <v>560</v>
      </c>
      <c r="E4847" t="s">
        <v>560</v>
      </c>
      <c r="F4847" t="s">
        <v>560</v>
      </c>
      <c r="G4847" t="s">
        <v>560</v>
      </c>
      <c r="H4847" t="s">
        <v>560</v>
      </c>
      <c r="I4847" t="s">
        <v>560</v>
      </c>
      <c r="J4847" t="s">
        <v>560</v>
      </c>
      <c r="K4847" t="s">
        <v>560</v>
      </c>
      <c r="L4847" t="s">
        <v>560</v>
      </c>
      <c r="M4847" t="s">
        <v>560</v>
      </c>
      <c r="N4847" t="s">
        <v>560</v>
      </c>
      <c r="O4847" t="s">
        <v>560</v>
      </c>
    </row>
    <row r="4848" spans="1:15">
      <c r="A4848" s="22" t="s">
        <v>324</v>
      </c>
      <c r="B4848" s="22" t="str">
        <f ca="1">IF(ISBLANK(OFFSET(B4848,0,'Field labels'!$Q$1)),C4848,OFFSET(B4848,0,'Field labels'!$Q$1))</f>
        <v>Plymouth</v>
      </c>
      <c r="C4848" s="22" t="s">
        <v>561</v>
      </c>
      <c r="D4848" t="s">
        <v>561</v>
      </c>
      <c r="E4848" t="s">
        <v>561</v>
      </c>
      <c r="F4848" t="s">
        <v>561</v>
      </c>
      <c r="G4848" t="s">
        <v>561</v>
      </c>
      <c r="H4848" t="s">
        <v>561</v>
      </c>
      <c r="I4848" t="s">
        <v>561</v>
      </c>
      <c r="J4848" t="s">
        <v>561</v>
      </c>
      <c r="K4848" t="s">
        <v>561</v>
      </c>
      <c r="L4848" t="s">
        <v>561</v>
      </c>
      <c r="M4848" t="s">
        <v>561</v>
      </c>
      <c r="N4848" t="s">
        <v>561</v>
      </c>
      <c r="O4848" t="s">
        <v>561</v>
      </c>
    </row>
    <row r="4849" spans="1:15">
      <c r="A4849" s="22" t="s">
        <v>324</v>
      </c>
      <c r="B4849" s="22" t="str">
        <f ca="1">IF(ISBLANK(OFFSET(B4849,0,'Field labels'!$Q$1)),C4849,OFFSET(B4849,0,'Field labels'!$Q$1))</f>
        <v>Poole</v>
      </c>
      <c r="C4849" s="22" t="s">
        <v>562</v>
      </c>
      <c r="D4849" t="s">
        <v>562</v>
      </c>
      <c r="E4849" t="s">
        <v>562</v>
      </c>
      <c r="F4849" t="s">
        <v>562</v>
      </c>
      <c r="G4849" t="s">
        <v>562</v>
      </c>
      <c r="H4849" t="s">
        <v>562</v>
      </c>
      <c r="I4849" t="s">
        <v>562</v>
      </c>
      <c r="J4849" t="s">
        <v>562</v>
      </c>
      <c r="K4849" t="s">
        <v>562</v>
      </c>
      <c r="L4849" t="s">
        <v>562</v>
      </c>
      <c r="M4849" t="s">
        <v>562</v>
      </c>
      <c r="N4849" t="s">
        <v>562</v>
      </c>
      <c r="O4849" t="s">
        <v>562</v>
      </c>
    </row>
    <row r="4850" spans="1:15">
      <c r="A4850" s="22" t="s">
        <v>324</v>
      </c>
      <c r="B4850" s="22" t="str">
        <f ca="1">IF(ISBLANK(OFFSET(B4850,0,'Field labels'!$Q$1)),C4850,OFFSET(B4850,0,'Field labels'!$Q$1))</f>
        <v>Portsmouth</v>
      </c>
      <c r="C4850" s="22" t="s">
        <v>563</v>
      </c>
      <c r="D4850" t="s">
        <v>563</v>
      </c>
      <c r="E4850" t="s">
        <v>563</v>
      </c>
      <c r="F4850" t="s">
        <v>563</v>
      </c>
      <c r="G4850" t="s">
        <v>563</v>
      </c>
      <c r="H4850" t="s">
        <v>563</v>
      </c>
      <c r="I4850" t="s">
        <v>563</v>
      </c>
      <c r="J4850" t="s">
        <v>563</v>
      </c>
      <c r="K4850" t="s">
        <v>563</v>
      </c>
      <c r="L4850" t="s">
        <v>563</v>
      </c>
      <c r="M4850" t="s">
        <v>563</v>
      </c>
      <c r="N4850" t="s">
        <v>563</v>
      </c>
      <c r="O4850" t="s">
        <v>563</v>
      </c>
    </row>
    <row r="4851" spans="1:15">
      <c r="A4851" s="22" t="s">
        <v>324</v>
      </c>
      <c r="B4851" s="22" t="str">
        <f ca="1">IF(ISBLANK(OFFSET(B4851,0,'Field labels'!$Q$1)),C4851,OFFSET(B4851,0,'Field labels'!$Q$1))</f>
        <v>Powys</v>
      </c>
      <c r="C4851" s="22" t="s">
        <v>659</v>
      </c>
      <c r="D4851" t="s">
        <v>659</v>
      </c>
      <c r="E4851" t="s">
        <v>659</v>
      </c>
      <c r="F4851" t="s">
        <v>659</v>
      </c>
      <c r="G4851" t="s">
        <v>659</v>
      </c>
      <c r="H4851" t="s">
        <v>659</v>
      </c>
      <c r="I4851" t="s">
        <v>659</v>
      </c>
      <c r="J4851" t="s">
        <v>659</v>
      </c>
      <c r="K4851" t="s">
        <v>659</v>
      </c>
      <c r="L4851" t="s">
        <v>659</v>
      </c>
      <c r="M4851" t="s">
        <v>659</v>
      </c>
      <c r="N4851" t="s">
        <v>659</v>
      </c>
      <c r="O4851" t="s">
        <v>659</v>
      </c>
    </row>
    <row r="4852" spans="1:15">
      <c r="A4852" s="22" t="s">
        <v>324</v>
      </c>
      <c r="B4852" s="22" t="str">
        <f ca="1">IF(ISBLANK(OFFSET(B4852,0,'Field labels'!$Q$1)),C4852,OFFSET(B4852,0,'Field labels'!$Q$1))</f>
        <v>Reading</v>
      </c>
      <c r="C4852" s="22" t="s">
        <v>564</v>
      </c>
      <c r="D4852" t="s">
        <v>564</v>
      </c>
      <c r="E4852" t="s">
        <v>564</v>
      </c>
      <c r="F4852" t="s">
        <v>564</v>
      </c>
      <c r="G4852" t="s">
        <v>564</v>
      </c>
      <c r="H4852" t="s">
        <v>564</v>
      </c>
      <c r="I4852" t="s">
        <v>564</v>
      </c>
      <c r="J4852" t="s">
        <v>564</v>
      </c>
      <c r="K4852" t="s">
        <v>564</v>
      </c>
      <c r="L4852" t="s">
        <v>564</v>
      </c>
      <c r="M4852" t="s">
        <v>564</v>
      </c>
      <c r="N4852" t="s">
        <v>564</v>
      </c>
      <c r="O4852" t="s">
        <v>564</v>
      </c>
    </row>
    <row r="4853" spans="1:15">
      <c r="A4853" s="22" t="s">
        <v>324</v>
      </c>
      <c r="B4853" s="22" t="str">
        <f ca="1">IF(ISBLANK(OFFSET(B4853,0,'Field labels'!$Q$1)),C4853,OFFSET(B4853,0,'Field labels'!$Q$1))</f>
        <v>Redbridge</v>
      </c>
      <c r="C4853" s="22" t="s">
        <v>485</v>
      </c>
      <c r="D4853" t="s">
        <v>485</v>
      </c>
      <c r="E4853" t="s">
        <v>485</v>
      </c>
      <c r="F4853" t="s">
        <v>485</v>
      </c>
      <c r="G4853" t="s">
        <v>485</v>
      </c>
      <c r="H4853" t="s">
        <v>485</v>
      </c>
      <c r="I4853" t="s">
        <v>485</v>
      </c>
      <c r="J4853" t="s">
        <v>485</v>
      </c>
      <c r="K4853" t="s">
        <v>485</v>
      </c>
      <c r="L4853" t="s">
        <v>485</v>
      </c>
      <c r="M4853" t="s">
        <v>485</v>
      </c>
      <c r="N4853" t="s">
        <v>485</v>
      </c>
      <c r="O4853" t="s">
        <v>485</v>
      </c>
    </row>
    <row r="4854" spans="1:15">
      <c r="A4854" s="22" t="s">
        <v>324</v>
      </c>
      <c r="B4854" s="22" t="str">
        <f ca="1">IF(ISBLANK(OFFSET(B4854,0,'Field labels'!$Q$1)),C4854,OFFSET(B4854,0,'Field labels'!$Q$1))</f>
        <v>Redcar and Cleveland</v>
      </c>
      <c r="C4854" s="22" t="s">
        <v>565</v>
      </c>
      <c r="D4854" t="s">
        <v>565</v>
      </c>
      <c r="E4854" t="s">
        <v>565</v>
      </c>
      <c r="F4854" t="s">
        <v>4143</v>
      </c>
      <c r="G4854" t="s">
        <v>565</v>
      </c>
      <c r="H4854" t="s">
        <v>565</v>
      </c>
      <c r="I4854" t="s">
        <v>565</v>
      </c>
      <c r="J4854" t="s">
        <v>565</v>
      </c>
      <c r="K4854" t="s">
        <v>565</v>
      </c>
      <c r="L4854" t="s">
        <v>565</v>
      </c>
      <c r="M4854" t="s">
        <v>565</v>
      </c>
      <c r="N4854" t="s">
        <v>565</v>
      </c>
      <c r="O4854" t="s">
        <v>565</v>
      </c>
    </row>
    <row r="4855" spans="1:15">
      <c r="A4855" s="22" t="s">
        <v>324</v>
      </c>
      <c r="B4855" s="22" t="str">
        <f ca="1">IF(ISBLANK(OFFSET(B4855,0,'Field labels'!$Q$1)),C4855,OFFSET(B4855,0,'Field labels'!$Q$1))</f>
        <v>Renfrewshire</v>
      </c>
      <c r="C4855" s="22" t="s">
        <v>635</v>
      </c>
      <c r="D4855" t="s">
        <v>635</v>
      </c>
      <c r="E4855" t="s">
        <v>635</v>
      </c>
      <c r="F4855" t="s">
        <v>635</v>
      </c>
      <c r="G4855" t="s">
        <v>635</v>
      </c>
      <c r="H4855" t="s">
        <v>635</v>
      </c>
      <c r="I4855" t="s">
        <v>635</v>
      </c>
      <c r="J4855" t="s">
        <v>635</v>
      </c>
      <c r="K4855" t="s">
        <v>635</v>
      </c>
      <c r="L4855" t="s">
        <v>635</v>
      </c>
      <c r="M4855" t="s">
        <v>635</v>
      </c>
      <c r="N4855" t="s">
        <v>635</v>
      </c>
      <c r="O4855" t="s">
        <v>635</v>
      </c>
    </row>
    <row r="4856" spans="1:15">
      <c r="A4856" s="22" t="s">
        <v>324</v>
      </c>
      <c r="B4856" s="22" t="str">
        <f ca="1">IF(ISBLANK(OFFSET(B4856,0,'Field labels'!$Q$1)),C4856,OFFSET(B4856,0,'Field labels'!$Q$1))</f>
        <v>Rhondda, Cynon, Taff</v>
      </c>
      <c r="C4856" s="22" t="s">
        <v>660</v>
      </c>
      <c r="D4856" t="s">
        <v>660</v>
      </c>
      <c r="E4856" t="s">
        <v>660</v>
      </c>
      <c r="F4856" t="s">
        <v>660</v>
      </c>
      <c r="G4856" t="s">
        <v>4144</v>
      </c>
      <c r="H4856" t="s">
        <v>660</v>
      </c>
      <c r="I4856" t="s">
        <v>660</v>
      </c>
      <c r="J4856" t="s">
        <v>660</v>
      </c>
      <c r="K4856" t="s">
        <v>660</v>
      </c>
      <c r="L4856" t="s">
        <v>660</v>
      </c>
      <c r="M4856" t="s">
        <v>660</v>
      </c>
      <c r="N4856" t="s">
        <v>660</v>
      </c>
      <c r="O4856" t="s">
        <v>660</v>
      </c>
    </row>
    <row r="4857" spans="1:15">
      <c r="A4857" s="22" t="s">
        <v>324</v>
      </c>
      <c r="B4857" s="22" t="str">
        <f ca="1">IF(ISBLANK(OFFSET(B4857,0,'Field labels'!$Q$1)),C4857,OFFSET(B4857,0,'Field labels'!$Q$1))</f>
        <v>Richmond upon Thames</v>
      </c>
      <c r="C4857" s="22" t="s">
        <v>486</v>
      </c>
      <c r="D4857" t="s">
        <v>486</v>
      </c>
      <c r="E4857" t="s">
        <v>486</v>
      </c>
      <c r="F4857" t="s">
        <v>4145</v>
      </c>
      <c r="G4857" t="s">
        <v>486</v>
      </c>
      <c r="H4857" t="s">
        <v>486</v>
      </c>
      <c r="I4857" t="s">
        <v>480</v>
      </c>
      <c r="J4857" t="s">
        <v>486</v>
      </c>
      <c r="K4857" t="s">
        <v>486</v>
      </c>
      <c r="L4857" t="s">
        <v>486</v>
      </c>
      <c r="M4857" t="s">
        <v>486</v>
      </c>
      <c r="N4857" t="s">
        <v>486</v>
      </c>
      <c r="O4857" t="s">
        <v>486</v>
      </c>
    </row>
    <row r="4858" spans="1:15">
      <c r="A4858" s="22" t="s">
        <v>324</v>
      </c>
      <c r="B4858" s="22" t="str">
        <f ca="1">IF(ISBLANK(OFFSET(B4858,0,'Field labels'!$Q$1)),C4858,OFFSET(B4858,0,'Field labels'!$Q$1))</f>
        <v>Rochdale</v>
      </c>
      <c r="C4858" s="22" t="s">
        <v>511</v>
      </c>
      <c r="D4858" t="s">
        <v>511</v>
      </c>
      <c r="E4858" t="s">
        <v>511</v>
      </c>
      <c r="F4858" t="s">
        <v>511</v>
      </c>
      <c r="G4858" t="s">
        <v>511</v>
      </c>
      <c r="H4858" t="s">
        <v>511</v>
      </c>
      <c r="I4858" t="s">
        <v>511</v>
      </c>
      <c r="J4858" t="s">
        <v>511</v>
      </c>
      <c r="K4858" t="s">
        <v>511</v>
      </c>
      <c r="L4858" t="s">
        <v>511</v>
      </c>
      <c r="M4858" t="s">
        <v>511</v>
      </c>
      <c r="N4858" t="s">
        <v>511</v>
      </c>
      <c r="O4858" t="s">
        <v>511</v>
      </c>
    </row>
    <row r="4859" spans="1:15">
      <c r="A4859" s="22" t="s">
        <v>324</v>
      </c>
      <c r="B4859" s="22" t="str">
        <f ca="1">IF(ISBLANK(OFFSET(B4859,0,'Field labels'!$Q$1)),C4859,OFFSET(B4859,0,'Field labels'!$Q$1))</f>
        <v>Roscommon</v>
      </c>
      <c r="C4859" s="22" t="s">
        <v>4146</v>
      </c>
      <c r="D4859" t="s">
        <v>4146</v>
      </c>
      <c r="E4859" t="s">
        <v>4146</v>
      </c>
      <c r="F4859" t="s">
        <v>4146</v>
      </c>
      <c r="G4859" t="s">
        <v>4146</v>
      </c>
      <c r="H4859" t="s">
        <v>4146</v>
      </c>
      <c r="I4859" t="s">
        <v>4146</v>
      </c>
      <c r="J4859" t="s">
        <v>4146</v>
      </c>
      <c r="K4859" t="s">
        <v>4146</v>
      </c>
      <c r="L4859" t="s">
        <v>4146</v>
      </c>
      <c r="M4859" t="s">
        <v>4146</v>
      </c>
      <c r="N4859" t="s">
        <v>4146</v>
      </c>
      <c r="O4859" t="s">
        <v>4146</v>
      </c>
    </row>
    <row r="4860" spans="1:15">
      <c r="A4860" s="22" t="s">
        <v>324</v>
      </c>
      <c r="B4860" s="22" t="str">
        <f ca="1">IF(ISBLANK(OFFSET(B4860,0,'Field labels'!$Q$1)),C4860,OFFSET(B4860,0,'Field labels'!$Q$1))</f>
        <v>Rotherham</v>
      </c>
      <c r="C4860" s="22" t="s">
        <v>512</v>
      </c>
      <c r="D4860" t="s">
        <v>512</v>
      </c>
      <c r="E4860" t="s">
        <v>512</v>
      </c>
      <c r="F4860" t="s">
        <v>512</v>
      </c>
      <c r="G4860" t="s">
        <v>512</v>
      </c>
      <c r="H4860" t="s">
        <v>512</v>
      </c>
      <c r="I4860" t="s">
        <v>512</v>
      </c>
      <c r="J4860" t="s">
        <v>512</v>
      </c>
      <c r="K4860" t="s">
        <v>512</v>
      </c>
      <c r="L4860" t="s">
        <v>512</v>
      </c>
      <c r="M4860" t="s">
        <v>512</v>
      </c>
      <c r="N4860" t="s">
        <v>512</v>
      </c>
      <c r="O4860" t="s">
        <v>512</v>
      </c>
    </row>
    <row r="4861" spans="1:15">
      <c r="A4861" s="22" t="s">
        <v>324</v>
      </c>
      <c r="B4861" s="22" t="str">
        <f ca="1">IF(ISBLANK(OFFSET(B4861,0,'Field labels'!$Q$1)),C4861,OFFSET(B4861,0,'Field labels'!$Q$1))</f>
        <v>Rutland</v>
      </c>
      <c r="C4861" s="22" t="s">
        <v>566</v>
      </c>
      <c r="D4861" t="s">
        <v>566</v>
      </c>
      <c r="E4861" t="s">
        <v>566</v>
      </c>
      <c r="F4861" t="s">
        <v>566</v>
      </c>
      <c r="G4861" t="s">
        <v>566</v>
      </c>
      <c r="H4861" t="s">
        <v>566</v>
      </c>
      <c r="I4861" t="s">
        <v>566</v>
      </c>
      <c r="J4861" t="s">
        <v>566</v>
      </c>
      <c r="K4861" t="s">
        <v>566</v>
      </c>
      <c r="L4861" t="s">
        <v>566</v>
      </c>
      <c r="M4861" t="s">
        <v>566</v>
      </c>
      <c r="N4861" t="s">
        <v>566</v>
      </c>
      <c r="O4861" t="s">
        <v>566</v>
      </c>
    </row>
    <row r="4862" spans="1:15">
      <c r="A4862" s="22" t="s">
        <v>324</v>
      </c>
      <c r="B4862" s="22" t="str">
        <f ca="1">IF(ISBLANK(OFFSET(B4862,0,'Field labels'!$Q$1)),C4862,OFFSET(B4862,0,'Field labels'!$Q$1))</f>
        <v>Saint Helens !St. Helens</v>
      </c>
      <c r="C4862" s="22" t="s">
        <v>513</v>
      </c>
      <c r="D4862" t="s">
        <v>4165</v>
      </c>
      <c r="E4862" t="s">
        <v>513</v>
      </c>
      <c r="F4862" t="s">
        <v>4166</v>
      </c>
      <c r="G4862" t="s">
        <v>4167</v>
      </c>
      <c r="H4862" t="s">
        <v>513</v>
      </c>
      <c r="I4862" t="s">
        <v>4168</v>
      </c>
      <c r="J4862" t="s">
        <v>513</v>
      </c>
      <c r="K4862" t="s">
        <v>513</v>
      </c>
      <c r="L4862" t="s">
        <v>4166</v>
      </c>
      <c r="M4862" t="s">
        <v>513</v>
      </c>
      <c r="N4862" t="s">
        <v>513</v>
      </c>
      <c r="O4862" t="s">
        <v>513</v>
      </c>
    </row>
    <row r="4863" spans="1:15">
      <c r="A4863" s="22" t="s">
        <v>324</v>
      </c>
      <c r="B4863" s="22" t="str">
        <f ca="1">IF(ISBLANK(OFFSET(B4863,0,'Field labels'!$Q$1)),C4863,OFFSET(B4863,0,'Field labels'!$Q$1))</f>
        <v>Salford</v>
      </c>
      <c r="C4863" s="22" t="s">
        <v>514</v>
      </c>
      <c r="D4863" t="s">
        <v>514</v>
      </c>
      <c r="E4863" t="s">
        <v>514</v>
      </c>
      <c r="F4863" t="s">
        <v>514</v>
      </c>
      <c r="G4863" t="s">
        <v>514</v>
      </c>
      <c r="H4863" t="s">
        <v>514</v>
      </c>
      <c r="I4863" t="s">
        <v>514</v>
      </c>
      <c r="J4863" t="s">
        <v>514</v>
      </c>
      <c r="K4863" t="s">
        <v>514</v>
      </c>
      <c r="L4863" t="s">
        <v>514</v>
      </c>
      <c r="M4863" t="s">
        <v>514</v>
      </c>
      <c r="N4863" t="s">
        <v>514</v>
      </c>
      <c r="O4863" t="s">
        <v>514</v>
      </c>
    </row>
    <row r="4864" spans="1:15">
      <c r="A4864" s="22" t="s">
        <v>324</v>
      </c>
      <c r="B4864" s="22" t="str">
        <f ca="1">IF(ISBLANK(OFFSET(B4864,0,'Field labels'!$Q$1)),C4864,OFFSET(B4864,0,'Field labels'!$Q$1))</f>
        <v>Sandwell</v>
      </c>
      <c r="C4864" s="22" t="s">
        <v>515</v>
      </c>
      <c r="D4864" t="s">
        <v>515</v>
      </c>
      <c r="E4864" t="s">
        <v>515</v>
      </c>
      <c r="F4864" t="s">
        <v>515</v>
      </c>
      <c r="G4864" t="s">
        <v>515</v>
      </c>
      <c r="H4864" t="s">
        <v>515</v>
      </c>
      <c r="I4864" t="s">
        <v>515</v>
      </c>
      <c r="J4864" t="s">
        <v>515</v>
      </c>
      <c r="K4864" t="s">
        <v>515</v>
      </c>
      <c r="L4864" t="s">
        <v>515</v>
      </c>
      <c r="M4864" t="s">
        <v>515</v>
      </c>
      <c r="N4864" t="s">
        <v>515</v>
      </c>
      <c r="O4864" t="s">
        <v>515</v>
      </c>
    </row>
    <row r="4865" spans="1:15">
      <c r="A4865" s="22" t="s">
        <v>324</v>
      </c>
      <c r="B4865" s="22" t="str">
        <f ca="1">IF(ISBLANK(OFFSET(B4865,0,'Field labels'!$Q$1)),C4865,OFFSET(B4865,0,'Field labels'!$Q$1))</f>
        <v>Scottish Borders, The</v>
      </c>
      <c r="C4865" s="22" t="s">
        <v>636</v>
      </c>
      <c r="D4865" t="s">
        <v>636</v>
      </c>
      <c r="E4865" t="s">
        <v>636</v>
      </c>
      <c r="F4865" t="s">
        <v>4147</v>
      </c>
      <c r="G4865" t="s">
        <v>4147</v>
      </c>
      <c r="H4865" t="s">
        <v>636</v>
      </c>
      <c r="I4865" t="s">
        <v>4147</v>
      </c>
      <c r="J4865" t="s">
        <v>636</v>
      </c>
      <c r="K4865" t="s">
        <v>636</v>
      </c>
      <c r="L4865" t="s">
        <v>4147</v>
      </c>
      <c r="M4865" t="s">
        <v>636</v>
      </c>
      <c r="N4865" t="s">
        <v>636</v>
      </c>
      <c r="O4865" t="s">
        <v>636</v>
      </c>
    </row>
    <row r="4866" spans="1:15">
      <c r="A4866" s="22" t="s">
        <v>324</v>
      </c>
      <c r="B4866" s="22" t="str">
        <f ca="1">IF(ISBLANK(OFFSET(B4866,0,'Field labels'!$Q$1)),C4866,OFFSET(B4866,0,'Field labels'!$Q$1))</f>
        <v>Sefton</v>
      </c>
      <c r="C4866" s="22" t="s">
        <v>516</v>
      </c>
      <c r="D4866" t="s">
        <v>516</v>
      </c>
      <c r="E4866" t="s">
        <v>516</v>
      </c>
      <c r="F4866" t="s">
        <v>516</v>
      </c>
      <c r="G4866" t="s">
        <v>516</v>
      </c>
      <c r="H4866" t="s">
        <v>516</v>
      </c>
      <c r="I4866" t="s">
        <v>516</v>
      </c>
      <c r="J4866" t="s">
        <v>516</v>
      </c>
      <c r="K4866" t="s">
        <v>516</v>
      </c>
      <c r="L4866" t="s">
        <v>516</v>
      </c>
      <c r="M4866" t="s">
        <v>516</v>
      </c>
      <c r="N4866" t="s">
        <v>516</v>
      </c>
      <c r="O4866" t="s">
        <v>516</v>
      </c>
    </row>
    <row r="4867" spans="1:15">
      <c r="A4867" s="22" t="s">
        <v>324</v>
      </c>
      <c r="B4867" s="22" t="str">
        <f ca="1">IF(ISBLANK(OFFSET(B4867,0,'Field labels'!$Q$1)),C4867,OFFSET(B4867,0,'Field labels'!$Q$1))</f>
        <v>Sheffield</v>
      </c>
      <c r="C4867" s="22" t="s">
        <v>517</v>
      </c>
      <c r="D4867" t="s">
        <v>517</v>
      </c>
      <c r="E4867" t="s">
        <v>517</v>
      </c>
      <c r="F4867" t="s">
        <v>517</v>
      </c>
      <c r="G4867" t="s">
        <v>517</v>
      </c>
      <c r="H4867" t="s">
        <v>517</v>
      </c>
      <c r="I4867" t="s">
        <v>517</v>
      </c>
      <c r="J4867" t="s">
        <v>517</v>
      </c>
      <c r="K4867" t="s">
        <v>517</v>
      </c>
      <c r="L4867" t="s">
        <v>517</v>
      </c>
      <c r="M4867" t="s">
        <v>517</v>
      </c>
      <c r="N4867" t="s">
        <v>517</v>
      </c>
      <c r="O4867" t="s">
        <v>517</v>
      </c>
    </row>
    <row r="4868" spans="1:15">
      <c r="A4868" s="22" t="s">
        <v>324</v>
      </c>
      <c r="B4868" s="22" t="str">
        <f ca="1">IF(ISBLANK(OFFSET(B4868,0,'Field labels'!$Q$1)),C4868,OFFSET(B4868,0,'Field labels'!$Q$1))</f>
        <v>Shetland Islands</v>
      </c>
      <c r="C4868" s="22" t="s">
        <v>637</v>
      </c>
      <c r="D4868" t="s">
        <v>4148</v>
      </c>
      <c r="E4868" t="s">
        <v>637</v>
      </c>
      <c r="F4868" t="s">
        <v>4149</v>
      </c>
      <c r="G4868" t="s">
        <v>637</v>
      </c>
      <c r="H4868" t="s">
        <v>4150</v>
      </c>
      <c r="I4868" t="s">
        <v>4151</v>
      </c>
      <c r="J4868" t="s">
        <v>637</v>
      </c>
      <c r="K4868" t="s">
        <v>4152</v>
      </c>
      <c r="L4868" t="s">
        <v>4153</v>
      </c>
      <c r="M4868" t="s">
        <v>4154</v>
      </c>
      <c r="N4868" t="s">
        <v>4155</v>
      </c>
      <c r="O4868" t="s">
        <v>4156</v>
      </c>
    </row>
    <row r="4869" spans="1:15">
      <c r="A4869" s="22" t="s">
        <v>324</v>
      </c>
      <c r="B4869" s="22" t="str">
        <f ca="1">IF(ISBLANK(OFFSET(B4869,0,'Field labels'!$Q$1)),C4869,OFFSET(B4869,0,'Field labels'!$Q$1))</f>
        <v>Shropshire</v>
      </c>
      <c r="C4869" s="22" t="s">
        <v>567</v>
      </c>
      <c r="D4869" t="s">
        <v>567</v>
      </c>
      <c r="E4869" t="s">
        <v>567</v>
      </c>
      <c r="F4869" t="s">
        <v>567</v>
      </c>
      <c r="G4869" t="s">
        <v>567</v>
      </c>
      <c r="H4869" t="s">
        <v>567</v>
      </c>
      <c r="I4869" t="s">
        <v>567</v>
      </c>
      <c r="J4869" t="s">
        <v>567</v>
      </c>
      <c r="K4869" t="s">
        <v>567</v>
      </c>
      <c r="L4869" t="s">
        <v>567</v>
      </c>
      <c r="M4869" t="s">
        <v>567</v>
      </c>
      <c r="N4869" t="s">
        <v>567</v>
      </c>
      <c r="O4869" t="s">
        <v>567</v>
      </c>
    </row>
    <row r="4870" spans="1:15">
      <c r="A4870" s="22" t="s">
        <v>324</v>
      </c>
      <c r="B4870" s="22" t="str">
        <f ca="1">IF(ISBLANK(OFFSET(B4870,0,'Field labels'!$Q$1)),C4870,OFFSET(B4870,0,'Field labels'!$Q$1))</f>
        <v>Skåne</v>
      </c>
      <c r="C4870" s="22" t="s">
        <v>4157</v>
      </c>
      <c r="D4870" t="s">
        <v>4157</v>
      </c>
      <c r="E4870" t="s">
        <v>4157</v>
      </c>
      <c r="F4870" t="s">
        <v>4158</v>
      </c>
      <c r="G4870" t="s">
        <v>4157</v>
      </c>
      <c r="H4870" t="s">
        <v>4157</v>
      </c>
      <c r="I4870" t="s">
        <v>4159</v>
      </c>
      <c r="J4870" t="s">
        <v>4157</v>
      </c>
      <c r="K4870" t="s">
        <v>4157</v>
      </c>
      <c r="L4870" t="s">
        <v>4157</v>
      </c>
      <c r="M4870" t="s">
        <v>4157</v>
      </c>
      <c r="N4870" t="s">
        <v>4157</v>
      </c>
      <c r="O4870" t="s">
        <v>4157</v>
      </c>
    </row>
    <row r="4871" spans="1:15">
      <c r="A4871" s="22" t="s">
        <v>324</v>
      </c>
      <c r="B4871" s="22" t="str">
        <f ca="1">IF(ISBLANK(OFFSET(B4871,0,'Field labels'!$Q$1)),C4871,OFFSET(B4871,0,'Field labels'!$Q$1))</f>
        <v>Sligo</v>
      </c>
      <c r="C4871" s="22" t="s">
        <v>4160</v>
      </c>
      <c r="D4871" t="s">
        <v>4160</v>
      </c>
      <c r="E4871" t="s">
        <v>4160</v>
      </c>
      <c r="F4871" t="s">
        <v>4160</v>
      </c>
      <c r="G4871" t="s">
        <v>4160</v>
      </c>
      <c r="H4871" t="s">
        <v>4160</v>
      </c>
      <c r="I4871" t="s">
        <v>4160</v>
      </c>
      <c r="J4871" t="s">
        <v>4160</v>
      </c>
      <c r="K4871" t="s">
        <v>4160</v>
      </c>
      <c r="L4871" t="s">
        <v>4160</v>
      </c>
      <c r="M4871" t="s">
        <v>4160</v>
      </c>
      <c r="N4871" t="s">
        <v>4160</v>
      </c>
      <c r="O4871" t="s">
        <v>4160</v>
      </c>
    </row>
    <row r="4872" spans="1:15">
      <c r="A4872" s="22" t="s">
        <v>324</v>
      </c>
      <c r="B4872" s="22" t="str">
        <f ca="1">IF(ISBLANK(OFFSET(B4872,0,'Field labels'!$Q$1)),C4872,OFFSET(B4872,0,'Field labels'!$Q$1))</f>
        <v>Slough</v>
      </c>
      <c r="C4872" s="22" t="s">
        <v>568</v>
      </c>
      <c r="D4872" t="s">
        <v>568</v>
      </c>
      <c r="E4872" t="s">
        <v>568</v>
      </c>
      <c r="F4872" t="s">
        <v>568</v>
      </c>
      <c r="G4872" t="s">
        <v>568</v>
      </c>
      <c r="H4872" t="s">
        <v>568</v>
      </c>
      <c r="I4872" t="s">
        <v>568</v>
      </c>
      <c r="J4872" t="s">
        <v>568</v>
      </c>
      <c r="K4872" t="s">
        <v>568</v>
      </c>
      <c r="L4872" t="s">
        <v>568</v>
      </c>
      <c r="M4872" t="s">
        <v>568</v>
      </c>
      <c r="N4872" t="s">
        <v>568</v>
      </c>
      <c r="O4872" t="s">
        <v>568</v>
      </c>
    </row>
    <row r="4873" spans="1:15">
      <c r="A4873" s="22" t="s">
        <v>324</v>
      </c>
      <c r="B4873" s="22" t="str">
        <f ca="1">IF(ISBLANK(OFFSET(B4873,0,'Field labels'!$Q$1)),C4873,OFFSET(B4873,0,'Field labels'!$Q$1))</f>
        <v>Södermanland</v>
      </c>
      <c r="C4873" s="22" t="s">
        <v>4161</v>
      </c>
      <c r="D4873" t="s">
        <v>4161</v>
      </c>
      <c r="E4873" t="s">
        <v>4161</v>
      </c>
      <c r="F4873" t="s">
        <v>4161</v>
      </c>
      <c r="G4873" t="s">
        <v>4161</v>
      </c>
      <c r="H4873" t="s">
        <v>4161</v>
      </c>
      <c r="I4873" t="s">
        <v>4161</v>
      </c>
      <c r="J4873" t="s">
        <v>4161</v>
      </c>
      <c r="K4873" t="s">
        <v>4161</v>
      </c>
      <c r="L4873" t="s">
        <v>4161</v>
      </c>
      <c r="M4873" t="s">
        <v>4161</v>
      </c>
      <c r="N4873" t="s">
        <v>4161</v>
      </c>
      <c r="O4873" t="s">
        <v>4161</v>
      </c>
    </row>
    <row r="4874" spans="1:15">
      <c r="A4874" s="22" t="s">
        <v>324</v>
      </c>
      <c r="B4874" s="22" t="str">
        <f ca="1">IF(ISBLANK(OFFSET(B4874,0,'Field labels'!$Q$1)),C4874,OFFSET(B4874,0,'Field labels'!$Q$1))</f>
        <v>Solihull</v>
      </c>
      <c r="C4874" s="22" t="s">
        <v>518</v>
      </c>
      <c r="D4874" t="s">
        <v>518</v>
      </c>
      <c r="E4874" t="s">
        <v>518</v>
      </c>
      <c r="F4874" t="s">
        <v>518</v>
      </c>
      <c r="G4874" t="s">
        <v>518</v>
      </c>
      <c r="H4874" t="s">
        <v>518</v>
      </c>
      <c r="I4874" t="s">
        <v>518</v>
      </c>
      <c r="J4874" t="s">
        <v>518</v>
      </c>
      <c r="K4874" t="s">
        <v>518</v>
      </c>
      <c r="L4874" t="s">
        <v>518</v>
      </c>
      <c r="M4874" t="s">
        <v>518</v>
      </c>
      <c r="N4874" t="s">
        <v>518</v>
      </c>
      <c r="O4874" t="s">
        <v>518</v>
      </c>
    </row>
    <row r="4875" spans="1:15">
      <c r="A4875" s="22" t="s">
        <v>324</v>
      </c>
      <c r="B4875" s="22" t="str">
        <f ca="1">IF(ISBLANK(OFFSET(B4875,0,'Field labels'!$Q$1)),C4875,OFFSET(B4875,0,'Field labels'!$Q$1))</f>
        <v>Somerset</v>
      </c>
      <c r="C4875" s="22" t="s">
        <v>454</v>
      </c>
      <c r="D4875" t="s">
        <v>454</v>
      </c>
      <c r="E4875" t="s">
        <v>454</v>
      </c>
      <c r="F4875" t="s">
        <v>454</v>
      </c>
      <c r="G4875" t="s">
        <v>454</v>
      </c>
      <c r="H4875" t="s">
        <v>454</v>
      </c>
      <c r="I4875" t="s">
        <v>454</v>
      </c>
      <c r="J4875" t="s">
        <v>454</v>
      </c>
      <c r="K4875" t="s">
        <v>4162</v>
      </c>
      <c r="L4875" t="s">
        <v>454</v>
      </c>
      <c r="M4875" t="s">
        <v>454</v>
      </c>
      <c r="N4875" t="s">
        <v>454</v>
      </c>
      <c r="O4875" t="s">
        <v>454</v>
      </c>
    </row>
    <row r="4876" spans="1:15">
      <c r="A4876" s="22" t="s">
        <v>324</v>
      </c>
      <c r="B4876" s="22" t="str">
        <f ca="1">IF(ISBLANK(OFFSET(B4876,0,'Field labels'!$Q$1)),C4876,OFFSET(B4876,0,'Field labels'!$Q$1))</f>
        <v>South Ayrshire</v>
      </c>
      <c r="C4876" s="22" t="s">
        <v>638</v>
      </c>
      <c r="D4876" t="s">
        <v>638</v>
      </c>
      <c r="E4876" t="s">
        <v>638</v>
      </c>
      <c r="F4876" t="s">
        <v>638</v>
      </c>
      <c r="G4876" t="s">
        <v>638</v>
      </c>
      <c r="H4876" t="s">
        <v>638</v>
      </c>
      <c r="I4876" t="s">
        <v>638</v>
      </c>
      <c r="J4876" t="s">
        <v>638</v>
      </c>
      <c r="K4876" t="s">
        <v>638</v>
      </c>
      <c r="L4876" t="s">
        <v>638</v>
      </c>
      <c r="M4876" t="s">
        <v>638</v>
      </c>
      <c r="N4876" t="s">
        <v>638</v>
      </c>
      <c r="O4876" t="s">
        <v>638</v>
      </c>
    </row>
    <row r="4877" spans="1:15">
      <c r="A4877" s="22" t="s">
        <v>324</v>
      </c>
      <c r="B4877" s="22" t="str">
        <f ca="1">IF(ISBLANK(OFFSET(B4877,0,'Field labels'!$Q$1)),C4877,OFFSET(B4877,0,'Field labels'!$Q$1))</f>
        <v>South Gloucestershire</v>
      </c>
      <c r="C4877" s="22" t="s">
        <v>569</v>
      </c>
      <c r="D4877" t="s">
        <v>569</v>
      </c>
      <c r="E4877" t="s">
        <v>569</v>
      </c>
      <c r="F4877" t="s">
        <v>4163</v>
      </c>
      <c r="G4877" t="s">
        <v>569</v>
      </c>
      <c r="H4877" t="s">
        <v>569</v>
      </c>
      <c r="I4877" t="s">
        <v>569</v>
      </c>
      <c r="J4877" t="s">
        <v>569</v>
      </c>
      <c r="K4877" t="s">
        <v>569</v>
      </c>
      <c r="L4877" t="s">
        <v>569</v>
      </c>
      <c r="M4877" t="s">
        <v>569</v>
      </c>
      <c r="N4877" t="s">
        <v>569</v>
      </c>
      <c r="O4877" t="s">
        <v>569</v>
      </c>
    </row>
    <row r="4878" spans="1:15">
      <c r="A4878" s="22" t="s">
        <v>324</v>
      </c>
      <c r="B4878" s="22" t="str">
        <f ca="1">IF(ISBLANK(OFFSET(B4878,0,'Field labels'!$Q$1)),C4878,OFFSET(B4878,0,'Field labels'!$Q$1))</f>
        <v>South Lanarkshire</v>
      </c>
      <c r="C4878" s="22" t="s">
        <v>639</v>
      </c>
      <c r="D4878" t="s">
        <v>639</v>
      </c>
      <c r="E4878" t="s">
        <v>639</v>
      </c>
      <c r="F4878" t="s">
        <v>639</v>
      </c>
      <c r="G4878" t="s">
        <v>639</v>
      </c>
      <c r="H4878" t="s">
        <v>639</v>
      </c>
      <c r="I4878" t="s">
        <v>639</v>
      </c>
      <c r="J4878" t="s">
        <v>639</v>
      </c>
      <c r="K4878" t="s">
        <v>639</v>
      </c>
      <c r="L4878" t="s">
        <v>639</v>
      </c>
      <c r="M4878" t="s">
        <v>639</v>
      </c>
      <c r="N4878" t="s">
        <v>639</v>
      </c>
      <c r="O4878" t="s">
        <v>639</v>
      </c>
    </row>
    <row r="4879" spans="1:15">
      <c r="A4879" s="22" t="s">
        <v>324</v>
      </c>
      <c r="B4879" s="22" t="str">
        <f ca="1">IF(ISBLANK(OFFSET(B4879,0,'Field labels'!$Q$1)),C4879,OFFSET(B4879,0,'Field labels'!$Q$1))</f>
        <v>South Tyneside</v>
      </c>
      <c r="C4879" s="22" t="s">
        <v>519</v>
      </c>
      <c r="D4879" t="s">
        <v>519</v>
      </c>
      <c r="E4879" t="s">
        <v>519</v>
      </c>
      <c r="F4879" t="s">
        <v>4164</v>
      </c>
      <c r="G4879" t="s">
        <v>519</v>
      </c>
      <c r="H4879" t="s">
        <v>519</v>
      </c>
      <c r="I4879" t="s">
        <v>519</v>
      </c>
      <c r="J4879" t="s">
        <v>519</v>
      </c>
      <c r="K4879" t="s">
        <v>519</v>
      </c>
      <c r="L4879" t="s">
        <v>519</v>
      </c>
      <c r="M4879" t="s">
        <v>519</v>
      </c>
      <c r="N4879" t="s">
        <v>519</v>
      </c>
      <c r="O4879" t="s">
        <v>519</v>
      </c>
    </row>
    <row r="4880" spans="1:15">
      <c r="A4880" s="22" t="s">
        <v>324</v>
      </c>
      <c r="B4880" s="22" t="str">
        <f ca="1">IF(ISBLANK(OFFSET(B4880,0,'Field labels'!$Q$1)),C4880,OFFSET(B4880,0,'Field labels'!$Q$1))</f>
        <v>Southampton</v>
      </c>
      <c r="C4880" s="22" t="s">
        <v>570</v>
      </c>
      <c r="D4880" t="s">
        <v>570</v>
      </c>
      <c r="E4880" t="s">
        <v>570</v>
      </c>
      <c r="F4880" t="s">
        <v>570</v>
      </c>
      <c r="G4880" t="s">
        <v>570</v>
      </c>
      <c r="H4880" t="s">
        <v>570</v>
      </c>
      <c r="I4880" t="s">
        <v>570</v>
      </c>
      <c r="J4880" t="s">
        <v>570</v>
      </c>
      <c r="K4880" t="s">
        <v>570</v>
      </c>
      <c r="L4880" t="s">
        <v>570</v>
      </c>
      <c r="M4880" t="s">
        <v>570</v>
      </c>
      <c r="N4880" t="s">
        <v>570</v>
      </c>
      <c r="O4880" t="s">
        <v>570</v>
      </c>
    </row>
    <row r="4881" spans="1:15">
      <c r="A4881" s="22" t="s">
        <v>324</v>
      </c>
      <c r="B4881" s="22" t="str">
        <f ca="1">IF(ISBLANK(OFFSET(B4881,0,'Field labels'!$Q$1)),C4881,OFFSET(B4881,0,'Field labels'!$Q$1))</f>
        <v>Southend-on-Sea</v>
      </c>
      <c r="C4881" s="22" t="s">
        <v>571</v>
      </c>
      <c r="D4881" t="s">
        <v>571</v>
      </c>
      <c r="E4881" t="s">
        <v>571</v>
      </c>
      <c r="F4881" t="s">
        <v>571</v>
      </c>
      <c r="G4881" t="s">
        <v>571</v>
      </c>
      <c r="H4881" t="s">
        <v>571</v>
      </c>
      <c r="I4881" t="s">
        <v>571</v>
      </c>
      <c r="J4881" t="s">
        <v>571</v>
      </c>
      <c r="K4881" t="s">
        <v>571</v>
      </c>
      <c r="L4881" t="s">
        <v>571</v>
      </c>
      <c r="M4881" t="s">
        <v>571</v>
      </c>
      <c r="N4881" t="s">
        <v>571</v>
      </c>
      <c r="O4881" t="s">
        <v>571</v>
      </c>
    </row>
    <row r="4882" spans="1:15">
      <c r="A4882" s="22" t="s">
        <v>324</v>
      </c>
      <c r="B4882" s="22" t="str">
        <f ca="1">IF(ISBLANK(OFFSET(B4882,0,'Field labels'!$Q$1)),C4882,OFFSET(B4882,0,'Field labels'!$Q$1))</f>
        <v>Southwark</v>
      </c>
      <c r="C4882" s="22" t="s">
        <v>487</v>
      </c>
      <c r="D4882" t="s">
        <v>487</v>
      </c>
      <c r="E4882" t="s">
        <v>487</v>
      </c>
      <c r="F4882" t="s">
        <v>487</v>
      </c>
      <c r="G4882" t="s">
        <v>487</v>
      </c>
      <c r="H4882" t="s">
        <v>487</v>
      </c>
      <c r="I4882" t="s">
        <v>486</v>
      </c>
      <c r="J4882" t="s">
        <v>487</v>
      </c>
      <c r="K4882" t="s">
        <v>487</v>
      </c>
      <c r="L4882" t="s">
        <v>487</v>
      </c>
      <c r="M4882" t="s">
        <v>487</v>
      </c>
      <c r="N4882" t="s">
        <v>487</v>
      </c>
      <c r="O4882" t="s">
        <v>487</v>
      </c>
    </row>
    <row r="4883" spans="1:15">
      <c r="A4883" s="22" t="s">
        <v>324</v>
      </c>
      <c r="B4883" s="22" t="str">
        <f ca="1">IF(ISBLANK(OFFSET(B4883,0,'Field labels'!$Q$1)),C4883,OFFSET(B4883,0,'Field labels'!$Q$1))</f>
        <v>Staffordshire</v>
      </c>
      <c r="C4883" s="22" t="s">
        <v>455</v>
      </c>
      <c r="D4883" t="s">
        <v>455</v>
      </c>
      <c r="E4883" t="s">
        <v>455</v>
      </c>
      <c r="F4883" t="s">
        <v>455</v>
      </c>
      <c r="G4883" t="s">
        <v>455</v>
      </c>
      <c r="H4883" t="s">
        <v>455</v>
      </c>
      <c r="I4883" t="s">
        <v>455</v>
      </c>
      <c r="J4883" t="s">
        <v>455</v>
      </c>
      <c r="K4883" t="s">
        <v>455</v>
      </c>
      <c r="L4883" t="s">
        <v>455</v>
      </c>
      <c r="M4883" t="s">
        <v>455</v>
      </c>
      <c r="N4883" t="s">
        <v>455</v>
      </c>
      <c r="O4883" t="s">
        <v>455</v>
      </c>
    </row>
    <row r="4884" spans="1:15">
      <c r="A4884" s="22" t="s">
        <v>324</v>
      </c>
      <c r="B4884" s="22" t="str">
        <f ca="1">IF(ISBLANK(OFFSET(B4884,0,'Field labels'!$Q$1)),C4884,OFFSET(B4884,0,'Field labels'!$Q$1))</f>
        <v>Stirling</v>
      </c>
      <c r="C4884" s="22" t="s">
        <v>640</v>
      </c>
      <c r="D4884" t="s">
        <v>640</v>
      </c>
      <c r="E4884" t="s">
        <v>640</v>
      </c>
      <c r="F4884" t="s">
        <v>640</v>
      </c>
      <c r="G4884" t="s">
        <v>640</v>
      </c>
      <c r="H4884" t="s">
        <v>640</v>
      </c>
      <c r="I4884" t="s">
        <v>640</v>
      </c>
      <c r="J4884" t="s">
        <v>640</v>
      </c>
      <c r="K4884" t="s">
        <v>640</v>
      </c>
      <c r="L4884" t="s">
        <v>640</v>
      </c>
      <c r="M4884" t="s">
        <v>640</v>
      </c>
      <c r="N4884" t="s">
        <v>640</v>
      </c>
      <c r="O4884" t="s">
        <v>640</v>
      </c>
    </row>
    <row r="4885" spans="1:15">
      <c r="A4885" s="22" t="s">
        <v>324</v>
      </c>
      <c r="B4885" s="22" t="str">
        <f ca="1">IF(ISBLANK(OFFSET(B4885,0,'Field labels'!$Q$1)),C4885,OFFSET(B4885,0,'Field labels'!$Q$1))</f>
        <v>Stockholm</v>
      </c>
      <c r="C4885" s="22" t="s">
        <v>4169</v>
      </c>
      <c r="D4885" t="s">
        <v>4169</v>
      </c>
      <c r="E4885" t="s">
        <v>4169</v>
      </c>
      <c r="F4885" t="s">
        <v>4169</v>
      </c>
      <c r="G4885" t="s">
        <v>4169</v>
      </c>
      <c r="H4885" t="s">
        <v>4169</v>
      </c>
      <c r="I4885" t="s">
        <v>4170</v>
      </c>
      <c r="J4885" t="s">
        <v>4169</v>
      </c>
      <c r="K4885" t="s">
        <v>4171</v>
      </c>
      <c r="L4885" t="s">
        <v>4172</v>
      </c>
      <c r="M4885" t="s">
        <v>4169</v>
      </c>
      <c r="N4885" t="s">
        <v>4173</v>
      </c>
      <c r="O4885" t="s">
        <v>4169</v>
      </c>
    </row>
    <row r="4886" spans="1:15">
      <c r="A4886" s="22" t="s">
        <v>324</v>
      </c>
      <c r="B4886" s="22" t="str">
        <f ca="1">IF(ISBLANK(OFFSET(B4886,0,'Field labels'!$Q$1)),C4886,OFFSET(B4886,0,'Field labels'!$Q$1))</f>
        <v>Stockport</v>
      </c>
      <c r="C4886" s="22" t="s">
        <v>520</v>
      </c>
      <c r="D4886" t="s">
        <v>520</v>
      </c>
      <c r="E4886" t="s">
        <v>520</v>
      </c>
      <c r="F4886" t="s">
        <v>520</v>
      </c>
      <c r="G4886" t="s">
        <v>520</v>
      </c>
      <c r="H4886" t="s">
        <v>520</v>
      </c>
      <c r="I4886" t="s">
        <v>520</v>
      </c>
      <c r="J4886" t="s">
        <v>520</v>
      </c>
      <c r="K4886" t="s">
        <v>520</v>
      </c>
      <c r="L4886" t="s">
        <v>520</v>
      </c>
      <c r="M4886" t="s">
        <v>520</v>
      </c>
      <c r="N4886" t="s">
        <v>520</v>
      </c>
      <c r="O4886" t="s">
        <v>520</v>
      </c>
    </row>
    <row r="4887" spans="1:15">
      <c r="A4887" s="22" t="s">
        <v>324</v>
      </c>
      <c r="B4887" s="22" t="str">
        <f ca="1">IF(ISBLANK(OFFSET(B4887,0,'Field labels'!$Q$1)),C4887,OFFSET(B4887,0,'Field labels'!$Q$1))</f>
        <v>Stockton-on-Tees</v>
      </c>
      <c r="C4887" s="22" t="s">
        <v>572</v>
      </c>
      <c r="D4887" t="s">
        <v>572</v>
      </c>
      <c r="E4887" t="s">
        <v>572</v>
      </c>
      <c r="F4887" t="s">
        <v>572</v>
      </c>
      <c r="G4887" t="s">
        <v>572</v>
      </c>
      <c r="H4887" t="s">
        <v>572</v>
      </c>
      <c r="I4887" t="s">
        <v>572</v>
      </c>
      <c r="J4887" t="s">
        <v>572</v>
      </c>
      <c r="K4887" t="s">
        <v>572</v>
      </c>
      <c r="L4887" t="s">
        <v>572</v>
      </c>
      <c r="M4887" t="s">
        <v>572</v>
      </c>
      <c r="N4887" t="s">
        <v>572</v>
      </c>
      <c r="O4887" t="s">
        <v>572</v>
      </c>
    </row>
    <row r="4888" spans="1:15">
      <c r="A4888" s="22" t="s">
        <v>324</v>
      </c>
      <c r="B4888" s="22" t="str">
        <f ca="1">IF(ISBLANK(OFFSET(B4888,0,'Field labels'!$Q$1)),C4888,OFFSET(B4888,0,'Field labels'!$Q$1))</f>
        <v>Stoke-on-Trent</v>
      </c>
      <c r="C4888" s="22" t="s">
        <v>573</v>
      </c>
      <c r="D4888" t="s">
        <v>573</v>
      </c>
      <c r="E4888" t="s">
        <v>573</v>
      </c>
      <c r="F4888" t="s">
        <v>573</v>
      </c>
      <c r="G4888" t="s">
        <v>573</v>
      </c>
      <c r="H4888" t="s">
        <v>573</v>
      </c>
      <c r="I4888" t="s">
        <v>573</v>
      </c>
      <c r="J4888" t="s">
        <v>573</v>
      </c>
      <c r="K4888" t="s">
        <v>573</v>
      </c>
      <c r="L4888" t="s">
        <v>573</v>
      </c>
      <c r="M4888" t="s">
        <v>573</v>
      </c>
      <c r="N4888" t="s">
        <v>573</v>
      </c>
      <c r="O4888" t="s">
        <v>573</v>
      </c>
    </row>
    <row r="4889" spans="1:15">
      <c r="A4889" s="22" t="s">
        <v>324</v>
      </c>
      <c r="B4889" s="22" t="str">
        <f ca="1">IF(ISBLANK(OFFSET(B4889,0,'Field labels'!$Q$1)),C4889,OFFSET(B4889,0,'Field labels'!$Q$1))</f>
        <v>Strabane</v>
      </c>
      <c r="C4889" s="22" t="s">
        <v>610</v>
      </c>
      <c r="D4889" t="s">
        <v>610</v>
      </c>
      <c r="E4889" t="s">
        <v>610</v>
      </c>
      <c r="F4889" t="s">
        <v>610</v>
      </c>
      <c r="G4889" t="s">
        <v>610</v>
      </c>
      <c r="H4889" t="s">
        <v>610</v>
      </c>
      <c r="I4889" t="s">
        <v>610</v>
      </c>
      <c r="J4889" t="s">
        <v>610</v>
      </c>
      <c r="K4889" t="s">
        <v>610</v>
      </c>
      <c r="L4889" t="s">
        <v>610</v>
      </c>
      <c r="M4889" t="s">
        <v>610</v>
      </c>
      <c r="N4889" t="s">
        <v>610</v>
      </c>
      <c r="O4889" t="s">
        <v>610</v>
      </c>
    </row>
    <row r="4890" spans="1:15">
      <c r="A4890" s="22" t="s">
        <v>324</v>
      </c>
      <c r="B4890" s="22" t="str">
        <f ca="1">IF(ISBLANK(OFFSET(B4890,0,'Field labels'!$Q$1)),C4890,OFFSET(B4890,0,'Field labels'!$Q$1))</f>
        <v>Suffolk</v>
      </c>
      <c r="C4890" s="22" t="s">
        <v>456</v>
      </c>
      <c r="D4890" t="s">
        <v>456</v>
      </c>
      <c r="E4890" t="s">
        <v>456</v>
      </c>
      <c r="F4890" t="s">
        <v>456</v>
      </c>
      <c r="G4890" t="s">
        <v>456</v>
      </c>
      <c r="H4890" t="s">
        <v>456</v>
      </c>
      <c r="I4890" t="s">
        <v>456</v>
      </c>
      <c r="J4890" t="s">
        <v>456</v>
      </c>
      <c r="K4890" t="s">
        <v>456</v>
      </c>
      <c r="L4890" t="s">
        <v>456</v>
      </c>
      <c r="M4890" t="s">
        <v>456</v>
      </c>
      <c r="N4890" t="s">
        <v>456</v>
      </c>
      <c r="O4890" t="s">
        <v>456</v>
      </c>
    </row>
    <row r="4891" spans="1:15">
      <c r="A4891" s="22" t="s">
        <v>324</v>
      </c>
      <c r="B4891" s="22" t="str">
        <f ca="1">IF(ISBLANK(OFFSET(B4891,0,'Field labels'!$Q$1)),C4891,OFFSET(B4891,0,'Field labels'!$Q$1))</f>
        <v>Sunderland</v>
      </c>
      <c r="C4891" s="22" t="s">
        <v>521</v>
      </c>
      <c r="D4891" t="s">
        <v>521</v>
      </c>
      <c r="E4891" t="s">
        <v>521</v>
      </c>
      <c r="F4891" t="s">
        <v>521</v>
      </c>
      <c r="G4891" t="s">
        <v>521</v>
      </c>
      <c r="H4891" t="s">
        <v>521</v>
      </c>
      <c r="I4891" t="s">
        <v>521</v>
      </c>
      <c r="J4891" t="s">
        <v>521</v>
      </c>
      <c r="K4891" t="s">
        <v>521</v>
      </c>
      <c r="L4891" t="s">
        <v>521</v>
      </c>
      <c r="M4891" t="s">
        <v>521</v>
      </c>
      <c r="N4891" t="s">
        <v>521</v>
      </c>
      <c r="O4891" t="s">
        <v>521</v>
      </c>
    </row>
    <row r="4892" spans="1:15">
      <c r="A4892" s="22" t="s">
        <v>324</v>
      </c>
      <c r="B4892" s="22" t="str">
        <f ca="1">IF(ISBLANK(OFFSET(B4892,0,'Field labels'!$Q$1)),C4892,OFFSET(B4892,0,'Field labels'!$Q$1))</f>
        <v>Surrey</v>
      </c>
      <c r="C4892" s="22" t="s">
        <v>457</v>
      </c>
      <c r="D4892" t="s">
        <v>457</v>
      </c>
      <c r="E4892" t="s">
        <v>457</v>
      </c>
      <c r="F4892" t="s">
        <v>457</v>
      </c>
      <c r="G4892" t="s">
        <v>457</v>
      </c>
      <c r="H4892" t="s">
        <v>457</v>
      </c>
      <c r="I4892" t="s">
        <v>457</v>
      </c>
      <c r="J4892" t="s">
        <v>457</v>
      </c>
      <c r="K4892" t="s">
        <v>457</v>
      </c>
      <c r="L4892" t="s">
        <v>457</v>
      </c>
      <c r="M4892" t="s">
        <v>457</v>
      </c>
      <c r="N4892" t="s">
        <v>457</v>
      </c>
      <c r="O4892" t="s">
        <v>457</v>
      </c>
    </row>
    <row r="4893" spans="1:15">
      <c r="A4893" s="22" t="s">
        <v>324</v>
      </c>
      <c r="B4893" s="22" t="str">
        <f ca="1">IF(ISBLANK(OFFSET(B4893,0,'Field labels'!$Q$1)),C4893,OFFSET(B4893,0,'Field labels'!$Q$1))</f>
        <v>Sutton</v>
      </c>
      <c r="C4893" s="22" t="s">
        <v>488</v>
      </c>
      <c r="D4893" t="s">
        <v>488</v>
      </c>
      <c r="E4893" t="s">
        <v>488</v>
      </c>
      <c r="F4893" t="s">
        <v>488</v>
      </c>
      <c r="G4893" t="s">
        <v>488</v>
      </c>
      <c r="H4893" t="s">
        <v>488</v>
      </c>
      <c r="I4893" t="s">
        <v>488</v>
      </c>
      <c r="J4893" t="s">
        <v>488</v>
      </c>
      <c r="K4893" t="s">
        <v>488</v>
      </c>
      <c r="L4893" t="s">
        <v>488</v>
      </c>
      <c r="M4893" t="s">
        <v>488</v>
      </c>
      <c r="N4893" t="s">
        <v>488</v>
      </c>
      <c r="O4893" t="s">
        <v>488</v>
      </c>
    </row>
    <row r="4894" spans="1:15">
      <c r="A4894" s="22" t="s">
        <v>324</v>
      </c>
      <c r="B4894" s="22" t="str">
        <f ca="1">IF(ISBLANK(OFFSET(B4894,0,'Field labels'!$Q$1)),C4894,OFFSET(B4894,0,'Field labels'!$Q$1))</f>
        <v>Swansea</v>
      </c>
      <c r="C4894" s="22" t="s">
        <v>661</v>
      </c>
      <c r="D4894" t="s">
        <v>661</v>
      </c>
      <c r="E4894" t="s">
        <v>661</v>
      </c>
      <c r="F4894" t="s">
        <v>661</v>
      </c>
      <c r="G4894" t="s">
        <v>661</v>
      </c>
      <c r="H4894" t="s">
        <v>661</v>
      </c>
      <c r="I4894" t="s">
        <v>661</v>
      </c>
      <c r="J4894" t="s">
        <v>661</v>
      </c>
      <c r="K4894" t="s">
        <v>661</v>
      </c>
      <c r="L4894" t="s">
        <v>661</v>
      </c>
      <c r="M4894" t="s">
        <v>661</v>
      </c>
      <c r="N4894" t="s">
        <v>661</v>
      </c>
      <c r="O4894" t="s">
        <v>661</v>
      </c>
    </row>
    <row r="4895" spans="1:15">
      <c r="A4895" s="22" t="s">
        <v>324</v>
      </c>
      <c r="B4895" s="22" t="str">
        <f ca="1">IF(ISBLANK(OFFSET(B4895,0,'Field labels'!$Q$1)),C4895,OFFSET(B4895,0,'Field labels'!$Q$1))</f>
        <v>Swindon</v>
      </c>
      <c r="C4895" s="22" t="s">
        <v>574</v>
      </c>
      <c r="D4895" t="s">
        <v>574</v>
      </c>
      <c r="E4895" t="s">
        <v>574</v>
      </c>
      <c r="F4895" t="s">
        <v>574</v>
      </c>
      <c r="G4895" t="s">
        <v>574</v>
      </c>
      <c r="H4895" t="s">
        <v>574</v>
      </c>
      <c r="I4895" t="s">
        <v>574</v>
      </c>
      <c r="J4895" t="s">
        <v>574</v>
      </c>
      <c r="K4895" t="s">
        <v>574</v>
      </c>
      <c r="L4895" t="s">
        <v>574</v>
      </c>
      <c r="M4895" t="s">
        <v>574</v>
      </c>
      <c r="N4895" t="s">
        <v>574</v>
      </c>
      <c r="O4895" t="s">
        <v>574</v>
      </c>
    </row>
    <row r="4896" spans="1:15">
      <c r="A4896" s="22" t="s">
        <v>324</v>
      </c>
      <c r="B4896" s="22" t="str">
        <f ca="1">IF(ISBLANK(OFFSET(B4896,0,'Field labels'!$Q$1)),C4896,OFFSET(B4896,0,'Field labels'!$Q$1))</f>
        <v>Tameside</v>
      </c>
      <c r="C4896" s="22" t="s">
        <v>522</v>
      </c>
      <c r="D4896" t="s">
        <v>522</v>
      </c>
      <c r="E4896" t="s">
        <v>522</v>
      </c>
      <c r="F4896" t="s">
        <v>522</v>
      </c>
      <c r="G4896" t="s">
        <v>522</v>
      </c>
      <c r="H4896" t="s">
        <v>522</v>
      </c>
      <c r="I4896" t="s">
        <v>522</v>
      </c>
      <c r="J4896" t="s">
        <v>522</v>
      </c>
      <c r="K4896" t="s">
        <v>522</v>
      </c>
      <c r="L4896" t="s">
        <v>522</v>
      </c>
      <c r="M4896" t="s">
        <v>522</v>
      </c>
      <c r="N4896" t="s">
        <v>522</v>
      </c>
      <c r="O4896" t="s">
        <v>522</v>
      </c>
    </row>
    <row r="4897" spans="1:15">
      <c r="A4897" s="22" t="s">
        <v>324</v>
      </c>
      <c r="B4897" s="22" t="str">
        <f ca="1">IF(ISBLANK(OFFSET(B4897,0,'Field labels'!$Q$1)),C4897,OFFSET(B4897,0,'Field labels'!$Q$1))</f>
        <v>Telford and Wrekin</v>
      </c>
      <c r="C4897" s="22" t="s">
        <v>575</v>
      </c>
      <c r="D4897" t="s">
        <v>575</v>
      </c>
      <c r="E4897" t="s">
        <v>575</v>
      </c>
      <c r="F4897" t="s">
        <v>4174</v>
      </c>
      <c r="G4897" t="s">
        <v>575</v>
      </c>
      <c r="H4897" t="s">
        <v>575</v>
      </c>
      <c r="I4897" t="s">
        <v>575</v>
      </c>
      <c r="J4897" t="s">
        <v>575</v>
      </c>
      <c r="K4897" t="s">
        <v>575</v>
      </c>
      <c r="L4897" t="s">
        <v>575</v>
      </c>
      <c r="M4897" t="s">
        <v>575</v>
      </c>
      <c r="N4897" t="s">
        <v>575</v>
      </c>
      <c r="O4897" t="s">
        <v>575</v>
      </c>
    </row>
    <row r="4898" spans="1:15">
      <c r="A4898" s="22" t="s">
        <v>324</v>
      </c>
      <c r="B4898" s="22" t="str">
        <f ca="1">IF(ISBLANK(OFFSET(B4898,0,'Field labels'!$Q$1)),C4898,OFFSET(B4898,0,'Field labels'!$Q$1))</f>
        <v>Thurrock</v>
      </c>
      <c r="C4898" s="22" t="s">
        <v>576</v>
      </c>
      <c r="D4898" t="s">
        <v>576</v>
      </c>
      <c r="E4898" t="s">
        <v>576</v>
      </c>
      <c r="F4898" t="s">
        <v>576</v>
      </c>
      <c r="G4898" t="s">
        <v>576</v>
      </c>
      <c r="H4898" t="s">
        <v>576</v>
      </c>
      <c r="I4898" t="s">
        <v>576</v>
      </c>
      <c r="J4898" t="s">
        <v>576</v>
      </c>
      <c r="K4898" t="s">
        <v>576</v>
      </c>
      <c r="L4898" t="s">
        <v>576</v>
      </c>
      <c r="M4898" t="s">
        <v>576</v>
      </c>
      <c r="N4898" t="s">
        <v>576</v>
      </c>
      <c r="O4898" t="s">
        <v>576</v>
      </c>
    </row>
    <row r="4899" spans="1:15">
      <c r="A4899" s="22" t="s">
        <v>324</v>
      </c>
      <c r="B4899" s="22" t="str">
        <f ca="1">IF(ISBLANK(OFFSET(B4899,0,'Field labels'!$Q$1)),C4899,OFFSET(B4899,0,'Field labels'!$Q$1))</f>
        <v>Tipperary</v>
      </c>
      <c r="C4899" s="22" t="s">
        <v>4175</v>
      </c>
      <c r="D4899" t="s">
        <v>4175</v>
      </c>
      <c r="E4899" t="s">
        <v>4175</v>
      </c>
      <c r="F4899" t="s">
        <v>4175</v>
      </c>
      <c r="G4899" t="s">
        <v>4175</v>
      </c>
      <c r="H4899" t="s">
        <v>4175</v>
      </c>
      <c r="I4899" t="s">
        <v>4175</v>
      </c>
      <c r="J4899" t="s">
        <v>4175</v>
      </c>
      <c r="K4899" t="s">
        <v>4175</v>
      </c>
      <c r="L4899" t="s">
        <v>4175</v>
      </c>
      <c r="M4899" t="s">
        <v>4175</v>
      </c>
      <c r="N4899" t="s">
        <v>4175</v>
      </c>
      <c r="O4899" t="s">
        <v>4175</v>
      </c>
    </row>
    <row r="4900" spans="1:15">
      <c r="A4900" s="22" t="s">
        <v>324</v>
      </c>
      <c r="B4900" s="22" t="str">
        <f ca="1">IF(ISBLANK(OFFSET(B4900,0,'Field labels'!$Q$1)),C4900,OFFSET(B4900,0,'Field labels'!$Q$1))</f>
        <v>Torbay</v>
      </c>
      <c r="C4900" s="22" t="s">
        <v>577</v>
      </c>
      <c r="D4900" t="s">
        <v>577</v>
      </c>
      <c r="E4900" t="s">
        <v>577</v>
      </c>
      <c r="F4900" t="s">
        <v>577</v>
      </c>
      <c r="G4900" t="s">
        <v>577</v>
      </c>
      <c r="H4900" t="s">
        <v>577</v>
      </c>
      <c r="I4900" t="s">
        <v>577</v>
      </c>
      <c r="J4900" t="s">
        <v>577</v>
      </c>
      <c r="K4900" t="s">
        <v>577</v>
      </c>
      <c r="L4900" t="s">
        <v>577</v>
      </c>
      <c r="M4900" t="s">
        <v>577</v>
      </c>
      <c r="N4900" t="s">
        <v>577</v>
      </c>
      <c r="O4900" t="s">
        <v>577</v>
      </c>
    </row>
    <row r="4901" spans="1:15">
      <c r="A4901" s="22" t="s">
        <v>324</v>
      </c>
      <c r="B4901" s="22" t="str">
        <f ca="1">IF(ISBLANK(OFFSET(B4901,0,'Field labels'!$Q$1)),C4901,OFFSET(B4901,0,'Field labels'!$Q$1))</f>
        <v>Torfaen</v>
      </c>
      <c r="C4901" s="22" t="s">
        <v>662</v>
      </c>
      <c r="D4901" t="s">
        <v>662</v>
      </c>
      <c r="E4901" t="s">
        <v>662</v>
      </c>
      <c r="F4901" t="s">
        <v>662</v>
      </c>
      <c r="G4901" t="s">
        <v>662</v>
      </c>
      <c r="H4901" t="s">
        <v>662</v>
      </c>
      <c r="I4901" t="s">
        <v>662</v>
      </c>
      <c r="J4901" t="s">
        <v>662</v>
      </c>
      <c r="K4901" t="s">
        <v>662</v>
      </c>
      <c r="L4901" t="s">
        <v>662</v>
      </c>
      <c r="M4901" t="s">
        <v>662</v>
      </c>
      <c r="N4901" t="s">
        <v>662</v>
      </c>
      <c r="O4901" t="s">
        <v>662</v>
      </c>
    </row>
    <row r="4902" spans="1:15">
      <c r="A4902" s="22" t="s">
        <v>324</v>
      </c>
      <c r="B4902" s="22" t="str">
        <f ca="1">IF(ISBLANK(OFFSET(B4902,0,'Field labels'!$Q$1)),C4902,OFFSET(B4902,0,'Field labels'!$Q$1))</f>
        <v>Tower Hamlets</v>
      </c>
      <c r="C4902" s="22" t="s">
        <v>489</v>
      </c>
      <c r="D4902" t="s">
        <v>4176</v>
      </c>
      <c r="E4902" t="s">
        <v>489</v>
      </c>
      <c r="F4902" t="s">
        <v>489</v>
      </c>
      <c r="G4902" t="s">
        <v>489</v>
      </c>
      <c r="H4902" t="s">
        <v>489</v>
      </c>
      <c r="I4902" t="s">
        <v>489</v>
      </c>
      <c r="J4902" t="s">
        <v>489</v>
      </c>
      <c r="K4902" t="s">
        <v>489</v>
      </c>
      <c r="L4902" t="s">
        <v>489</v>
      </c>
      <c r="M4902" t="s">
        <v>489</v>
      </c>
      <c r="N4902" t="s">
        <v>489</v>
      </c>
      <c r="O4902" t="s">
        <v>489</v>
      </c>
    </row>
    <row r="4903" spans="1:15">
      <c r="A4903" s="22" t="s">
        <v>324</v>
      </c>
      <c r="B4903" s="22" t="str">
        <f ca="1">IF(ISBLANK(OFFSET(B4903,0,'Field labels'!$Q$1)),C4903,OFFSET(B4903,0,'Field labels'!$Q$1))</f>
        <v>Trafford</v>
      </c>
      <c r="C4903" s="22" t="s">
        <v>523</v>
      </c>
      <c r="D4903" t="s">
        <v>523</v>
      </c>
      <c r="E4903" t="s">
        <v>523</v>
      </c>
      <c r="F4903" t="s">
        <v>523</v>
      </c>
      <c r="G4903" t="s">
        <v>523</v>
      </c>
      <c r="H4903" t="s">
        <v>523</v>
      </c>
      <c r="I4903" t="s">
        <v>523</v>
      </c>
      <c r="J4903" t="s">
        <v>523</v>
      </c>
      <c r="K4903" t="s">
        <v>523</v>
      </c>
      <c r="L4903" t="s">
        <v>523</v>
      </c>
      <c r="M4903" t="s">
        <v>523</v>
      </c>
      <c r="N4903" t="s">
        <v>523</v>
      </c>
      <c r="O4903" t="s">
        <v>523</v>
      </c>
    </row>
    <row r="4904" spans="1:15">
      <c r="A4904" s="22" t="s">
        <v>324</v>
      </c>
      <c r="B4904" s="22" t="str">
        <f ca="1">IF(ISBLANK(OFFSET(B4904,0,'Field labels'!$Q$1)),C4904,OFFSET(B4904,0,'Field labels'!$Q$1))</f>
        <v>Uppsala</v>
      </c>
      <c r="C4904" s="22" t="s">
        <v>4177</v>
      </c>
      <c r="D4904" t="s">
        <v>4177</v>
      </c>
      <c r="E4904" t="s">
        <v>4177</v>
      </c>
      <c r="F4904" t="s">
        <v>4177</v>
      </c>
      <c r="G4904" t="s">
        <v>4177</v>
      </c>
      <c r="H4904" t="s">
        <v>4177</v>
      </c>
      <c r="I4904" t="s">
        <v>4177</v>
      </c>
      <c r="J4904" t="s">
        <v>4177</v>
      </c>
      <c r="K4904" t="s">
        <v>4177</v>
      </c>
      <c r="L4904" t="s">
        <v>4177</v>
      </c>
      <c r="M4904" t="s">
        <v>4177</v>
      </c>
      <c r="N4904" t="s">
        <v>4177</v>
      </c>
      <c r="O4904" t="s">
        <v>4177</v>
      </c>
    </row>
    <row r="4905" spans="1:15">
      <c r="A4905" s="22" t="s">
        <v>324</v>
      </c>
      <c r="B4905" s="22" t="str">
        <f ca="1">IF(ISBLANK(OFFSET(B4905,0,'Field labels'!$Q$1)),C4905,OFFSET(B4905,0,'Field labels'!$Q$1))</f>
        <v>Vale of Glamorgan, The</v>
      </c>
      <c r="C4905" s="22" t="s">
        <v>663</v>
      </c>
      <c r="D4905" t="s">
        <v>663</v>
      </c>
      <c r="E4905" t="s">
        <v>663</v>
      </c>
      <c r="F4905" t="s">
        <v>4178</v>
      </c>
      <c r="G4905" t="s">
        <v>4178</v>
      </c>
      <c r="H4905" t="s">
        <v>663</v>
      </c>
      <c r="I4905" t="s">
        <v>4179</v>
      </c>
      <c r="J4905" t="s">
        <v>663</v>
      </c>
      <c r="K4905" t="s">
        <v>663</v>
      </c>
      <c r="L4905" t="s">
        <v>4178</v>
      </c>
      <c r="M4905" t="s">
        <v>4178</v>
      </c>
      <c r="N4905" t="s">
        <v>663</v>
      </c>
      <c r="O4905" t="s">
        <v>663</v>
      </c>
    </row>
    <row r="4906" spans="1:15">
      <c r="A4906" s="22" t="s">
        <v>324</v>
      </c>
      <c r="B4906" s="22" t="str">
        <f ca="1">IF(ISBLANK(OFFSET(B4906,0,'Field labels'!$Q$1)),C4906,OFFSET(B4906,0,'Field labels'!$Q$1))</f>
        <v>Värmland</v>
      </c>
      <c r="C4906" s="22" t="s">
        <v>4180</v>
      </c>
      <c r="D4906" t="s">
        <v>4180</v>
      </c>
      <c r="E4906" t="s">
        <v>4180</v>
      </c>
      <c r="F4906" t="s">
        <v>4180</v>
      </c>
      <c r="G4906" t="s">
        <v>4180</v>
      </c>
      <c r="H4906" t="s">
        <v>4180</v>
      </c>
      <c r="I4906" t="s">
        <v>4180</v>
      </c>
      <c r="J4906" t="s">
        <v>4180</v>
      </c>
      <c r="K4906" t="s">
        <v>4180</v>
      </c>
      <c r="L4906" t="s">
        <v>4180</v>
      </c>
      <c r="M4906" t="s">
        <v>4180</v>
      </c>
      <c r="N4906" t="s">
        <v>4180</v>
      </c>
      <c r="O4906" t="s">
        <v>4180</v>
      </c>
    </row>
    <row r="4907" spans="1:15">
      <c r="A4907" s="22" t="s">
        <v>324</v>
      </c>
      <c r="B4907" s="22" t="str">
        <f ca="1">IF(ISBLANK(OFFSET(B4907,0,'Field labels'!$Q$1)),C4907,OFFSET(B4907,0,'Field labels'!$Q$1))</f>
        <v>Västerbotten</v>
      </c>
      <c r="C4907" s="22" t="s">
        <v>4181</v>
      </c>
      <c r="D4907" t="s">
        <v>4181</v>
      </c>
      <c r="E4907" t="s">
        <v>4181</v>
      </c>
      <c r="F4907" t="s">
        <v>4181</v>
      </c>
      <c r="G4907" t="s">
        <v>4181</v>
      </c>
      <c r="H4907" t="s">
        <v>4181</v>
      </c>
      <c r="I4907" t="s">
        <v>4181</v>
      </c>
      <c r="J4907" t="s">
        <v>4181</v>
      </c>
      <c r="K4907" t="s">
        <v>4181</v>
      </c>
      <c r="L4907" t="s">
        <v>4181</v>
      </c>
      <c r="M4907" t="s">
        <v>4181</v>
      </c>
      <c r="N4907" t="s">
        <v>4181</v>
      </c>
      <c r="O4907" t="s">
        <v>4181</v>
      </c>
    </row>
    <row r="4908" spans="1:15">
      <c r="A4908" s="22" t="s">
        <v>324</v>
      </c>
      <c r="B4908" s="22" t="str">
        <f ca="1">IF(ISBLANK(OFFSET(B4908,0,'Field labels'!$Q$1)),C4908,OFFSET(B4908,0,'Field labels'!$Q$1))</f>
        <v>Västernorrland</v>
      </c>
      <c r="C4908" s="22" t="s">
        <v>4182</v>
      </c>
      <c r="D4908" t="s">
        <v>4182</v>
      </c>
      <c r="E4908" t="s">
        <v>4182</v>
      </c>
      <c r="F4908" t="s">
        <v>4182</v>
      </c>
      <c r="G4908" t="s">
        <v>4182</v>
      </c>
      <c r="H4908" t="s">
        <v>4182</v>
      </c>
      <c r="I4908" t="s">
        <v>4182</v>
      </c>
      <c r="J4908" t="s">
        <v>4182</v>
      </c>
      <c r="K4908" t="s">
        <v>4182</v>
      </c>
      <c r="L4908" t="s">
        <v>4182</v>
      </c>
      <c r="M4908" t="s">
        <v>4182</v>
      </c>
      <c r="N4908" t="s">
        <v>4182</v>
      </c>
      <c r="O4908" t="s">
        <v>4182</v>
      </c>
    </row>
    <row r="4909" spans="1:15">
      <c r="A4909" s="22" t="s">
        <v>324</v>
      </c>
      <c r="B4909" s="22" t="str">
        <f ca="1">IF(ISBLANK(OFFSET(B4909,0,'Field labels'!$Q$1)),C4909,OFFSET(B4909,0,'Field labels'!$Q$1))</f>
        <v>Västmanland</v>
      </c>
      <c r="C4909" s="22" t="s">
        <v>4183</v>
      </c>
      <c r="D4909" t="s">
        <v>4183</v>
      </c>
      <c r="E4909" t="s">
        <v>4183</v>
      </c>
      <c r="F4909" t="s">
        <v>4183</v>
      </c>
      <c r="G4909" t="s">
        <v>4183</v>
      </c>
      <c r="H4909" t="s">
        <v>4183</v>
      </c>
      <c r="I4909" t="s">
        <v>4183</v>
      </c>
      <c r="J4909" t="s">
        <v>4183</v>
      </c>
      <c r="K4909" t="s">
        <v>4183</v>
      </c>
      <c r="L4909" t="s">
        <v>4183</v>
      </c>
      <c r="M4909" t="s">
        <v>4183</v>
      </c>
      <c r="N4909" t="s">
        <v>4183</v>
      </c>
      <c r="O4909" t="s">
        <v>4183</v>
      </c>
    </row>
    <row r="4910" spans="1:15">
      <c r="A4910" s="22" t="s">
        <v>324</v>
      </c>
      <c r="B4910" s="22" t="str">
        <f ca="1">IF(ISBLANK(OFFSET(B4910,0,'Field labels'!$Q$1)),C4910,OFFSET(B4910,0,'Field labels'!$Q$1))</f>
        <v>Västra Götaland</v>
      </c>
      <c r="C4910" s="22" t="s">
        <v>4184</v>
      </c>
      <c r="D4910" t="s">
        <v>4185</v>
      </c>
      <c r="E4910" t="s">
        <v>4184</v>
      </c>
      <c r="F4910" t="s">
        <v>4184</v>
      </c>
      <c r="G4910" t="s">
        <v>4184</v>
      </c>
      <c r="H4910" t="s">
        <v>4184</v>
      </c>
      <c r="I4910" t="s">
        <v>4184</v>
      </c>
      <c r="J4910" t="s">
        <v>4184</v>
      </c>
      <c r="K4910" t="s">
        <v>4184</v>
      </c>
      <c r="L4910" t="s">
        <v>4184</v>
      </c>
      <c r="M4910" t="s">
        <v>4184</v>
      </c>
      <c r="N4910" t="s">
        <v>4184</v>
      </c>
      <c r="O4910" t="s">
        <v>4184</v>
      </c>
    </row>
    <row r="4911" spans="1:15">
      <c r="A4911" s="22" t="s">
        <v>324</v>
      </c>
      <c r="B4911" s="22" t="str">
        <f ca="1">IF(ISBLANK(OFFSET(B4911,0,'Field labels'!$Q$1)),C4911,OFFSET(B4911,0,'Field labels'!$Q$1))</f>
        <v>Wakefield</v>
      </c>
      <c r="C4911" s="22" t="s">
        <v>524</v>
      </c>
      <c r="D4911" t="s">
        <v>524</v>
      </c>
      <c r="E4911" t="s">
        <v>524</v>
      </c>
      <c r="F4911" t="s">
        <v>524</v>
      </c>
      <c r="G4911" t="s">
        <v>524</v>
      </c>
      <c r="H4911" t="s">
        <v>524</v>
      </c>
      <c r="I4911" t="s">
        <v>524</v>
      </c>
      <c r="J4911" t="s">
        <v>524</v>
      </c>
      <c r="K4911" t="s">
        <v>524</v>
      </c>
      <c r="L4911" t="s">
        <v>524</v>
      </c>
      <c r="M4911" t="s">
        <v>524</v>
      </c>
      <c r="N4911" t="s">
        <v>524</v>
      </c>
      <c r="O4911" t="s">
        <v>524</v>
      </c>
    </row>
    <row r="4912" spans="1:15">
      <c r="A4912" s="22" t="s">
        <v>324</v>
      </c>
      <c r="B4912" s="22" t="str">
        <f ca="1">IF(ISBLANK(OFFSET(B4912,0,'Field labels'!$Q$1)),C4912,OFFSET(B4912,0,'Field labels'!$Q$1))</f>
        <v>Walsall</v>
      </c>
      <c r="C4912" s="22" t="s">
        <v>525</v>
      </c>
      <c r="D4912" t="s">
        <v>525</v>
      </c>
      <c r="E4912" t="s">
        <v>525</v>
      </c>
      <c r="F4912" t="s">
        <v>525</v>
      </c>
      <c r="G4912" t="s">
        <v>525</v>
      </c>
      <c r="H4912" t="s">
        <v>525</v>
      </c>
      <c r="I4912" t="s">
        <v>525</v>
      </c>
      <c r="J4912" t="s">
        <v>525</v>
      </c>
      <c r="K4912" t="s">
        <v>525</v>
      </c>
      <c r="L4912" t="s">
        <v>525</v>
      </c>
      <c r="M4912" t="s">
        <v>525</v>
      </c>
      <c r="N4912" t="s">
        <v>525</v>
      </c>
      <c r="O4912" t="s">
        <v>525</v>
      </c>
    </row>
    <row r="4913" spans="1:15">
      <c r="A4913" s="22" t="s">
        <v>324</v>
      </c>
      <c r="B4913" s="22" t="str">
        <f ca="1">IF(ISBLANK(OFFSET(B4913,0,'Field labels'!$Q$1)),C4913,OFFSET(B4913,0,'Field labels'!$Q$1))</f>
        <v>Waltham Forest</v>
      </c>
      <c r="C4913" s="22" t="s">
        <v>490</v>
      </c>
      <c r="D4913" t="s">
        <v>490</v>
      </c>
      <c r="E4913" t="s">
        <v>490</v>
      </c>
      <c r="F4913" t="s">
        <v>490</v>
      </c>
      <c r="G4913" t="s">
        <v>490</v>
      </c>
      <c r="H4913" t="s">
        <v>490</v>
      </c>
      <c r="I4913" t="s">
        <v>490</v>
      </c>
      <c r="J4913" t="s">
        <v>490</v>
      </c>
      <c r="K4913" t="s">
        <v>490</v>
      </c>
      <c r="L4913" t="s">
        <v>490</v>
      </c>
      <c r="M4913" t="s">
        <v>490</v>
      </c>
      <c r="N4913" t="s">
        <v>490</v>
      </c>
      <c r="O4913" t="s">
        <v>490</v>
      </c>
    </row>
    <row r="4914" spans="1:15">
      <c r="A4914" s="22" t="s">
        <v>324</v>
      </c>
      <c r="B4914" s="22" t="str">
        <f ca="1">IF(ISBLANK(OFFSET(B4914,0,'Field labels'!$Q$1)),C4914,OFFSET(B4914,0,'Field labels'!$Q$1))</f>
        <v>Wandsworth</v>
      </c>
      <c r="C4914" s="22" t="s">
        <v>491</v>
      </c>
      <c r="D4914" t="s">
        <v>491</v>
      </c>
      <c r="E4914" t="s">
        <v>491</v>
      </c>
      <c r="F4914" t="s">
        <v>491</v>
      </c>
      <c r="G4914" t="s">
        <v>491</v>
      </c>
      <c r="H4914" t="s">
        <v>491</v>
      </c>
      <c r="I4914" t="s">
        <v>491</v>
      </c>
      <c r="J4914" t="s">
        <v>491</v>
      </c>
      <c r="K4914" t="s">
        <v>491</v>
      </c>
      <c r="L4914" t="s">
        <v>491</v>
      </c>
      <c r="M4914" t="s">
        <v>491</v>
      </c>
      <c r="N4914" t="s">
        <v>491</v>
      </c>
      <c r="O4914" t="s">
        <v>491</v>
      </c>
    </row>
    <row r="4915" spans="1:15">
      <c r="A4915" s="22" t="s">
        <v>324</v>
      </c>
      <c r="B4915" s="22" t="str">
        <f ca="1">IF(ISBLANK(OFFSET(B4915,0,'Field labels'!$Q$1)),C4915,OFFSET(B4915,0,'Field labels'!$Q$1))</f>
        <v>Warrington</v>
      </c>
      <c r="C4915" s="22" t="s">
        <v>578</v>
      </c>
      <c r="D4915" t="s">
        <v>578</v>
      </c>
      <c r="E4915" t="s">
        <v>578</v>
      </c>
      <c r="F4915" t="s">
        <v>578</v>
      </c>
      <c r="G4915" t="s">
        <v>578</v>
      </c>
      <c r="H4915" t="s">
        <v>578</v>
      </c>
      <c r="I4915" t="s">
        <v>578</v>
      </c>
      <c r="J4915" t="s">
        <v>578</v>
      </c>
      <c r="K4915" t="s">
        <v>578</v>
      </c>
      <c r="L4915" t="s">
        <v>578</v>
      </c>
      <c r="M4915" t="s">
        <v>578</v>
      </c>
      <c r="N4915" t="s">
        <v>578</v>
      </c>
      <c r="O4915" t="s">
        <v>578</v>
      </c>
    </row>
    <row r="4916" spans="1:15">
      <c r="A4916" s="22" t="s">
        <v>324</v>
      </c>
      <c r="B4916" s="22" t="str">
        <f ca="1">IF(ISBLANK(OFFSET(B4916,0,'Field labels'!$Q$1)),C4916,OFFSET(B4916,0,'Field labels'!$Q$1))</f>
        <v>Warwickshire</v>
      </c>
      <c r="C4916" s="22" t="s">
        <v>458</v>
      </c>
      <c r="D4916" t="s">
        <v>458</v>
      </c>
      <c r="E4916" t="s">
        <v>458</v>
      </c>
      <c r="F4916" t="s">
        <v>458</v>
      </c>
      <c r="G4916" t="s">
        <v>458</v>
      </c>
      <c r="H4916" t="s">
        <v>458</v>
      </c>
      <c r="I4916" t="s">
        <v>458</v>
      </c>
      <c r="J4916" t="s">
        <v>458</v>
      </c>
      <c r="K4916" t="s">
        <v>458</v>
      </c>
      <c r="L4916" t="s">
        <v>458</v>
      </c>
      <c r="M4916" t="s">
        <v>458</v>
      </c>
      <c r="N4916" t="s">
        <v>458</v>
      </c>
      <c r="O4916" t="s">
        <v>458</v>
      </c>
    </row>
    <row r="4917" spans="1:15">
      <c r="A4917" s="22" t="s">
        <v>324</v>
      </c>
      <c r="B4917" s="22" t="str">
        <f ca="1">IF(ISBLANK(OFFSET(B4917,0,'Field labels'!$Q$1)),C4917,OFFSET(B4917,0,'Field labels'!$Q$1))</f>
        <v>Waterford</v>
      </c>
      <c r="C4917" s="22" t="s">
        <v>4186</v>
      </c>
      <c r="D4917" t="s">
        <v>4186</v>
      </c>
      <c r="E4917" t="s">
        <v>4186</v>
      </c>
      <c r="F4917" t="s">
        <v>4186</v>
      </c>
      <c r="G4917" t="s">
        <v>4186</v>
      </c>
      <c r="H4917" t="s">
        <v>4186</v>
      </c>
      <c r="I4917" t="s">
        <v>4186</v>
      </c>
      <c r="J4917" t="s">
        <v>4186</v>
      </c>
      <c r="K4917" t="s">
        <v>4186</v>
      </c>
      <c r="L4917" t="s">
        <v>4186</v>
      </c>
      <c r="M4917" t="s">
        <v>4186</v>
      </c>
      <c r="N4917" t="s">
        <v>4186</v>
      </c>
      <c r="O4917" t="s">
        <v>4186</v>
      </c>
    </row>
    <row r="4918" spans="1:15">
      <c r="A4918" s="22" t="s">
        <v>324</v>
      </c>
      <c r="B4918" s="22" t="str">
        <f ca="1">IF(ISBLANK(OFFSET(B4918,0,'Field labels'!$Q$1)),C4918,OFFSET(B4918,0,'Field labels'!$Q$1))</f>
        <v>West Berkshire</v>
      </c>
      <c r="C4918" s="22" t="s">
        <v>579</v>
      </c>
      <c r="D4918" t="s">
        <v>579</v>
      </c>
      <c r="E4918" t="s">
        <v>579</v>
      </c>
      <c r="F4918" t="s">
        <v>579</v>
      </c>
      <c r="G4918" t="s">
        <v>579</v>
      </c>
      <c r="H4918" t="s">
        <v>579</v>
      </c>
      <c r="I4918" t="s">
        <v>579</v>
      </c>
      <c r="J4918" t="s">
        <v>579</v>
      </c>
      <c r="K4918" t="s">
        <v>579</v>
      </c>
      <c r="L4918" t="s">
        <v>579</v>
      </c>
      <c r="M4918" t="s">
        <v>579</v>
      </c>
      <c r="N4918" t="s">
        <v>579</v>
      </c>
      <c r="O4918" t="s">
        <v>579</v>
      </c>
    </row>
    <row r="4919" spans="1:15">
      <c r="A4919" s="22" t="s">
        <v>324</v>
      </c>
      <c r="B4919" s="22" t="str">
        <f ca="1">IF(ISBLANK(OFFSET(B4919,0,'Field labels'!$Q$1)),C4919,OFFSET(B4919,0,'Field labels'!$Q$1))</f>
        <v>West Dunbartonshire</v>
      </c>
      <c r="C4919" s="22" t="s">
        <v>641</v>
      </c>
      <c r="D4919" t="s">
        <v>641</v>
      </c>
      <c r="E4919" t="s">
        <v>641</v>
      </c>
      <c r="F4919" t="s">
        <v>641</v>
      </c>
      <c r="G4919" t="s">
        <v>641</v>
      </c>
      <c r="H4919" t="s">
        <v>641</v>
      </c>
      <c r="I4919" t="s">
        <v>641</v>
      </c>
      <c r="J4919" t="s">
        <v>641</v>
      </c>
      <c r="K4919" t="s">
        <v>641</v>
      </c>
      <c r="L4919" t="s">
        <v>641</v>
      </c>
      <c r="M4919" t="s">
        <v>641</v>
      </c>
      <c r="N4919" t="s">
        <v>641</v>
      </c>
      <c r="O4919" t="s">
        <v>641</v>
      </c>
    </row>
    <row r="4920" spans="1:15">
      <c r="A4920" s="22" t="s">
        <v>324</v>
      </c>
      <c r="B4920" s="22" t="str">
        <f ca="1">IF(ISBLANK(OFFSET(B4920,0,'Field labels'!$Q$1)),C4920,OFFSET(B4920,0,'Field labels'!$Q$1))</f>
        <v>West Lothian</v>
      </c>
      <c r="C4920" s="22" t="s">
        <v>642</v>
      </c>
      <c r="D4920" t="s">
        <v>642</v>
      </c>
      <c r="E4920" t="s">
        <v>642</v>
      </c>
      <c r="F4920" t="s">
        <v>642</v>
      </c>
      <c r="G4920" t="s">
        <v>642</v>
      </c>
      <c r="H4920" t="s">
        <v>642</v>
      </c>
      <c r="I4920" t="s">
        <v>642</v>
      </c>
      <c r="J4920" t="s">
        <v>642</v>
      </c>
      <c r="K4920" t="s">
        <v>642</v>
      </c>
      <c r="L4920" t="s">
        <v>642</v>
      </c>
      <c r="M4920" t="s">
        <v>642</v>
      </c>
      <c r="N4920" t="s">
        <v>642</v>
      </c>
      <c r="O4920" t="s">
        <v>642</v>
      </c>
    </row>
    <row r="4921" spans="1:15">
      <c r="A4921" s="22" t="s">
        <v>324</v>
      </c>
      <c r="B4921" s="22" t="str">
        <f ca="1">IF(ISBLANK(OFFSET(B4921,0,'Field labels'!$Q$1)),C4921,OFFSET(B4921,0,'Field labels'!$Q$1))</f>
        <v>West Sussex</v>
      </c>
      <c r="C4921" s="22" t="s">
        <v>459</v>
      </c>
      <c r="D4921" t="s">
        <v>459</v>
      </c>
      <c r="E4921" t="s">
        <v>459</v>
      </c>
      <c r="F4921" t="s">
        <v>4187</v>
      </c>
      <c r="G4921" t="s">
        <v>459</v>
      </c>
      <c r="H4921" t="s">
        <v>459</v>
      </c>
      <c r="I4921" t="s">
        <v>459</v>
      </c>
      <c r="J4921" t="s">
        <v>459</v>
      </c>
      <c r="K4921" t="s">
        <v>459</v>
      </c>
      <c r="L4921" t="s">
        <v>459</v>
      </c>
      <c r="M4921" t="s">
        <v>459</v>
      </c>
      <c r="N4921" t="s">
        <v>459</v>
      </c>
      <c r="O4921" t="s">
        <v>459</v>
      </c>
    </row>
    <row r="4922" spans="1:15">
      <c r="A4922" s="22" t="s">
        <v>324</v>
      </c>
      <c r="B4922" s="22" t="str">
        <f ca="1">IF(ISBLANK(OFFSET(B4922,0,'Field labels'!$Q$1)),C4922,OFFSET(B4922,0,'Field labels'!$Q$1))</f>
        <v>Westmeath</v>
      </c>
      <c r="C4922" s="22" t="s">
        <v>4188</v>
      </c>
      <c r="D4922" t="s">
        <v>4188</v>
      </c>
      <c r="E4922" t="s">
        <v>4188</v>
      </c>
      <c r="F4922" t="s">
        <v>4188</v>
      </c>
      <c r="G4922" t="s">
        <v>4188</v>
      </c>
      <c r="H4922" t="s">
        <v>4188</v>
      </c>
      <c r="I4922" t="s">
        <v>4188</v>
      </c>
      <c r="J4922" t="s">
        <v>4188</v>
      </c>
      <c r="K4922" t="s">
        <v>4188</v>
      </c>
      <c r="L4922" t="s">
        <v>4188</v>
      </c>
      <c r="M4922" t="s">
        <v>4188</v>
      </c>
      <c r="N4922" t="s">
        <v>4188</v>
      </c>
      <c r="O4922" t="s">
        <v>4188</v>
      </c>
    </row>
    <row r="4923" spans="1:15">
      <c r="A4923" s="22" t="s">
        <v>324</v>
      </c>
      <c r="B4923" s="22" t="str">
        <f ca="1">IF(ISBLANK(OFFSET(B4923,0,'Field labels'!$Q$1)),C4923,OFFSET(B4923,0,'Field labels'!$Q$1))</f>
        <v>Westminster</v>
      </c>
      <c r="C4923" s="22" t="s">
        <v>492</v>
      </c>
      <c r="D4923" t="s">
        <v>492</v>
      </c>
      <c r="E4923" t="s">
        <v>492</v>
      </c>
      <c r="F4923" t="s">
        <v>492</v>
      </c>
      <c r="G4923" t="s">
        <v>492</v>
      </c>
      <c r="H4923" t="s">
        <v>492</v>
      </c>
      <c r="I4923" t="s">
        <v>492</v>
      </c>
      <c r="J4923" t="s">
        <v>492</v>
      </c>
      <c r="K4923" t="s">
        <v>492</v>
      </c>
      <c r="L4923" t="s">
        <v>492</v>
      </c>
      <c r="M4923" t="s">
        <v>492</v>
      </c>
      <c r="N4923" t="s">
        <v>492</v>
      </c>
      <c r="O4923" t="s">
        <v>492</v>
      </c>
    </row>
    <row r="4924" spans="1:15">
      <c r="A4924" s="22" t="s">
        <v>324</v>
      </c>
      <c r="B4924" s="22" t="str">
        <f ca="1">IF(ISBLANK(OFFSET(B4924,0,'Field labels'!$Q$1)),C4924,OFFSET(B4924,0,'Field labels'!$Q$1))</f>
        <v>Wexford</v>
      </c>
      <c r="C4924" s="22" t="s">
        <v>4189</v>
      </c>
      <c r="D4924" t="s">
        <v>4189</v>
      </c>
      <c r="E4924" t="s">
        <v>4189</v>
      </c>
      <c r="F4924" t="s">
        <v>4189</v>
      </c>
      <c r="G4924" t="s">
        <v>4189</v>
      </c>
      <c r="H4924" t="s">
        <v>4189</v>
      </c>
      <c r="I4924" t="s">
        <v>4189</v>
      </c>
      <c r="J4924" t="s">
        <v>4189</v>
      </c>
      <c r="K4924" t="s">
        <v>4189</v>
      </c>
      <c r="L4924" t="s">
        <v>4189</v>
      </c>
      <c r="M4924" t="s">
        <v>4189</v>
      </c>
      <c r="N4924" t="s">
        <v>4189</v>
      </c>
      <c r="O4924" t="s">
        <v>4189</v>
      </c>
    </row>
    <row r="4925" spans="1:15">
      <c r="A4925" s="22" t="s">
        <v>324</v>
      </c>
      <c r="B4925" s="22" t="str">
        <f ca="1">IF(ISBLANK(OFFSET(B4925,0,'Field labels'!$Q$1)),C4925,OFFSET(B4925,0,'Field labels'!$Q$1))</f>
        <v>Wicklow</v>
      </c>
      <c r="C4925" s="22" t="s">
        <v>4190</v>
      </c>
      <c r="D4925" t="s">
        <v>4190</v>
      </c>
      <c r="E4925" t="s">
        <v>4190</v>
      </c>
      <c r="F4925" t="s">
        <v>4190</v>
      </c>
      <c r="G4925" t="s">
        <v>4190</v>
      </c>
      <c r="H4925" t="s">
        <v>4190</v>
      </c>
      <c r="I4925" t="s">
        <v>4190</v>
      </c>
      <c r="J4925" t="s">
        <v>4190</v>
      </c>
      <c r="K4925" t="s">
        <v>4190</v>
      </c>
      <c r="L4925" t="s">
        <v>4190</v>
      </c>
      <c r="M4925" t="s">
        <v>4190</v>
      </c>
      <c r="N4925" t="s">
        <v>4190</v>
      </c>
      <c r="O4925" t="s">
        <v>4190</v>
      </c>
    </row>
    <row r="4926" spans="1:15">
      <c r="A4926" s="22" t="s">
        <v>324</v>
      </c>
      <c r="B4926" s="22" t="str">
        <f ca="1">IF(ISBLANK(OFFSET(B4926,0,'Field labels'!$Q$1)),C4926,OFFSET(B4926,0,'Field labels'!$Q$1))</f>
        <v>Wigan</v>
      </c>
      <c r="C4926" s="22" t="s">
        <v>526</v>
      </c>
      <c r="D4926" t="s">
        <v>526</v>
      </c>
      <c r="E4926" t="s">
        <v>526</v>
      </c>
      <c r="F4926" t="s">
        <v>526</v>
      </c>
      <c r="G4926" t="s">
        <v>526</v>
      </c>
      <c r="H4926" t="s">
        <v>526</v>
      </c>
      <c r="I4926" t="s">
        <v>526</v>
      </c>
      <c r="J4926" t="s">
        <v>526</v>
      </c>
      <c r="K4926" t="s">
        <v>526</v>
      </c>
      <c r="L4926" t="s">
        <v>526</v>
      </c>
      <c r="M4926" t="s">
        <v>526</v>
      </c>
      <c r="N4926" t="s">
        <v>526</v>
      </c>
      <c r="O4926" t="s">
        <v>526</v>
      </c>
    </row>
    <row r="4927" spans="1:15">
      <c r="A4927" s="22" t="s">
        <v>324</v>
      </c>
      <c r="B4927" s="22" t="str">
        <f ca="1">IF(ISBLANK(OFFSET(B4927,0,'Field labels'!$Q$1)),C4927,OFFSET(B4927,0,'Field labels'!$Q$1))</f>
        <v>Wiltshire</v>
      </c>
      <c r="C4927" s="22" t="s">
        <v>580</v>
      </c>
      <c r="D4927" t="s">
        <v>580</v>
      </c>
      <c r="E4927" t="s">
        <v>580</v>
      </c>
      <c r="F4927" t="s">
        <v>580</v>
      </c>
      <c r="G4927" t="s">
        <v>580</v>
      </c>
      <c r="H4927" t="s">
        <v>580</v>
      </c>
      <c r="I4927" t="s">
        <v>580</v>
      </c>
      <c r="J4927" t="s">
        <v>580</v>
      </c>
      <c r="K4927" t="s">
        <v>580</v>
      </c>
      <c r="L4927" t="s">
        <v>580</v>
      </c>
      <c r="M4927" t="s">
        <v>580</v>
      </c>
      <c r="N4927" t="s">
        <v>580</v>
      </c>
      <c r="O4927" t="s">
        <v>580</v>
      </c>
    </row>
    <row r="4928" spans="1:15">
      <c r="A4928" s="22" t="s">
        <v>324</v>
      </c>
      <c r="B4928" s="22" t="str">
        <f ca="1">IF(ISBLANK(OFFSET(B4928,0,'Field labels'!$Q$1)),C4928,OFFSET(B4928,0,'Field labels'!$Q$1))</f>
        <v>Windsor and Maidenhead</v>
      </c>
      <c r="C4928" s="22" t="s">
        <v>581</v>
      </c>
      <c r="D4928" t="s">
        <v>581</v>
      </c>
      <c r="E4928" t="s">
        <v>581</v>
      </c>
      <c r="F4928" t="s">
        <v>4191</v>
      </c>
      <c r="G4928" t="s">
        <v>581</v>
      </c>
      <c r="H4928" t="s">
        <v>581</v>
      </c>
      <c r="I4928" t="s">
        <v>581</v>
      </c>
      <c r="J4928" t="s">
        <v>581</v>
      </c>
      <c r="K4928" t="s">
        <v>581</v>
      </c>
      <c r="L4928" t="s">
        <v>581</v>
      </c>
      <c r="M4928" t="s">
        <v>581</v>
      </c>
      <c r="N4928" t="s">
        <v>581</v>
      </c>
      <c r="O4928" t="s">
        <v>581</v>
      </c>
    </row>
    <row r="4929" spans="1:15">
      <c r="A4929" s="22" t="s">
        <v>324</v>
      </c>
      <c r="B4929" s="22" t="str">
        <f ca="1">IF(ISBLANK(OFFSET(B4929,0,'Field labels'!$Q$1)),C4929,OFFSET(B4929,0,'Field labels'!$Q$1))</f>
        <v>Wirral</v>
      </c>
      <c r="C4929" s="22" t="s">
        <v>527</v>
      </c>
      <c r="D4929" t="s">
        <v>527</v>
      </c>
      <c r="E4929" t="s">
        <v>527</v>
      </c>
      <c r="F4929" t="s">
        <v>527</v>
      </c>
      <c r="G4929" t="s">
        <v>527</v>
      </c>
      <c r="H4929" t="s">
        <v>527</v>
      </c>
      <c r="I4929" t="s">
        <v>527</v>
      </c>
      <c r="J4929" t="s">
        <v>527</v>
      </c>
      <c r="K4929" t="s">
        <v>527</v>
      </c>
      <c r="L4929" t="s">
        <v>527</v>
      </c>
      <c r="M4929" t="s">
        <v>527</v>
      </c>
      <c r="N4929" t="s">
        <v>527</v>
      </c>
      <c r="O4929" t="s">
        <v>527</v>
      </c>
    </row>
    <row r="4930" spans="1:15">
      <c r="A4930" s="22" t="s">
        <v>324</v>
      </c>
      <c r="B4930" s="22" t="str">
        <f ca="1">IF(ISBLANK(OFFSET(B4930,0,'Field labels'!$Q$1)),C4930,OFFSET(B4930,0,'Field labels'!$Q$1))</f>
        <v>Wokingham</v>
      </c>
      <c r="C4930" s="22" t="s">
        <v>582</v>
      </c>
      <c r="D4930" t="s">
        <v>582</v>
      </c>
      <c r="E4930" t="s">
        <v>582</v>
      </c>
      <c r="F4930" t="s">
        <v>582</v>
      </c>
      <c r="G4930" t="s">
        <v>582</v>
      </c>
      <c r="H4930" t="s">
        <v>582</v>
      </c>
      <c r="I4930" t="s">
        <v>582</v>
      </c>
      <c r="J4930" t="s">
        <v>582</v>
      </c>
      <c r="K4930" t="s">
        <v>582</v>
      </c>
      <c r="L4930" t="s">
        <v>582</v>
      </c>
      <c r="M4930" t="s">
        <v>582</v>
      </c>
      <c r="N4930" t="s">
        <v>582</v>
      </c>
      <c r="O4930" t="s">
        <v>582</v>
      </c>
    </row>
    <row r="4931" spans="1:15">
      <c r="A4931" s="22" t="s">
        <v>324</v>
      </c>
      <c r="B4931" s="22" t="str">
        <f ca="1">IF(ISBLANK(OFFSET(B4931,0,'Field labels'!$Q$1)),C4931,OFFSET(B4931,0,'Field labels'!$Q$1))</f>
        <v>Wolverhampton</v>
      </c>
      <c r="C4931" s="22" t="s">
        <v>528</v>
      </c>
      <c r="D4931" t="s">
        <v>528</v>
      </c>
      <c r="E4931" t="s">
        <v>528</v>
      </c>
      <c r="F4931" t="s">
        <v>528</v>
      </c>
      <c r="G4931" t="s">
        <v>528</v>
      </c>
      <c r="H4931" t="s">
        <v>528</v>
      </c>
      <c r="I4931" t="s">
        <v>528</v>
      </c>
      <c r="J4931" t="s">
        <v>528</v>
      </c>
      <c r="K4931" t="s">
        <v>528</v>
      </c>
      <c r="L4931" t="s">
        <v>528</v>
      </c>
      <c r="M4931" t="s">
        <v>528</v>
      </c>
      <c r="N4931" t="s">
        <v>528</v>
      </c>
      <c r="O4931" t="s">
        <v>528</v>
      </c>
    </row>
    <row r="4932" spans="1:15">
      <c r="A4932" s="22" t="s">
        <v>324</v>
      </c>
      <c r="B4932" s="22" t="str">
        <f ca="1">IF(ISBLANK(OFFSET(B4932,0,'Field labels'!$Q$1)),C4932,OFFSET(B4932,0,'Field labels'!$Q$1))</f>
        <v>Worcestershire</v>
      </c>
      <c r="C4932" s="22" t="s">
        <v>460</v>
      </c>
      <c r="D4932" t="s">
        <v>460</v>
      </c>
      <c r="E4932" t="s">
        <v>460</v>
      </c>
      <c r="F4932" t="s">
        <v>460</v>
      </c>
      <c r="G4932" t="s">
        <v>460</v>
      </c>
      <c r="H4932" t="s">
        <v>460</v>
      </c>
      <c r="I4932" t="s">
        <v>460</v>
      </c>
      <c r="J4932" t="s">
        <v>460</v>
      </c>
      <c r="K4932" t="s">
        <v>460</v>
      </c>
      <c r="L4932" t="s">
        <v>460</v>
      </c>
      <c r="M4932" t="s">
        <v>460</v>
      </c>
      <c r="N4932" t="s">
        <v>460</v>
      </c>
      <c r="O4932" t="s">
        <v>460</v>
      </c>
    </row>
    <row r="4933" spans="1:15">
      <c r="A4933" s="22" t="s">
        <v>324</v>
      </c>
      <c r="B4933" s="22" t="str">
        <f ca="1">IF(ISBLANK(OFFSET(B4933,0,'Field labels'!$Q$1)),C4933,OFFSET(B4933,0,'Field labels'!$Q$1))</f>
        <v>Wrexham</v>
      </c>
      <c r="C4933" s="22" t="s">
        <v>664</v>
      </c>
      <c r="D4933" t="s">
        <v>664</v>
      </c>
      <c r="E4933" t="s">
        <v>664</v>
      </c>
      <c r="F4933" t="s">
        <v>664</v>
      </c>
      <c r="G4933" t="s">
        <v>664</v>
      </c>
      <c r="H4933" t="s">
        <v>664</v>
      </c>
      <c r="I4933" t="s">
        <v>664</v>
      </c>
      <c r="J4933" t="s">
        <v>664</v>
      </c>
      <c r="K4933" t="s">
        <v>664</v>
      </c>
      <c r="L4933" t="s">
        <v>664</v>
      </c>
      <c r="M4933" t="s">
        <v>664</v>
      </c>
      <c r="N4933" t="s">
        <v>664</v>
      </c>
      <c r="O4933" t="s">
        <v>664</v>
      </c>
    </row>
    <row r="4934" spans="1:15">
      <c r="A4934" s="22" t="s">
        <v>324</v>
      </c>
      <c r="B4934" s="22" t="str">
        <f ca="1">IF(ISBLANK(OFFSET(B4934,0,'Field labels'!$Q$1)),C4934,OFFSET(B4934,0,'Field labels'!$Q$1))</f>
        <v>York</v>
      </c>
      <c r="C4934" s="22" t="s">
        <v>583</v>
      </c>
      <c r="D4934" t="s">
        <v>583</v>
      </c>
      <c r="E4934" t="s">
        <v>583</v>
      </c>
      <c r="F4934" t="s">
        <v>583</v>
      </c>
      <c r="G4934" t="s">
        <v>583</v>
      </c>
      <c r="H4934" t="s">
        <v>583</v>
      </c>
      <c r="I4934" t="s">
        <v>583</v>
      </c>
      <c r="J4934" t="s">
        <v>583</v>
      </c>
      <c r="K4934" t="s">
        <v>583</v>
      </c>
      <c r="L4934" t="s">
        <v>583</v>
      </c>
      <c r="M4934" t="s">
        <v>583</v>
      </c>
      <c r="N4934" t="s">
        <v>583</v>
      </c>
      <c r="O4934" t="s">
        <v>583</v>
      </c>
    </row>
    <row r="4935" spans="1:15">
      <c r="A4935" s="22" t="s">
        <v>298</v>
      </c>
      <c r="B4935" s="22" t="str">
        <f ca="1">IF(ISBLANK(OFFSET(B4935,0,'Field labels'!$Q$1)),C4935,OFFSET(B4935,0,'Field labels'!$Q$1))</f>
        <v>Business</v>
      </c>
      <c r="C4935" s="22" t="s">
        <v>426</v>
      </c>
      <c r="D4935" t="s">
        <v>4192</v>
      </c>
      <c r="E4935" t="s">
        <v>426</v>
      </c>
      <c r="F4935" t="s">
        <v>4193</v>
      </c>
      <c r="G4935" t="s">
        <v>4194</v>
      </c>
      <c r="H4935" t="s">
        <v>4195</v>
      </c>
      <c r="I4935" t="s">
        <v>4196</v>
      </c>
      <c r="J4935" t="s">
        <v>4197</v>
      </c>
      <c r="K4935" t="s">
        <v>4198</v>
      </c>
      <c r="L4935" t="s">
        <v>4199</v>
      </c>
      <c r="M4935" t="s">
        <v>4200</v>
      </c>
      <c r="N4935" t="s">
        <v>4201</v>
      </c>
      <c r="O4935" t="s">
        <v>4202</v>
      </c>
    </row>
    <row r="4936" spans="1:15">
      <c r="A4936" s="22" t="s">
        <v>298</v>
      </c>
      <c r="B4936" s="22" t="str">
        <f ca="1">IF(ISBLANK(OFFSET(B4936,0,'Field labels'!$Q$1)),C4936,OFFSET(B4936,0,'Field labels'!$Q$1))</f>
        <v>Personal</v>
      </c>
      <c r="C4936" s="22" t="s">
        <v>425</v>
      </c>
      <c r="D4936" t="s">
        <v>1643</v>
      </c>
      <c r="E4936" t="s">
        <v>425</v>
      </c>
      <c r="F4936" t="s">
        <v>1644</v>
      </c>
      <c r="G4936" t="s">
        <v>1645</v>
      </c>
      <c r="H4936" t="s">
        <v>1646</v>
      </c>
      <c r="I4936" t="s">
        <v>1647</v>
      </c>
      <c r="J4936" t="s">
        <v>4203</v>
      </c>
      <c r="K4936" t="s">
        <v>1648</v>
      </c>
      <c r="L4936" t="s">
        <v>1649</v>
      </c>
      <c r="M4936" t="s">
        <v>425</v>
      </c>
      <c r="N4936" t="s">
        <v>4204</v>
      </c>
      <c r="O4936" t="s">
        <v>1650</v>
      </c>
    </row>
    <row r="4937" spans="1:15">
      <c r="A4937" t="s">
        <v>295</v>
      </c>
      <c r="B4937" t="str">
        <f ca="1">IF(ISBLANK(OFFSET(B4937,0,'Field labels'!$Q$1)),C4937,OFFSET(B4937,0,'Field labels'!$Q$1))</f>
        <v>Female</v>
      </c>
      <c r="C4937" t="s">
        <v>373</v>
      </c>
      <c r="D4937" t="s">
        <v>4214</v>
      </c>
      <c r="E4937" t="s">
        <v>373</v>
      </c>
      <c r="F4937" t="s">
        <v>4215</v>
      </c>
      <c r="G4937" t="s">
        <v>4216</v>
      </c>
      <c r="H4937" t="s">
        <v>4217</v>
      </c>
      <c r="I4937" t="s">
        <v>4218</v>
      </c>
      <c r="J4937" t="s">
        <v>4219</v>
      </c>
      <c r="K4937" t="s">
        <v>2640</v>
      </c>
      <c r="L4937" t="s">
        <v>4220</v>
      </c>
      <c r="M4937" t="s">
        <v>4221</v>
      </c>
      <c r="N4937" t="s">
        <v>4222</v>
      </c>
      <c r="O4937" t="s">
        <v>4223</v>
      </c>
    </row>
    <row r="4938" spans="1:15">
      <c r="A4938" t="s">
        <v>295</v>
      </c>
      <c r="B4938" t="str">
        <f ca="1">IF(ISBLANK(OFFSET(B4938,0,'Field labels'!$Q$1)),C4938,OFFSET(B4938,0,'Field labels'!$Q$1))</f>
        <v>Male</v>
      </c>
      <c r="C4938" t="s">
        <v>374</v>
      </c>
      <c r="D4938" t="s">
        <v>4205</v>
      </c>
      <c r="E4938" t="s">
        <v>374</v>
      </c>
      <c r="F4938" t="s">
        <v>4206</v>
      </c>
      <c r="G4938" t="s">
        <v>4207</v>
      </c>
      <c r="H4938" t="s">
        <v>4208</v>
      </c>
      <c r="I4938" t="s">
        <v>4209</v>
      </c>
      <c r="J4938" t="s">
        <v>4210</v>
      </c>
      <c r="K4938" t="s">
        <v>2641</v>
      </c>
      <c r="L4938" t="s">
        <v>4211</v>
      </c>
      <c r="M4938" t="s">
        <v>4212</v>
      </c>
      <c r="N4938" t="s">
        <v>427</v>
      </c>
      <c r="O4938" t="s">
        <v>4213</v>
      </c>
    </row>
    <row r="4939" spans="1:15">
      <c r="A4939" t="s">
        <v>295</v>
      </c>
      <c r="B4939" t="str">
        <f ca="1">IF(ISBLANK(OFFSET(B4939,0,'Field labels'!$Q$1)),C4939,OFFSET(B4939,0,'Field labels'!$Q$1))</f>
        <v>Others</v>
      </c>
      <c r="C4939" t="s">
        <v>4616</v>
      </c>
      <c r="D4939" s="77" t="s">
        <v>4632</v>
      </c>
      <c r="E4939" s="77" t="s">
        <v>4616</v>
      </c>
      <c r="F4939" s="77" t="s">
        <v>4633</v>
      </c>
      <c r="G4939" s="77" t="s">
        <v>4634</v>
      </c>
      <c r="H4939" s="77" t="s">
        <v>4635</v>
      </c>
      <c r="I4939" s="77" t="s">
        <v>4636</v>
      </c>
      <c r="J4939" s="77" t="s">
        <v>4637</v>
      </c>
      <c r="K4939" s="77" t="s">
        <v>4638</v>
      </c>
      <c r="L4939" s="77" t="s">
        <v>4639</v>
      </c>
      <c r="M4939" s="77" t="s">
        <v>4640</v>
      </c>
      <c r="N4939" s="77" t="s">
        <v>4641</v>
      </c>
      <c r="O4939" s="77" t="s">
        <v>4642</v>
      </c>
    </row>
    <row r="4940" spans="1:15">
      <c r="A4940" t="s">
        <v>295</v>
      </c>
      <c r="B4940" t="str">
        <f ca="1">IF(ISBLANK(OFFSET(B4940,0,'Field labels'!$Q$1)),C4940,OFFSET(B4940,0,'Field labels'!$Q$1))</f>
        <v>Undeclared</v>
      </c>
      <c r="C4940" t="s">
        <v>4615</v>
      </c>
      <c r="D4940" s="77" t="s">
        <v>4621</v>
      </c>
      <c r="E4940" s="77" t="s">
        <v>4615</v>
      </c>
      <c r="F4940" s="77" t="s">
        <v>4622</v>
      </c>
      <c r="G4940" s="77" t="s">
        <v>4623</v>
      </c>
      <c r="H4940" s="77" t="s">
        <v>4624</v>
      </c>
      <c r="I4940" s="77" t="s">
        <v>4625</v>
      </c>
      <c r="J4940" s="77" t="s">
        <v>4626</v>
      </c>
      <c r="K4940" s="77" t="s">
        <v>4627</v>
      </c>
      <c r="L4940" s="77" t="s">
        <v>4628</v>
      </c>
      <c r="M4940" s="77" t="s">
        <v>4629</v>
      </c>
      <c r="N4940" s="77" t="s">
        <v>4630</v>
      </c>
      <c r="O4940" s="77" t="s">
        <v>4631</v>
      </c>
    </row>
    <row r="4941" spans="1:15" ht="30">
      <c r="A4941" t="s">
        <v>295</v>
      </c>
      <c r="B4941" t="str">
        <f ca="1">IF(ISBLANK(OFFSET(B4941,0,'Field labels'!$Q$1)),C4941,OFFSET(B4941,0,'Field labels'!$Q$1))</f>
        <v>Unknown</v>
      </c>
      <c r="C4941" t="s">
        <v>375</v>
      </c>
      <c r="D4941" t="s">
        <v>1284</v>
      </c>
      <c r="E4941" t="s">
        <v>375</v>
      </c>
      <c r="F4941" t="s">
        <v>1285</v>
      </c>
      <c r="G4941" t="s">
        <v>4617</v>
      </c>
      <c r="H4941" t="s">
        <v>1287</v>
      </c>
      <c r="I4941" t="s">
        <v>1288</v>
      </c>
      <c r="J4941" t="s">
        <v>4246</v>
      </c>
      <c r="K4941" t="s">
        <v>1289</v>
      </c>
      <c r="L4941" t="s">
        <v>1290</v>
      </c>
      <c r="M4941" s="29" t="s">
        <v>4618</v>
      </c>
      <c r="N4941" t="s">
        <v>4619</v>
      </c>
      <c r="O4941" t="s">
        <v>4620</v>
      </c>
    </row>
    <row r="4942" spans="1:15">
      <c r="A4942" t="s">
        <v>296</v>
      </c>
      <c r="B4942" t="str">
        <f ca="1">IF(ISBLANK(OFFSET(B4942,0,'Field labels'!$Q$1)),C4942,OFFSET(B4942,0,'Field labels'!$Q$1))</f>
        <v>Cohabitation</v>
      </c>
      <c r="C4942" t="s">
        <v>379</v>
      </c>
      <c r="D4942" t="s">
        <v>1315</v>
      </c>
      <c r="E4942" t="s">
        <v>379</v>
      </c>
      <c r="F4942" t="s">
        <v>4262</v>
      </c>
      <c r="G4942" t="s">
        <v>1316</v>
      </c>
      <c r="H4942" t="s">
        <v>1317</v>
      </c>
      <c r="I4942" t="s">
        <v>1318</v>
      </c>
      <c r="J4942" t="s">
        <v>3862</v>
      </c>
      <c r="K4942" t="s">
        <v>1319</v>
      </c>
      <c r="L4942" t="s">
        <v>1320</v>
      </c>
      <c r="M4942" t="s">
        <v>4263</v>
      </c>
      <c r="N4942" t="s">
        <v>4264</v>
      </c>
      <c r="O4942" t="s">
        <v>1321</v>
      </c>
    </row>
    <row r="4943" spans="1:15">
      <c r="A4943" t="s">
        <v>296</v>
      </c>
      <c r="B4943" t="str">
        <f ca="1">IF(ISBLANK(OFFSET(B4943,0,'Field labels'!$Q$1)),C4943,OFFSET(B4943,0,'Field labels'!$Q$1))</f>
        <v>Cohabitation with Contract (Netherlands)</v>
      </c>
      <c r="C4943" t="s">
        <v>384</v>
      </c>
      <c r="D4943" t="s">
        <v>1351</v>
      </c>
      <c r="E4943" t="s">
        <v>384</v>
      </c>
      <c r="F4943" t="s">
        <v>4235</v>
      </c>
      <c r="G4943" t="s">
        <v>1352</v>
      </c>
      <c r="H4943" t="s">
        <v>1353</v>
      </c>
      <c r="I4943" t="s">
        <v>1354</v>
      </c>
      <c r="J4943" t="s">
        <v>4236</v>
      </c>
      <c r="K4943" t="s">
        <v>1355</v>
      </c>
      <c r="L4943" t="s">
        <v>1356</v>
      </c>
      <c r="M4943" t="s">
        <v>4237</v>
      </c>
      <c r="N4943" t="s">
        <v>4238</v>
      </c>
      <c r="O4943" t="s">
        <v>1357</v>
      </c>
    </row>
    <row r="4944" spans="1:15">
      <c r="A4944" t="s">
        <v>296</v>
      </c>
      <c r="B4944" t="str">
        <f ca="1">IF(ISBLANK(OFFSET(B4944,0,'Field labels'!$Q$1)),C4944,OFFSET(B4944,0,'Field labels'!$Q$1))</f>
        <v>Cohabitation without Contract (Netherlands)</v>
      </c>
      <c r="C4944" t="s">
        <v>385</v>
      </c>
      <c r="D4944" t="s">
        <v>1358</v>
      </c>
      <c r="E4944" t="s">
        <v>385</v>
      </c>
      <c r="F4944" t="s">
        <v>4239</v>
      </c>
      <c r="G4944" t="s">
        <v>1359</v>
      </c>
      <c r="H4944" t="s">
        <v>1360</v>
      </c>
      <c r="I4944" t="s">
        <v>1361</v>
      </c>
      <c r="J4944" t="s">
        <v>4240</v>
      </c>
      <c r="K4944" t="s">
        <v>1362</v>
      </c>
      <c r="L4944" t="s">
        <v>1363</v>
      </c>
      <c r="M4944" t="s">
        <v>4241</v>
      </c>
      <c r="N4944" t="s">
        <v>4242</v>
      </c>
      <c r="O4944" t="s">
        <v>1364</v>
      </c>
    </row>
    <row r="4945" spans="1:15">
      <c r="A4945" t="s">
        <v>296</v>
      </c>
      <c r="B4945" t="str">
        <f ca="1">IF(ISBLANK(OFFSET(B4945,0,'Field labels'!$Q$1)),C4945,OFFSET(B4945,0,'Field labels'!$Q$1))</f>
        <v>Divorced</v>
      </c>
      <c r="C4945" t="s">
        <v>381</v>
      </c>
      <c r="D4945" t="s">
        <v>1322</v>
      </c>
      <c r="E4945" t="s">
        <v>381</v>
      </c>
      <c r="F4945" t="s">
        <v>4224</v>
      </c>
      <c r="G4945" t="s">
        <v>1329</v>
      </c>
      <c r="H4945" t="s">
        <v>1330</v>
      </c>
      <c r="I4945" t="s">
        <v>1331</v>
      </c>
      <c r="J4945" t="s">
        <v>4225</v>
      </c>
      <c r="K4945" t="s">
        <v>1332</v>
      </c>
      <c r="L4945" t="s">
        <v>1333</v>
      </c>
      <c r="M4945" t="s">
        <v>4226</v>
      </c>
      <c r="N4945" t="s">
        <v>4227</v>
      </c>
      <c r="O4945" t="s">
        <v>1334</v>
      </c>
    </row>
    <row r="4946" spans="1:15">
      <c r="A4946" t="s">
        <v>296</v>
      </c>
      <c r="B4946" t="str">
        <f ca="1">IF(ISBLANK(OFFSET(B4946,0,'Field labels'!$Q$1)),C4946,OFFSET(B4946,0,'Field labels'!$Q$1))</f>
        <v>Head of Household</v>
      </c>
      <c r="C4946" t="s">
        <v>382</v>
      </c>
      <c r="D4946" t="s">
        <v>1335</v>
      </c>
      <c r="E4946" t="s">
        <v>382</v>
      </c>
      <c r="F4946" t="s">
        <v>1336</v>
      </c>
      <c r="G4946" t="s">
        <v>1337</v>
      </c>
      <c r="H4946" t="s">
        <v>1338</v>
      </c>
      <c r="I4946" t="s">
        <v>1339</v>
      </c>
      <c r="J4946" t="s">
        <v>4232</v>
      </c>
      <c r="K4946" t="s">
        <v>1340</v>
      </c>
      <c r="L4946" t="s">
        <v>1341</v>
      </c>
      <c r="M4946" t="s">
        <v>4233</v>
      </c>
      <c r="N4946" t="s">
        <v>4234</v>
      </c>
      <c r="O4946" t="s">
        <v>1342</v>
      </c>
    </row>
    <row r="4947" spans="1:15">
      <c r="A4947" t="s">
        <v>296</v>
      </c>
      <c r="B4947" t="str">
        <f ca="1">IF(ISBLANK(OFFSET(B4947,0,'Field labels'!$Q$1)),C4947,OFFSET(B4947,0,'Field labels'!$Q$1))</f>
        <v>Married</v>
      </c>
      <c r="C4947" t="s">
        <v>378</v>
      </c>
      <c r="D4947" t="s">
        <v>1307</v>
      </c>
      <c r="E4947" t="s">
        <v>378</v>
      </c>
      <c r="F4947" t="s">
        <v>1308</v>
      </c>
      <c r="G4947" t="s">
        <v>1309</v>
      </c>
      <c r="H4947" t="s">
        <v>1310</v>
      </c>
      <c r="I4947" t="s">
        <v>1311</v>
      </c>
      <c r="J4947" t="s">
        <v>4252</v>
      </c>
      <c r="K4947" t="s">
        <v>1312</v>
      </c>
      <c r="L4947" t="s">
        <v>1313</v>
      </c>
      <c r="M4947" t="s">
        <v>4253</v>
      </c>
      <c r="N4947" t="s">
        <v>4254</v>
      </c>
      <c r="O4947" t="s">
        <v>1314</v>
      </c>
    </row>
    <row r="4948" spans="1:15">
      <c r="A4948" t="s">
        <v>296</v>
      </c>
      <c r="B4948" t="str">
        <f ca="1">IF(ISBLANK(OFFSET(B4948,0,'Field labels'!$Q$1)),C4948,OFFSET(B4948,0,'Field labels'!$Q$1))</f>
        <v>PACS (France)</v>
      </c>
      <c r="C4948" t="s">
        <v>386</v>
      </c>
      <c r="D4948" t="s">
        <v>1365</v>
      </c>
      <c r="E4948" t="s">
        <v>386</v>
      </c>
      <c r="F4948" t="s">
        <v>4259</v>
      </c>
      <c r="G4948" t="s">
        <v>1366</v>
      </c>
      <c r="H4948" t="s">
        <v>1367</v>
      </c>
      <c r="I4948" t="s">
        <v>1368</v>
      </c>
      <c r="J4948" t="s">
        <v>4260</v>
      </c>
      <c r="K4948" t="s">
        <v>1369</v>
      </c>
      <c r="L4948" t="s">
        <v>1370</v>
      </c>
      <c r="M4948" t="s">
        <v>4261</v>
      </c>
      <c r="N4948" t="s">
        <v>1370</v>
      </c>
      <c r="O4948" t="s">
        <v>1371</v>
      </c>
    </row>
    <row r="4949" spans="1:15">
      <c r="A4949" t="s">
        <v>296</v>
      </c>
      <c r="B4949" t="str">
        <f ca="1">IF(ISBLANK(OFFSET(B4949,0,'Field labels'!$Q$1)),C4949,OFFSET(B4949,0,'Field labels'!$Q$1))</f>
        <v>Partnership</v>
      </c>
      <c r="C4949" t="s">
        <v>383</v>
      </c>
      <c r="D4949" t="s">
        <v>1343</v>
      </c>
      <c r="E4949" t="s">
        <v>383</v>
      </c>
      <c r="F4949" t="s">
        <v>1344</v>
      </c>
      <c r="G4949" t="s">
        <v>1345</v>
      </c>
      <c r="H4949" t="s">
        <v>1346</v>
      </c>
      <c r="I4949" t="s">
        <v>1347</v>
      </c>
      <c r="J4949" t="s">
        <v>4243</v>
      </c>
      <c r="K4949" t="s">
        <v>1348</v>
      </c>
      <c r="L4949" t="s">
        <v>1349</v>
      </c>
      <c r="M4949" t="s">
        <v>4244</v>
      </c>
      <c r="N4949" t="s">
        <v>4245</v>
      </c>
      <c r="O4949" t="s">
        <v>1350</v>
      </c>
    </row>
    <row r="4950" spans="1:15">
      <c r="A4950" t="s">
        <v>296</v>
      </c>
      <c r="B4950" t="str">
        <f ca="1">IF(ISBLANK(OFFSET(B4950,0,'Field labels'!$Q$1)),C4950,OFFSET(B4950,0,'Field labels'!$Q$1))</f>
        <v>Separated</v>
      </c>
      <c r="C4950" t="s">
        <v>380</v>
      </c>
      <c r="D4950" t="s">
        <v>1322</v>
      </c>
      <c r="E4950" t="s">
        <v>380</v>
      </c>
      <c r="F4950" t="s">
        <v>4228</v>
      </c>
      <c r="G4950" t="s">
        <v>1323</v>
      </c>
      <c r="H4950" t="s">
        <v>1324</v>
      </c>
      <c r="I4950" t="s">
        <v>1325</v>
      </c>
      <c r="J4950" t="s">
        <v>4229</v>
      </c>
      <c r="K4950" t="s">
        <v>1326</v>
      </c>
      <c r="L4950" t="s">
        <v>1327</v>
      </c>
      <c r="M4950" t="s">
        <v>4230</v>
      </c>
      <c r="N4950" t="s">
        <v>4231</v>
      </c>
      <c r="O4950" t="s">
        <v>1328</v>
      </c>
    </row>
    <row r="4951" spans="1:15">
      <c r="A4951" t="s">
        <v>296</v>
      </c>
      <c r="B4951" t="str">
        <f ca="1">IF(ISBLANK(OFFSET(B4951,0,'Field labels'!$Q$1)),C4951,OFFSET(B4951,0,'Field labels'!$Q$1))</f>
        <v>Single</v>
      </c>
      <c r="C4951" t="s">
        <v>376</v>
      </c>
      <c r="D4951" t="s">
        <v>1292</v>
      </c>
      <c r="E4951" t="s">
        <v>376</v>
      </c>
      <c r="F4951" t="s">
        <v>1293</v>
      </c>
      <c r="G4951" t="s">
        <v>1294</v>
      </c>
      <c r="H4951" t="s">
        <v>1295</v>
      </c>
      <c r="I4951" t="s">
        <v>1296</v>
      </c>
      <c r="J4951" t="s">
        <v>4249</v>
      </c>
      <c r="K4951" t="s">
        <v>1297</v>
      </c>
      <c r="L4951" t="s">
        <v>1298</v>
      </c>
      <c r="M4951" t="s">
        <v>4250</v>
      </c>
      <c r="N4951" t="s">
        <v>4251</v>
      </c>
      <c r="O4951" t="s">
        <v>1299</v>
      </c>
    </row>
    <row r="4952" spans="1:15">
      <c r="A4952" t="s">
        <v>296</v>
      </c>
      <c r="B4952" t="str">
        <f ca="1">IF(ISBLANK(OFFSET(B4952,0,'Field labels'!$Q$1)),C4952,OFFSET(B4952,0,'Field labels'!$Q$1))</f>
        <v>Unknown</v>
      </c>
      <c r="C4952" t="s">
        <v>375</v>
      </c>
      <c r="D4952" t="s">
        <v>1284</v>
      </c>
      <c r="E4952" t="s">
        <v>375</v>
      </c>
      <c r="F4952" t="s">
        <v>1285</v>
      </c>
      <c r="G4952" t="s">
        <v>1286</v>
      </c>
      <c r="H4952" t="s">
        <v>1287</v>
      </c>
      <c r="I4952" t="s">
        <v>1288</v>
      </c>
      <c r="J4952" t="s">
        <v>4246</v>
      </c>
      <c r="K4952" t="s">
        <v>1289</v>
      </c>
      <c r="L4952" t="s">
        <v>1290</v>
      </c>
      <c r="M4952" t="s">
        <v>4247</v>
      </c>
      <c r="N4952" t="s">
        <v>4248</v>
      </c>
      <c r="O4952" t="s">
        <v>1291</v>
      </c>
    </row>
    <row r="4953" spans="1:15">
      <c r="A4953" t="s">
        <v>296</v>
      </c>
      <c r="B4953" t="str">
        <f ca="1">IF(ISBLANK(OFFSET(B4953,0,'Field labels'!$Q$1)),C4953,OFFSET(B4953,0,'Field labels'!$Q$1))</f>
        <v>Widow</v>
      </c>
      <c r="C4953" t="s">
        <v>377</v>
      </c>
      <c r="D4953" t="s">
        <v>1300</v>
      </c>
      <c r="E4953" t="s">
        <v>377</v>
      </c>
      <c r="F4953" t="s">
        <v>4255</v>
      </c>
      <c r="G4953" t="s">
        <v>1301</v>
      </c>
      <c r="H4953" t="s">
        <v>1302</v>
      </c>
      <c r="I4953" t="s">
        <v>1303</v>
      </c>
      <c r="J4953" t="s">
        <v>4256</v>
      </c>
      <c r="K4953" t="s">
        <v>1304</v>
      </c>
      <c r="L4953" t="s">
        <v>1305</v>
      </c>
      <c r="M4953" t="s">
        <v>4257</v>
      </c>
      <c r="N4953" t="s">
        <v>4258</v>
      </c>
      <c r="O4953" t="s">
        <v>1306</v>
      </c>
    </row>
    <row r="4954" spans="1:15">
      <c r="A4954" t="s">
        <v>297</v>
      </c>
      <c r="B4954" t="str">
        <f ca="1">IF(ISBLANK(OFFSET(B4954,0,'Field labels'!$Q$1)),C4954,OFFSET(B4954,0,'Field labels'!$Q$1))</f>
        <v>Afrikaans</v>
      </c>
      <c r="C4954" t="s">
        <v>387</v>
      </c>
      <c r="D4954" t="s">
        <v>387</v>
      </c>
      <c r="E4954" t="s">
        <v>387</v>
      </c>
      <c r="F4954" t="s">
        <v>387</v>
      </c>
      <c r="G4954" t="s">
        <v>387</v>
      </c>
      <c r="H4954" t="s">
        <v>387</v>
      </c>
      <c r="I4954" t="s">
        <v>387</v>
      </c>
      <c r="J4954" t="s">
        <v>387</v>
      </c>
      <c r="K4954" t="s">
        <v>387</v>
      </c>
      <c r="L4954" t="s">
        <v>387</v>
      </c>
      <c r="N4954" t="s">
        <v>387</v>
      </c>
      <c r="O4954" t="s">
        <v>387</v>
      </c>
    </row>
    <row r="4955" spans="1:15">
      <c r="A4955" t="s">
        <v>297</v>
      </c>
      <c r="B4955" t="str">
        <f ca="1">IF(ISBLANK(OFFSET(B4955,0,'Field labels'!$Q$1)),C4955,OFFSET(B4955,0,'Field labels'!$Q$1))</f>
        <v>Albanian</v>
      </c>
      <c r="C4955" t="s">
        <v>211</v>
      </c>
      <c r="D4955" t="s">
        <v>211</v>
      </c>
      <c r="E4955" t="s">
        <v>211</v>
      </c>
      <c r="F4955" t="s">
        <v>211</v>
      </c>
      <c r="G4955" t="s">
        <v>211</v>
      </c>
      <c r="H4955" t="s">
        <v>211</v>
      </c>
      <c r="I4955" t="s">
        <v>211</v>
      </c>
      <c r="J4955" t="s">
        <v>211</v>
      </c>
      <c r="K4955" t="s">
        <v>211</v>
      </c>
      <c r="L4955" t="s">
        <v>211</v>
      </c>
      <c r="N4955" t="s">
        <v>211</v>
      </c>
      <c r="O4955" t="s">
        <v>211</v>
      </c>
    </row>
    <row r="4956" spans="1:15">
      <c r="A4956" t="s">
        <v>297</v>
      </c>
      <c r="B4956" t="str">
        <f ca="1">IF(ISBLANK(OFFSET(B4956,0,'Field labels'!$Q$1)),C4956,OFFSET(B4956,0,'Field labels'!$Q$1))</f>
        <v>Amharic</v>
      </c>
      <c r="C4956" t="s">
        <v>388</v>
      </c>
      <c r="D4956" t="s">
        <v>1372</v>
      </c>
      <c r="E4956" t="s">
        <v>388</v>
      </c>
      <c r="F4956" t="s">
        <v>1373</v>
      </c>
      <c r="G4956" t="s">
        <v>1374</v>
      </c>
      <c r="H4956" t="s">
        <v>1375</v>
      </c>
      <c r="I4956" t="s">
        <v>1376</v>
      </c>
      <c r="K4956" t="s">
        <v>1377</v>
      </c>
      <c r="L4956" t="s">
        <v>1378</v>
      </c>
      <c r="N4956" t="s">
        <v>1379</v>
      </c>
      <c r="O4956" t="s">
        <v>1380</v>
      </c>
    </row>
    <row r="4957" spans="1:15">
      <c r="A4957" t="s">
        <v>297</v>
      </c>
      <c r="B4957" t="str">
        <f ca="1">IF(ISBLANK(OFFSET(B4957,0,'Field labels'!$Q$1)),C4957,OFFSET(B4957,0,'Field labels'!$Q$1))</f>
        <v>Arabic</v>
      </c>
      <c r="C4957" t="s">
        <v>389</v>
      </c>
      <c r="D4957" t="s">
        <v>1381</v>
      </c>
      <c r="E4957" t="s">
        <v>389</v>
      </c>
      <c r="F4957" t="s">
        <v>1382</v>
      </c>
      <c r="G4957" t="s">
        <v>1381</v>
      </c>
      <c r="H4957" t="s">
        <v>1383</v>
      </c>
      <c r="I4957" t="s">
        <v>1384</v>
      </c>
      <c r="K4957" t="s">
        <v>1385</v>
      </c>
      <c r="L4957" t="s">
        <v>1386</v>
      </c>
      <c r="N4957" t="s">
        <v>1386</v>
      </c>
      <c r="O4957" t="s">
        <v>1387</v>
      </c>
    </row>
    <row r="4958" spans="1:15">
      <c r="A4958" t="s">
        <v>297</v>
      </c>
      <c r="B4958" t="str">
        <f ca="1">IF(ISBLANK(OFFSET(B4958,0,'Field labels'!$Q$1)),C4958,OFFSET(B4958,0,'Field labels'!$Q$1))</f>
        <v>Armenian</v>
      </c>
      <c r="C4958" t="s">
        <v>212</v>
      </c>
      <c r="D4958" t="s">
        <v>212</v>
      </c>
      <c r="E4958" t="s">
        <v>212</v>
      </c>
      <c r="F4958" t="s">
        <v>212</v>
      </c>
      <c r="G4958" t="s">
        <v>212</v>
      </c>
      <c r="H4958" t="s">
        <v>212</v>
      </c>
      <c r="I4958" t="s">
        <v>212</v>
      </c>
      <c r="J4958" t="s">
        <v>212</v>
      </c>
      <c r="K4958" t="s">
        <v>212</v>
      </c>
      <c r="L4958" t="s">
        <v>212</v>
      </c>
      <c r="N4958" t="s">
        <v>212</v>
      </c>
      <c r="O4958" t="s">
        <v>212</v>
      </c>
    </row>
    <row r="4959" spans="1:15">
      <c r="A4959" t="s">
        <v>297</v>
      </c>
      <c r="B4959" t="str">
        <f ca="1">IF(ISBLANK(OFFSET(B4959,0,'Field labels'!$Q$1)),C4959,OFFSET(B4959,0,'Field labels'!$Q$1))</f>
        <v>Bengali</v>
      </c>
      <c r="C4959" t="s">
        <v>390</v>
      </c>
      <c r="D4959" t="s">
        <v>1388</v>
      </c>
      <c r="E4959" t="s">
        <v>390</v>
      </c>
      <c r="F4959" t="s">
        <v>390</v>
      </c>
      <c r="G4959" t="s">
        <v>390</v>
      </c>
      <c r="H4959" t="s">
        <v>1389</v>
      </c>
      <c r="I4959" t="s">
        <v>1390</v>
      </c>
      <c r="K4959" t="s">
        <v>1391</v>
      </c>
      <c r="L4959" t="s">
        <v>1392</v>
      </c>
      <c r="N4959" t="s">
        <v>1393</v>
      </c>
      <c r="O4959" t="s">
        <v>1394</v>
      </c>
    </row>
    <row r="4960" spans="1:15">
      <c r="A4960" t="s">
        <v>297</v>
      </c>
      <c r="B4960" t="str">
        <f ca="1">IF(ISBLANK(OFFSET(B4960,0,'Field labels'!$Q$1)),C4960,OFFSET(B4960,0,'Field labels'!$Q$1))</f>
        <v>Bosnian</v>
      </c>
      <c r="C4960" t="s">
        <v>213</v>
      </c>
      <c r="D4960" t="s">
        <v>213</v>
      </c>
      <c r="E4960" t="s">
        <v>213</v>
      </c>
      <c r="F4960" t="s">
        <v>213</v>
      </c>
      <c r="G4960" t="s">
        <v>213</v>
      </c>
      <c r="H4960" t="s">
        <v>213</v>
      </c>
      <c r="I4960" t="s">
        <v>213</v>
      </c>
      <c r="J4960" t="s">
        <v>213</v>
      </c>
      <c r="K4960" t="s">
        <v>213</v>
      </c>
      <c r="L4960" t="s">
        <v>213</v>
      </c>
      <c r="N4960" t="s">
        <v>213</v>
      </c>
      <c r="O4960" t="s">
        <v>213</v>
      </c>
    </row>
    <row r="4961" spans="1:15">
      <c r="A4961" t="s">
        <v>297</v>
      </c>
      <c r="B4961" t="str">
        <f ca="1">IF(ISBLANK(OFFSET(B4961,0,'Field labels'!$Q$1)),C4961,OFFSET(B4961,0,'Field labels'!$Q$1))</f>
        <v>Bulgarian</v>
      </c>
      <c r="C4961" t="s">
        <v>214</v>
      </c>
      <c r="D4961" t="s">
        <v>214</v>
      </c>
      <c r="E4961" t="s">
        <v>214</v>
      </c>
      <c r="F4961" t="s">
        <v>214</v>
      </c>
      <c r="G4961" t="s">
        <v>214</v>
      </c>
      <c r="H4961" t="s">
        <v>214</v>
      </c>
      <c r="I4961" t="s">
        <v>214</v>
      </c>
      <c r="J4961" t="s">
        <v>214</v>
      </c>
      <c r="K4961" t="s">
        <v>214</v>
      </c>
      <c r="L4961" t="s">
        <v>214</v>
      </c>
      <c r="N4961" t="s">
        <v>214</v>
      </c>
      <c r="O4961" t="s">
        <v>214</v>
      </c>
    </row>
    <row r="4962" spans="1:15">
      <c r="A4962" t="s">
        <v>297</v>
      </c>
      <c r="B4962" t="str">
        <f ca="1">IF(ISBLANK(OFFSET(B4962,0,'Field labels'!$Q$1)),C4962,OFFSET(B4962,0,'Field labels'!$Q$1))</f>
        <v>Burmese</v>
      </c>
      <c r="C4962" t="s">
        <v>391</v>
      </c>
      <c r="D4962" t="s">
        <v>1395</v>
      </c>
      <c r="E4962" t="s">
        <v>391</v>
      </c>
      <c r="F4962" t="s">
        <v>1396</v>
      </c>
      <c r="G4962" t="s">
        <v>1397</v>
      </c>
      <c r="H4962" t="s">
        <v>1398</v>
      </c>
      <c r="I4962" t="s">
        <v>1399</v>
      </c>
      <c r="K4962" t="s">
        <v>1400</v>
      </c>
      <c r="L4962" t="s">
        <v>1401</v>
      </c>
      <c r="N4962" t="s">
        <v>1399</v>
      </c>
      <c r="O4962" t="s">
        <v>1402</v>
      </c>
    </row>
    <row r="4963" spans="1:15">
      <c r="A4963" t="s">
        <v>297</v>
      </c>
      <c r="B4963" t="str">
        <f ca="1">IF(ISBLANK(OFFSET(B4963,0,'Field labels'!$Q$1)),C4963,OFFSET(B4963,0,'Field labels'!$Q$1))</f>
        <v>Cambodian/Kampuchea</v>
      </c>
      <c r="C4963" t="s">
        <v>217</v>
      </c>
      <c r="D4963" t="s">
        <v>217</v>
      </c>
      <c r="E4963" t="s">
        <v>217</v>
      </c>
      <c r="F4963" t="s">
        <v>217</v>
      </c>
      <c r="G4963" t="s">
        <v>217</v>
      </c>
      <c r="H4963" t="s">
        <v>217</v>
      </c>
      <c r="I4963" t="s">
        <v>217</v>
      </c>
      <c r="J4963" t="s">
        <v>217</v>
      </c>
      <c r="K4963" t="s">
        <v>217</v>
      </c>
      <c r="L4963" t="s">
        <v>217</v>
      </c>
      <c r="N4963" t="s">
        <v>217</v>
      </c>
      <c r="O4963" t="s">
        <v>217</v>
      </c>
    </row>
    <row r="4964" spans="1:15">
      <c r="A4964" t="s">
        <v>297</v>
      </c>
      <c r="B4964" t="str">
        <f ca="1">IF(ISBLANK(OFFSET(B4964,0,'Field labels'!$Q$1)),C4964,OFFSET(B4964,0,'Field labels'!$Q$1))</f>
        <v>Cantonese</v>
      </c>
      <c r="C4964" t="s">
        <v>215</v>
      </c>
      <c r="D4964" t="s">
        <v>215</v>
      </c>
      <c r="E4964" t="s">
        <v>215</v>
      </c>
      <c r="F4964" t="s">
        <v>215</v>
      </c>
      <c r="G4964" t="s">
        <v>215</v>
      </c>
      <c r="H4964" t="s">
        <v>215</v>
      </c>
      <c r="I4964" t="s">
        <v>215</v>
      </c>
      <c r="J4964" t="s">
        <v>215</v>
      </c>
      <c r="K4964" t="s">
        <v>215</v>
      </c>
      <c r="L4964" t="s">
        <v>215</v>
      </c>
      <c r="N4964" t="s">
        <v>215</v>
      </c>
      <c r="O4964" t="s">
        <v>215</v>
      </c>
    </row>
    <row r="4965" spans="1:15">
      <c r="A4965" t="s">
        <v>297</v>
      </c>
      <c r="B4965" t="str">
        <f ca="1">IF(ISBLANK(OFFSET(B4965,0,'Field labels'!$Q$1)),C4965,OFFSET(B4965,0,'Field labels'!$Q$1))</f>
        <v>Catalan</v>
      </c>
      <c r="C4965" t="s">
        <v>216</v>
      </c>
      <c r="D4965" t="s">
        <v>216</v>
      </c>
      <c r="E4965" t="s">
        <v>216</v>
      </c>
      <c r="F4965" t="s">
        <v>216</v>
      </c>
      <c r="G4965" t="s">
        <v>216</v>
      </c>
      <c r="H4965" t="s">
        <v>216</v>
      </c>
      <c r="I4965" t="s">
        <v>216</v>
      </c>
      <c r="J4965" t="s">
        <v>216</v>
      </c>
      <c r="K4965" t="s">
        <v>216</v>
      </c>
      <c r="L4965" t="s">
        <v>216</v>
      </c>
      <c r="N4965" t="s">
        <v>216</v>
      </c>
      <c r="O4965" t="s">
        <v>216</v>
      </c>
    </row>
    <row r="4966" spans="1:15">
      <c r="A4966" t="s">
        <v>297</v>
      </c>
      <c r="B4966" t="str">
        <f ca="1">IF(ISBLANK(OFFSET(B4966,0,'Field labels'!$Q$1)),C4966,OFFSET(B4966,0,'Field labels'!$Q$1))</f>
        <v>Chinese</v>
      </c>
      <c r="C4966" t="s">
        <v>392</v>
      </c>
      <c r="D4966" t="s">
        <v>1403</v>
      </c>
      <c r="E4966" t="s">
        <v>392</v>
      </c>
      <c r="F4966" t="s">
        <v>1404</v>
      </c>
      <c r="G4966" t="s">
        <v>1405</v>
      </c>
      <c r="H4966" t="s">
        <v>1406</v>
      </c>
      <c r="I4966" t="s">
        <v>1407</v>
      </c>
      <c r="K4966" t="s">
        <v>1408</v>
      </c>
      <c r="L4966" t="s">
        <v>1409</v>
      </c>
      <c r="N4966" t="s">
        <v>1410</v>
      </c>
      <c r="O4966" t="s">
        <v>1411</v>
      </c>
    </row>
    <row r="4967" spans="1:15">
      <c r="A4967" t="s">
        <v>297</v>
      </c>
      <c r="B4967" t="str">
        <f ca="1">IF(ISBLANK(OFFSET(B4967,0,'Field labels'!$Q$1)),C4967,OFFSET(B4967,0,'Field labels'!$Q$1))</f>
        <v>Croatian</v>
      </c>
      <c r="C4967" t="s">
        <v>218</v>
      </c>
      <c r="D4967" t="s">
        <v>218</v>
      </c>
      <c r="E4967" t="s">
        <v>218</v>
      </c>
      <c r="F4967" t="s">
        <v>218</v>
      </c>
      <c r="G4967" t="s">
        <v>218</v>
      </c>
      <c r="H4967" t="s">
        <v>218</v>
      </c>
      <c r="I4967" t="s">
        <v>218</v>
      </c>
      <c r="J4967" t="s">
        <v>218</v>
      </c>
      <c r="K4967" t="s">
        <v>218</v>
      </c>
      <c r="L4967" t="s">
        <v>218</v>
      </c>
      <c r="N4967" t="s">
        <v>218</v>
      </c>
      <c r="O4967" t="s">
        <v>218</v>
      </c>
    </row>
    <row r="4968" spans="1:15">
      <c r="A4968" t="s">
        <v>297</v>
      </c>
      <c r="B4968" t="str">
        <f ca="1">IF(ISBLANK(OFFSET(B4968,0,'Field labels'!$Q$1)),C4968,OFFSET(B4968,0,'Field labels'!$Q$1))</f>
        <v>Czech</v>
      </c>
      <c r="C4968" t="s">
        <v>393</v>
      </c>
      <c r="D4968" t="s">
        <v>1412</v>
      </c>
      <c r="E4968" t="s">
        <v>393</v>
      </c>
      <c r="F4968" t="s">
        <v>1413</v>
      </c>
      <c r="G4968" t="s">
        <v>1414</v>
      </c>
      <c r="H4968" t="s">
        <v>1415</v>
      </c>
      <c r="I4968" t="s">
        <v>1416</v>
      </c>
      <c r="K4968" t="s">
        <v>1417</v>
      </c>
      <c r="L4968" t="s">
        <v>1418</v>
      </c>
      <c r="N4968" t="s">
        <v>1418</v>
      </c>
      <c r="O4968" t="s">
        <v>1419</v>
      </c>
    </row>
    <row r="4969" spans="1:15">
      <c r="A4969" t="s">
        <v>297</v>
      </c>
      <c r="B4969" t="str">
        <f ca="1">IF(ISBLANK(OFFSET(B4969,0,'Field labels'!$Q$1)),C4969,OFFSET(B4969,0,'Field labels'!$Q$1))</f>
        <v>Danish</v>
      </c>
      <c r="C4969" t="s">
        <v>395</v>
      </c>
      <c r="D4969" t="s">
        <v>1420</v>
      </c>
      <c r="E4969" t="s">
        <v>395</v>
      </c>
      <c r="F4969" t="s">
        <v>1421</v>
      </c>
      <c r="G4969" t="s">
        <v>1422</v>
      </c>
      <c r="H4969" t="s">
        <v>1423</v>
      </c>
      <c r="I4969" t="s">
        <v>1424</v>
      </c>
      <c r="K4969" t="s">
        <v>1425</v>
      </c>
      <c r="L4969" t="s">
        <v>1426</v>
      </c>
      <c r="N4969" t="s">
        <v>1427</v>
      </c>
      <c r="O4969" t="s">
        <v>1428</v>
      </c>
    </row>
    <row r="4970" spans="1:15">
      <c r="A4970" t="s">
        <v>297</v>
      </c>
      <c r="B4970" t="str">
        <f ca="1">IF(ISBLANK(OFFSET(B4970,0,'Field labels'!$Q$1)),C4970,OFFSET(B4970,0,'Field labels'!$Q$1))</f>
        <v>Dutch</v>
      </c>
      <c r="C4970" t="s">
        <v>396</v>
      </c>
      <c r="D4970" t="s">
        <v>1429</v>
      </c>
      <c r="E4970" t="s">
        <v>396</v>
      </c>
      <c r="F4970" t="s">
        <v>1430</v>
      </c>
      <c r="G4970" t="s">
        <v>1431</v>
      </c>
      <c r="H4970" t="s">
        <v>1432</v>
      </c>
      <c r="I4970" t="s">
        <v>1433</v>
      </c>
      <c r="K4970" t="s">
        <v>1434</v>
      </c>
      <c r="L4970" t="s">
        <v>1435</v>
      </c>
      <c r="N4970" t="s">
        <v>1436</v>
      </c>
      <c r="O4970" t="s">
        <v>1437</v>
      </c>
    </row>
    <row r="4971" spans="1:15">
      <c r="A4971" t="s">
        <v>297</v>
      </c>
      <c r="B4971" t="str">
        <f ca="1">IF(ISBLANK(OFFSET(B4971,0,'Field labels'!$Q$1)),C4971,OFFSET(B4971,0,'Field labels'!$Q$1))</f>
        <v>English</v>
      </c>
      <c r="C4971" t="s">
        <v>397</v>
      </c>
      <c r="D4971" t="s">
        <v>1438</v>
      </c>
      <c r="E4971" t="s">
        <v>397</v>
      </c>
      <c r="F4971" t="s">
        <v>1439</v>
      </c>
      <c r="G4971" t="s">
        <v>1440</v>
      </c>
      <c r="H4971" t="s">
        <v>1441</v>
      </c>
      <c r="I4971" t="s">
        <v>1442</v>
      </c>
      <c r="K4971" t="s">
        <v>1443</v>
      </c>
      <c r="L4971" t="s">
        <v>1444</v>
      </c>
      <c r="N4971" t="s">
        <v>1445</v>
      </c>
      <c r="O4971" t="s">
        <v>1446</v>
      </c>
    </row>
    <row r="4972" spans="1:15">
      <c r="A4972" t="s">
        <v>297</v>
      </c>
      <c r="B4972" t="str">
        <f ca="1">IF(ISBLANK(OFFSET(B4972,0,'Field labels'!$Q$1)),C4972,OFFSET(B4972,0,'Field labels'!$Q$1))</f>
        <v>Esperanto</v>
      </c>
      <c r="C4972" t="s">
        <v>260</v>
      </c>
      <c r="D4972" t="s">
        <v>260</v>
      </c>
      <c r="E4972" t="s">
        <v>260</v>
      </c>
      <c r="F4972" t="s">
        <v>260</v>
      </c>
      <c r="G4972" t="s">
        <v>260</v>
      </c>
      <c r="H4972" t="s">
        <v>260</v>
      </c>
      <c r="I4972" t="s">
        <v>260</v>
      </c>
      <c r="J4972" t="s">
        <v>260</v>
      </c>
      <c r="K4972" t="s">
        <v>260</v>
      </c>
      <c r="L4972" t="s">
        <v>260</v>
      </c>
      <c r="N4972" t="s">
        <v>260</v>
      </c>
      <c r="O4972" t="s">
        <v>260</v>
      </c>
    </row>
    <row r="4973" spans="1:15">
      <c r="A4973" t="s">
        <v>297</v>
      </c>
      <c r="B4973" t="str">
        <f ca="1">IF(ISBLANK(OFFSET(B4973,0,'Field labels'!$Q$1)),C4973,OFFSET(B4973,0,'Field labels'!$Q$1))</f>
        <v>Estonian</v>
      </c>
      <c r="C4973" t="s">
        <v>219</v>
      </c>
      <c r="D4973" t="s">
        <v>219</v>
      </c>
      <c r="E4973" t="s">
        <v>219</v>
      </c>
      <c r="F4973" t="s">
        <v>219</v>
      </c>
      <c r="G4973" t="s">
        <v>219</v>
      </c>
      <c r="H4973" t="s">
        <v>219</v>
      </c>
      <c r="I4973" t="s">
        <v>219</v>
      </c>
      <c r="J4973" t="s">
        <v>219</v>
      </c>
      <c r="K4973" t="s">
        <v>219</v>
      </c>
      <c r="L4973" t="s">
        <v>219</v>
      </c>
      <c r="N4973" t="s">
        <v>219</v>
      </c>
      <c r="O4973" t="s">
        <v>219</v>
      </c>
    </row>
    <row r="4974" spans="1:15">
      <c r="A4974" t="s">
        <v>297</v>
      </c>
      <c r="B4974" t="str">
        <f ca="1">IF(ISBLANK(OFFSET(B4974,0,'Field labels'!$Q$1)),C4974,OFFSET(B4974,0,'Field labels'!$Q$1))</f>
        <v>Faroese</v>
      </c>
      <c r="C4974" t="s">
        <v>261</v>
      </c>
      <c r="D4974" t="s">
        <v>261</v>
      </c>
      <c r="E4974" t="s">
        <v>261</v>
      </c>
      <c r="F4974" t="s">
        <v>261</v>
      </c>
      <c r="G4974" t="s">
        <v>261</v>
      </c>
      <c r="H4974" t="s">
        <v>261</v>
      </c>
      <c r="I4974" t="s">
        <v>261</v>
      </c>
      <c r="J4974" t="s">
        <v>261</v>
      </c>
      <c r="K4974" t="s">
        <v>261</v>
      </c>
      <c r="L4974" t="s">
        <v>261</v>
      </c>
      <c r="N4974" t="s">
        <v>261</v>
      </c>
      <c r="O4974" t="s">
        <v>261</v>
      </c>
    </row>
    <row r="4975" spans="1:15">
      <c r="A4975" t="s">
        <v>297</v>
      </c>
      <c r="B4975" t="str">
        <f ca="1">IF(ISBLANK(OFFSET(B4975,0,'Field labels'!$Q$1)),C4975,OFFSET(B4975,0,'Field labels'!$Q$1))</f>
        <v>Farsi</v>
      </c>
      <c r="C4975" t="s">
        <v>220</v>
      </c>
      <c r="D4975" t="s">
        <v>220</v>
      </c>
      <c r="E4975" t="s">
        <v>220</v>
      </c>
      <c r="F4975" t="s">
        <v>220</v>
      </c>
      <c r="G4975" t="s">
        <v>220</v>
      </c>
      <c r="H4975" t="s">
        <v>220</v>
      </c>
      <c r="I4975" t="s">
        <v>220</v>
      </c>
      <c r="J4975" t="s">
        <v>220</v>
      </c>
      <c r="K4975" t="s">
        <v>220</v>
      </c>
      <c r="L4975" t="s">
        <v>220</v>
      </c>
      <c r="N4975" t="s">
        <v>220</v>
      </c>
      <c r="O4975" t="s">
        <v>220</v>
      </c>
    </row>
    <row r="4976" spans="1:15">
      <c r="A4976" t="s">
        <v>297</v>
      </c>
      <c r="B4976" t="str">
        <f ca="1">IF(ISBLANK(OFFSET(B4976,0,'Field labels'!$Q$1)),C4976,OFFSET(B4976,0,'Field labels'!$Q$1))</f>
        <v>Fijian</v>
      </c>
      <c r="C4976" t="s">
        <v>222</v>
      </c>
      <c r="D4976" t="s">
        <v>222</v>
      </c>
      <c r="E4976" t="s">
        <v>222</v>
      </c>
      <c r="F4976" t="s">
        <v>222</v>
      </c>
      <c r="G4976" t="s">
        <v>222</v>
      </c>
      <c r="H4976" t="s">
        <v>222</v>
      </c>
      <c r="I4976" t="s">
        <v>222</v>
      </c>
      <c r="J4976" t="s">
        <v>222</v>
      </c>
      <c r="K4976" t="s">
        <v>222</v>
      </c>
      <c r="L4976" t="s">
        <v>222</v>
      </c>
      <c r="N4976" t="s">
        <v>222</v>
      </c>
      <c r="O4976" t="s">
        <v>222</v>
      </c>
    </row>
    <row r="4977" spans="1:15">
      <c r="A4977" t="s">
        <v>297</v>
      </c>
      <c r="B4977" t="str">
        <f ca="1">IF(ISBLANK(OFFSET(B4977,0,'Field labels'!$Q$1)),C4977,OFFSET(B4977,0,'Field labels'!$Q$1))</f>
        <v>Filipino</v>
      </c>
      <c r="C4977" t="s">
        <v>221</v>
      </c>
      <c r="D4977" t="s">
        <v>221</v>
      </c>
      <c r="E4977" t="s">
        <v>221</v>
      </c>
      <c r="F4977" t="s">
        <v>221</v>
      </c>
      <c r="G4977" t="s">
        <v>221</v>
      </c>
      <c r="H4977" t="s">
        <v>221</v>
      </c>
      <c r="I4977" t="s">
        <v>221</v>
      </c>
      <c r="J4977" t="s">
        <v>221</v>
      </c>
      <c r="K4977" t="s">
        <v>221</v>
      </c>
      <c r="L4977" t="s">
        <v>221</v>
      </c>
      <c r="N4977" t="s">
        <v>221</v>
      </c>
      <c r="O4977" t="s">
        <v>221</v>
      </c>
    </row>
    <row r="4978" spans="1:15">
      <c r="A4978" t="s">
        <v>297</v>
      </c>
      <c r="B4978" t="str">
        <f ca="1">IF(ISBLANK(OFFSET(B4978,0,'Field labels'!$Q$1)),C4978,OFFSET(B4978,0,'Field labels'!$Q$1))</f>
        <v>Finnish</v>
      </c>
      <c r="C4978" t="s">
        <v>398</v>
      </c>
      <c r="D4978" t="s">
        <v>1447</v>
      </c>
      <c r="E4978" t="s">
        <v>398</v>
      </c>
      <c r="F4978" t="s">
        <v>1448</v>
      </c>
      <c r="G4978" t="s">
        <v>1449</v>
      </c>
      <c r="H4978" t="s">
        <v>1450</v>
      </c>
      <c r="I4978" t="s">
        <v>1451</v>
      </c>
      <c r="K4978" t="s">
        <v>1452</v>
      </c>
      <c r="L4978" t="s">
        <v>1453</v>
      </c>
      <c r="N4978" t="s">
        <v>1454</v>
      </c>
      <c r="O4978" t="s">
        <v>1455</v>
      </c>
    </row>
    <row r="4979" spans="1:15">
      <c r="A4979" t="s">
        <v>297</v>
      </c>
      <c r="B4979" t="str">
        <f ca="1">IF(ISBLANK(OFFSET(B4979,0,'Field labels'!$Q$1)),C4979,OFFSET(B4979,0,'Field labels'!$Q$1))</f>
        <v>Flemish</v>
      </c>
      <c r="C4979" t="s">
        <v>223</v>
      </c>
      <c r="D4979" t="s">
        <v>223</v>
      </c>
      <c r="E4979" t="s">
        <v>223</v>
      </c>
      <c r="F4979" t="s">
        <v>223</v>
      </c>
      <c r="G4979" t="s">
        <v>223</v>
      </c>
      <c r="H4979" t="s">
        <v>223</v>
      </c>
      <c r="I4979" t="s">
        <v>223</v>
      </c>
      <c r="J4979" t="s">
        <v>223</v>
      </c>
      <c r="K4979" t="s">
        <v>223</v>
      </c>
      <c r="L4979" t="s">
        <v>223</v>
      </c>
      <c r="N4979" t="s">
        <v>223</v>
      </c>
      <c r="O4979" t="s">
        <v>223</v>
      </c>
    </row>
    <row r="4980" spans="1:15">
      <c r="A4980" t="s">
        <v>297</v>
      </c>
      <c r="B4980" t="str">
        <f ca="1">IF(ISBLANK(OFFSET(B4980,0,'Field labels'!$Q$1)),C4980,OFFSET(B4980,0,'Field labels'!$Q$1))</f>
        <v>French</v>
      </c>
      <c r="C4980" t="s">
        <v>399</v>
      </c>
      <c r="D4980" t="s">
        <v>1456</v>
      </c>
      <c r="E4980" t="s">
        <v>399</v>
      </c>
      <c r="F4980" t="s">
        <v>1457</v>
      </c>
      <c r="G4980" t="s">
        <v>1458</v>
      </c>
      <c r="H4980" t="s">
        <v>1030</v>
      </c>
      <c r="I4980" t="s">
        <v>1459</v>
      </c>
      <c r="K4980" t="s">
        <v>1460</v>
      </c>
      <c r="L4980" t="s">
        <v>1461</v>
      </c>
      <c r="N4980" t="s">
        <v>1462</v>
      </c>
      <c r="O4980" t="s">
        <v>1463</v>
      </c>
    </row>
    <row r="4981" spans="1:15">
      <c r="A4981" t="s">
        <v>297</v>
      </c>
      <c r="B4981" t="str">
        <f ca="1">IF(ISBLANK(OFFSET(B4981,0,'Field labels'!$Q$1)),C4981,OFFSET(B4981,0,'Field labels'!$Q$1))</f>
        <v>Frisian</v>
      </c>
      <c r="C4981" t="s">
        <v>266</v>
      </c>
      <c r="D4981" t="s">
        <v>266</v>
      </c>
      <c r="E4981" t="s">
        <v>266</v>
      </c>
      <c r="F4981" t="s">
        <v>266</v>
      </c>
      <c r="G4981" t="s">
        <v>266</v>
      </c>
      <c r="H4981" t="s">
        <v>266</v>
      </c>
      <c r="I4981" t="s">
        <v>266</v>
      </c>
      <c r="J4981" t="s">
        <v>266</v>
      </c>
      <c r="K4981" t="s">
        <v>266</v>
      </c>
      <c r="L4981" t="s">
        <v>266</v>
      </c>
      <c r="N4981" t="s">
        <v>266</v>
      </c>
      <c r="O4981" t="s">
        <v>266</v>
      </c>
    </row>
    <row r="4982" spans="1:15">
      <c r="A4982" t="s">
        <v>297</v>
      </c>
      <c r="B4982" t="str">
        <f ca="1">IF(ISBLANK(OFFSET(B4982,0,'Field labels'!$Q$1)),C4982,OFFSET(B4982,0,'Field labels'!$Q$1))</f>
        <v>Fukien</v>
      </c>
      <c r="C4982" t="s">
        <v>224</v>
      </c>
      <c r="D4982" t="s">
        <v>224</v>
      </c>
      <c r="E4982" t="s">
        <v>224</v>
      </c>
      <c r="F4982" t="s">
        <v>224</v>
      </c>
      <c r="G4982" t="s">
        <v>224</v>
      </c>
      <c r="H4982" t="s">
        <v>224</v>
      </c>
      <c r="I4982" t="s">
        <v>224</v>
      </c>
      <c r="J4982" t="s">
        <v>224</v>
      </c>
      <c r="K4982" t="s">
        <v>224</v>
      </c>
      <c r="L4982" t="s">
        <v>224</v>
      </c>
      <c r="N4982" t="s">
        <v>224</v>
      </c>
      <c r="O4982" t="s">
        <v>224</v>
      </c>
    </row>
    <row r="4983" spans="1:15">
      <c r="A4983" t="s">
        <v>297</v>
      </c>
      <c r="B4983" t="str">
        <f ca="1">IF(ISBLANK(OFFSET(B4983,0,'Field labels'!$Q$1)),C4983,OFFSET(B4983,0,'Field labels'!$Q$1))</f>
        <v>Gaelic</v>
      </c>
      <c r="C4983" t="s">
        <v>225</v>
      </c>
      <c r="D4983" t="s">
        <v>225</v>
      </c>
      <c r="E4983" t="s">
        <v>225</v>
      </c>
      <c r="F4983" t="s">
        <v>225</v>
      </c>
      <c r="G4983" t="s">
        <v>225</v>
      </c>
      <c r="H4983" t="s">
        <v>225</v>
      </c>
      <c r="I4983" t="s">
        <v>225</v>
      </c>
      <c r="J4983" t="s">
        <v>225</v>
      </c>
      <c r="K4983" t="s">
        <v>225</v>
      </c>
      <c r="L4983" t="s">
        <v>225</v>
      </c>
      <c r="N4983" t="s">
        <v>225</v>
      </c>
      <c r="O4983" t="s">
        <v>225</v>
      </c>
    </row>
    <row r="4984" spans="1:15">
      <c r="A4984" t="s">
        <v>297</v>
      </c>
      <c r="B4984" t="str">
        <f ca="1">IF(ISBLANK(OFFSET(B4984,0,'Field labels'!$Q$1)),C4984,OFFSET(B4984,0,'Field labels'!$Q$1))</f>
        <v>Georgian</v>
      </c>
      <c r="C4984" t="s">
        <v>267</v>
      </c>
      <c r="D4984" t="s">
        <v>267</v>
      </c>
      <c r="E4984" t="s">
        <v>267</v>
      </c>
      <c r="F4984" t="s">
        <v>267</v>
      </c>
      <c r="G4984" t="s">
        <v>267</v>
      </c>
      <c r="H4984" t="s">
        <v>267</v>
      </c>
      <c r="I4984" t="s">
        <v>267</v>
      </c>
      <c r="J4984" t="s">
        <v>267</v>
      </c>
      <c r="K4984" t="s">
        <v>267</v>
      </c>
      <c r="L4984" t="s">
        <v>267</v>
      </c>
      <c r="N4984" t="s">
        <v>267</v>
      </c>
      <c r="O4984" t="s">
        <v>267</v>
      </c>
    </row>
    <row r="4985" spans="1:15">
      <c r="A4985" t="s">
        <v>297</v>
      </c>
      <c r="B4985" t="str">
        <f ca="1">IF(ISBLANK(OFFSET(B4985,0,'Field labels'!$Q$1)),C4985,OFFSET(B4985,0,'Field labels'!$Q$1))</f>
        <v>German</v>
      </c>
      <c r="C4985" t="s">
        <v>400</v>
      </c>
      <c r="D4985" t="s">
        <v>1464</v>
      </c>
      <c r="E4985" t="s">
        <v>400</v>
      </c>
      <c r="F4985" t="s">
        <v>1465</v>
      </c>
      <c r="G4985" t="s">
        <v>1466</v>
      </c>
      <c r="H4985" t="s">
        <v>1467</v>
      </c>
      <c r="I4985" t="s">
        <v>1468</v>
      </c>
      <c r="K4985" t="s">
        <v>1469</v>
      </c>
      <c r="L4985" t="s">
        <v>1470</v>
      </c>
      <c r="N4985" t="s">
        <v>1471</v>
      </c>
      <c r="O4985" t="s">
        <v>1472</v>
      </c>
    </row>
    <row r="4986" spans="1:15">
      <c r="A4986" t="s">
        <v>297</v>
      </c>
      <c r="B4986" t="str">
        <f ca="1">IF(ISBLANK(OFFSET(B4986,0,'Field labels'!$Q$1)),C4986,OFFSET(B4986,0,'Field labels'!$Q$1))</f>
        <v>Greek</v>
      </c>
      <c r="C4986" t="s">
        <v>401</v>
      </c>
      <c r="D4986" t="s">
        <v>1473</v>
      </c>
      <c r="E4986" t="s">
        <v>401</v>
      </c>
      <c r="F4986" t="s">
        <v>1474</v>
      </c>
      <c r="G4986" t="s">
        <v>1475</v>
      </c>
      <c r="H4986" t="s">
        <v>1476</v>
      </c>
      <c r="I4986" t="s">
        <v>1477</v>
      </c>
      <c r="K4986" t="s">
        <v>1478</v>
      </c>
      <c r="L4986" t="s">
        <v>1479</v>
      </c>
      <c r="N4986" t="s">
        <v>1480</v>
      </c>
      <c r="O4986" t="s">
        <v>1481</v>
      </c>
    </row>
    <row r="4987" spans="1:15">
      <c r="A4987" t="s">
        <v>297</v>
      </c>
      <c r="B4987" t="str">
        <f ca="1">IF(ISBLANK(OFFSET(B4987,0,'Field labels'!$Q$1)),C4987,OFFSET(B4987,0,'Field labels'!$Q$1))</f>
        <v>Gujarati</v>
      </c>
      <c r="C4987" t="s">
        <v>226</v>
      </c>
      <c r="D4987" t="s">
        <v>226</v>
      </c>
      <c r="E4987" t="s">
        <v>226</v>
      </c>
      <c r="F4987" t="s">
        <v>226</v>
      </c>
      <c r="G4987" t="s">
        <v>226</v>
      </c>
      <c r="H4987" t="s">
        <v>226</v>
      </c>
      <c r="I4987" t="s">
        <v>226</v>
      </c>
      <c r="J4987" t="s">
        <v>226</v>
      </c>
      <c r="K4987" t="s">
        <v>226</v>
      </c>
      <c r="L4987" t="s">
        <v>226</v>
      </c>
      <c r="N4987" t="s">
        <v>226</v>
      </c>
      <c r="O4987" t="s">
        <v>226</v>
      </c>
    </row>
    <row r="4988" spans="1:15">
      <c r="A4988" t="s">
        <v>297</v>
      </c>
      <c r="B4988" t="str">
        <f ca="1">IF(ISBLANK(OFFSET(B4988,0,'Field labels'!$Q$1)),C4988,OFFSET(B4988,0,'Field labels'!$Q$1))</f>
        <v>Hebrew</v>
      </c>
      <c r="C4988" t="s">
        <v>402</v>
      </c>
      <c r="D4988" t="s">
        <v>1482</v>
      </c>
      <c r="E4988" t="s">
        <v>402</v>
      </c>
      <c r="F4988" t="s">
        <v>1483</v>
      </c>
      <c r="G4988" t="s">
        <v>1484</v>
      </c>
      <c r="H4988" t="s">
        <v>1485</v>
      </c>
      <c r="I4988" t="s">
        <v>1486</v>
      </c>
      <c r="K4988" t="s">
        <v>1487</v>
      </c>
      <c r="L4988" t="s">
        <v>1488</v>
      </c>
      <c r="N4988" t="s">
        <v>1489</v>
      </c>
      <c r="O4988" t="s">
        <v>1490</v>
      </c>
    </row>
    <row r="4989" spans="1:15">
      <c r="A4989" t="s">
        <v>297</v>
      </c>
      <c r="B4989" t="str">
        <f ca="1">IF(ISBLANK(OFFSET(B4989,0,'Field labels'!$Q$1)),C4989,OFFSET(B4989,0,'Field labels'!$Q$1))</f>
        <v>Hindi</v>
      </c>
      <c r="C4989" t="s">
        <v>229</v>
      </c>
      <c r="D4989" t="s">
        <v>229</v>
      </c>
      <c r="E4989" t="s">
        <v>229</v>
      </c>
      <c r="F4989" t="s">
        <v>229</v>
      </c>
      <c r="G4989" t="s">
        <v>229</v>
      </c>
      <c r="H4989" t="s">
        <v>229</v>
      </c>
      <c r="I4989" t="s">
        <v>229</v>
      </c>
      <c r="K4989" t="s">
        <v>229</v>
      </c>
      <c r="L4989" t="s">
        <v>229</v>
      </c>
      <c r="N4989" t="s">
        <v>229</v>
      </c>
      <c r="O4989" t="s">
        <v>1491</v>
      </c>
    </row>
    <row r="4990" spans="1:15">
      <c r="A4990" t="s">
        <v>297</v>
      </c>
      <c r="B4990" t="str">
        <f ca="1">IF(ISBLANK(OFFSET(B4990,0,'Field labels'!$Q$1)),C4990,OFFSET(B4990,0,'Field labels'!$Q$1))</f>
        <v>Hindustani</v>
      </c>
      <c r="C4990" t="s">
        <v>227</v>
      </c>
      <c r="D4990" t="s">
        <v>227</v>
      </c>
      <c r="E4990" t="s">
        <v>227</v>
      </c>
      <c r="F4990" t="s">
        <v>227</v>
      </c>
      <c r="G4990" t="s">
        <v>227</v>
      </c>
      <c r="H4990" t="s">
        <v>227</v>
      </c>
      <c r="I4990" t="s">
        <v>227</v>
      </c>
      <c r="J4990" t="s">
        <v>227</v>
      </c>
      <c r="K4990" t="s">
        <v>227</v>
      </c>
      <c r="L4990" t="s">
        <v>227</v>
      </c>
      <c r="N4990" t="s">
        <v>227</v>
      </c>
      <c r="O4990" t="s">
        <v>227</v>
      </c>
    </row>
    <row r="4991" spans="1:15">
      <c r="A4991" t="s">
        <v>297</v>
      </c>
      <c r="B4991" t="str">
        <f ca="1">IF(ISBLANK(OFFSET(B4991,0,'Field labels'!$Q$1)),C4991,OFFSET(B4991,0,'Field labels'!$Q$1))</f>
        <v>Hmong</v>
      </c>
      <c r="C4991" t="s">
        <v>228</v>
      </c>
      <c r="D4991" t="s">
        <v>228</v>
      </c>
      <c r="E4991" t="s">
        <v>228</v>
      </c>
      <c r="F4991" t="s">
        <v>228</v>
      </c>
      <c r="G4991" t="s">
        <v>228</v>
      </c>
      <c r="H4991" t="s">
        <v>228</v>
      </c>
      <c r="I4991" t="s">
        <v>228</v>
      </c>
      <c r="J4991" t="s">
        <v>228</v>
      </c>
      <c r="K4991" t="s">
        <v>228</v>
      </c>
      <c r="L4991" t="s">
        <v>228</v>
      </c>
      <c r="N4991" t="s">
        <v>228</v>
      </c>
      <c r="O4991" t="s">
        <v>228</v>
      </c>
    </row>
    <row r="4992" spans="1:15">
      <c r="A4992" t="s">
        <v>297</v>
      </c>
      <c r="B4992" t="str">
        <f ca="1">IF(ISBLANK(OFFSET(B4992,0,'Field labels'!$Q$1)),C4992,OFFSET(B4992,0,'Field labels'!$Q$1))</f>
        <v>Hungarian</v>
      </c>
      <c r="C4992" t="s">
        <v>403</v>
      </c>
      <c r="D4992" t="s">
        <v>1492</v>
      </c>
      <c r="E4992" t="s">
        <v>403</v>
      </c>
      <c r="F4992" t="s">
        <v>1493</v>
      </c>
      <c r="G4992" t="s">
        <v>1494</v>
      </c>
      <c r="H4992" t="s">
        <v>1495</v>
      </c>
      <c r="I4992" t="s">
        <v>1496</v>
      </c>
      <c r="K4992" t="s">
        <v>1497</v>
      </c>
      <c r="L4992" t="s">
        <v>1498</v>
      </c>
      <c r="N4992" t="s">
        <v>1498</v>
      </c>
      <c r="O4992" t="s">
        <v>1499</v>
      </c>
    </row>
    <row r="4993" spans="1:15">
      <c r="A4993" t="s">
        <v>297</v>
      </c>
      <c r="B4993" t="str">
        <f ca="1">IF(ISBLANK(OFFSET(B4993,0,'Field labels'!$Q$1)),C4993,OFFSET(B4993,0,'Field labels'!$Q$1))</f>
        <v>Ibo</v>
      </c>
      <c r="C4993" t="s">
        <v>230</v>
      </c>
      <c r="D4993" t="s">
        <v>230</v>
      </c>
      <c r="E4993" t="s">
        <v>230</v>
      </c>
      <c r="F4993" t="s">
        <v>230</v>
      </c>
      <c r="G4993" t="s">
        <v>230</v>
      </c>
      <c r="H4993" t="s">
        <v>230</v>
      </c>
      <c r="I4993" t="s">
        <v>230</v>
      </c>
      <c r="J4993" t="s">
        <v>230</v>
      </c>
      <c r="K4993" t="s">
        <v>230</v>
      </c>
      <c r="L4993" t="s">
        <v>230</v>
      </c>
      <c r="N4993" t="s">
        <v>230</v>
      </c>
      <c r="O4993" t="s">
        <v>230</v>
      </c>
    </row>
    <row r="4994" spans="1:15">
      <c r="A4994" t="s">
        <v>297</v>
      </c>
      <c r="B4994" t="str">
        <f ca="1">IF(ISBLANK(OFFSET(B4994,0,'Field labels'!$Q$1)),C4994,OFFSET(B4994,0,'Field labels'!$Q$1))</f>
        <v>Icelandic</v>
      </c>
      <c r="C4994" t="s">
        <v>231</v>
      </c>
      <c r="D4994" t="s">
        <v>231</v>
      </c>
      <c r="E4994" t="s">
        <v>231</v>
      </c>
      <c r="F4994" t="s">
        <v>231</v>
      </c>
      <c r="G4994" t="s">
        <v>231</v>
      </c>
      <c r="H4994" t="s">
        <v>231</v>
      </c>
      <c r="I4994" t="s">
        <v>231</v>
      </c>
      <c r="J4994" t="s">
        <v>231</v>
      </c>
      <c r="K4994" t="s">
        <v>231</v>
      </c>
      <c r="L4994" t="s">
        <v>231</v>
      </c>
      <c r="N4994" t="s">
        <v>231</v>
      </c>
      <c r="O4994" t="s">
        <v>231</v>
      </c>
    </row>
    <row r="4995" spans="1:15">
      <c r="A4995" t="s">
        <v>297</v>
      </c>
      <c r="B4995" t="str">
        <f ca="1">IF(ISBLANK(OFFSET(B4995,0,'Field labels'!$Q$1)),C4995,OFFSET(B4995,0,'Field labels'!$Q$1))</f>
        <v>Ilocano</v>
      </c>
      <c r="C4995" t="s">
        <v>232</v>
      </c>
      <c r="D4995" t="s">
        <v>232</v>
      </c>
      <c r="E4995" t="s">
        <v>232</v>
      </c>
      <c r="F4995" t="s">
        <v>232</v>
      </c>
      <c r="G4995" t="s">
        <v>232</v>
      </c>
      <c r="H4995" t="s">
        <v>232</v>
      </c>
      <c r="I4995" t="s">
        <v>232</v>
      </c>
      <c r="J4995" t="s">
        <v>232</v>
      </c>
      <c r="K4995" t="s">
        <v>232</v>
      </c>
      <c r="L4995" t="s">
        <v>232</v>
      </c>
      <c r="N4995" t="s">
        <v>232</v>
      </c>
      <c r="O4995" t="s">
        <v>232</v>
      </c>
    </row>
    <row r="4996" spans="1:15">
      <c r="A4996" t="s">
        <v>297</v>
      </c>
      <c r="B4996" t="str">
        <f ca="1">IF(ISBLANK(OFFSET(B4996,0,'Field labels'!$Q$1)),C4996,OFFSET(B4996,0,'Field labels'!$Q$1))</f>
        <v>Indonesian</v>
      </c>
      <c r="C4996" t="s">
        <v>233</v>
      </c>
      <c r="D4996" t="s">
        <v>233</v>
      </c>
      <c r="E4996" t="s">
        <v>233</v>
      </c>
      <c r="F4996" t="s">
        <v>233</v>
      </c>
      <c r="G4996" t="s">
        <v>233</v>
      </c>
      <c r="H4996" t="s">
        <v>233</v>
      </c>
      <c r="I4996" t="s">
        <v>233</v>
      </c>
      <c r="J4996" t="s">
        <v>233</v>
      </c>
      <c r="K4996" t="s">
        <v>233</v>
      </c>
      <c r="L4996" t="s">
        <v>233</v>
      </c>
      <c r="N4996" t="s">
        <v>233</v>
      </c>
      <c r="O4996" t="s">
        <v>233</v>
      </c>
    </row>
    <row r="4997" spans="1:15">
      <c r="A4997" t="s">
        <v>297</v>
      </c>
      <c r="B4997" t="str">
        <f ca="1">IF(ISBLANK(OFFSET(B4997,0,'Field labels'!$Q$1)),C4997,OFFSET(B4997,0,'Field labels'!$Q$1))</f>
        <v>Irish</v>
      </c>
      <c r="C4997" t="s">
        <v>234</v>
      </c>
      <c r="D4997" t="s">
        <v>234</v>
      </c>
      <c r="E4997" t="s">
        <v>234</v>
      </c>
      <c r="F4997" t="s">
        <v>234</v>
      </c>
      <c r="G4997" t="s">
        <v>234</v>
      </c>
      <c r="H4997" t="s">
        <v>234</v>
      </c>
      <c r="I4997" t="s">
        <v>234</v>
      </c>
      <c r="J4997" t="s">
        <v>234</v>
      </c>
      <c r="K4997" t="s">
        <v>234</v>
      </c>
      <c r="L4997" t="s">
        <v>234</v>
      </c>
      <c r="N4997" t="s">
        <v>234</v>
      </c>
      <c r="O4997" t="s">
        <v>234</v>
      </c>
    </row>
    <row r="4998" spans="1:15">
      <c r="A4998" t="s">
        <v>297</v>
      </c>
      <c r="B4998" t="str">
        <f ca="1">IF(ISBLANK(OFFSET(B4998,0,'Field labels'!$Q$1)),C4998,OFFSET(B4998,0,'Field labels'!$Q$1))</f>
        <v>Islandic</v>
      </c>
      <c r="C4998" t="s">
        <v>235</v>
      </c>
      <c r="D4998" t="s">
        <v>235</v>
      </c>
      <c r="E4998" t="s">
        <v>235</v>
      </c>
      <c r="F4998" t="s">
        <v>235</v>
      </c>
      <c r="G4998" t="s">
        <v>235</v>
      </c>
      <c r="H4998" t="s">
        <v>235</v>
      </c>
      <c r="I4998" t="s">
        <v>235</v>
      </c>
      <c r="J4998" t="s">
        <v>235</v>
      </c>
      <c r="K4998" t="s">
        <v>235</v>
      </c>
      <c r="L4998" t="s">
        <v>235</v>
      </c>
      <c r="N4998" t="s">
        <v>235</v>
      </c>
      <c r="O4998" t="s">
        <v>235</v>
      </c>
    </row>
    <row r="4999" spans="1:15">
      <c r="A4999" t="s">
        <v>297</v>
      </c>
      <c r="B4999" t="str">
        <f ca="1">IF(ISBLANK(OFFSET(B4999,0,'Field labels'!$Q$1)),C4999,OFFSET(B4999,0,'Field labels'!$Q$1))</f>
        <v>Italian</v>
      </c>
      <c r="C4999" t="s">
        <v>404</v>
      </c>
      <c r="D4999" t="s">
        <v>1500</v>
      </c>
      <c r="E4999" t="s">
        <v>404</v>
      </c>
      <c r="F4999" t="s">
        <v>1099</v>
      </c>
      <c r="G4999" t="s">
        <v>1501</v>
      </c>
      <c r="H4999" t="s">
        <v>1502</v>
      </c>
      <c r="I4999" t="s">
        <v>1503</v>
      </c>
      <c r="K4999" t="s">
        <v>1504</v>
      </c>
      <c r="L4999" t="s">
        <v>1503</v>
      </c>
      <c r="N4999" t="s">
        <v>1503</v>
      </c>
      <c r="O4999" t="s">
        <v>1505</v>
      </c>
    </row>
    <row r="5000" spans="1:15">
      <c r="A5000" t="s">
        <v>297</v>
      </c>
      <c r="B5000" t="str">
        <f ca="1">IF(ISBLANK(OFFSET(B5000,0,'Field labels'!$Q$1)),C5000,OFFSET(B5000,0,'Field labels'!$Q$1))</f>
        <v>Japanese</v>
      </c>
      <c r="C5000" t="s">
        <v>405</v>
      </c>
      <c r="D5000" t="s">
        <v>1506</v>
      </c>
      <c r="E5000" t="s">
        <v>405</v>
      </c>
      <c r="F5000" t="s">
        <v>1507</v>
      </c>
      <c r="G5000" t="s">
        <v>1508</v>
      </c>
      <c r="H5000" t="s">
        <v>1106</v>
      </c>
      <c r="I5000" t="s">
        <v>1509</v>
      </c>
      <c r="K5000" t="s">
        <v>1510</v>
      </c>
      <c r="L5000" t="s">
        <v>1511</v>
      </c>
      <c r="N5000" t="s">
        <v>1512</v>
      </c>
      <c r="O5000" t="s">
        <v>1105</v>
      </c>
    </row>
    <row r="5001" spans="1:15">
      <c r="A5001" t="s">
        <v>297</v>
      </c>
      <c r="B5001" t="str">
        <f ca="1">IF(ISBLANK(OFFSET(B5001,0,'Field labels'!$Q$1)),C5001,OFFSET(B5001,0,'Field labels'!$Q$1))</f>
        <v>Javanese</v>
      </c>
      <c r="C5001" t="s">
        <v>236</v>
      </c>
      <c r="D5001" t="s">
        <v>236</v>
      </c>
      <c r="E5001" t="s">
        <v>236</v>
      </c>
      <c r="F5001" t="s">
        <v>236</v>
      </c>
      <c r="G5001" t="s">
        <v>236</v>
      </c>
      <c r="H5001" t="s">
        <v>236</v>
      </c>
      <c r="I5001" t="s">
        <v>236</v>
      </c>
      <c r="J5001" t="s">
        <v>236</v>
      </c>
      <c r="K5001" t="s">
        <v>236</v>
      </c>
      <c r="L5001" t="s">
        <v>236</v>
      </c>
      <c r="N5001" t="s">
        <v>236</v>
      </c>
      <c r="O5001" t="s">
        <v>236</v>
      </c>
    </row>
    <row r="5002" spans="1:15">
      <c r="A5002" t="s">
        <v>297</v>
      </c>
      <c r="B5002" t="str">
        <f ca="1">IF(ISBLANK(OFFSET(B5002,0,'Field labels'!$Q$1)),C5002,OFFSET(B5002,0,'Field labels'!$Q$1))</f>
        <v>Kannada</v>
      </c>
      <c r="C5002" t="s">
        <v>237</v>
      </c>
      <c r="D5002" t="s">
        <v>237</v>
      </c>
      <c r="E5002" t="s">
        <v>237</v>
      </c>
      <c r="F5002" t="s">
        <v>237</v>
      </c>
      <c r="G5002" t="s">
        <v>237</v>
      </c>
      <c r="H5002" t="s">
        <v>237</v>
      </c>
      <c r="I5002" t="s">
        <v>237</v>
      </c>
      <c r="J5002" t="s">
        <v>237</v>
      </c>
      <c r="K5002" t="s">
        <v>237</v>
      </c>
      <c r="L5002" t="s">
        <v>237</v>
      </c>
      <c r="N5002" t="s">
        <v>237</v>
      </c>
      <c r="O5002" t="s">
        <v>237</v>
      </c>
    </row>
    <row r="5003" spans="1:15">
      <c r="A5003" t="s">
        <v>297</v>
      </c>
      <c r="B5003" t="str">
        <f ca="1">IF(ISBLANK(OFFSET(B5003,0,'Field labels'!$Q$1)),C5003,OFFSET(B5003,0,'Field labels'!$Q$1))</f>
        <v>Kiswahili</v>
      </c>
      <c r="C5003" t="s">
        <v>238</v>
      </c>
      <c r="D5003" t="s">
        <v>238</v>
      </c>
      <c r="E5003" t="s">
        <v>238</v>
      </c>
      <c r="F5003" t="s">
        <v>238</v>
      </c>
      <c r="G5003" t="s">
        <v>1513</v>
      </c>
      <c r="H5003" t="s">
        <v>1514</v>
      </c>
      <c r="I5003" t="s">
        <v>238</v>
      </c>
      <c r="K5003" t="s">
        <v>238</v>
      </c>
      <c r="L5003" t="s">
        <v>238</v>
      </c>
      <c r="N5003" t="s">
        <v>238</v>
      </c>
      <c r="O5003" t="s">
        <v>1515</v>
      </c>
    </row>
    <row r="5004" spans="1:15">
      <c r="A5004" t="s">
        <v>297</v>
      </c>
      <c r="B5004" t="str">
        <f ca="1">IF(ISBLANK(OFFSET(B5004,0,'Field labels'!$Q$1)),C5004,OFFSET(B5004,0,'Field labels'!$Q$1))</f>
        <v>Korean</v>
      </c>
      <c r="C5004" t="s">
        <v>406</v>
      </c>
      <c r="D5004" t="s">
        <v>1516</v>
      </c>
      <c r="E5004" t="s">
        <v>406</v>
      </c>
      <c r="F5004" t="s">
        <v>1517</v>
      </c>
      <c r="G5004" t="s">
        <v>1518</v>
      </c>
      <c r="H5004" t="s">
        <v>1519</v>
      </c>
      <c r="I5004" t="s">
        <v>1520</v>
      </c>
      <c r="K5004" t="s">
        <v>1521</v>
      </c>
      <c r="L5004" t="s">
        <v>1520</v>
      </c>
      <c r="N5004" t="s">
        <v>1520</v>
      </c>
      <c r="O5004" t="s">
        <v>1522</v>
      </c>
    </row>
    <row r="5005" spans="1:15">
      <c r="A5005" t="s">
        <v>297</v>
      </c>
      <c r="B5005" t="str">
        <f ca="1">IF(ISBLANK(OFFSET(B5005,0,'Field labels'!$Q$1)),C5005,OFFSET(B5005,0,'Field labels'!$Q$1))</f>
        <v>Laos</v>
      </c>
      <c r="C5005" t="s">
        <v>239</v>
      </c>
      <c r="D5005" t="s">
        <v>239</v>
      </c>
      <c r="E5005" t="s">
        <v>239</v>
      </c>
      <c r="F5005" t="s">
        <v>239</v>
      </c>
      <c r="G5005" t="s">
        <v>239</v>
      </c>
      <c r="H5005" t="s">
        <v>239</v>
      </c>
      <c r="I5005" t="s">
        <v>239</v>
      </c>
      <c r="J5005" t="s">
        <v>239</v>
      </c>
      <c r="K5005" t="s">
        <v>239</v>
      </c>
      <c r="L5005" t="s">
        <v>239</v>
      </c>
      <c r="N5005" t="s">
        <v>239</v>
      </c>
      <c r="O5005" t="s">
        <v>239</v>
      </c>
    </row>
    <row r="5006" spans="1:15">
      <c r="A5006" t="s">
        <v>297</v>
      </c>
      <c r="B5006" t="str">
        <f ca="1">IF(ISBLANK(OFFSET(B5006,0,'Field labels'!$Q$1)),C5006,OFFSET(B5006,0,'Field labels'!$Q$1))</f>
        <v>Latin</v>
      </c>
      <c r="C5006" t="s">
        <v>407</v>
      </c>
      <c r="D5006" t="s">
        <v>1523</v>
      </c>
      <c r="E5006" t="s">
        <v>407</v>
      </c>
      <c r="F5006" t="s">
        <v>407</v>
      </c>
      <c r="G5006" t="s">
        <v>1524</v>
      </c>
      <c r="H5006" t="s">
        <v>407</v>
      </c>
      <c r="I5006" t="s">
        <v>1525</v>
      </c>
      <c r="K5006" t="s">
        <v>1526</v>
      </c>
      <c r="L5006" t="s">
        <v>1527</v>
      </c>
      <c r="N5006" t="s">
        <v>1528</v>
      </c>
      <c r="O5006" t="s">
        <v>1529</v>
      </c>
    </row>
    <row r="5007" spans="1:15">
      <c r="A5007" t="s">
        <v>297</v>
      </c>
      <c r="B5007" t="str">
        <f ca="1">IF(ISBLANK(OFFSET(B5007,0,'Field labels'!$Q$1)),C5007,OFFSET(B5007,0,'Field labels'!$Q$1))</f>
        <v>Latvian</v>
      </c>
      <c r="C5007" t="s">
        <v>408</v>
      </c>
      <c r="D5007" t="s">
        <v>1530</v>
      </c>
      <c r="E5007" t="s">
        <v>408</v>
      </c>
      <c r="F5007" t="s">
        <v>1531</v>
      </c>
      <c r="G5007" t="s">
        <v>1532</v>
      </c>
      <c r="H5007" t="s">
        <v>1533</v>
      </c>
      <c r="I5007" t="s">
        <v>1534</v>
      </c>
      <c r="K5007" t="s">
        <v>1535</v>
      </c>
      <c r="L5007" t="s">
        <v>1536</v>
      </c>
      <c r="N5007" t="s">
        <v>1537</v>
      </c>
      <c r="O5007" t="s">
        <v>1538</v>
      </c>
    </row>
    <row r="5008" spans="1:15">
      <c r="A5008" t="s">
        <v>297</v>
      </c>
      <c r="B5008" t="str">
        <f ca="1">IF(ISBLANK(OFFSET(B5008,0,'Field labels'!$Q$1)),C5008,OFFSET(B5008,0,'Field labels'!$Q$1))</f>
        <v>Lingala</v>
      </c>
      <c r="C5008" t="s">
        <v>240</v>
      </c>
      <c r="D5008" t="s">
        <v>240</v>
      </c>
      <c r="E5008" t="s">
        <v>240</v>
      </c>
      <c r="F5008" t="s">
        <v>240</v>
      </c>
      <c r="G5008" t="s">
        <v>240</v>
      </c>
      <c r="H5008" t="s">
        <v>240</v>
      </c>
      <c r="I5008" t="s">
        <v>240</v>
      </c>
      <c r="J5008" t="s">
        <v>240</v>
      </c>
      <c r="K5008" t="s">
        <v>240</v>
      </c>
      <c r="L5008" t="s">
        <v>240</v>
      </c>
      <c r="N5008" t="s">
        <v>240</v>
      </c>
      <c r="O5008" t="s">
        <v>240</v>
      </c>
    </row>
    <row r="5009" spans="1:15">
      <c r="A5009" t="s">
        <v>297</v>
      </c>
      <c r="B5009" t="str">
        <f ca="1">IF(ISBLANK(OFFSET(B5009,0,'Field labels'!$Q$1)),C5009,OFFSET(B5009,0,'Field labels'!$Q$1))</f>
        <v>Lithuanian</v>
      </c>
      <c r="C5009" t="s">
        <v>409</v>
      </c>
      <c r="D5009" t="s">
        <v>1539</v>
      </c>
      <c r="E5009" t="s">
        <v>409</v>
      </c>
      <c r="F5009" t="s">
        <v>1540</v>
      </c>
      <c r="G5009" t="s">
        <v>1541</v>
      </c>
      <c r="H5009" t="s">
        <v>1542</v>
      </c>
      <c r="I5009" t="s">
        <v>1543</v>
      </c>
      <c r="K5009" t="s">
        <v>1544</v>
      </c>
      <c r="L5009" t="s">
        <v>1543</v>
      </c>
      <c r="N5009" t="s">
        <v>1543</v>
      </c>
      <c r="O5009" t="s">
        <v>1545</v>
      </c>
    </row>
    <row r="5010" spans="1:15">
      <c r="A5010" t="s">
        <v>297</v>
      </c>
      <c r="B5010" t="str">
        <f ca="1">IF(ISBLANK(OFFSET(B5010,0,'Field labels'!$Q$1)),C5010,OFFSET(B5010,0,'Field labels'!$Q$1))</f>
        <v>Macedonian</v>
      </c>
      <c r="C5010" t="s">
        <v>262</v>
      </c>
      <c r="D5010" t="s">
        <v>262</v>
      </c>
      <c r="E5010" t="s">
        <v>262</v>
      </c>
      <c r="F5010" t="s">
        <v>262</v>
      </c>
      <c r="G5010" t="s">
        <v>262</v>
      </c>
      <c r="H5010" t="s">
        <v>262</v>
      </c>
      <c r="I5010" t="s">
        <v>262</v>
      </c>
      <c r="J5010" t="s">
        <v>262</v>
      </c>
      <c r="K5010" t="s">
        <v>262</v>
      </c>
      <c r="L5010" t="s">
        <v>262</v>
      </c>
      <c r="N5010" t="s">
        <v>262</v>
      </c>
      <c r="O5010" t="s">
        <v>262</v>
      </c>
    </row>
    <row r="5011" spans="1:15">
      <c r="A5011" t="s">
        <v>297</v>
      </c>
      <c r="B5011" t="str">
        <f ca="1">IF(ISBLANK(OFFSET(B5011,0,'Field labels'!$Q$1)),C5011,OFFSET(B5011,0,'Field labels'!$Q$1))</f>
        <v>Malay</v>
      </c>
      <c r="C5011" t="s">
        <v>410</v>
      </c>
      <c r="D5011" t="s">
        <v>1546</v>
      </c>
      <c r="E5011" t="s">
        <v>410</v>
      </c>
      <c r="F5011" t="s">
        <v>1547</v>
      </c>
      <c r="G5011" t="s">
        <v>1548</v>
      </c>
      <c r="H5011" t="s">
        <v>1549</v>
      </c>
      <c r="I5011" t="s">
        <v>410</v>
      </c>
      <c r="K5011" t="s">
        <v>1550</v>
      </c>
      <c r="L5011" t="s">
        <v>1551</v>
      </c>
      <c r="N5011" t="s">
        <v>1552</v>
      </c>
      <c r="O5011" t="s">
        <v>1553</v>
      </c>
    </row>
    <row r="5012" spans="1:15">
      <c r="A5012" t="s">
        <v>297</v>
      </c>
      <c r="B5012" t="str">
        <f ca="1">IF(ISBLANK(OFFSET(B5012,0,'Field labels'!$Q$1)),C5012,OFFSET(B5012,0,'Field labels'!$Q$1))</f>
        <v>Maltese</v>
      </c>
      <c r="C5012" t="s">
        <v>241</v>
      </c>
      <c r="D5012" t="s">
        <v>241</v>
      </c>
      <c r="E5012" t="s">
        <v>241</v>
      </c>
      <c r="F5012" t="s">
        <v>241</v>
      </c>
      <c r="G5012" t="s">
        <v>241</v>
      </c>
      <c r="H5012" t="s">
        <v>241</v>
      </c>
      <c r="I5012" t="s">
        <v>241</v>
      </c>
      <c r="J5012" t="s">
        <v>241</v>
      </c>
      <c r="K5012" t="s">
        <v>241</v>
      </c>
      <c r="L5012" t="s">
        <v>241</v>
      </c>
      <c r="N5012" t="s">
        <v>241</v>
      </c>
      <c r="O5012" t="s">
        <v>241</v>
      </c>
    </row>
    <row r="5013" spans="1:15">
      <c r="A5013" t="s">
        <v>297</v>
      </c>
      <c r="B5013" t="str">
        <f ca="1">IF(ISBLANK(OFFSET(B5013,0,'Field labels'!$Q$1)),C5013,OFFSET(B5013,0,'Field labels'!$Q$1))</f>
        <v>Mandarin</v>
      </c>
      <c r="C5013" t="s">
        <v>242</v>
      </c>
      <c r="D5013" t="s">
        <v>242</v>
      </c>
      <c r="E5013" t="s">
        <v>242</v>
      </c>
      <c r="F5013" t="s">
        <v>242</v>
      </c>
      <c r="G5013" t="s">
        <v>242</v>
      </c>
      <c r="H5013" t="s">
        <v>242</v>
      </c>
      <c r="I5013" t="s">
        <v>242</v>
      </c>
      <c r="J5013" t="s">
        <v>242</v>
      </c>
      <c r="K5013" t="s">
        <v>242</v>
      </c>
      <c r="L5013" t="s">
        <v>242</v>
      </c>
      <c r="N5013" t="s">
        <v>242</v>
      </c>
      <c r="O5013" t="s">
        <v>242</v>
      </c>
    </row>
    <row r="5014" spans="1:15">
      <c r="A5014" t="s">
        <v>297</v>
      </c>
      <c r="B5014" t="str">
        <f ca="1">IF(ISBLANK(OFFSET(B5014,0,'Field labels'!$Q$1)),C5014,OFFSET(B5014,0,'Field labels'!$Q$1))</f>
        <v>Mandinka</v>
      </c>
      <c r="C5014" t="s">
        <v>243</v>
      </c>
      <c r="D5014" t="s">
        <v>243</v>
      </c>
      <c r="E5014" t="s">
        <v>243</v>
      </c>
      <c r="F5014" t="s">
        <v>243</v>
      </c>
      <c r="G5014" t="s">
        <v>243</v>
      </c>
      <c r="H5014" t="s">
        <v>243</v>
      </c>
      <c r="I5014" t="s">
        <v>243</v>
      </c>
      <c r="J5014" t="s">
        <v>243</v>
      </c>
      <c r="K5014" t="s">
        <v>243</v>
      </c>
      <c r="L5014" t="s">
        <v>243</v>
      </c>
      <c r="N5014" t="s">
        <v>243</v>
      </c>
      <c r="O5014" t="s">
        <v>243</v>
      </c>
    </row>
    <row r="5015" spans="1:15">
      <c r="A5015" t="s">
        <v>297</v>
      </c>
      <c r="B5015" t="str">
        <f ca="1">IF(ISBLANK(OFFSET(B5015,0,'Field labels'!$Q$1)),C5015,OFFSET(B5015,0,'Field labels'!$Q$1))</f>
        <v>Marathi</v>
      </c>
      <c r="C5015" t="s">
        <v>244</v>
      </c>
      <c r="D5015" t="s">
        <v>244</v>
      </c>
      <c r="E5015" t="s">
        <v>244</v>
      </c>
      <c r="F5015" t="s">
        <v>244</v>
      </c>
      <c r="G5015" t="s">
        <v>244</v>
      </c>
      <c r="H5015" t="s">
        <v>244</v>
      </c>
      <c r="I5015" t="s">
        <v>244</v>
      </c>
      <c r="J5015" t="s">
        <v>244</v>
      </c>
      <c r="K5015" t="s">
        <v>244</v>
      </c>
      <c r="L5015" t="s">
        <v>244</v>
      </c>
      <c r="N5015" t="s">
        <v>244</v>
      </c>
      <c r="O5015" t="s">
        <v>244</v>
      </c>
    </row>
    <row r="5016" spans="1:15">
      <c r="A5016" t="s">
        <v>297</v>
      </c>
      <c r="B5016" t="str">
        <f ca="1">IF(ISBLANK(OFFSET(B5016,0,'Field labels'!$Q$1)),C5016,OFFSET(B5016,0,'Field labels'!$Q$1))</f>
        <v>Norwegian</v>
      </c>
      <c r="C5016" t="s">
        <v>411</v>
      </c>
      <c r="D5016" t="s">
        <v>1554</v>
      </c>
      <c r="E5016" t="s">
        <v>411</v>
      </c>
      <c r="F5016" t="s">
        <v>1555</v>
      </c>
      <c r="G5016" t="s">
        <v>1556</v>
      </c>
      <c r="H5016" t="s">
        <v>1557</v>
      </c>
      <c r="I5016" t="s">
        <v>1558</v>
      </c>
      <c r="K5016" t="s">
        <v>1559</v>
      </c>
      <c r="L5016" t="s">
        <v>1560</v>
      </c>
      <c r="N5016" t="s">
        <v>1561</v>
      </c>
      <c r="O5016" t="s">
        <v>1562</v>
      </c>
    </row>
    <row r="5017" spans="1:15">
      <c r="A5017" t="s">
        <v>297</v>
      </c>
      <c r="B5017" t="str">
        <f ca="1">IF(ISBLANK(OFFSET(B5017,0,'Field labels'!$Q$1)),C5017,OFFSET(B5017,0,'Field labels'!$Q$1))</f>
        <v>Oriya</v>
      </c>
      <c r="C5017" t="s">
        <v>270</v>
      </c>
      <c r="D5017" t="s">
        <v>270</v>
      </c>
      <c r="E5017" t="s">
        <v>270</v>
      </c>
      <c r="F5017" t="s">
        <v>270</v>
      </c>
      <c r="G5017" t="s">
        <v>270</v>
      </c>
      <c r="H5017" t="s">
        <v>270</v>
      </c>
      <c r="I5017" t="s">
        <v>270</v>
      </c>
      <c r="J5017" t="s">
        <v>270</v>
      </c>
      <c r="K5017" t="s">
        <v>270</v>
      </c>
      <c r="L5017" t="s">
        <v>270</v>
      </c>
      <c r="N5017" t="s">
        <v>270</v>
      </c>
      <c r="O5017" t="s">
        <v>270</v>
      </c>
    </row>
    <row r="5018" spans="1:15">
      <c r="A5018" t="s">
        <v>297</v>
      </c>
      <c r="B5018" t="str">
        <f ca="1">IF(ISBLANK(OFFSET(B5018,0,'Field labels'!$Q$1)),C5018,OFFSET(B5018,0,'Field labels'!$Q$1))</f>
        <v>Persian</v>
      </c>
      <c r="C5018" t="s">
        <v>245</v>
      </c>
      <c r="D5018" t="s">
        <v>245</v>
      </c>
      <c r="E5018" t="s">
        <v>245</v>
      </c>
      <c r="F5018" t="s">
        <v>245</v>
      </c>
      <c r="G5018" t="s">
        <v>245</v>
      </c>
      <c r="H5018" t="s">
        <v>245</v>
      </c>
      <c r="I5018" t="s">
        <v>245</v>
      </c>
      <c r="J5018" t="s">
        <v>245</v>
      </c>
      <c r="K5018" t="s">
        <v>245</v>
      </c>
      <c r="L5018" t="s">
        <v>245</v>
      </c>
      <c r="N5018" t="s">
        <v>245</v>
      </c>
      <c r="O5018" t="s">
        <v>245</v>
      </c>
    </row>
    <row r="5019" spans="1:15">
      <c r="A5019" t="s">
        <v>297</v>
      </c>
      <c r="B5019" t="str">
        <f ca="1">IF(ISBLANK(OFFSET(B5019,0,'Field labels'!$Q$1)),C5019,OFFSET(B5019,0,'Field labels'!$Q$1))</f>
        <v>Philippine</v>
      </c>
      <c r="C5019" t="s">
        <v>246</v>
      </c>
      <c r="D5019" t="s">
        <v>246</v>
      </c>
      <c r="E5019" t="s">
        <v>246</v>
      </c>
      <c r="F5019" t="s">
        <v>246</v>
      </c>
      <c r="G5019" t="s">
        <v>246</v>
      </c>
      <c r="H5019" t="s">
        <v>246</v>
      </c>
      <c r="I5019" t="s">
        <v>246</v>
      </c>
      <c r="J5019" t="s">
        <v>246</v>
      </c>
      <c r="K5019" t="s">
        <v>246</v>
      </c>
      <c r="L5019" t="s">
        <v>246</v>
      </c>
      <c r="N5019" t="s">
        <v>246</v>
      </c>
      <c r="O5019" t="s">
        <v>246</v>
      </c>
    </row>
    <row r="5020" spans="1:15">
      <c r="A5020" t="s">
        <v>297</v>
      </c>
      <c r="B5020" t="str">
        <f ca="1">IF(ISBLANK(OFFSET(B5020,0,'Field labels'!$Q$1)),C5020,OFFSET(B5020,0,'Field labels'!$Q$1))</f>
        <v>Polish</v>
      </c>
      <c r="C5020" t="s">
        <v>412</v>
      </c>
      <c r="D5020" t="s">
        <v>1563</v>
      </c>
      <c r="E5020" t="s">
        <v>412</v>
      </c>
      <c r="F5020" t="s">
        <v>1564</v>
      </c>
      <c r="G5020" t="s">
        <v>1565</v>
      </c>
      <c r="H5020" t="s">
        <v>1566</v>
      </c>
      <c r="I5020" t="s">
        <v>1567</v>
      </c>
      <c r="K5020" t="s">
        <v>1568</v>
      </c>
      <c r="L5020" t="s">
        <v>1569</v>
      </c>
      <c r="N5020" t="s">
        <v>1569</v>
      </c>
      <c r="O5020" t="s">
        <v>1570</v>
      </c>
    </row>
    <row r="5021" spans="1:15">
      <c r="A5021" t="s">
        <v>297</v>
      </c>
      <c r="B5021" t="str">
        <f ca="1">IF(ISBLANK(OFFSET(B5021,0,'Field labels'!$Q$1)),C5021,OFFSET(B5021,0,'Field labels'!$Q$1))</f>
        <v>Portuguese</v>
      </c>
      <c r="C5021" t="s">
        <v>414</v>
      </c>
      <c r="D5021" t="s">
        <v>1576</v>
      </c>
      <c r="E5021" t="s">
        <v>414</v>
      </c>
      <c r="F5021" t="s">
        <v>1577</v>
      </c>
      <c r="G5021" t="s">
        <v>1578</v>
      </c>
      <c r="H5021" t="s">
        <v>1579</v>
      </c>
      <c r="I5021" t="s">
        <v>1580</v>
      </c>
      <c r="K5021" t="s">
        <v>1581</v>
      </c>
      <c r="L5021" t="s">
        <v>1582</v>
      </c>
      <c r="N5021" t="s">
        <v>1583</v>
      </c>
      <c r="O5021" t="s">
        <v>1584</v>
      </c>
    </row>
    <row r="5022" spans="1:15">
      <c r="A5022" t="s">
        <v>297</v>
      </c>
      <c r="B5022" t="str">
        <f ca="1">IF(ISBLANK(OFFSET(B5022,0,'Field labels'!$Q$1)),C5022,OFFSET(B5022,0,'Field labels'!$Q$1))</f>
        <v>Punjabi</v>
      </c>
      <c r="C5022" t="s">
        <v>413</v>
      </c>
      <c r="D5022" t="s">
        <v>413</v>
      </c>
      <c r="E5022" t="s">
        <v>413</v>
      </c>
      <c r="F5022" t="s">
        <v>1571</v>
      </c>
      <c r="G5022" t="s">
        <v>413</v>
      </c>
      <c r="H5022" t="s">
        <v>1572</v>
      </c>
      <c r="I5022" t="s">
        <v>413</v>
      </c>
      <c r="K5022" t="s">
        <v>1573</v>
      </c>
      <c r="L5022" t="s">
        <v>413</v>
      </c>
      <c r="N5022" t="s">
        <v>1574</v>
      </c>
      <c r="O5022" t="s">
        <v>1575</v>
      </c>
    </row>
    <row r="5023" spans="1:15">
      <c r="A5023" t="s">
        <v>297</v>
      </c>
      <c r="B5023" t="str">
        <f ca="1">IF(ISBLANK(OFFSET(B5023,0,'Field labels'!$Q$1)),C5023,OFFSET(B5023,0,'Field labels'!$Q$1))</f>
        <v>Punjabi</v>
      </c>
      <c r="C5023" t="s">
        <v>413</v>
      </c>
      <c r="D5023" t="s">
        <v>413</v>
      </c>
      <c r="E5023" t="s">
        <v>413</v>
      </c>
      <c r="F5023" t="s">
        <v>1571</v>
      </c>
      <c r="G5023" t="s">
        <v>413</v>
      </c>
      <c r="H5023" t="s">
        <v>1572</v>
      </c>
      <c r="I5023" t="s">
        <v>413</v>
      </c>
      <c r="K5023" t="s">
        <v>1573</v>
      </c>
      <c r="L5023" t="s">
        <v>413</v>
      </c>
      <c r="N5023" t="s">
        <v>1574</v>
      </c>
      <c r="O5023" t="s">
        <v>1575</v>
      </c>
    </row>
    <row r="5024" spans="1:15">
      <c r="A5024" t="s">
        <v>297</v>
      </c>
      <c r="B5024" t="str">
        <f ca="1">IF(ISBLANK(OFFSET(B5024,0,'Field labels'!$Q$1)),C5024,OFFSET(B5024,0,'Field labels'!$Q$1))</f>
        <v>Rumanian</v>
      </c>
      <c r="C5024" t="s">
        <v>415</v>
      </c>
      <c r="D5024" t="s">
        <v>1585</v>
      </c>
      <c r="E5024" t="s">
        <v>415</v>
      </c>
      <c r="F5024" t="s">
        <v>1586</v>
      </c>
      <c r="G5024" t="s">
        <v>1587</v>
      </c>
      <c r="H5024" t="s">
        <v>1588</v>
      </c>
      <c r="I5024" t="s">
        <v>1589</v>
      </c>
      <c r="K5024" t="s">
        <v>1590</v>
      </c>
      <c r="L5024" t="s">
        <v>1589</v>
      </c>
      <c r="N5024" t="s">
        <v>1591</v>
      </c>
      <c r="O5024" t="s">
        <v>1592</v>
      </c>
    </row>
    <row r="5025" spans="1:15">
      <c r="A5025" t="s">
        <v>297</v>
      </c>
      <c r="B5025" t="str">
        <f ca="1">IF(ISBLANK(OFFSET(B5025,0,'Field labels'!$Q$1)),C5025,OFFSET(B5025,0,'Field labels'!$Q$1))</f>
        <v>Russian</v>
      </c>
      <c r="C5025" t="s">
        <v>416</v>
      </c>
      <c r="D5025" t="s">
        <v>1593</v>
      </c>
      <c r="E5025" t="s">
        <v>416</v>
      </c>
      <c r="F5025" t="s">
        <v>1594</v>
      </c>
      <c r="G5025" t="s">
        <v>1593</v>
      </c>
      <c r="H5025" t="s">
        <v>1595</v>
      </c>
      <c r="I5025" t="s">
        <v>1596</v>
      </c>
      <c r="K5025" t="s">
        <v>1597</v>
      </c>
      <c r="L5025" t="s">
        <v>1596</v>
      </c>
      <c r="N5025" t="s">
        <v>1598</v>
      </c>
      <c r="O5025" t="s">
        <v>1599</v>
      </c>
    </row>
    <row r="5026" spans="1:15">
      <c r="A5026" t="s">
        <v>297</v>
      </c>
      <c r="B5026" t="str">
        <f ca="1">IF(ISBLANK(OFFSET(B5026,0,'Field labels'!$Q$1)),C5026,OFFSET(B5026,0,'Field labels'!$Q$1))</f>
        <v>Samoan</v>
      </c>
      <c r="C5026" t="s">
        <v>251</v>
      </c>
      <c r="D5026" t="s">
        <v>251</v>
      </c>
      <c r="E5026" t="s">
        <v>251</v>
      </c>
      <c r="F5026" t="s">
        <v>251</v>
      </c>
      <c r="G5026" t="s">
        <v>251</v>
      </c>
      <c r="H5026" t="s">
        <v>251</v>
      </c>
      <c r="I5026" t="s">
        <v>251</v>
      </c>
      <c r="J5026" t="s">
        <v>251</v>
      </c>
      <c r="K5026" t="s">
        <v>251</v>
      </c>
      <c r="L5026" t="s">
        <v>251</v>
      </c>
      <c r="N5026" t="s">
        <v>251</v>
      </c>
      <c r="O5026" t="s">
        <v>251</v>
      </c>
    </row>
    <row r="5027" spans="1:15">
      <c r="A5027" t="s">
        <v>297</v>
      </c>
      <c r="B5027" t="str">
        <f ca="1">IF(ISBLANK(OFFSET(B5027,0,'Field labels'!$Q$1)),C5027,OFFSET(B5027,0,'Field labels'!$Q$1))</f>
        <v>Sanskrit</v>
      </c>
      <c r="C5027" t="s">
        <v>247</v>
      </c>
      <c r="D5027" t="s">
        <v>247</v>
      </c>
      <c r="E5027" t="s">
        <v>247</v>
      </c>
      <c r="F5027" t="s">
        <v>247</v>
      </c>
      <c r="G5027" t="s">
        <v>247</v>
      </c>
      <c r="H5027" t="s">
        <v>247</v>
      </c>
      <c r="I5027" t="s">
        <v>247</v>
      </c>
      <c r="J5027" t="s">
        <v>247</v>
      </c>
      <c r="K5027" t="s">
        <v>247</v>
      </c>
      <c r="L5027" t="s">
        <v>247</v>
      </c>
      <c r="N5027" t="s">
        <v>247</v>
      </c>
      <c r="O5027" t="s">
        <v>247</v>
      </c>
    </row>
    <row r="5028" spans="1:15">
      <c r="A5028" t="s">
        <v>297</v>
      </c>
      <c r="B5028" t="str">
        <f ca="1">IF(ISBLANK(OFFSET(B5028,0,'Field labels'!$Q$1)),C5028,OFFSET(B5028,0,'Field labels'!$Q$1))</f>
        <v>Serbo-Croat</v>
      </c>
      <c r="C5028" t="s">
        <v>417</v>
      </c>
    </row>
    <row r="5029" spans="1:15">
      <c r="A5029" t="s">
        <v>297</v>
      </c>
      <c r="B5029" t="str">
        <f ca="1">IF(ISBLANK(OFFSET(B5029,0,'Field labels'!$Q$1)),C5029,OFFSET(B5029,0,'Field labels'!$Q$1))</f>
        <v>Shona</v>
      </c>
      <c r="C5029" t="s">
        <v>268</v>
      </c>
      <c r="D5029" t="s">
        <v>268</v>
      </c>
      <c r="E5029" t="s">
        <v>268</v>
      </c>
      <c r="F5029" t="s">
        <v>268</v>
      </c>
      <c r="G5029" t="s">
        <v>268</v>
      </c>
      <c r="H5029" t="s">
        <v>268</v>
      </c>
      <c r="I5029" t="s">
        <v>268</v>
      </c>
      <c r="J5029" t="s">
        <v>268</v>
      </c>
      <c r="K5029" t="s">
        <v>268</v>
      </c>
      <c r="L5029" t="s">
        <v>268</v>
      </c>
      <c r="N5029" t="s">
        <v>268</v>
      </c>
      <c r="O5029" t="s">
        <v>268</v>
      </c>
    </row>
    <row r="5030" spans="1:15">
      <c r="A5030" t="s">
        <v>297</v>
      </c>
      <c r="B5030" t="str">
        <f ca="1">IF(ISBLANK(OFFSET(B5030,0,'Field labels'!$Q$1)),C5030,OFFSET(B5030,0,'Field labels'!$Q$1))</f>
        <v>Sicician</v>
      </c>
      <c r="C5030" t="s">
        <v>248</v>
      </c>
      <c r="D5030" t="s">
        <v>248</v>
      </c>
      <c r="E5030" t="s">
        <v>248</v>
      </c>
      <c r="F5030" t="s">
        <v>248</v>
      </c>
      <c r="G5030" t="s">
        <v>248</v>
      </c>
      <c r="H5030" t="s">
        <v>248</v>
      </c>
      <c r="I5030" t="s">
        <v>248</v>
      </c>
      <c r="J5030" t="s">
        <v>248</v>
      </c>
      <c r="K5030" t="s">
        <v>248</v>
      </c>
      <c r="L5030" t="s">
        <v>248</v>
      </c>
      <c r="N5030" t="s">
        <v>248</v>
      </c>
      <c r="O5030" t="s">
        <v>248</v>
      </c>
    </row>
    <row r="5031" spans="1:15">
      <c r="A5031" t="s">
        <v>297</v>
      </c>
      <c r="B5031" t="str">
        <f ca="1">IF(ISBLANK(OFFSET(B5031,0,'Field labels'!$Q$1)),C5031,OFFSET(B5031,0,'Field labels'!$Q$1))</f>
        <v>Sign Language(Dactylogy)</v>
      </c>
      <c r="C5031" t="s">
        <v>394</v>
      </c>
      <c r="D5031" t="s">
        <v>394</v>
      </c>
      <c r="E5031" t="s">
        <v>394</v>
      </c>
      <c r="F5031" t="s">
        <v>394</v>
      </c>
      <c r="G5031" t="s">
        <v>394</v>
      </c>
      <c r="H5031" t="s">
        <v>394</v>
      </c>
      <c r="I5031" t="s">
        <v>394</v>
      </c>
      <c r="J5031" t="s">
        <v>394</v>
      </c>
      <c r="K5031" t="s">
        <v>394</v>
      </c>
      <c r="L5031" t="s">
        <v>394</v>
      </c>
      <c r="N5031" t="s">
        <v>394</v>
      </c>
      <c r="O5031" t="s">
        <v>394</v>
      </c>
    </row>
    <row r="5032" spans="1:15">
      <c r="A5032" t="s">
        <v>297</v>
      </c>
      <c r="B5032" t="str">
        <f ca="1">IF(ISBLANK(OFFSET(B5032,0,'Field labels'!$Q$1)),C5032,OFFSET(B5032,0,'Field labels'!$Q$1))</f>
        <v>Sinhalese</v>
      </c>
      <c r="C5032" t="s">
        <v>249</v>
      </c>
      <c r="D5032" t="s">
        <v>249</v>
      </c>
      <c r="E5032" t="s">
        <v>249</v>
      </c>
      <c r="F5032" t="s">
        <v>249</v>
      </c>
      <c r="G5032" t="s">
        <v>249</v>
      </c>
      <c r="H5032" t="s">
        <v>249</v>
      </c>
      <c r="I5032" t="s">
        <v>249</v>
      </c>
      <c r="J5032" t="s">
        <v>249</v>
      </c>
      <c r="K5032" t="s">
        <v>249</v>
      </c>
      <c r="L5032" t="s">
        <v>249</v>
      </c>
      <c r="N5032" t="s">
        <v>249</v>
      </c>
      <c r="O5032" t="s">
        <v>249</v>
      </c>
    </row>
    <row r="5033" spans="1:15">
      <c r="A5033" t="s">
        <v>297</v>
      </c>
      <c r="B5033" t="str">
        <f ca="1">IF(ISBLANK(OFFSET(B5033,0,'Field labels'!$Q$1)),C5033,OFFSET(B5033,0,'Field labels'!$Q$1))</f>
        <v>Slovak</v>
      </c>
      <c r="C5033" t="s">
        <v>250</v>
      </c>
      <c r="D5033" t="s">
        <v>250</v>
      </c>
      <c r="E5033" t="s">
        <v>250</v>
      </c>
      <c r="F5033" t="s">
        <v>250</v>
      </c>
      <c r="G5033" t="s">
        <v>250</v>
      </c>
      <c r="H5033" t="s">
        <v>250</v>
      </c>
      <c r="I5033" t="s">
        <v>250</v>
      </c>
      <c r="J5033" t="s">
        <v>250</v>
      </c>
      <c r="K5033" t="s">
        <v>250</v>
      </c>
      <c r="L5033" t="s">
        <v>250</v>
      </c>
      <c r="N5033" t="s">
        <v>250</v>
      </c>
      <c r="O5033" t="s">
        <v>250</v>
      </c>
    </row>
    <row r="5034" spans="1:15">
      <c r="A5034" t="s">
        <v>297</v>
      </c>
      <c r="B5034" t="str">
        <f ca="1">IF(ISBLANK(OFFSET(B5034,0,'Field labels'!$Q$1)),C5034,OFFSET(B5034,0,'Field labels'!$Q$1))</f>
        <v>Somali</v>
      </c>
      <c r="C5034" t="s">
        <v>263</v>
      </c>
      <c r="D5034" t="s">
        <v>263</v>
      </c>
      <c r="E5034" t="s">
        <v>263</v>
      </c>
      <c r="F5034" t="s">
        <v>263</v>
      </c>
      <c r="G5034" t="s">
        <v>263</v>
      </c>
      <c r="H5034" t="s">
        <v>263</v>
      </c>
      <c r="I5034" t="s">
        <v>263</v>
      </c>
      <c r="J5034" t="s">
        <v>263</v>
      </c>
      <c r="K5034" t="s">
        <v>263</v>
      </c>
      <c r="L5034" t="s">
        <v>263</v>
      </c>
      <c r="N5034" t="s">
        <v>263</v>
      </c>
      <c r="O5034" t="s">
        <v>263</v>
      </c>
    </row>
    <row r="5035" spans="1:15">
      <c r="A5035" t="s">
        <v>297</v>
      </c>
      <c r="B5035" t="str">
        <f ca="1">IF(ISBLANK(OFFSET(B5035,0,'Field labels'!$Q$1)),C5035,OFFSET(B5035,0,'Field labels'!$Q$1))</f>
        <v>Spanish</v>
      </c>
      <c r="C5035" t="s">
        <v>418</v>
      </c>
      <c r="D5035" t="s">
        <v>1600</v>
      </c>
      <c r="E5035" t="s">
        <v>418</v>
      </c>
      <c r="F5035" t="s">
        <v>1601</v>
      </c>
      <c r="G5035" t="s">
        <v>1602</v>
      </c>
      <c r="H5035" t="s">
        <v>1603</v>
      </c>
      <c r="I5035" t="s">
        <v>1604</v>
      </c>
      <c r="K5035" t="s">
        <v>1605</v>
      </c>
      <c r="L5035" t="s">
        <v>1606</v>
      </c>
      <c r="N5035" t="s">
        <v>1607</v>
      </c>
      <c r="O5035" t="s">
        <v>1608</v>
      </c>
    </row>
    <row r="5036" spans="1:15">
      <c r="A5036" t="s">
        <v>297</v>
      </c>
      <c r="B5036" t="str">
        <f ca="1">IF(ISBLANK(OFFSET(B5036,0,'Field labels'!$Q$1)),C5036,OFFSET(B5036,0,'Field labels'!$Q$1))</f>
        <v>Swahili</v>
      </c>
      <c r="C5036" t="s">
        <v>252</v>
      </c>
      <c r="D5036" t="s">
        <v>252</v>
      </c>
      <c r="E5036" t="s">
        <v>252</v>
      </c>
      <c r="F5036" t="s">
        <v>252</v>
      </c>
      <c r="G5036" t="s">
        <v>252</v>
      </c>
      <c r="H5036" t="s">
        <v>1514</v>
      </c>
      <c r="I5036" t="s">
        <v>252</v>
      </c>
      <c r="K5036" t="s">
        <v>252</v>
      </c>
      <c r="L5036" t="s">
        <v>252</v>
      </c>
      <c r="N5036" t="s">
        <v>1609</v>
      </c>
      <c r="O5036" t="s">
        <v>1610</v>
      </c>
    </row>
    <row r="5037" spans="1:15">
      <c r="A5037" t="s">
        <v>297</v>
      </c>
      <c r="B5037" t="str">
        <f ca="1">IF(ISBLANK(OFFSET(B5037,0,'Field labels'!$Q$1)),C5037,OFFSET(B5037,0,'Field labels'!$Q$1))</f>
        <v>Swedish</v>
      </c>
      <c r="C5037" t="s">
        <v>419</v>
      </c>
      <c r="D5037" t="s">
        <v>1611</v>
      </c>
      <c r="E5037" t="s">
        <v>419</v>
      </c>
      <c r="F5037" t="s">
        <v>1612</v>
      </c>
      <c r="G5037" t="s">
        <v>1613</v>
      </c>
      <c r="H5037" t="s">
        <v>1614</v>
      </c>
      <c r="I5037" t="s">
        <v>1615</v>
      </c>
      <c r="K5037" t="s">
        <v>1616</v>
      </c>
      <c r="L5037" t="s">
        <v>1617</v>
      </c>
      <c r="N5037" t="s">
        <v>1617</v>
      </c>
      <c r="O5037" t="s">
        <v>1618</v>
      </c>
    </row>
    <row r="5038" spans="1:15">
      <c r="A5038" t="s">
        <v>297</v>
      </c>
      <c r="B5038" t="str">
        <f ca="1">IF(ISBLANK(OFFSET(B5038,0,'Field labels'!$Q$1)),C5038,OFFSET(B5038,0,'Field labels'!$Q$1))</f>
        <v>Tagalog</v>
      </c>
      <c r="C5038" t="s">
        <v>253</v>
      </c>
      <c r="D5038" t="s">
        <v>253</v>
      </c>
      <c r="E5038" t="s">
        <v>253</v>
      </c>
      <c r="F5038" t="s">
        <v>253</v>
      </c>
      <c r="G5038" t="s">
        <v>253</v>
      </c>
      <c r="H5038" t="s">
        <v>253</v>
      </c>
      <c r="I5038" t="s">
        <v>253</v>
      </c>
      <c r="J5038" t="s">
        <v>253</v>
      </c>
      <c r="K5038" t="s">
        <v>253</v>
      </c>
      <c r="L5038" t="s">
        <v>253</v>
      </c>
      <c r="N5038" t="s">
        <v>253</v>
      </c>
      <c r="O5038" t="s">
        <v>253</v>
      </c>
    </row>
    <row r="5039" spans="1:15">
      <c r="A5039" t="s">
        <v>297</v>
      </c>
      <c r="B5039" t="str">
        <f ca="1">IF(ISBLANK(OFFSET(B5039,0,'Field labels'!$Q$1)),C5039,OFFSET(B5039,0,'Field labels'!$Q$1))</f>
        <v>Taiwanese</v>
      </c>
      <c r="C5039" t="s">
        <v>255</v>
      </c>
      <c r="D5039" t="s">
        <v>255</v>
      </c>
      <c r="E5039" t="s">
        <v>255</v>
      </c>
      <c r="F5039" t="s">
        <v>255</v>
      </c>
      <c r="G5039" t="s">
        <v>255</v>
      </c>
      <c r="H5039" t="s">
        <v>255</v>
      </c>
      <c r="I5039" t="s">
        <v>255</v>
      </c>
      <c r="J5039" t="s">
        <v>255</v>
      </c>
      <c r="K5039" t="s">
        <v>255</v>
      </c>
      <c r="L5039" t="s">
        <v>255</v>
      </c>
      <c r="N5039" t="s">
        <v>255</v>
      </c>
      <c r="O5039" t="s">
        <v>255</v>
      </c>
    </row>
    <row r="5040" spans="1:15">
      <c r="A5040" t="s">
        <v>297</v>
      </c>
      <c r="B5040" t="str">
        <f ca="1">IF(ISBLANK(OFFSET(B5040,0,'Field labels'!$Q$1)),C5040,OFFSET(B5040,0,'Field labels'!$Q$1))</f>
        <v>Tamil</v>
      </c>
      <c r="C5040" t="s">
        <v>420</v>
      </c>
      <c r="D5040" t="s">
        <v>420</v>
      </c>
      <c r="E5040" t="s">
        <v>420</v>
      </c>
      <c r="F5040" t="s">
        <v>1619</v>
      </c>
      <c r="G5040" t="s">
        <v>420</v>
      </c>
      <c r="H5040" t="s">
        <v>420</v>
      </c>
      <c r="I5040" t="s">
        <v>420</v>
      </c>
      <c r="K5040" t="s">
        <v>1620</v>
      </c>
      <c r="L5040" t="s">
        <v>420</v>
      </c>
      <c r="N5040" t="s">
        <v>420</v>
      </c>
      <c r="O5040" t="s">
        <v>1621</v>
      </c>
    </row>
    <row r="5041" spans="1:15">
      <c r="A5041" t="s">
        <v>297</v>
      </c>
      <c r="B5041" t="str">
        <f ca="1">IF(ISBLANK(OFFSET(B5041,0,'Field labels'!$Q$1)),C5041,OFFSET(B5041,0,'Field labels'!$Q$1))</f>
        <v>Telugu</v>
      </c>
      <c r="C5041" t="s">
        <v>254</v>
      </c>
      <c r="D5041" t="s">
        <v>254</v>
      </c>
      <c r="E5041" t="s">
        <v>254</v>
      </c>
      <c r="F5041" t="s">
        <v>254</v>
      </c>
      <c r="G5041" t="s">
        <v>254</v>
      </c>
      <c r="H5041" t="s">
        <v>254</v>
      </c>
      <c r="I5041" t="s">
        <v>254</v>
      </c>
      <c r="K5041" t="s">
        <v>254</v>
      </c>
      <c r="L5041" t="s">
        <v>254</v>
      </c>
      <c r="N5041" t="s">
        <v>254</v>
      </c>
      <c r="O5041" t="s">
        <v>1622</v>
      </c>
    </row>
    <row r="5042" spans="1:15">
      <c r="A5042" t="s">
        <v>297</v>
      </c>
      <c r="B5042" t="str">
        <f ca="1">IF(ISBLANK(OFFSET(B5042,0,'Field labels'!$Q$1)),C5042,OFFSET(B5042,0,'Field labels'!$Q$1))</f>
        <v>Thai</v>
      </c>
      <c r="C5042" t="s">
        <v>421</v>
      </c>
      <c r="D5042" t="s">
        <v>421</v>
      </c>
      <c r="E5042" t="s">
        <v>421</v>
      </c>
      <c r="F5042" t="s">
        <v>1623</v>
      </c>
      <c r="G5042" t="s">
        <v>421</v>
      </c>
      <c r="H5042" t="s">
        <v>421</v>
      </c>
      <c r="I5042" t="s">
        <v>1624</v>
      </c>
      <c r="K5042" t="s">
        <v>1625</v>
      </c>
      <c r="L5042" t="s">
        <v>1626</v>
      </c>
      <c r="N5042" t="s">
        <v>1627</v>
      </c>
      <c r="O5042" t="s">
        <v>1628</v>
      </c>
    </row>
    <row r="5043" spans="1:15">
      <c r="A5043" t="s">
        <v>297</v>
      </c>
      <c r="B5043" t="str">
        <f ca="1">IF(ISBLANK(OFFSET(B5043,0,'Field labels'!$Q$1)),C5043,OFFSET(B5043,0,'Field labels'!$Q$1))</f>
        <v>Tigrinya</v>
      </c>
      <c r="C5043" t="s">
        <v>264</v>
      </c>
      <c r="D5043" t="s">
        <v>264</v>
      </c>
      <c r="E5043" t="s">
        <v>264</v>
      </c>
      <c r="F5043" t="s">
        <v>264</v>
      </c>
      <c r="G5043" t="s">
        <v>264</v>
      </c>
      <c r="H5043" t="s">
        <v>264</v>
      </c>
      <c r="I5043" t="s">
        <v>264</v>
      </c>
      <c r="J5043" t="s">
        <v>264</v>
      </c>
      <c r="K5043" t="s">
        <v>264</v>
      </c>
      <c r="L5043" t="s">
        <v>264</v>
      </c>
      <c r="N5043" t="s">
        <v>264</v>
      </c>
      <c r="O5043" t="s">
        <v>264</v>
      </c>
    </row>
    <row r="5044" spans="1:15">
      <c r="A5044" t="s">
        <v>297</v>
      </c>
      <c r="B5044" t="str">
        <f ca="1">IF(ISBLANK(OFFSET(B5044,0,'Field labels'!$Q$1)),C5044,OFFSET(B5044,0,'Field labels'!$Q$1))</f>
        <v>Turkish</v>
      </c>
      <c r="C5044" t="s">
        <v>422</v>
      </c>
      <c r="D5044" t="s">
        <v>1629</v>
      </c>
      <c r="E5044" t="s">
        <v>422</v>
      </c>
      <c r="F5044" t="s">
        <v>1630</v>
      </c>
      <c r="G5044" t="s">
        <v>1631</v>
      </c>
      <c r="H5044" t="s">
        <v>1632</v>
      </c>
      <c r="I5044" t="s">
        <v>1633</v>
      </c>
      <c r="K5044" t="s">
        <v>1634</v>
      </c>
      <c r="L5044" t="s">
        <v>1633</v>
      </c>
      <c r="N5044" t="s">
        <v>1633</v>
      </c>
      <c r="O5044" t="s">
        <v>1635</v>
      </c>
    </row>
    <row r="5045" spans="1:15">
      <c r="A5045" t="s">
        <v>297</v>
      </c>
      <c r="B5045" t="str">
        <f ca="1">IF(ISBLANK(OFFSET(B5045,0,'Field labels'!$Q$1)),C5045,OFFSET(B5045,0,'Field labels'!$Q$1))</f>
        <v>Ukranian</v>
      </c>
      <c r="C5045" t="s">
        <v>423</v>
      </c>
    </row>
    <row r="5046" spans="1:15">
      <c r="A5046" t="s">
        <v>297</v>
      </c>
      <c r="B5046" t="str">
        <f ca="1">IF(ISBLANK(OFFSET(B5046,0,'Field labels'!$Q$1)),C5046,OFFSET(B5046,0,'Field labels'!$Q$1))</f>
        <v>Urdu</v>
      </c>
      <c r="C5046" t="s">
        <v>256</v>
      </c>
      <c r="D5046" t="s">
        <v>256</v>
      </c>
      <c r="E5046" t="s">
        <v>256</v>
      </c>
      <c r="F5046" t="s">
        <v>256</v>
      </c>
      <c r="G5046" t="s">
        <v>256</v>
      </c>
      <c r="H5046" t="s">
        <v>256</v>
      </c>
      <c r="I5046" t="s">
        <v>256</v>
      </c>
      <c r="J5046" t="s">
        <v>256</v>
      </c>
      <c r="K5046" t="s">
        <v>256</v>
      </c>
      <c r="L5046" t="s">
        <v>256</v>
      </c>
      <c r="N5046" t="s">
        <v>256</v>
      </c>
      <c r="O5046" t="s">
        <v>256</v>
      </c>
    </row>
    <row r="5047" spans="1:15">
      <c r="A5047" t="s">
        <v>297</v>
      </c>
      <c r="B5047" t="str">
        <f ca="1">IF(ISBLANK(OFFSET(B5047,0,'Field labels'!$Q$1)),C5047,OFFSET(B5047,0,'Field labels'!$Q$1))</f>
        <v>Uzbek</v>
      </c>
      <c r="C5047" t="s">
        <v>265</v>
      </c>
      <c r="D5047" t="s">
        <v>265</v>
      </c>
      <c r="E5047" t="s">
        <v>265</v>
      </c>
      <c r="F5047" t="s">
        <v>265</v>
      </c>
      <c r="G5047" t="s">
        <v>265</v>
      </c>
      <c r="H5047" t="s">
        <v>265</v>
      </c>
      <c r="I5047" t="s">
        <v>265</v>
      </c>
      <c r="J5047" t="s">
        <v>265</v>
      </c>
      <c r="K5047" t="s">
        <v>265</v>
      </c>
      <c r="L5047" t="s">
        <v>265</v>
      </c>
      <c r="N5047" t="s">
        <v>265</v>
      </c>
      <c r="O5047" t="s">
        <v>265</v>
      </c>
    </row>
    <row r="5048" spans="1:15">
      <c r="A5048" t="s">
        <v>297</v>
      </c>
      <c r="B5048" t="str">
        <f ca="1">IF(ISBLANK(OFFSET(B5048,0,'Field labels'!$Q$1)),C5048,OFFSET(B5048,0,'Field labels'!$Q$1))</f>
        <v>Vietnamese</v>
      </c>
      <c r="C5048" t="s">
        <v>424</v>
      </c>
      <c r="D5048" t="s">
        <v>1636</v>
      </c>
      <c r="E5048" t="s">
        <v>424</v>
      </c>
      <c r="F5048" t="s">
        <v>1637</v>
      </c>
      <c r="G5048" t="s">
        <v>1638</v>
      </c>
      <c r="H5048" t="s">
        <v>1639</v>
      </c>
      <c r="I5048" t="s">
        <v>1640</v>
      </c>
      <c r="K5048" t="s">
        <v>1641</v>
      </c>
      <c r="L5048" t="s">
        <v>1640</v>
      </c>
      <c r="N5048" t="s">
        <v>1640</v>
      </c>
      <c r="O5048" t="s">
        <v>1642</v>
      </c>
    </row>
    <row r="5049" spans="1:15">
      <c r="A5049" t="s">
        <v>297</v>
      </c>
      <c r="B5049" t="str">
        <f ca="1">IF(ISBLANK(OFFSET(B5049,0,'Field labels'!$Q$1)),C5049,OFFSET(B5049,0,'Field labels'!$Q$1))</f>
        <v>Wolof</v>
      </c>
      <c r="C5049" t="s">
        <v>257</v>
      </c>
      <c r="D5049" t="s">
        <v>257</v>
      </c>
      <c r="E5049" t="s">
        <v>257</v>
      </c>
      <c r="F5049" t="s">
        <v>257</v>
      </c>
      <c r="G5049" t="s">
        <v>257</v>
      </c>
      <c r="H5049" t="s">
        <v>257</v>
      </c>
      <c r="I5049" t="s">
        <v>257</v>
      </c>
      <c r="J5049" t="s">
        <v>257</v>
      </c>
      <c r="K5049" t="s">
        <v>257</v>
      </c>
      <c r="L5049" t="s">
        <v>257</v>
      </c>
      <c r="N5049" t="s">
        <v>257</v>
      </c>
      <c r="O5049" t="s">
        <v>257</v>
      </c>
    </row>
    <row r="5050" spans="1:15">
      <c r="A5050" t="s">
        <v>297</v>
      </c>
      <c r="B5050" t="str">
        <f ca="1">IF(ISBLANK(OFFSET(B5050,0,'Field labels'!$Q$1)),C5050,OFFSET(B5050,0,'Field labels'!$Q$1))</f>
        <v>Yiddish</v>
      </c>
      <c r="C5050" t="s">
        <v>258</v>
      </c>
      <c r="D5050" t="s">
        <v>258</v>
      </c>
      <c r="E5050" t="s">
        <v>258</v>
      </c>
      <c r="F5050" t="s">
        <v>258</v>
      </c>
      <c r="G5050" t="s">
        <v>258</v>
      </c>
      <c r="H5050" t="s">
        <v>258</v>
      </c>
      <c r="I5050" t="s">
        <v>258</v>
      </c>
      <c r="J5050" t="s">
        <v>258</v>
      </c>
      <c r="K5050" t="s">
        <v>258</v>
      </c>
      <c r="L5050" t="s">
        <v>258</v>
      </c>
      <c r="N5050" t="s">
        <v>258</v>
      </c>
      <c r="O5050" t="s">
        <v>258</v>
      </c>
    </row>
    <row r="5051" spans="1:15">
      <c r="A5051" t="s">
        <v>297</v>
      </c>
      <c r="B5051" t="str">
        <f ca="1">IF(ISBLANK(OFFSET(B5051,0,'Field labels'!$Q$1)),C5051,OFFSET(B5051,0,'Field labels'!$Q$1))</f>
        <v>Yoruba</v>
      </c>
      <c r="C5051" t="s">
        <v>259</v>
      </c>
      <c r="D5051" t="s">
        <v>259</v>
      </c>
      <c r="E5051" t="s">
        <v>259</v>
      </c>
      <c r="F5051" t="s">
        <v>259</v>
      </c>
      <c r="G5051" t="s">
        <v>259</v>
      </c>
      <c r="H5051" t="s">
        <v>259</v>
      </c>
      <c r="I5051" t="s">
        <v>259</v>
      </c>
      <c r="J5051" t="s">
        <v>259</v>
      </c>
      <c r="K5051" t="s">
        <v>259</v>
      </c>
      <c r="L5051" t="s">
        <v>259</v>
      </c>
      <c r="N5051" t="s">
        <v>259</v>
      </c>
      <c r="O5051" t="s">
        <v>259</v>
      </c>
    </row>
    <row r="5052" spans="1:15">
      <c r="A5052" t="s">
        <v>297</v>
      </c>
      <c r="B5052" t="str">
        <f ca="1">IF(ISBLANK(OFFSET(B5052,0,'Field labels'!$Q$1)),C5052,OFFSET(B5052,0,'Field labels'!$Q$1))</f>
        <v>Zulu</v>
      </c>
      <c r="C5052" t="s">
        <v>269</v>
      </c>
      <c r="D5052" t="s">
        <v>269</v>
      </c>
      <c r="E5052" t="s">
        <v>269</v>
      </c>
      <c r="F5052" t="s">
        <v>269</v>
      </c>
      <c r="G5052" t="s">
        <v>269</v>
      </c>
      <c r="H5052" t="s">
        <v>269</v>
      </c>
      <c r="I5052" t="s">
        <v>269</v>
      </c>
      <c r="J5052" t="s">
        <v>269</v>
      </c>
      <c r="K5052" t="s">
        <v>269</v>
      </c>
      <c r="L5052" t="s">
        <v>269</v>
      </c>
      <c r="N5052" t="s">
        <v>269</v>
      </c>
      <c r="O5052" t="s">
        <v>269</v>
      </c>
    </row>
    <row r="5053" spans="1:15">
      <c r="A5053" t="s">
        <v>2619</v>
      </c>
      <c r="B5053" t="str">
        <f ca="1">IF(ISBLANK(OFFSET(B5053,0,'Field labels'!$Q$1)),C5053,OFFSET(B5053,0,'Field labels'!$Q$1))</f>
        <v>Dutch</v>
      </c>
      <c r="C5053" t="s">
        <v>396</v>
      </c>
      <c r="D5053" t="s">
        <v>1429</v>
      </c>
      <c r="E5053" t="s">
        <v>396</v>
      </c>
      <c r="F5053" t="s">
        <v>1430</v>
      </c>
      <c r="G5053" t="s">
        <v>1431</v>
      </c>
      <c r="H5053" t="s">
        <v>1432</v>
      </c>
      <c r="I5053" t="s">
        <v>1433</v>
      </c>
      <c r="J5053" t="s">
        <v>4274</v>
      </c>
      <c r="K5053" t="s">
        <v>1434</v>
      </c>
      <c r="L5053" t="s">
        <v>1435</v>
      </c>
      <c r="M5053" t="s">
        <v>4275</v>
      </c>
      <c r="N5053" t="s">
        <v>4276</v>
      </c>
      <c r="O5053" t="s">
        <v>1437</v>
      </c>
    </row>
    <row r="5054" spans="1:15">
      <c r="A5054" t="s">
        <v>2619</v>
      </c>
      <c r="B5054" t="str">
        <f ca="1">IF(ISBLANK(OFFSET(B5054,0,'Field labels'!$Q$1)),C5054,OFFSET(B5054,0,'Field labels'!$Q$1))</f>
        <v>English</v>
      </c>
      <c r="C5054" t="s">
        <v>397</v>
      </c>
      <c r="D5054" t="s">
        <v>1438</v>
      </c>
      <c r="E5054" t="s">
        <v>397</v>
      </c>
      <c r="F5054" t="s">
        <v>1439</v>
      </c>
      <c r="G5054" t="s">
        <v>1440</v>
      </c>
      <c r="H5054" t="s">
        <v>1441</v>
      </c>
      <c r="I5054" t="s">
        <v>1442</v>
      </c>
      <c r="J5054" t="s">
        <v>4268</v>
      </c>
      <c r="K5054" t="s">
        <v>1443</v>
      </c>
      <c r="L5054" t="s">
        <v>1444</v>
      </c>
      <c r="M5054" t="s">
        <v>4269</v>
      </c>
      <c r="N5054" t="s">
        <v>4270</v>
      </c>
      <c r="O5054" t="s">
        <v>1446</v>
      </c>
    </row>
    <row r="5055" spans="1:15">
      <c r="A5055" t="s">
        <v>2619</v>
      </c>
      <c r="B5055" t="str">
        <f ca="1">IF(ISBLANK(OFFSET(B5055,0,'Field labels'!$Q$1)),C5055,OFFSET(B5055,0,'Field labels'!$Q$1))</f>
        <v>French</v>
      </c>
      <c r="C5055" t="s">
        <v>399</v>
      </c>
      <c r="D5055" t="s">
        <v>1456</v>
      </c>
      <c r="E5055" t="s">
        <v>399</v>
      </c>
      <c r="F5055" t="s">
        <v>1457</v>
      </c>
      <c r="G5055" t="s">
        <v>1458</v>
      </c>
      <c r="H5055" t="s">
        <v>1030</v>
      </c>
      <c r="I5055" t="s">
        <v>1459</v>
      </c>
      <c r="J5055" t="s">
        <v>4271</v>
      </c>
      <c r="K5055" t="s">
        <v>1460</v>
      </c>
      <c r="L5055" t="s">
        <v>1461</v>
      </c>
      <c r="M5055" t="s">
        <v>4272</v>
      </c>
      <c r="N5055" t="s">
        <v>4273</v>
      </c>
      <c r="O5055" t="s">
        <v>1463</v>
      </c>
    </row>
    <row r="5056" spans="1:15">
      <c r="A5056" t="s">
        <v>2619</v>
      </c>
      <c r="B5056" t="str">
        <f ca="1">IF(ISBLANK(OFFSET(B5056,0,'Field labels'!$Q$1)),C5056,OFFSET(B5056,0,'Field labels'!$Q$1))</f>
        <v>German</v>
      </c>
      <c r="C5056" t="s">
        <v>400</v>
      </c>
      <c r="D5056" t="s">
        <v>1464</v>
      </c>
      <c r="E5056" t="s">
        <v>400</v>
      </c>
      <c r="F5056" t="s">
        <v>1465</v>
      </c>
      <c r="G5056" t="s">
        <v>1466</v>
      </c>
      <c r="H5056" t="s">
        <v>1467</v>
      </c>
      <c r="I5056" t="s">
        <v>1468</v>
      </c>
      <c r="J5056" t="s">
        <v>4265</v>
      </c>
      <c r="K5056" t="s">
        <v>1469</v>
      </c>
      <c r="L5056" t="s">
        <v>1470</v>
      </c>
      <c r="M5056" t="s">
        <v>4266</v>
      </c>
      <c r="N5056" t="s">
        <v>4267</v>
      </c>
      <c r="O5056" t="s">
        <v>1472</v>
      </c>
    </row>
    <row r="5057" spans="1:15">
      <c r="A5057" t="s">
        <v>2585</v>
      </c>
      <c r="B5057" t="str">
        <f ca="1">IF(ISBLANK(OFFSET(B5057,0,'Field labels'!$Q$1)),C5057,OFFSET(B5057,0,'Field labels'!$Q$1))</f>
        <v>Main Payment Method</v>
      </c>
      <c r="C5057" t="s">
        <v>2583</v>
      </c>
      <c r="E5057" t="s">
        <v>2583</v>
      </c>
      <c r="K5057" t="s">
        <v>2651</v>
      </c>
    </row>
    <row r="5058" spans="1:15">
      <c r="A5058" t="s">
        <v>2586</v>
      </c>
      <c r="B5058" t="str">
        <f ca="1">IF(ISBLANK(OFFSET(B5058,0,'Field labels'!$Q$1)),C5058,OFFSET(B5058,0,'Field labels'!$Q$1))</f>
        <v>Bank Transfer</v>
      </c>
      <c r="C5058" t="s">
        <v>2584</v>
      </c>
      <c r="E5058" t="s">
        <v>2584</v>
      </c>
      <c r="K5058" t="s">
        <v>2652</v>
      </c>
    </row>
    <row r="5059" spans="1:15">
      <c r="A5059" t="s">
        <v>299</v>
      </c>
      <c r="B5059" t="str">
        <f ca="1">IF(ISBLANK(OFFSET(B5059,0,'Field labels'!$Q$1)),C5059,OFFSET(B5059,0,'Field labels'!$Q$1))</f>
        <v>Business</v>
      </c>
      <c r="C5059" t="s">
        <v>426</v>
      </c>
      <c r="D5059" t="s">
        <v>4192</v>
      </c>
      <c r="E5059" t="s">
        <v>426</v>
      </c>
      <c r="F5059" t="s">
        <v>4193</v>
      </c>
      <c r="G5059" t="s">
        <v>4194</v>
      </c>
      <c r="H5059" t="s">
        <v>4195</v>
      </c>
      <c r="I5059" t="s">
        <v>4196</v>
      </c>
      <c r="J5059" t="s">
        <v>4197</v>
      </c>
      <c r="K5059" t="s">
        <v>4198</v>
      </c>
      <c r="L5059" t="s">
        <v>4199</v>
      </c>
      <c r="M5059" t="s">
        <v>4200</v>
      </c>
      <c r="N5059" t="s">
        <v>4201</v>
      </c>
      <c r="O5059" t="s">
        <v>4202</v>
      </c>
    </row>
    <row r="5060" spans="1:15">
      <c r="A5060" t="s">
        <v>299</v>
      </c>
      <c r="B5060" t="str">
        <f ca="1">IF(ISBLANK(OFFSET(B5060,0,'Field labels'!$Q$1)),C5060,OFFSET(B5060,0,'Field labels'!$Q$1))</f>
        <v>Business1</v>
      </c>
      <c r="C5060" t="s">
        <v>428</v>
      </c>
      <c r="D5060" t="s">
        <v>1652</v>
      </c>
      <c r="E5060" t="s">
        <v>428</v>
      </c>
      <c r="F5060" t="s">
        <v>4277</v>
      </c>
      <c r="G5060" t="s">
        <v>1653</v>
      </c>
      <c r="H5060" t="s">
        <v>1654</v>
      </c>
      <c r="I5060" t="s">
        <v>1655</v>
      </c>
      <c r="J5060" t="s">
        <v>4278</v>
      </c>
      <c r="K5060" t="s">
        <v>1656</v>
      </c>
      <c r="L5060" t="s">
        <v>1657</v>
      </c>
      <c r="M5060" t="s">
        <v>4279</v>
      </c>
      <c r="N5060" t="s">
        <v>4280</v>
      </c>
      <c r="O5060" t="s">
        <v>4202</v>
      </c>
    </row>
    <row r="5061" spans="1:15">
      <c r="A5061" t="s">
        <v>299</v>
      </c>
      <c r="B5061" t="str">
        <f ca="1">IF(ISBLANK(OFFSET(B5061,0,'Field labels'!$Q$1)),C5061,OFFSET(B5061,0,'Field labels'!$Q$1))</f>
        <v>Cell</v>
      </c>
      <c r="C5061" t="s">
        <v>429</v>
      </c>
      <c r="D5061" t="s">
        <v>1658</v>
      </c>
      <c r="E5061" t="s">
        <v>429</v>
      </c>
      <c r="F5061" t="s">
        <v>4281</v>
      </c>
      <c r="G5061" t="s">
        <v>1659</v>
      </c>
      <c r="H5061" t="s">
        <v>1659</v>
      </c>
      <c r="I5061" t="s">
        <v>1660</v>
      </c>
      <c r="J5061" t="s">
        <v>1659</v>
      </c>
      <c r="K5061" t="s">
        <v>1661</v>
      </c>
      <c r="L5061" t="s">
        <v>1662</v>
      </c>
      <c r="M5061" t="s">
        <v>4282</v>
      </c>
      <c r="N5061" t="s">
        <v>4283</v>
      </c>
      <c r="O5061" t="s">
        <v>1659</v>
      </c>
    </row>
    <row r="5062" spans="1:15">
      <c r="A5062" t="s">
        <v>299</v>
      </c>
      <c r="B5062" t="str">
        <f ca="1">IF(ISBLANK(OFFSET(B5062,0,'Field labels'!$Q$1)),C5062,OFFSET(B5062,0,'Field labels'!$Q$1))</f>
        <v>Cell1</v>
      </c>
      <c r="C5062" t="s">
        <v>430</v>
      </c>
      <c r="D5062" t="s">
        <v>1663</v>
      </c>
      <c r="E5062" t="s">
        <v>430</v>
      </c>
      <c r="F5062" t="s">
        <v>4284</v>
      </c>
      <c r="G5062" t="s">
        <v>1664</v>
      </c>
      <c r="H5062" t="s">
        <v>1664</v>
      </c>
      <c r="I5062" t="s">
        <v>1665</v>
      </c>
      <c r="J5062" t="s">
        <v>1664</v>
      </c>
      <c r="K5062" t="s">
        <v>1666</v>
      </c>
      <c r="L5062" t="s">
        <v>1667</v>
      </c>
      <c r="M5062" t="s">
        <v>4285</v>
      </c>
      <c r="N5062" t="s">
        <v>4286</v>
      </c>
      <c r="O5062" t="s">
        <v>1659</v>
      </c>
    </row>
    <row r="5063" spans="1:15">
      <c r="A5063" t="s">
        <v>299</v>
      </c>
      <c r="B5063" t="str">
        <f ca="1">IF(ISBLANK(OFFSET(B5063,0,'Field labels'!$Q$1)),C5063,OFFSET(B5063,0,'Field labels'!$Q$1))</f>
        <v>Fax</v>
      </c>
      <c r="C5063" t="s">
        <v>431</v>
      </c>
      <c r="D5063" t="s">
        <v>431</v>
      </c>
      <c r="E5063" t="s">
        <v>431</v>
      </c>
      <c r="F5063" t="s">
        <v>431</v>
      </c>
      <c r="G5063" t="s">
        <v>431</v>
      </c>
      <c r="H5063" t="s">
        <v>431</v>
      </c>
      <c r="I5063" t="s">
        <v>431</v>
      </c>
      <c r="J5063" t="s">
        <v>1668</v>
      </c>
      <c r="K5063" t="s">
        <v>1668</v>
      </c>
      <c r="L5063" t="s">
        <v>431</v>
      </c>
      <c r="M5063" t="s">
        <v>431</v>
      </c>
      <c r="N5063" t="s">
        <v>431</v>
      </c>
      <c r="O5063" t="s">
        <v>1668</v>
      </c>
    </row>
    <row r="5064" spans="1:15">
      <c r="A5064" t="s">
        <v>299</v>
      </c>
      <c r="B5064" t="str">
        <f ca="1">IF(ISBLANK(OFFSET(B5064,0,'Field labels'!$Q$1)),C5064,OFFSET(B5064,0,'Field labels'!$Q$1))</f>
        <v>Home</v>
      </c>
      <c r="C5064" t="s">
        <v>427</v>
      </c>
      <c r="D5064" t="s">
        <v>427</v>
      </c>
      <c r="E5064" t="s">
        <v>427</v>
      </c>
      <c r="F5064" t="s">
        <v>4287</v>
      </c>
      <c r="G5064" t="s">
        <v>4288</v>
      </c>
      <c r="H5064" t="s">
        <v>4289</v>
      </c>
      <c r="I5064" t="s">
        <v>4290</v>
      </c>
      <c r="J5064" t="s">
        <v>4291</v>
      </c>
      <c r="K5064" t="s">
        <v>1651</v>
      </c>
      <c r="L5064" t="s">
        <v>4292</v>
      </c>
      <c r="M5064" t="s">
        <v>427</v>
      </c>
      <c r="N5064" t="s">
        <v>4293</v>
      </c>
      <c r="O5064" t="s">
        <v>4294</v>
      </c>
    </row>
    <row r="5065" spans="1:15">
      <c r="A5065" t="s">
        <v>299</v>
      </c>
      <c r="B5065" t="str">
        <f ca="1">IF(ISBLANK(OFFSET(B5065,0,'Field labels'!$Q$1)),C5065,OFFSET(B5065,0,'Field labels'!$Q$1))</f>
        <v>Other</v>
      </c>
      <c r="C5065" t="s">
        <v>271</v>
      </c>
      <c r="D5065" t="s">
        <v>3878</v>
      </c>
      <c r="E5065" t="s">
        <v>271</v>
      </c>
      <c r="F5065" t="s">
        <v>3879</v>
      </c>
      <c r="G5065" t="s">
        <v>4295</v>
      </c>
      <c r="H5065" t="s">
        <v>3881</v>
      </c>
      <c r="I5065" t="s">
        <v>3882</v>
      </c>
      <c r="J5065" t="s">
        <v>3883</v>
      </c>
      <c r="K5065" t="s">
        <v>4296</v>
      </c>
      <c r="L5065" t="s">
        <v>3884</v>
      </c>
      <c r="M5065" t="s">
        <v>3885</v>
      </c>
      <c r="N5065" t="s">
        <v>4297</v>
      </c>
      <c r="O5065" t="s">
        <v>3886</v>
      </c>
    </row>
    <row r="5066" spans="1:15">
      <c r="A5066" t="s">
        <v>299</v>
      </c>
      <c r="B5066" t="str">
        <f ca="1">IF(ISBLANK(OFFSET(B5066,0,'Field labels'!$Q$1)),C5066,OFFSET(B5066,0,'Field labels'!$Q$1))</f>
        <v>Personal</v>
      </c>
      <c r="C5066" t="s">
        <v>425</v>
      </c>
    </row>
    <row r="5067" spans="1:15">
      <c r="A5067" t="s">
        <v>3762</v>
      </c>
      <c r="B5067" t="str">
        <f ca="1">IF(ISBLANK(OFFSET(B5067,0,'Field labels'!$Q$1)),C5067,OFFSET(B5067,0,'Field labels'!$Q$1))</f>
        <v>Access</v>
      </c>
      <c r="C5067" t="s">
        <v>4298</v>
      </c>
      <c r="D5067" t="s">
        <v>4298</v>
      </c>
      <c r="E5067" t="s">
        <v>4298</v>
      </c>
      <c r="F5067" t="s">
        <v>4298</v>
      </c>
      <c r="G5067" t="s">
        <v>4298</v>
      </c>
      <c r="H5067" t="s">
        <v>4298</v>
      </c>
      <c r="I5067" t="s">
        <v>4298</v>
      </c>
      <c r="J5067" t="s">
        <v>4298</v>
      </c>
      <c r="K5067" t="s">
        <v>4298</v>
      </c>
      <c r="L5067" t="s">
        <v>4298</v>
      </c>
      <c r="M5067" t="s">
        <v>4298</v>
      </c>
      <c r="N5067" t="s">
        <v>4298</v>
      </c>
      <c r="O5067" t="s">
        <v>4298</v>
      </c>
    </row>
    <row r="5068" spans="1:15">
      <c r="A5068" t="s">
        <v>3762</v>
      </c>
      <c r="B5068" t="str">
        <f ca="1">IF(ISBLANK(OFFSET(B5068,0,'Field labels'!$Q$1)),C5068,OFFSET(B5068,0,'Field labels'!$Q$1))</f>
        <v>akna</v>
      </c>
      <c r="C5068" t="s">
        <v>4299</v>
      </c>
      <c r="D5068" t="s">
        <v>4299</v>
      </c>
      <c r="E5068" t="s">
        <v>4299</v>
      </c>
      <c r="F5068" t="s">
        <v>4299</v>
      </c>
      <c r="G5068" t="s">
        <v>4299</v>
      </c>
      <c r="H5068" t="s">
        <v>4299</v>
      </c>
      <c r="I5068" t="s">
        <v>4299</v>
      </c>
      <c r="J5068" t="s">
        <v>4299</v>
      </c>
      <c r="K5068" t="s">
        <v>4299</v>
      </c>
      <c r="L5068" t="s">
        <v>4299</v>
      </c>
      <c r="M5068" t="s">
        <v>4299</v>
      </c>
      <c r="N5068" t="s">
        <v>4299</v>
      </c>
      <c r="O5068" t="s">
        <v>4299</v>
      </c>
    </row>
    <row r="5069" spans="1:15">
      <c r="A5069" t="s">
        <v>3762</v>
      </c>
      <c r="B5069" t="str">
        <f ca="1">IF(ISBLANK(OFFSET(B5069,0,'Field labels'!$Q$1)),C5069,OFFSET(B5069,0,'Field labels'!$Q$1))</f>
        <v>akna-alsó</v>
      </c>
      <c r="C5069" t="s">
        <v>4300</v>
      </c>
      <c r="D5069" t="s">
        <v>4300</v>
      </c>
      <c r="E5069" t="s">
        <v>4300</v>
      </c>
      <c r="F5069" t="s">
        <v>4300</v>
      </c>
      <c r="G5069" t="s">
        <v>4300</v>
      </c>
      <c r="H5069" t="s">
        <v>4300</v>
      </c>
      <c r="I5069" t="s">
        <v>4300</v>
      </c>
      <c r="J5069" t="s">
        <v>4300</v>
      </c>
      <c r="K5069" t="s">
        <v>4300</v>
      </c>
      <c r="L5069" t="s">
        <v>4300</v>
      </c>
      <c r="M5069" t="s">
        <v>4300</v>
      </c>
      <c r="N5069" t="s">
        <v>4300</v>
      </c>
      <c r="O5069" t="s">
        <v>4300</v>
      </c>
    </row>
    <row r="5070" spans="1:15">
      <c r="A5070" t="s">
        <v>3762</v>
      </c>
      <c r="B5070" t="str">
        <f ca="1">IF(ISBLANK(OFFSET(B5070,0,'Field labels'!$Q$1)),C5070,OFFSET(B5070,0,'Field labels'!$Q$1))</f>
        <v>akna-felső</v>
      </c>
      <c r="C5070" t="s">
        <v>4301</v>
      </c>
      <c r="D5070" t="s">
        <v>4301</v>
      </c>
      <c r="E5070" t="s">
        <v>4301</v>
      </c>
      <c r="F5070" t="s">
        <v>4301</v>
      </c>
      <c r="G5070" t="s">
        <v>4301</v>
      </c>
      <c r="H5070" t="s">
        <v>4301</v>
      </c>
      <c r="I5070" t="s">
        <v>4301</v>
      </c>
      <c r="J5070" t="s">
        <v>4301</v>
      </c>
      <c r="K5070" t="s">
        <v>4301</v>
      </c>
      <c r="L5070" t="s">
        <v>4301</v>
      </c>
      <c r="M5070" t="s">
        <v>4301</v>
      </c>
      <c r="N5070" t="s">
        <v>4301</v>
      </c>
      <c r="O5070" t="s">
        <v>4301</v>
      </c>
    </row>
    <row r="5071" spans="1:15">
      <c r="A5071" t="s">
        <v>3762</v>
      </c>
      <c r="B5071" t="str">
        <f ca="1">IF(ISBLANK(OFFSET(B5071,0,'Field labels'!$Q$1)),C5071,OFFSET(B5071,0,'Field labels'!$Q$1))</f>
        <v>alagút</v>
      </c>
      <c r="C5071" t="s">
        <v>4302</v>
      </c>
      <c r="D5071" t="s">
        <v>4302</v>
      </c>
      <c r="E5071" t="s">
        <v>4302</v>
      </c>
      <c r="F5071" t="s">
        <v>4302</v>
      </c>
      <c r="G5071" t="s">
        <v>4302</v>
      </c>
      <c r="H5071" t="s">
        <v>4302</v>
      </c>
      <c r="I5071" t="s">
        <v>4302</v>
      </c>
      <c r="J5071" t="s">
        <v>4302</v>
      </c>
      <c r="K5071" t="s">
        <v>4302</v>
      </c>
      <c r="L5071" t="s">
        <v>4302</v>
      </c>
      <c r="M5071" t="s">
        <v>4302</v>
      </c>
      <c r="N5071" t="s">
        <v>4302</v>
      </c>
      <c r="O5071" t="s">
        <v>4302</v>
      </c>
    </row>
    <row r="5072" spans="1:15">
      <c r="A5072" t="s">
        <v>3762</v>
      </c>
      <c r="B5072" t="str">
        <f ca="1">IF(ISBLANK(OFFSET(B5072,0,'Field labels'!$Q$1)),C5072,OFFSET(B5072,0,'Field labels'!$Q$1))</f>
        <v>állat és növ.kert</v>
      </c>
      <c r="C5072" t="s">
        <v>4303</v>
      </c>
      <c r="D5072" t="s">
        <v>4303</v>
      </c>
      <c r="E5072" t="s">
        <v>4303</v>
      </c>
      <c r="F5072" t="s">
        <v>4303</v>
      </c>
      <c r="G5072" t="s">
        <v>4303</v>
      </c>
      <c r="H5072" t="s">
        <v>4303</v>
      </c>
      <c r="I5072" t="s">
        <v>4303</v>
      </c>
      <c r="J5072" t="s">
        <v>4303</v>
      </c>
      <c r="K5072" t="s">
        <v>4303</v>
      </c>
      <c r="L5072" t="s">
        <v>4303</v>
      </c>
      <c r="M5072" t="s">
        <v>4303</v>
      </c>
      <c r="N5072" t="s">
        <v>4303</v>
      </c>
      <c r="O5072" t="s">
        <v>4303</v>
      </c>
    </row>
    <row r="5073" spans="1:15">
      <c r="A5073" t="s">
        <v>3762</v>
      </c>
      <c r="B5073" t="str">
        <f ca="1">IF(ISBLANK(OFFSET(B5073,0,'Field labels'!$Q$1)),C5073,OFFSET(B5073,0,'Field labels'!$Q$1))</f>
        <v>Alley</v>
      </c>
      <c r="C5073" t="s">
        <v>4304</v>
      </c>
      <c r="D5073" t="s">
        <v>4304</v>
      </c>
      <c r="E5073" t="s">
        <v>4304</v>
      </c>
      <c r="F5073" t="s">
        <v>4304</v>
      </c>
      <c r="G5073" t="s">
        <v>4304</v>
      </c>
      <c r="H5073" t="s">
        <v>4304</v>
      </c>
      <c r="I5073" t="s">
        <v>4304</v>
      </c>
      <c r="J5073" t="s">
        <v>4304</v>
      </c>
      <c r="K5073" t="s">
        <v>4304</v>
      </c>
      <c r="L5073" t="s">
        <v>4304</v>
      </c>
      <c r="M5073" t="s">
        <v>4304</v>
      </c>
      <c r="N5073" t="s">
        <v>4304</v>
      </c>
      <c r="O5073" t="s">
        <v>4304</v>
      </c>
    </row>
    <row r="5074" spans="1:15">
      <c r="A5074" t="s">
        <v>3762</v>
      </c>
      <c r="B5074" t="str">
        <f ca="1">IF(ISBLANK(OFFSET(B5074,0,'Field labels'!$Q$1)),C5074,OFFSET(B5074,0,'Field labels'!$Q$1))</f>
        <v>Alley</v>
      </c>
      <c r="C5074" t="s">
        <v>4304</v>
      </c>
      <c r="D5074" t="s">
        <v>4304</v>
      </c>
      <c r="E5074" t="s">
        <v>4304</v>
      </c>
      <c r="F5074" t="s">
        <v>4304</v>
      </c>
      <c r="G5074" t="s">
        <v>4304</v>
      </c>
      <c r="H5074" t="s">
        <v>4304</v>
      </c>
      <c r="I5074" t="s">
        <v>4304</v>
      </c>
      <c r="J5074" t="s">
        <v>4304</v>
      </c>
      <c r="K5074" t="s">
        <v>4304</v>
      </c>
      <c r="L5074" t="s">
        <v>4304</v>
      </c>
      <c r="M5074" t="s">
        <v>4304</v>
      </c>
      <c r="N5074" t="s">
        <v>4304</v>
      </c>
      <c r="O5074" t="s">
        <v>4304</v>
      </c>
    </row>
    <row r="5075" spans="1:15">
      <c r="A5075" t="s">
        <v>3762</v>
      </c>
      <c r="B5075" t="str">
        <f ca="1">IF(ISBLANK(OFFSET(B5075,0,'Field labels'!$Q$1)),C5075,OFFSET(B5075,0,'Field labels'!$Q$1))</f>
        <v>Alley</v>
      </c>
      <c r="C5075" t="s">
        <v>4304</v>
      </c>
      <c r="D5075" t="s">
        <v>4304</v>
      </c>
      <c r="E5075" t="s">
        <v>4304</v>
      </c>
      <c r="F5075" t="s">
        <v>4304</v>
      </c>
      <c r="G5075" t="s">
        <v>4304</v>
      </c>
      <c r="H5075" t="s">
        <v>4304</v>
      </c>
      <c r="I5075" t="s">
        <v>4304</v>
      </c>
      <c r="J5075" t="s">
        <v>4304</v>
      </c>
      <c r="K5075" t="s">
        <v>4304</v>
      </c>
      <c r="L5075" t="s">
        <v>4304</v>
      </c>
      <c r="M5075" t="s">
        <v>4304</v>
      </c>
      <c r="N5075" t="s">
        <v>4304</v>
      </c>
      <c r="O5075" t="s">
        <v>4304</v>
      </c>
    </row>
    <row r="5076" spans="1:15">
      <c r="A5076" t="s">
        <v>3762</v>
      </c>
      <c r="B5076" t="str">
        <f ca="1">IF(ISBLANK(OFFSET(B5076,0,'Field labels'!$Q$1)),C5076,OFFSET(B5076,0,'Field labels'!$Q$1))</f>
        <v>Alley</v>
      </c>
      <c r="C5076" t="s">
        <v>4304</v>
      </c>
      <c r="D5076" t="s">
        <v>4304</v>
      </c>
      <c r="E5076" t="s">
        <v>4304</v>
      </c>
      <c r="F5076" t="s">
        <v>4304</v>
      </c>
      <c r="G5076" t="s">
        <v>4304</v>
      </c>
      <c r="H5076" t="s">
        <v>4304</v>
      </c>
      <c r="I5076" t="s">
        <v>4304</v>
      </c>
      <c r="J5076" t="s">
        <v>4304</v>
      </c>
      <c r="K5076" t="s">
        <v>4304</v>
      </c>
      <c r="L5076" t="s">
        <v>4304</v>
      </c>
      <c r="M5076" t="s">
        <v>4304</v>
      </c>
      <c r="N5076" t="s">
        <v>4304</v>
      </c>
      <c r="O5076" t="s">
        <v>4304</v>
      </c>
    </row>
    <row r="5077" spans="1:15">
      <c r="A5077" t="s">
        <v>3762</v>
      </c>
      <c r="B5077" t="str">
        <f ca="1">IF(ISBLANK(OFFSET(B5077,0,'Field labels'!$Q$1)),C5077,OFFSET(B5077,0,'Field labels'!$Q$1))</f>
        <v>Alleyway</v>
      </c>
      <c r="C5077" t="s">
        <v>4305</v>
      </c>
      <c r="D5077" t="s">
        <v>4305</v>
      </c>
      <c r="E5077" t="s">
        <v>4305</v>
      </c>
      <c r="F5077" t="s">
        <v>4305</v>
      </c>
      <c r="G5077" t="s">
        <v>4305</v>
      </c>
      <c r="H5077" t="s">
        <v>4305</v>
      </c>
      <c r="I5077" t="s">
        <v>4305</v>
      </c>
      <c r="J5077" t="s">
        <v>4305</v>
      </c>
      <c r="K5077" t="s">
        <v>4305</v>
      </c>
      <c r="L5077" t="s">
        <v>4305</v>
      </c>
      <c r="M5077" t="s">
        <v>4305</v>
      </c>
      <c r="N5077" t="s">
        <v>4305</v>
      </c>
      <c r="O5077" t="s">
        <v>4305</v>
      </c>
    </row>
    <row r="5078" spans="1:15">
      <c r="A5078" t="s">
        <v>3762</v>
      </c>
      <c r="B5078" t="str">
        <f ca="1">IF(ISBLANK(OFFSET(B5078,0,'Field labels'!$Q$1)),C5078,OFFSET(B5078,0,'Field labels'!$Q$1))</f>
        <v>Alleyway</v>
      </c>
      <c r="C5078" t="s">
        <v>4305</v>
      </c>
      <c r="D5078" t="s">
        <v>4305</v>
      </c>
      <c r="E5078" t="s">
        <v>4305</v>
      </c>
      <c r="F5078" t="s">
        <v>4305</v>
      </c>
      <c r="G5078" t="s">
        <v>4305</v>
      </c>
      <c r="H5078" t="s">
        <v>4305</v>
      </c>
      <c r="I5078" t="s">
        <v>4305</v>
      </c>
      <c r="J5078" t="s">
        <v>4305</v>
      </c>
      <c r="K5078" t="s">
        <v>4305</v>
      </c>
      <c r="L5078" t="s">
        <v>4305</v>
      </c>
      <c r="M5078" t="s">
        <v>4305</v>
      </c>
      <c r="N5078" t="s">
        <v>4305</v>
      </c>
      <c r="O5078" t="s">
        <v>4305</v>
      </c>
    </row>
    <row r="5079" spans="1:15">
      <c r="A5079" t="s">
        <v>3762</v>
      </c>
      <c r="B5079" t="str">
        <f ca="1">IF(ISBLANK(OFFSET(B5079,0,'Field labels'!$Q$1)),C5079,OFFSET(B5079,0,'Field labels'!$Q$1))</f>
        <v>állomás</v>
      </c>
      <c r="C5079" t="s">
        <v>4306</v>
      </c>
      <c r="D5079" t="s">
        <v>4306</v>
      </c>
      <c r="E5079" t="s">
        <v>4306</v>
      </c>
      <c r="F5079" t="s">
        <v>4306</v>
      </c>
      <c r="G5079" t="s">
        <v>4306</v>
      </c>
      <c r="H5079" t="s">
        <v>4306</v>
      </c>
      <c r="I5079" t="s">
        <v>4306</v>
      </c>
      <c r="J5079" t="s">
        <v>4306</v>
      </c>
      <c r="K5079" t="s">
        <v>4306</v>
      </c>
      <c r="L5079" t="s">
        <v>4306</v>
      </c>
      <c r="M5079" t="s">
        <v>4306</v>
      </c>
      <c r="N5079" t="s">
        <v>4306</v>
      </c>
      <c r="O5079" t="s">
        <v>4306</v>
      </c>
    </row>
    <row r="5080" spans="1:15">
      <c r="A5080" t="s">
        <v>3762</v>
      </c>
      <c r="B5080" t="str">
        <f ca="1">IF(ISBLANK(OFFSET(B5080,0,'Field labels'!$Q$1)),C5080,OFFSET(B5080,0,'Field labels'!$Q$1))</f>
        <v>alsórakpart</v>
      </c>
      <c r="C5080" t="s">
        <v>4307</v>
      </c>
      <c r="D5080" t="s">
        <v>4307</v>
      </c>
      <c r="E5080" t="s">
        <v>4307</v>
      </c>
      <c r="F5080" t="s">
        <v>4307</v>
      </c>
      <c r="G5080" t="s">
        <v>4307</v>
      </c>
      <c r="H5080" t="s">
        <v>4307</v>
      </c>
      <c r="I5080" t="s">
        <v>4307</v>
      </c>
      <c r="J5080" t="s">
        <v>4307</v>
      </c>
      <c r="K5080" t="s">
        <v>4307</v>
      </c>
      <c r="L5080" t="s">
        <v>4307</v>
      </c>
      <c r="M5080" t="s">
        <v>4307</v>
      </c>
      <c r="N5080" t="s">
        <v>4307</v>
      </c>
      <c r="O5080" t="s">
        <v>4307</v>
      </c>
    </row>
    <row r="5081" spans="1:15">
      <c r="A5081" t="s">
        <v>3762</v>
      </c>
      <c r="B5081" t="str">
        <f ca="1">IF(ISBLANK(OFFSET(B5081,0,'Field labels'!$Q$1)),C5081,OFFSET(B5081,0,'Field labels'!$Q$1))</f>
        <v>aluljáró</v>
      </c>
      <c r="C5081" t="s">
        <v>4308</v>
      </c>
      <c r="D5081" t="s">
        <v>4308</v>
      </c>
      <c r="E5081" t="s">
        <v>4308</v>
      </c>
      <c r="F5081" t="s">
        <v>4308</v>
      </c>
      <c r="G5081" t="s">
        <v>4308</v>
      </c>
      <c r="H5081" t="s">
        <v>4308</v>
      </c>
      <c r="I5081" t="s">
        <v>4308</v>
      </c>
      <c r="J5081" t="s">
        <v>4308</v>
      </c>
      <c r="K5081" t="s">
        <v>4308</v>
      </c>
      <c r="L5081" t="s">
        <v>4308</v>
      </c>
      <c r="M5081" t="s">
        <v>4308</v>
      </c>
      <c r="N5081" t="s">
        <v>4308</v>
      </c>
      <c r="O5081" t="s">
        <v>4308</v>
      </c>
    </row>
    <row r="5082" spans="1:15">
      <c r="A5082" t="s">
        <v>3762</v>
      </c>
      <c r="B5082" t="str">
        <f ca="1">IF(ISBLANK(OFFSET(B5082,0,'Field labels'!$Q$1)),C5082,OFFSET(B5082,0,'Field labels'!$Q$1))</f>
        <v>Apartments</v>
      </c>
      <c r="C5082" t="s">
        <v>4309</v>
      </c>
      <c r="D5082" t="s">
        <v>4309</v>
      </c>
      <c r="E5082" t="s">
        <v>4309</v>
      </c>
      <c r="F5082" t="s">
        <v>4309</v>
      </c>
      <c r="G5082" t="s">
        <v>4309</v>
      </c>
      <c r="H5082" t="s">
        <v>4309</v>
      </c>
      <c r="I5082" t="s">
        <v>4309</v>
      </c>
      <c r="J5082" t="s">
        <v>4309</v>
      </c>
      <c r="K5082" t="s">
        <v>4309</v>
      </c>
      <c r="L5082" t="s">
        <v>4309</v>
      </c>
      <c r="M5082" t="s">
        <v>4309</v>
      </c>
      <c r="N5082" t="s">
        <v>4309</v>
      </c>
      <c r="O5082" t="s">
        <v>4309</v>
      </c>
    </row>
    <row r="5083" spans="1:15">
      <c r="A5083" t="s">
        <v>3762</v>
      </c>
      <c r="B5083" t="str">
        <f ca="1">IF(ISBLANK(OFFSET(B5083,0,'Field labels'!$Q$1)),C5083,OFFSET(B5083,0,'Field labels'!$Q$1))</f>
        <v>arborétum</v>
      </c>
      <c r="C5083" t="s">
        <v>4310</v>
      </c>
      <c r="D5083" t="s">
        <v>4310</v>
      </c>
      <c r="E5083" t="s">
        <v>4310</v>
      </c>
      <c r="F5083" t="s">
        <v>4310</v>
      </c>
      <c r="G5083" t="s">
        <v>4310</v>
      </c>
      <c r="H5083" t="s">
        <v>4310</v>
      </c>
      <c r="I5083" t="s">
        <v>4310</v>
      </c>
      <c r="J5083" t="s">
        <v>4310</v>
      </c>
      <c r="K5083" t="s">
        <v>4310</v>
      </c>
      <c r="L5083" t="s">
        <v>4310</v>
      </c>
      <c r="M5083" t="s">
        <v>4310</v>
      </c>
      <c r="N5083" t="s">
        <v>4310</v>
      </c>
      <c r="O5083" t="s">
        <v>4310</v>
      </c>
    </row>
    <row r="5084" spans="1:15">
      <c r="A5084" t="s">
        <v>3762</v>
      </c>
      <c r="B5084" t="str">
        <f ca="1">IF(ISBLANK(OFFSET(B5084,0,'Field labels'!$Q$1)),C5084,OFFSET(B5084,0,'Field labels'!$Q$1))</f>
        <v>Area</v>
      </c>
      <c r="C5084" t="s">
        <v>3763</v>
      </c>
      <c r="D5084" t="s">
        <v>3763</v>
      </c>
      <c r="E5084" t="s">
        <v>3763</v>
      </c>
      <c r="F5084" t="s">
        <v>3763</v>
      </c>
      <c r="G5084" t="s">
        <v>3763</v>
      </c>
      <c r="H5084" t="s">
        <v>3763</v>
      </c>
      <c r="I5084" t="s">
        <v>3763</v>
      </c>
      <c r="J5084" t="s">
        <v>3763</v>
      </c>
      <c r="K5084" t="s">
        <v>3763</v>
      </c>
      <c r="L5084" t="s">
        <v>3763</v>
      </c>
      <c r="M5084" t="s">
        <v>3763</v>
      </c>
      <c r="N5084" t="s">
        <v>3763</v>
      </c>
      <c r="O5084" t="s">
        <v>3763</v>
      </c>
    </row>
    <row r="5085" spans="1:15">
      <c r="A5085" t="s">
        <v>3762</v>
      </c>
      <c r="B5085" t="str">
        <f ca="1">IF(ISBLANK(OFFSET(B5085,0,'Field labels'!$Q$1)),C5085,OFFSET(B5085,0,'Field labels'!$Q$1))</f>
        <v>árnyék</v>
      </c>
      <c r="C5085" t="s">
        <v>4311</v>
      </c>
      <c r="D5085" t="s">
        <v>4311</v>
      </c>
      <c r="E5085" t="s">
        <v>4311</v>
      </c>
      <c r="F5085" t="s">
        <v>4311</v>
      </c>
      <c r="G5085" t="s">
        <v>4311</v>
      </c>
      <c r="H5085" t="s">
        <v>4311</v>
      </c>
      <c r="I5085" t="s">
        <v>4311</v>
      </c>
      <c r="J5085" t="s">
        <v>4311</v>
      </c>
      <c r="K5085" t="s">
        <v>4311</v>
      </c>
      <c r="L5085" t="s">
        <v>4311</v>
      </c>
      <c r="M5085" t="s">
        <v>4311</v>
      </c>
      <c r="N5085" t="s">
        <v>4311</v>
      </c>
      <c r="O5085" t="s">
        <v>4311</v>
      </c>
    </row>
    <row r="5086" spans="1:15">
      <c r="A5086" t="s">
        <v>3762</v>
      </c>
      <c r="B5086" t="str">
        <f ca="1">IF(ISBLANK(OFFSET(B5086,0,'Field labels'!$Q$1)),C5086,OFFSET(B5086,0,'Field labels'!$Q$1))</f>
        <v>árok</v>
      </c>
      <c r="C5086" t="s">
        <v>4312</v>
      </c>
      <c r="D5086" t="s">
        <v>4312</v>
      </c>
      <c r="E5086" t="s">
        <v>4312</v>
      </c>
      <c r="F5086" t="s">
        <v>4312</v>
      </c>
      <c r="G5086" t="s">
        <v>4312</v>
      </c>
      <c r="H5086" t="s">
        <v>4312</v>
      </c>
      <c r="I5086" t="s">
        <v>4312</v>
      </c>
      <c r="J5086" t="s">
        <v>4312</v>
      </c>
      <c r="K5086" t="s">
        <v>4312</v>
      </c>
      <c r="L5086" t="s">
        <v>4312</v>
      </c>
      <c r="M5086" t="s">
        <v>4312</v>
      </c>
      <c r="N5086" t="s">
        <v>4312</v>
      </c>
      <c r="O5086" t="s">
        <v>4312</v>
      </c>
    </row>
    <row r="5087" spans="1:15">
      <c r="A5087" t="s">
        <v>3762</v>
      </c>
      <c r="B5087" t="str">
        <f ca="1">IF(ISBLANK(OFFSET(B5087,0,'Field labels'!$Q$1)),C5087,OFFSET(B5087,0,'Field labels'!$Q$1))</f>
        <v>Ascent</v>
      </c>
      <c r="C5087" t="s">
        <v>4313</v>
      </c>
      <c r="D5087" t="s">
        <v>4313</v>
      </c>
      <c r="E5087" t="s">
        <v>4313</v>
      </c>
      <c r="F5087" t="s">
        <v>4313</v>
      </c>
      <c r="G5087" t="s">
        <v>4313</v>
      </c>
      <c r="H5087" t="s">
        <v>4313</v>
      </c>
      <c r="I5087" t="s">
        <v>4313</v>
      </c>
      <c r="J5087" t="s">
        <v>4313</v>
      </c>
      <c r="K5087" t="s">
        <v>4313</v>
      </c>
      <c r="L5087" t="s">
        <v>4313</v>
      </c>
      <c r="M5087" t="s">
        <v>4313</v>
      </c>
      <c r="N5087" t="s">
        <v>4313</v>
      </c>
      <c r="O5087" t="s">
        <v>4313</v>
      </c>
    </row>
    <row r="5088" spans="1:15">
      <c r="A5088" t="s">
        <v>3762</v>
      </c>
      <c r="B5088" t="str">
        <f ca="1">IF(ISBLANK(OFFSET(B5088,0,'Field labels'!$Q$1)),C5088,OFFSET(B5088,0,'Field labels'!$Q$1))</f>
        <v>átjáró</v>
      </c>
      <c r="C5088" t="s">
        <v>4314</v>
      </c>
      <c r="D5088" t="s">
        <v>4314</v>
      </c>
      <c r="E5088" t="s">
        <v>4314</v>
      </c>
      <c r="F5088" t="s">
        <v>4314</v>
      </c>
      <c r="G5088" t="s">
        <v>4314</v>
      </c>
      <c r="H5088" t="s">
        <v>4314</v>
      </c>
      <c r="I5088" t="s">
        <v>4314</v>
      </c>
      <c r="J5088" t="s">
        <v>4314</v>
      </c>
      <c r="K5088" t="s">
        <v>4314</v>
      </c>
      <c r="L5088" t="s">
        <v>4314</v>
      </c>
      <c r="M5088" t="s">
        <v>4314</v>
      </c>
      <c r="N5088" t="s">
        <v>4314</v>
      </c>
      <c r="O5088" t="s">
        <v>4314</v>
      </c>
    </row>
    <row r="5089" spans="1:15">
      <c r="A5089" t="s">
        <v>3762</v>
      </c>
      <c r="B5089" t="str">
        <f ca="1">IF(ISBLANK(OFFSET(B5089,0,'Field labels'!$Q$1)),C5089,OFFSET(B5089,0,'Field labels'!$Q$1))</f>
        <v>autópálya</v>
      </c>
      <c r="C5089" t="s">
        <v>4315</v>
      </c>
      <c r="D5089" t="s">
        <v>4315</v>
      </c>
      <c r="E5089" t="s">
        <v>4315</v>
      </c>
      <c r="F5089" t="s">
        <v>4315</v>
      </c>
      <c r="G5089" t="s">
        <v>4315</v>
      </c>
      <c r="H5089" t="s">
        <v>4315</v>
      </c>
      <c r="I5089" t="s">
        <v>4315</v>
      </c>
      <c r="J5089" t="s">
        <v>4315</v>
      </c>
      <c r="K5089" t="s">
        <v>4315</v>
      </c>
      <c r="L5089" t="s">
        <v>4315</v>
      </c>
      <c r="M5089" t="s">
        <v>4315</v>
      </c>
      <c r="N5089" t="s">
        <v>4315</v>
      </c>
      <c r="O5089" t="s">
        <v>4315</v>
      </c>
    </row>
    <row r="5090" spans="1:15">
      <c r="A5090" t="s">
        <v>3762</v>
      </c>
      <c r="B5090" t="str">
        <f ca="1">IF(ISBLANK(OFFSET(B5090,0,'Field labels'!$Q$1)),C5090,OFFSET(B5090,0,'Field labels'!$Q$1))</f>
        <v>autóút</v>
      </c>
      <c r="C5090" t="s">
        <v>4316</v>
      </c>
      <c r="D5090" t="s">
        <v>4316</v>
      </c>
      <c r="E5090" t="s">
        <v>4316</v>
      </c>
      <c r="F5090" t="s">
        <v>4316</v>
      </c>
      <c r="G5090" t="s">
        <v>4316</v>
      </c>
      <c r="H5090" t="s">
        <v>4316</v>
      </c>
      <c r="I5090" t="s">
        <v>4316</v>
      </c>
      <c r="J5090" t="s">
        <v>4316</v>
      </c>
      <c r="K5090" t="s">
        <v>4316</v>
      </c>
      <c r="L5090" t="s">
        <v>4316</v>
      </c>
      <c r="M5090" t="s">
        <v>4316</v>
      </c>
      <c r="N5090" t="s">
        <v>4316</v>
      </c>
      <c r="O5090" t="s">
        <v>4316</v>
      </c>
    </row>
    <row r="5091" spans="1:15">
      <c r="A5091" t="s">
        <v>3762</v>
      </c>
      <c r="B5091" t="str">
        <f ca="1">IF(ISBLANK(OFFSET(B5091,0,'Field labels'!$Q$1)),C5091,OFFSET(B5091,0,'Field labels'!$Q$1))</f>
        <v>Avenue</v>
      </c>
      <c r="C5091" t="s">
        <v>3764</v>
      </c>
      <c r="D5091" t="s">
        <v>3764</v>
      </c>
      <c r="E5091" t="s">
        <v>3764</v>
      </c>
      <c r="F5091" t="s">
        <v>3764</v>
      </c>
      <c r="G5091" t="s">
        <v>3764</v>
      </c>
      <c r="H5091" t="s">
        <v>3764</v>
      </c>
      <c r="I5091" t="s">
        <v>3764</v>
      </c>
      <c r="J5091" t="s">
        <v>3764</v>
      </c>
      <c r="K5091" t="s">
        <v>3764</v>
      </c>
      <c r="L5091" t="s">
        <v>3764</v>
      </c>
      <c r="M5091" t="s">
        <v>3764</v>
      </c>
      <c r="N5091" t="s">
        <v>3764</v>
      </c>
      <c r="O5091" t="s">
        <v>3764</v>
      </c>
    </row>
    <row r="5092" spans="1:15">
      <c r="A5092" t="s">
        <v>3762</v>
      </c>
      <c r="B5092" t="str">
        <f ca="1">IF(ISBLANK(OFFSET(B5092,0,'Field labels'!$Q$1)),C5092,OFFSET(B5092,0,'Field labels'!$Q$1))</f>
        <v>Back</v>
      </c>
      <c r="C5092" t="s">
        <v>4317</v>
      </c>
      <c r="D5092" t="s">
        <v>4317</v>
      </c>
      <c r="E5092" t="s">
        <v>4317</v>
      </c>
      <c r="F5092" t="s">
        <v>4317</v>
      </c>
      <c r="G5092" t="s">
        <v>4317</v>
      </c>
      <c r="H5092" t="s">
        <v>4317</v>
      </c>
      <c r="I5092" t="s">
        <v>4317</v>
      </c>
      <c r="J5092" t="s">
        <v>4317</v>
      </c>
      <c r="K5092" t="s">
        <v>4317</v>
      </c>
      <c r="L5092" t="s">
        <v>4317</v>
      </c>
      <c r="M5092" t="s">
        <v>4317</v>
      </c>
      <c r="N5092" t="s">
        <v>4317</v>
      </c>
      <c r="O5092" t="s">
        <v>4317</v>
      </c>
    </row>
    <row r="5093" spans="1:15">
      <c r="A5093" t="s">
        <v>3762</v>
      </c>
      <c r="B5093" t="str">
        <f ca="1">IF(ISBLANK(OFFSET(B5093,0,'Field labels'!$Q$1)),C5093,OFFSET(B5093,0,'Field labels'!$Q$1))</f>
        <v>Bank</v>
      </c>
      <c r="C5093" t="s">
        <v>4318</v>
      </c>
      <c r="D5093" t="s">
        <v>4318</v>
      </c>
      <c r="E5093" t="s">
        <v>4318</v>
      </c>
      <c r="F5093" t="s">
        <v>4318</v>
      </c>
      <c r="G5093" t="s">
        <v>4318</v>
      </c>
      <c r="H5093" t="s">
        <v>4318</v>
      </c>
      <c r="I5093" t="s">
        <v>4318</v>
      </c>
      <c r="J5093" t="s">
        <v>4318</v>
      </c>
      <c r="K5093" t="s">
        <v>4318</v>
      </c>
      <c r="L5093" t="s">
        <v>4318</v>
      </c>
      <c r="M5093" t="s">
        <v>4318</v>
      </c>
      <c r="N5093" t="s">
        <v>4318</v>
      </c>
      <c r="O5093" t="s">
        <v>4318</v>
      </c>
    </row>
    <row r="5094" spans="1:15">
      <c r="A5094" t="s">
        <v>3762</v>
      </c>
      <c r="B5094" t="str">
        <f ca="1">IF(ISBLANK(OFFSET(B5094,0,'Field labels'!$Q$1)),C5094,OFFSET(B5094,0,'Field labels'!$Q$1))</f>
        <v>bánya</v>
      </c>
      <c r="C5094" t="s">
        <v>4319</v>
      </c>
      <c r="D5094" t="s">
        <v>4319</v>
      </c>
      <c r="E5094" t="s">
        <v>4319</v>
      </c>
      <c r="F5094" t="s">
        <v>4319</v>
      </c>
      <c r="G5094" t="s">
        <v>4319</v>
      </c>
      <c r="H5094" t="s">
        <v>4319</v>
      </c>
      <c r="I5094" t="s">
        <v>4319</v>
      </c>
      <c r="J5094" t="s">
        <v>4319</v>
      </c>
      <c r="K5094" t="s">
        <v>4319</v>
      </c>
      <c r="L5094" t="s">
        <v>4319</v>
      </c>
      <c r="M5094" t="s">
        <v>4319</v>
      </c>
      <c r="N5094" t="s">
        <v>4319</v>
      </c>
      <c r="O5094" t="s">
        <v>4319</v>
      </c>
    </row>
    <row r="5095" spans="1:15">
      <c r="A5095" t="s">
        <v>3762</v>
      </c>
      <c r="B5095" t="str">
        <f ca="1">IF(ISBLANK(OFFSET(B5095,0,'Field labels'!$Q$1)),C5095,OFFSET(B5095,0,'Field labels'!$Q$1))</f>
        <v>bányatelep</v>
      </c>
      <c r="C5095" t="s">
        <v>4320</v>
      </c>
      <c r="D5095" t="s">
        <v>4320</v>
      </c>
      <c r="E5095" t="s">
        <v>4320</v>
      </c>
      <c r="F5095" t="s">
        <v>4320</v>
      </c>
      <c r="G5095" t="s">
        <v>4320</v>
      </c>
      <c r="H5095" t="s">
        <v>4320</v>
      </c>
      <c r="I5095" t="s">
        <v>4320</v>
      </c>
      <c r="J5095" t="s">
        <v>4320</v>
      </c>
      <c r="K5095" t="s">
        <v>4320</v>
      </c>
      <c r="L5095" t="s">
        <v>4320</v>
      </c>
      <c r="M5095" t="s">
        <v>4320</v>
      </c>
      <c r="N5095" t="s">
        <v>4320</v>
      </c>
      <c r="O5095" t="s">
        <v>4320</v>
      </c>
    </row>
    <row r="5096" spans="1:15">
      <c r="A5096" t="s">
        <v>3762</v>
      </c>
      <c r="B5096" t="str">
        <f ca="1">IF(ISBLANK(OFFSET(B5096,0,'Field labels'!$Q$1)),C5096,OFFSET(B5096,0,'Field labels'!$Q$1))</f>
        <v>barakképület</v>
      </c>
      <c r="C5096" t="s">
        <v>4321</v>
      </c>
      <c r="D5096" t="s">
        <v>4321</v>
      </c>
      <c r="E5096" t="s">
        <v>4321</v>
      </c>
      <c r="F5096" t="s">
        <v>4321</v>
      </c>
      <c r="G5096" t="s">
        <v>4321</v>
      </c>
      <c r="H5096" t="s">
        <v>4321</v>
      </c>
      <c r="I5096" t="s">
        <v>4321</v>
      </c>
      <c r="J5096" t="s">
        <v>4321</v>
      </c>
      <c r="K5096" t="s">
        <v>4321</v>
      </c>
      <c r="L5096" t="s">
        <v>4321</v>
      </c>
      <c r="M5096" t="s">
        <v>4321</v>
      </c>
      <c r="N5096" t="s">
        <v>4321</v>
      </c>
      <c r="O5096" t="s">
        <v>4321</v>
      </c>
    </row>
    <row r="5097" spans="1:15">
      <c r="A5097" t="s">
        <v>3762</v>
      </c>
      <c r="B5097" t="str">
        <f ca="1">IF(ISBLANK(OFFSET(B5097,0,'Field labels'!$Q$1)),C5097,OFFSET(B5097,0,'Field labels'!$Q$1))</f>
        <v>barlang</v>
      </c>
      <c r="C5097" t="s">
        <v>4322</v>
      </c>
      <c r="D5097" t="s">
        <v>4322</v>
      </c>
      <c r="E5097" t="s">
        <v>4322</v>
      </c>
      <c r="F5097" t="s">
        <v>4322</v>
      </c>
      <c r="G5097" t="s">
        <v>4322</v>
      </c>
      <c r="H5097" t="s">
        <v>4322</v>
      </c>
      <c r="I5097" t="s">
        <v>4322</v>
      </c>
      <c r="J5097" t="s">
        <v>4322</v>
      </c>
      <c r="K5097" t="s">
        <v>4322</v>
      </c>
      <c r="L5097" t="s">
        <v>4322</v>
      </c>
      <c r="M5097" t="s">
        <v>4322</v>
      </c>
      <c r="N5097" t="s">
        <v>4322</v>
      </c>
      <c r="O5097" t="s">
        <v>4322</v>
      </c>
    </row>
    <row r="5098" spans="1:15">
      <c r="A5098" t="s">
        <v>3762</v>
      </c>
      <c r="B5098" t="str">
        <f ca="1">IF(ISBLANK(OFFSET(B5098,0,'Field labels'!$Q$1)),C5098,OFFSET(B5098,0,'Field labels'!$Q$1))</f>
        <v>Baserri</v>
      </c>
      <c r="C5098" t="s">
        <v>4323</v>
      </c>
      <c r="D5098" t="s">
        <v>4323</v>
      </c>
      <c r="E5098" t="s">
        <v>4323</v>
      </c>
      <c r="F5098" t="s">
        <v>4323</v>
      </c>
      <c r="G5098" t="s">
        <v>4323</v>
      </c>
      <c r="H5098" t="s">
        <v>4323</v>
      </c>
      <c r="I5098" t="s">
        <v>4323</v>
      </c>
      <c r="J5098" t="s">
        <v>4323</v>
      </c>
      <c r="K5098" t="s">
        <v>4323</v>
      </c>
      <c r="L5098" t="s">
        <v>4323</v>
      </c>
      <c r="M5098" t="s">
        <v>4323</v>
      </c>
      <c r="N5098" t="s">
        <v>4323</v>
      </c>
      <c r="O5098" t="s">
        <v>4323</v>
      </c>
    </row>
    <row r="5099" spans="1:15">
      <c r="A5099" t="s">
        <v>3762</v>
      </c>
      <c r="B5099" t="str">
        <f ca="1">IF(ISBLANK(OFFSET(B5099,0,'Field labels'!$Q$1)),C5099,OFFSET(B5099,0,'Field labels'!$Q$1))</f>
        <v>bástya</v>
      </c>
      <c r="C5099" t="s">
        <v>4324</v>
      </c>
      <c r="D5099" t="s">
        <v>4324</v>
      </c>
      <c r="E5099" t="s">
        <v>4324</v>
      </c>
      <c r="F5099" t="s">
        <v>4324</v>
      </c>
      <c r="G5099" t="s">
        <v>4324</v>
      </c>
      <c r="H5099" t="s">
        <v>4324</v>
      </c>
      <c r="I5099" t="s">
        <v>4324</v>
      </c>
      <c r="J5099" t="s">
        <v>4324</v>
      </c>
      <c r="K5099" t="s">
        <v>4324</v>
      </c>
      <c r="L5099" t="s">
        <v>4324</v>
      </c>
      <c r="M5099" t="s">
        <v>4324</v>
      </c>
      <c r="N5099" t="s">
        <v>4324</v>
      </c>
      <c r="O5099" t="s">
        <v>4324</v>
      </c>
    </row>
    <row r="5100" spans="1:15">
      <c r="A5100" t="s">
        <v>3762</v>
      </c>
      <c r="B5100" t="str">
        <f ca="1">IF(ISBLANK(OFFSET(B5100,0,'Field labels'!$Q$1)),C5100,OFFSET(B5100,0,'Field labels'!$Q$1))</f>
        <v>bástyája</v>
      </c>
      <c r="C5100" t="s">
        <v>4325</v>
      </c>
      <c r="D5100" t="s">
        <v>4325</v>
      </c>
      <c r="E5100" t="s">
        <v>4325</v>
      </c>
      <c r="F5100" t="s">
        <v>4325</v>
      </c>
      <c r="G5100" t="s">
        <v>4325</v>
      </c>
      <c r="H5100" t="s">
        <v>4325</v>
      </c>
      <c r="I5100" t="s">
        <v>4325</v>
      </c>
      <c r="J5100" t="s">
        <v>4325</v>
      </c>
      <c r="K5100" t="s">
        <v>4325</v>
      </c>
      <c r="L5100" t="s">
        <v>4325</v>
      </c>
      <c r="M5100" t="s">
        <v>4325</v>
      </c>
      <c r="N5100" t="s">
        <v>4325</v>
      </c>
      <c r="O5100" t="s">
        <v>4325</v>
      </c>
    </row>
    <row r="5101" spans="1:15">
      <c r="A5101" t="s">
        <v>3762</v>
      </c>
      <c r="B5101" t="str">
        <f ca="1">IF(ISBLANK(OFFSET(B5101,0,'Field labels'!$Q$1)),C5101,OFFSET(B5101,0,'Field labels'!$Q$1))</f>
        <v>Beach</v>
      </c>
      <c r="C5101" t="s">
        <v>4326</v>
      </c>
      <c r="D5101" t="s">
        <v>4326</v>
      </c>
      <c r="E5101" t="s">
        <v>4326</v>
      </c>
      <c r="F5101" t="s">
        <v>4326</v>
      </c>
      <c r="G5101" t="s">
        <v>4326</v>
      </c>
      <c r="H5101" t="s">
        <v>4326</v>
      </c>
      <c r="I5101" t="s">
        <v>4326</v>
      </c>
      <c r="J5101" t="s">
        <v>4326</v>
      </c>
      <c r="K5101" t="s">
        <v>4326</v>
      </c>
      <c r="L5101" t="s">
        <v>4326</v>
      </c>
      <c r="M5101" t="s">
        <v>4326</v>
      </c>
      <c r="N5101" t="s">
        <v>4326</v>
      </c>
      <c r="O5101" t="s">
        <v>4326</v>
      </c>
    </row>
    <row r="5102" spans="1:15">
      <c r="A5102" t="s">
        <v>3762</v>
      </c>
      <c r="B5102" t="str">
        <f ca="1">IF(ISBLANK(OFFSET(B5102,0,'Field labels'!$Q$1)),C5102,OFFSET(B5102,0,'Field labels'!$Q$1))</f>
        <v>bejáró</v>
      </c>
      <c r="C5102" t="s">
        <v>4327</v>
      </c>
      <c r="D5102" t="s">
        <v>4327</v>
      </c>
      <c r="E5102" t="s">
        <v>4327</v>
      </c>
      <c r="F5102" t="s">
        <v>4327</v>
      </c>
      <c r="G5102" t="s">
        <v>4327</v>
      </c>
      <c r="H5102" t="s">
        <v>4327</v>
      </c>
      <c r="I5102" t="s">
        <v>4327</v>
      </c>
      <c r="J5102" t="s">
        <v>4327</v>
      </c>
      <c r="K5102" t="s">
        <v>4327</v>
      </c>
      <c r="L5102" t="s">
        <v>4327</v>
      </c>
      <c r="M5102" t="s">
        <v>4327</v>
      </c>
      <c r="N5102" t="s">
        <v>4327</v>
      </c>
      <c r="O5102" t="s">
        <v>4327</v>
      </c>
    </row>
    <row r="5103" spans="1:15">
      <c r="A5103" t="s">
        <v>3762</v>
      </c>
      <c r="B5103" t="str">
        <f ca="1">IF(ISBLANK(OFFSET(B5103,0,'Field labels'!$Q$1)),C5103,OFFSET(B5103,0,'Field labels'!$Q$1))</f>
        <v>bekötőút</v>
      </c>
      <c r="C5103" t="s">
        <v>4328</v>
      </c>
      <c r="D5103" t="s">
        <v>4328</v>
      </c>
      <c r="E5103" t="s">
        <v>4328</v>
      </c>
      <c r="F5103" t="s">
        <v>4328</v>
      </c>
      <c r="G5103" t="s">
        <v>4328</v>
      </c>
      <c r="H5103" t="s">
        <v>4328</v>
      </c>
      <c r="I5103" t="s">
        <v>4328</v>
      </c>
      <c r="J5103" t="s">
        <v>4328</v>
      </c>
      <c r="K5103" t="s">
        <v>4328</v>
      </c>
      <c r="L5103" t="s">
        <v>4328</v>
      </c>
      <c r="M5103" t="s">
        <v>4328</v>
      </c>
      <c r="N5103" t="s">
        <v>4328</v>
      </c>
      <c r="O5103" t="s">
        <v>4328</v>
      </c>
    </row>
    <row r="5104" spans="1:15">
      <c r="A5104" t="s">
        <v>3762</v>
      </c>
      <c r="B5104" t="str">
        <f ca="1">IF(ISBLANK(OFFSET(B5104,0,'Field labels'!$Q$1)),C5104,OFFSET(B5104,0,'Field labels'!$Q$1))</f>
        <v>Belt</v>
      </c>
      <c r="C5104" t="s">
        <v>4329</v>
      </c>
      <c r="D5104" t="s">
        <v>4329</v>
      </c>
      <c r="E5104" t="s">
        <v>4329</v>
      </c>
      <c r="F5104" t="s">
        <v>4329</v>
      </c>
      <c r="G5104" t="s">
        <v>4329</v>
      </c>
      <c r="H5104" t="s">
        <v>4329</v>
      </c>
      <c r="I5104" t="s">
        <v>4329</v>
      </c>
      <c r="J5104" t="s">
        <v>4329</v>
      </c>
      <c r="K5104" t="s">
        <v>4329</v>
      </c>
      <c r="L5104" t="s">
        <v>4329</v>
      </c>
      <c r="M5104" t="s">
        <v>4329</v>
      </c>
      <c r="N5104" t="s">
        <v>4329</v>
      </c>
      <c r="O5104" t="s">
        <v>4329</v>
      </c>
    </row>
    <row r="5105" spans="1:15">
      <c r="A5105" t="s">
        <v>3762</v>
      </c>
      <c r="B5105" t="str">
        <f ca="1">IF(ISBLANK(OFFSET(B5105,0,'Field labels'!$Q$1)),C5105,OFFSET(B5105,0,'Field labels'!$Q$1))</f>
        <v>Blind Alley</v>
      </c>
      <c r="C5105" t="s">
        <v>4330</v>
      </c>
      <c r="D5105" t="s">
        <v>4330</v>
      </c>
      <c r="E5105" t="s">
        <v>4330</v>
      </c>
      <c r="F5105" t="s">
        <v>4330</v>
      </c>
      <c r="G5105" t="s">
        <v>4330</v>
      </c>
      <c r="H5105" t="s">
        <v>4330</v>
      </c>
      <c r="I5105" t="s">
        <v>4330</v>
      </c>
      <c r="J5105" t="s">
        <v>4330</v>
      </c>
      <c r="K5105" t="s">
        <v>4330</v>
      </c>
      <c r="L5105" t="s">
        <v>4330</v>
      </c>
      <c r="M5105" t="s">
        <v>4330</v>
      </c>
      <c r="N5105" t="s">
        <v>4330</v>
      </c>
      <c r="O5105" t="s">
        <v>4330</v>
      </c>
    </row>
    <row r="5106" spans="1:15">
      <c r="A5106" t="s">
        <v>3762</v>
      </c>
      <c r="B5106" t="str">
        <f ca="1">IF(ISBLANK(OFFSET(B5106,0,'Field labels'!$Q$1)),C5106,OFFSET(B5106,0,'Field labels'!$Q$1))</f>
        <v>Block</v>
      </c>
      <c r="C5106" t="s">
        <v>3765</v>
      </c>
      <c r="D5106" t="s">
        <v>3765</v>
      </c>
      <c r="E5106" t="s">
        <v>3765</v>
      </c>
      <c r="F5106" t="s">
        <v>3765</v>
      </c>
      <c r="G5106" t="s">
        <v>3765</v>
      </c>
      <c r="H5106" t="s">
        <v>3765</v>
      </c>
      <c r="I5106" t="s">
        <v>3765</v>
      </c>
      <c r="J5106" t="s">
        <v>3765</v>
      </c>
      <c r="K5106" t="s">
        <v>3765</v>
      </c>
      <c r="L5106" t="s">
        <v>3765</v>
      </c>
      <c r="M5106" t="s">
        <v>3765</v>
      </c>
      <c r="N5106" t="s">
        <v>3765</v>
      </c>
      <c r="O5106" t="s">
        <v>3765</v>
      </c>
    </row>
    <row r="5107" spans="1:15">
      <c r="A5107" t="s">
        <v>3762</v>
      </c>
      <c r="B5107" t="str">
        <f ca="1">IF(ISBLANK(OFFSET(B5107,0,'Field labels'!$Q$1)),C5107,OFFSET(B5107,0,'Field labels'!$Q$1))</f>
        <v>Block</v>
      </c>
      <c r="C5107" t="s">
        <v>3765</v>
      </c>
      <c r="D5107" t="s">
        <v>3765</v>
      </c>
      <c r="E5107" t="s">
        <v>3765</v>
      </c>
      <c r="F5107" t="s">
        <v>3765</v>
      </c>
      <c r="G5107" t="s">
        <v>3765</v>
      </c>
      <c r="H5107" t="s">
        <v>3765</v>
      </c>
      <c r="I5107" t="s">
        <v>3765</v>
      </c>
      <c r="J5107" t="s">
        <v>3765</v>
      </c>
      <c r="K5107" t="s">
        <v>3765</v>
      </c>
      <c r="L5107" t="s">
        <v>3765</v>
      </c>
      <c r="M5107" t="s">
        <v>3765</v>
      </c>
      <c r="N5107" t="s">
        <v>3765</v>
      </c>
      <c r="O5107" t="s">
        <v>3765</v>
      </c>
    </row>
    <row r="5108" spans="1:15">
      <c r="A5108" t="s">
        <v>3762</v>
      </c>
      <c r="B5108" t="str">
        <f ca="1">IF(ISBLANK(OFFSET(B5108,0,'Field labels'!$Q$1)),C5108,OFFSET(B5108,0,'Field labels'!$Q$1))</f>
        <v>Boulevard</v>
      </c>
      <c r="C5108" t="s">
        <v>3766</v>
      </c>
      <c r="D5108" t="s">
        <v>3766</v>
      </c>
      <c r="E5108" t="s">
        <v>3766</v>
      </c>
      <c r="F5108" t="s">
        <v>3766</v>
      </c>
      <c r="G5108" t="s">
        <v>3766</v>
      </c>
      <c r="H5108" t="s">
        <v>3766</v>
      </c>
      <c r="I5108" t="s">
        <v>3766</v>
      </c>
      <c r="J5108" t="s">
        <v>3766</v>
      </c>
      <c r="K5108" t="s">
        <v>3766</v>
      </c>
      <c r="L5108" t="s">
        <v>3766</v>
      </c>
      <c r="M5108" t="s">
        <v>3766</v>
      </c>
      <c r="N5108" t="s">
        <v>3766</v>
      </c>
      <c r="O5108" t="s">
        <v>3766</v>
      </c>
    </row>
    <row r="5109" spans="1:15">
      <c r="A5109" t="s">
        <v>3762</v>
      </c>
      <c r="B5109" t="str">
        <f ca="1">IF(ISBLANK(OFFSET(B5109,0,'Field labels'!$Q$1)),C5109,OFFSET(B5109,0,'Field labels'!$Q$1))</f>
        <v>Boulevard</v>
      </c>
      <c r="C5109" t="s">
        <v>3766</v>
      </c>
      <c r="D5109" t="s">
        <v>3766</v>
      </c>
      <c r="E5109" t="s">
        <v>3766</v>
      </c>
      <c r="F5109" t="s">
        <v>3766</v>
      </c>
      <c r="G5109" t="s">
        <v>3766</v>
      </c>
      <c r="H5109" t="s">
        <v>3766</v>
      </c>
      <c r="I5109" t="s">
        <v>3766</v>
      </c>
      <c r="J5109" t="s">
        <v>3766</v>
      </c>
      <c r="K5109" t="s">
        <v>3766</v>
      </c>
      <c r="L5109" t="s">
        <v>3766</v>
      </c>
      <c r="M5109" t="s">
        <v>3766</v>
      </c>
      <c r="N5109" t="s">
        <v>3766</v>
      </c>
      <c r="O5109" t="s">
        <v>3766</v>
      </c>
    </row>
    <row r="5110" spans="1:15">
      <c r="A5110" t="s">
        <v>3762</v>
      </c>
      <c r="B5110" t="str">
        <f ca="1">IF(ISBLANK(OFFSET(B5110,0,'Field labels'!$Q$1)),C5110,OFFSET(B5110,0,'Field labels'!$Q$1))</f>
        <v>Branch</v>
      </c>
      <c r="C5110" t="s">
        <v>4331</v>
      </c>
      <c r="D5110" t="s">
        <v>4331</v>
      </c>
      <c r="E5110" t="s">
        <v>4331</v>
      </c>
      <c r="F5110" t="s">
        <v>4331</v>
      </c>
      <c r="G5110" t="s">
        <v>4331</v>
      </c>
      <c r="H5110" t="s">
        <v>4331</v>
      </c>
      <c r="I5110" t="s">
        <v>4331</v>
      </c>
      <c r="J5110" t="s">
        <v>4331</v>
      </c>
      <c r="K5110" t="s">
        <v>4331</v>
      </c>
      <c r="L5110" t="s">
        <v>4331</v>
      </c>
      <c r="M5110" t="s">
        <v>4331</v>
      </c>
      <c r="N5110" t="s">
        <v>4331</v>
      </c>
      <c r="O5110" t="s">
        <v>4331</v>
      </c>
    </row>
    <row r="5111" spans="1:15">
      <c r="A5111" t="s">
        <v>3762</v>
      </c>
      <c r="B5111" t="str">
        <f ca="1">IF(ISBLANK(OFFSET(B5111,0,'Field labels'!$Q$1)),C5111,OFFSET(B5111,0,'Field labels'!$Q$1))</f>
        <v>Breakwater</v>
      </c>
      <c r="C5111" t="s">
        <v>4332</v>
      </c>
      <c r="D5111" t="s">
        <v>4332</v>
      </c>
      <c r="E5111" t="s">
        <v>4332</v>
      </c>
      <c r="F5111" t="s">
        <v>4332</v>
      </c>
      <c r="G5111" t="s">
        <v>4332</v>
      </c>
      <c r="H5111" t="s">
        <v>4332</v>
      </c>
      <c r="I5111" t="s">
        <v>4332</v>
      </c>
      <c r="J5111" t="s">
        <v>4332</v>
      </c>
      <c r="K5111" t="s">
        <v>4332</v>
      </c>
      <c r="L5111" t="s">
        <v>4332</v>
      </c>
      <c r="M5111" t="s">
        <v>4332</v>
      </c>
      <c r="N5111" t="s">
        <v>4332</v>
      </c>
      <c r="O5111" t="s">
        <v>4332</v>
      </c>
    </row>
    <row r="5112" spans="1:15">
      <c r="A5112" t="s">
        <v>3762</v>
      </c>
      <c r="B5112" t="str">
        <f ca="1">IF(ISBLANK(OFFSET(B5112,0,'Field labels'!$Q$1)),C5112,OFFSET(B5112,0,'Field labels'!$Q$1))</f>
        <v>Breakwater</v>
      </c>
      <c r="C5112" t="s">
        <v>4332</v>
      </c>
      <c r="D5112" t="s">
        <v>4332</v>
      </c>
      <c r="E5112" t="s">
        <v>4332</v>
      </c>
      <c r="F5112" t="s">
        <v>4332</v>
      </c>
      <c r="G5112" t="s">
        <v>4332</v>
      </c>
      <c r="H5112" t="s">
        <v>4332</v>
      </c>
      <c r="I5112" t="s">
        <v>4332</v>
      </c>
      <c r="J5112" t="s">
        <v>4332</v>
      </c>
      <c r="K5112" t="s">
        <v>4332</v>
      </c>
      <c r="L5112" t="s">
        <v>4332</v>
      </c>
      <c r="M5112" t="s">
        <v>4332</v>
      </c>
      <c r="N5112" t="s">
        <v>4332</v>
      </c>
      <c r="O5112" t="s">
        <v>4332</v>
      </c>
    </row>
    <row r="5113" spans="1:15">
      <c r="A5113" t="s">
        <v>3762</v>
      </c>
      <c r="B5113" t="str">
        <f ca="1">IF(ISBLANK(OFFSET(B5113,0,'Field labels'!$Q$1)),C5113,OFFSET(B5113,0,'Field labels'!$Q$1))</f>
        <v>Bridge</v>
      </c>
      <c r="C5113" t="s">
        <v>4333</v>
      </c>
      <c r="D5113" t="s">
        <v>4333</v>
      </c>
      <c r="E5113" t="s">
        <v>4333</v>
      </c>
      <c r="F5113" t="s">
        <v>4333</v>
      </c>
      <c r="G5113" t="s">
        <v>4333</v>
      </c>
      <c r="H5113" t="s">
        <v>4333</v>
      </c>
      <c r="I5113" t="s">
        <v>4333</v>
      </c>
      <c r="J5113" t="s">
        <v>4333</v>
      </c>
      <c r="K5113" t="s">
        <v>4333</v>
      </c>
      <c r="L5113" t="s">
        <v>4333</v>
      </c>
      <c r="M5113" t="s">
        <v>4333</v>
      </c>
      <c r="N5113" t="s">
        <v>4333</v>
      </c>
      <c r="O5113" t="s">
        <v>4333</v>
      </c>
    </row>
    <row r="5114" spans="1:15">
      <c r="A5114" t="s">
        <v>3762</v>
      </c>
      <c r="B5114" t="str">
        <f ca="1">IF(ISBLANK(OFFSET(B5114,0,'Field labels'!$Q$1)),C5114,OFFSET(B5114,0,'Field labels'!$Q$1))</f>
        <v>Building/s</v>
      </c>
      <c r="C5114" t="s">
        <v>3767</v>
      </c>
      <c r="D5114" t="s">
        <v>3767</v>
      </c>
      <c r="E5114" t="s">
        <v>3767</v>
      </c>
      <c r="F5114" t="s">
        <v>3767</v>
      </c>
      <c r="G5114" t="s">
        <v>3767</v>
      </c>
      <c r="H5114" t="s">
        <v>3767</v>
      </c>
      <c r="I5114" t="s">
        <v>3767</v>
      </c>
      <c r="J5114" t="s">
        <v>3767</v>
      </c>
      <c r="K5114" t="s">
        <v>3767</v>
      </c>
      <c r="L5114" t="s">
        <v>3767</v>
      </c>
      <c r="M5114" t="s">
        <v>3767</v>
      </c>
      <c r="N5114" t="s">
        <v>3767</v>
      </c>
      <c r="O5114" t="s">
        <v>3767</v>
      </c>
    </row>
    <row r="5115" spans="1:15">
      <c r="A5115" t="s">
        <v>3762</v>
      </c>
      <c r="B5115" t="str">
        <f ca="1">IF(ISBLANK(OFFSET(B5115,0,'Field labels'!$Q$1)),C5115,OFFSET(B5115,0,'Field labels'!$Q$1))</f>
        <v>Business</v>
      </c>
      <c r="C5115" t="s">
        <v>426</v>
      </c>
      <c r="D5115" t="s">
        <v>426</v>
      </c>
      <c r="E5115" t="s">
        <v>426</v>
      </c>
      <c r="F5115" t="s">
        <v>426</v>
      </c>
      <c r="G5115" t="s">
        <v>426</v>
      </c>
      <c r="H5115" t="s">
        <v>426</v>
      </c>
      <c r="I5115" t="s">
        <v>426</v>
      </c>
      <c r="J5115" t="s">
        <v>426</v>
      </c>
      <c r="K5115" t="s">
        <v>426</v>
      </c>
      <c r="L5115" t="s">
        <v>426</v>
      </c>
      <c r="M5115" t="s">
        <v>426</v>
      </c>
      <c r="N5115" t="s">
        <v>426</v>
      </c>
      <c r="O5115" t="s">
        <v>426</v>
      </c>
    </row>
    <row r="5116" spans="1:15">
      <c r="A5116" t="s">
        <v>3762</v>
      </c>
      <c r="B5116" t="str">
        <f ca="1">IF(ISBLANK(OFFSET(B5116,0,'Field labels'!$Q$1)),C5116,OFFSET(B5116,0,'Field labels'!$Q$1))</f>
        <v>Bypass</v>
      </c>
      <c r="C5116" t="s">
        <v>4334</v>
      </c>
      <c r="D5116" t="s">
        <v>4334</v>
      </c>
      <c r="E5116" t="s">
        <v>4334</v>
      </c>
      <c r="F5116" t="s">
        <v>4334</v>
      </c>
      <c r="G5116" t="s">
        <v>4334</v>
      </c>
      <c r="H5116" t="s">
        <v>4334</v>
      </c>
      <c r="I5116" t="s">
        <v>4334</v>
      </c>
      <c r="J5116" t="s">
        <v>4334</v>
      </c>
      <c r="K5116" t="s">
        <v>4334</v>
      </c>
      <c r="L5116" t="s">
        <v>4334</v>
      </c>
      <c r="M5116" t="s">
        <v>4334</v>
      </c>
      <c r="N5116" t="s">
        <v>4334</v>
      </c>
      <c r="O5116" t="s">
        <v>4334</v>
      </c>
    </row>
    <row r="5117" spans="1:15">
      <c r="A5117" t="s">
        <v>3762</v>
      </c>
      <c r="B5117" t="str">
        <f ca="1">IF(ISBLANK(OFFSET(B5117,0,'Field labels'!$Q$1)),C5117,OFFSET(B5117,0,'Field labels'!$Q$1))</f>
        <v>Calexon</v>
      </c>
      <c r="C5117" t="s">
        <v>4335</v>
      </c>
      <c r="D5117" t="s">
        <v>4335</v>
      </c>
      <c r="E5117" t="s">
        <v>4335</v>
      </c>
      <c r="F5117" t="s">
        <v>4335</v>
      </c>
      <c r="G5117" t="s">
        <v>4335</v>
      </c>
      <c r="H5117" t="s">
        <v>4335</v>
      </c>
      <c r="I5117" t="s">
        <v>4335</v>
      </c>
      <c r="J5117" t="s">
        <v>4335</v>
      </c>
      <c r="K5117" t="s">
        <v>4335</v>
      </c>
      <c r="L5117" t="s">
        <v>4335</v>
      </c>
      <c r="M5117" t="s">
        <v>4335</v>
      </c>
      <c r="N5117" t="s">
        <v>4335</v>
      </c>
      <c r="O5117" t="s">
        <v>4335</v>
      </c>
    </row>
    <row r="5118" spans="1:15">
      <c r="A5118" t="s">
        <v>3762</v>
      </c>
      <c r="B5118" t="str">
        <f ca="1">IF(ISBLANK(OFFSET(B5118,0,'Field labels'!$Q$1)),C5118,OFFSET(B5118,0,'Field labels'!$Q$1))</f>
        <v>Caleya</v>
      </c>
      <c r="C5118" t="s">
        <v>4336</v>
      </c>
      <c r="D5118" t="s">
        <v>4336</v>
      </c>
      <c r="E5118" t="s">
        <v>4336</v>
      </c>
      <c r="F5118" t="s">
        <v>4336</v>
      </c>
      <c r="G5118" t="s">
        <v>4336</v>
      </c>
      <c r="H5118" t="s">
        <v>4336</v>
      </c>
      <c r="I5118" t="s">
        <v>4336</v>
      </c>
      <c r="J5118" t="s">
        <v>4336</v>
      </c>
      <c r="K5118" t="s">
        <v>4336</v>
      </c>
      <c r="L5118" t="s">
        <v>4336</v>
      </c>
      <c r="M5118" t="s">
        <v>4336</v>
      </c>
      <c r="N5118" t="s">
        <v>4336</v>
      </c>
      <c r="O5118" t="s">
        <v>4336</v>
      </c>
    </row>
    <row r="5119" spans="1:15">
      <c r="A5119" t="s">
        <v>3762</v>
      </c>
      <c r="B5119" t="str">
        <f ca="1">IF(ISBLANK(OFFSET(B5119,0,'Field labels'!$Q$1)),C5119,OFFSET(B5119,0,'Field labels'!$Q$1))</f>
        <v>Camino Hondo</v>
      </c>
      <c r="C5119" t="s">
        <v>4337</v>
      </c>
      <c r="D5119" t="s">
        <v>4337</v>
      </c>
      <c r="E5119" t="s">
        <v>4337</v>
      </c>
      <c r="F5119" t="s">
        <v>4337</v>
      </c>
      <c r="G5119" t="s">
        <v>4337</v>
      </c>
      <c r="H5119" t="s">
        <v>4337</v>
      </c>
      <c r="I5119" t="s">
        <v>4337</v>
      </c>
      <c r="J5119" t="s">
        <v>4337</v>
      </c>
      <c r="K5119" t="s">
        <v>4337</v>
      </c>
      <c r="L5119" t="s">
        <v>4337</v>
      </c>
      <c r="M5119" t="s">
        <v>4337</v>
      </c>
      <c r="N5119" t="s">
        <v>4337</v>
      </c>
      <c r="O5119" t="s">
        <v>4337</v>
      </c>
    </row>
    <row r="5120" spans="1:15">
      <c r="A5120" t="s">
        <v>3762</v>
      </c>
      <c r="B5120" t="str">
        <f ca="1">IF(ISBLANK(OFFSET(B5120,0,'Field labels'!$Q$1)),C5120,OFFSET(B5120,0,'Field labels'!$Q$1))</f>
        <v>Camino Nuevo</v>
      </c>
      <c r="C5120" t="s">
        <v>4338</v>
      </c>
      <c r="D5120" t="s">
        <v>4338</v>
      </c>
      <c r="E5120" t="s">
        <v>4338</v>
      </c>
      <c r="F5120" t="s">
        <v>4338</v>
      </c>
      <c r="G5120" t="s">
        <v>4338</v>
      </c>
      <c r="H5120" t="s">
        <v>4338</v>
      </c>
      <c r="I5120" t="s">
        <v>4338</v>
      </c>
      <c r="J5120" t="s">
        <v>4338</v>
      </c>
      <c r="K5120" t="s">
        <v>4338</v>
      </c>
      <c r="L5120" t="s">
        <v>4338</v>
      </c>
      <c r="M5120" t="s">
        <v>4338</v>
      </c>
      <c r="N5120" t="s">
        <v>4338</v>
      </c>
      <c r="O5120" t="s">
        <v>4338</v>
      </c>
    </row>
    <row r="5121" spans="1:15">
      <c r="A5121" t="s">
        <v>3762</v>
      </c>
      <c r="B5121" t="str">
        <f ca="1">IF(ISBLANK(OFFSET(B5121,0,'Field labels'!$Q$1)),C5121,OFFSET(B5121,0,'Field labels'!$Q$1))</f>
        <v>Camino Viejo</v>
      </c>
      <c r="C5121" t="s">
        <v>4339</v>
      </c>
      <c r="D5121" t="s">
        <v>4339</v>
      </c>
      <c r="E5121" t="s">
        <v>4339</v>
      </c>
      <c r="F5121" t="s">
        <v>4339</v>
      </c>
      <c r="G5121" t="s">
        <v>4339</v>
      </c>
      <c r="H5121" t="s">
        <v>4339</v>
      </c>
      <c r="I5121" t="s">
        <v>4339</v>
      </c>
      <c r="J5121" t="s">
        <v>4339</v>
      </c>
      <c r="K5121" t="s">
        <v>4339</v>
      </c>
      <c r="L5121" t="s">
        <v>4339</v>
      </c>
      <c r="M5121" t="s">
        <v>4339</v>
      </c>
      <c r="N5121" t="s">
        <v>4339</v>
      </c>
      <c r="O5121" t="s">
        <v>4339</v>
      </c>
    </row>
    <row r="5122" spans="1:15">
      <c r="A5122" t="s">
        <v>3762</v>
      </c>
      <c r="B5122" t="str">
        <f ca="1">IF(ISBLANK(OFFSET(B5122,0,'Field labels'!$Q$1)),C5122,OFFSET(B5122,0,'Field labels'!$Q$1))</f>
        <v>Campground</v>
      </c>
      <c r="C5122" t="s">
        <v>4340</v>
      </c>
      <c r="D5122" t="s">
        <v>4340</v>
      </c>
      <c r="E5122" t="s">
        <v>4340</v>
      </c>
      <c r="F5122" t="s">
        <v>4340</v>
      </c>
      <c r="G5122" t="s">
        <v>4340</v>
      </c>
      <c r="H5122" t="s">
        <v>4340</v>
      </c>
      <c r="I5122" t="s">
        <v>4340</v>
      </c>
      <c r="J5122" t="s">
        <v>4340</v>
      </c>
      <c r="K5122" t="s">
        <v>4340</v>
      </c>
      <c r="L5122" t="s">
        <v>4340</v>
      </c>
      <c r="M5122" t="s">
        <v>4340</v>
      </c>
      <c r="N5122" t="s">
        <v>4340</v>
      </c>
      <c r="O5122" t="s">
        <v>4340</v>
      </c>
    </row>
    <row r="5123" spans="1:15">
      <c r="A5123" t="s">
        <v>3762</v>
      </c>
      <c r="B5123" t="str">
        <f ca="1">IF(ISBLANK(OFFSET(B5123,0,'Field labels'!$Q$1)),C5123,OFFSET(B5123,0,'Field labels'!$Q$1))</f>
        <v>Canal</v>
      </c>
      <c r="C5123" t="s">
        <v>4341</v>
      </c>
      <c r="D5123" t="s">
        <v>4341</v>
      </c>
      <c r="E5123" t="s">
        <v>4341</v>
      </c>
      <c r="F5123" t="s">
        <v>4341</v>
      </c>
      <c r="G5123" t="s">
        <v>4341</v>
      </c>
      <c r="H5123" t="s">
        <v>4341</v>
      </c>
      <c r="I5123" t="s">
        <v>4341</v>
      </c>
      <c r="J5123" t="s">
        <v>4341</v>
      </c>
      <c r="K5123" t="s">
        <v>4341</v>
      </c>
      <c r="L5123" t="s">
        <v>4341</v>
      </c>
      <c r="M5123" t="s">
        <v>4341</v>
      </c>
      <c r="N5123" t="s">
        <v>4341</v>
      </c>
      <c r="O5123" t="s">
        <v>4341</v>
      </c>
    </row>
    <row r="5124" spans="1:15">
      <c r="A5124" t="s">
        <v>3762</v>
      </c>
      <c r="B5124" t="str">
        <f ca="1">IF(ISBLANK(OFFSET(B5124,0,'Field labels'!$Q$1)),C5124,OFFSET(B5124,0,'Field labels'!$Q$1))</f>
        <v>Canella</v>
      </c>
      <c r="C5124" t="s">
        <v>4342</v>
      </c>
      <c r="D5124" t="s">
        <v>4342</v>
      </c>
      <c r="E5124" t="s">
        <v>4342</v>
      </c>
      <c r="F5124" t="s">
        <v>4342</v>
      </c>
      <c r="G5124" t="s">
        <v>4342</v>
      </c>
      <c r="H5124" t="s">
        <v>4342</v>
      </c>
      <c r="I5124" t="s">
        <v>4342</v>
      </c>
      <c r="J5124" t="s">
        <v>4342</v>
      </c>
      <c r="K5124" t="s">
        <v>4342</v>
      </c>
      <c r="L5124" t="s">
        <v>4342</v>
      </c>
      <c r="M5124" t="s">
        <v>4342</v>
      </c>
      <c r="N5124" t="s">
        <v>4342</v>
      </c>
      <c r="O5124" t="s">
        <v>4342</v>
      </c>
    </row>
    <row r="5125" spans="1:15">
      <c r="A5125" t="s">
        <v>3762</v>
      </c>
      <c r="B5125" t="str">
        <f ca="1">IF(ISBLANK(OFFSET(B5125,0,'Field labels'!$Q$1)),C5125,OFFSET(B5125,0,'Field labels'!$Q$1))</f>
        <v>Cantiño</v>
      </c>
      <c r="C5125" t="s">
        <v>4343</v>
      </c>
      <c r="D5125" t="s">
        <v>4343</v>
      </c>
      <c r="E5125" t="s">
        <v>4343</v>
      </c>
      <c r="F5125" t="s">
        <v>4343</v>
      </c>
      <c r="G5125" t="s">
        <v>4343</v>
      </c>
      <c r="H5125" t="s">
        <v>4343</v>
      </c>
      <c r="I5125" t="s">
        <v>4343</v>
      </c>
      <c r="J5125" t="s">
        <v>4343</v>
      </c>
      <c r="K5125" t="s">
        <v>4343</v>
      </c>
      <c r="L5125" t="s">
        <v>4343</v>
      </c>
      <c r="M5125" t="s">
        <v>4343</v>
      </c>
      <c r="N5125" t="s">
        <v>4343</v>
      </c>
      <c r="O5125" t="s">
        <v>4343</v>
      </c>
    </row>
    <row r="5126" spans="1:15">
      <c r="A5126" t="s">
        <v>3762</v>
      </c>
      <c r="B5126" t="str">
        <f ca="1">IF(ISBLANK(OFFSET(B5126,0,'Field labels'!$Q$1)),C5126,OFFSET(B5126,0,'Field labels'!$Q$1))</f>
        <v>Canton</v>
      </c>
      <c r="C5126" t="s">
        <v>4344</v>
      </c>
      <c r="D5126" t="s">
        <v>4344</v>
      </c>
      <c r="E5126" t="s">
        <v>4344</v>
      </c>
      <c r="F5126" t="s">
        <v>4344</v>
      </c>
      <c r="G5126" t="s">
        <v>4344</v>
      </c>
      <c r="H5126" t="s">
        <v>4344</v>
      </c>
      <c r="I5126" t="s">
        <v>4344</v>
      </c>
      <c r="J5126" t="s">
        <v>4344</v>
      </c>
      <c r="K5126" t="s">
        <v>4344</v>
      </c>
      <c r="L5126" t="s">
        <v>4344</v>
      </c>
      <c r="M5126" t="s">
        <v>4344</v>
      </c>
      <c r="N5126" t="s">
        <v>4344</v>
      </c>
      <c r="O5126" t="s">
        <v>4344</v>
      </c>
    </row>
    <row r="5127" spans="1:15">
      <c r="A5127" t="s">
        <v>3762</v>
      </c>
      <c r="B5127" t="str">
        <f ca="1">IF(ISBLANK(OFFSET(B5127,0,'Field labels'!$Q$1)),C5127,OFFSET(B5127,0,'Field labels'!$Q$1))</f>
        <v>Canyon</v>
      </c>
      <c r="C5127" t="s">
        <v>4345</v>
      </c>
      <c r="D5127" t="s">
        <v>4345</v>
      </c>
      <c r="E5127" t="s">
        <v>4345</v>
      </c>
      <c r="F5127" t="s">
        <v>4345</v>
      </c>
      <c r="G5127" t="s">
        <v>4345</v>
      </c>
      <c r="H5127" t="s">
        <v>4345</v>
      </c>
      <c r="I5127" t="s">
        <v>4345</v>
      </c>
      <c r="J5127" t="s">
        <v>4345</v>
      </c>
      <c r="K5127" t="s">
        <v>4345</v>
      </c>
      <c r="L5127" t="s">
        <v>4345</v>
      </c>
      <c r="M5127" t="s">
        <v>4345</v>
      </c>
      <c r="N5127" t="s">
        <v>4345</v>
      </c>
      <c r="O5127" t="s">
        <v>4345</v>
      </c>
    </row>
    <row r="5128" spans="1:15">
      <c r="A5128" t="s">
        <v>3762</v>
      </c>
      <c r="B5128" t="str">
        <f ca="1">IF(ISBLANK(OFFSET(B5128,0,'Field labels'!$Q$1)),C5128,OFFSET(B5128,0,'Field labels'!$Q$1))</f>
        <v>Cart Track</v>
      </c>
      <c r="C5128" t="s">
        <v>4346</v>
      </c>
      <c r="D5128" t="s">
        <v>4346</v>
      </c>
      <c r="E5128" t="s">
        <v>4346</v>
      </c>
      <c r="F5128" t="s">
        <v>4346</v>
      </c>
      <c r="G5128" t="s">
        <v>4346</v>
      </c>
      <c r="H5128" t="s">
        <v>4346</v>
      </c>
      <c r="I5128" t="s">
        <v>4346</v>
      </c>
      <c r="J5128" t="s">
        <v>4346</v>
      </c>
      <c r="K5128" t="s">
        <v>4346</v>
      </c>
      <c r="L5128" t="s">
        <v>4346</v>
      </c>
      <c r="M5128" t="s">
        <v>4346</v>
      </c>
      <c r="N5128" t="s">
        <v>4346</v>
      </c>
      <c r="O5128" t="s">
        <v>4346</v>
      </c>
    </row>
    <row r="5129" spans="1:15">
      <c r="A5129" t="s">
        <v>3762</v>
      </c>
      <c r="B5129" t="str">
        <f ca="1">IF(ISBLANK(OFFSET(B5129,0,'Field labels'!$Q$1)),C5129,OFFSET(B5129,0,'Field labels'!$Q$1))</f>
        <v>Cart Track</v>
      </c>
      <c r="C5129" t="s">
        <v>4346</v>
      </c>
      <c r="D5129" t="s">
        <v>4346</v>
      </c>
      <c r="E5129" t="s">
        <v>4346</v>
      </c>
      <c r="F5129" t="s">
        <v>4346</v>
      </c>
      <c r="G5129" t="s">
        <v>4346</v>
      </c>
      <c r="H5129" t="s">
        <v>4346</v>
      </c>
      <c r="I5129" t="s">
        <v>4346</v>
      </c>
      <c r="J5129" t="s">
        <v>4346</v>
      </c>
      <c r="K5129" t="s">
        <v>4346</v>
      </c>
      <c r="L5129" t="s">
        <v>4346</v>
      </c>
      <c r="M5129" t="s">
        <v>4346</v>
      </c>
      <c r="N5129" t="s">
        <v>4346</v>
      </c>
      <c r="O5129" t="s">
        <v>4346</v>
      </c>
    </row>
    <row r="5130" spans="1:15">
      <c r="A5130" t="s">
        <v>3762</v>
      </c>
      <c r="B5130" t="str">
        <f ca="1">IF(ISBLANK(OFFSET(B5130,0,'Field labels'!$Q$1)),C5130,OFFSET(B5130,0,'Field labels'!$Q$1))</f>
        <v>Cattle Track</v>
      </c>
      <c r="C5130" t="s">
        <v>4347</v>
      </c>
      <c r="D5130" t="s">
        <v>4347</v>
      </c>
      <c r="E5130" t="s">
        <v>4347</v>
      </c>
      <c r="F5130" t="s">
        <v>4347</v>
      </c>
      <c r="G5130" t="s">
        <v>4347</v>
      </c>
      <c r="H5130" t="s">
        <v>4347</v>
      </c>
      <c r="I5130" t="s">
        <v>4347</v>
      </c>
      <c r="J5130" t="s">
        <v>4347</v>
      </c>
      <c r="K5130" t="s">
        <v>4347</v>
      </c>
      <c r="L5130" t="s">
        <v>4347</v>
      </c>
      <c r="M5130" t="s">
        <v>4347</v>
      </c>
      <c r="N5130" t="s">
        <v>4347</v>
      </c>
      <c r="O5130" t="s">
        <v>4347</v>
      </c>
    </row>
    <row r="5131" spans="1:15">
      <c r="A5131" t="s">
        <v>3762</v>
      </c>
      <c r="B5131" t="str">
        <f ca="1">IF(ISBLANK(OFFSET(B5131,0,'Field labels'!$Q$1)),C5131,OFFSET(B5131,0,'Field labels'!$Q$1))</f>
        <v>Cave/s</v>
      </c>
      <c r="C5131" t="s">
        <v>4348</v>
      </c>
      <c r="D5131" t="s">
        <v>4348</v>
      </c>
      <c r="E5131" t="s">
        <v>4348</v>
      </c>
      <c r="F5131" t="s">
        <v>4348</v>
      </c>
      <c r="G5131" t="s">
        <v>4348</v>
      </c>
      <c r="H5131" t="s">
        <v>4348</v>
      </c>
      <c r="I5131" t="s">
        <v>4348</v>
      </c>
      <c r="J5131" t="s">
        <v>4348</v>
      </c>
      <c r="K5131" t="s">
        <v>4348</v>
      </c>
      <c r="L5131" t="s">
        <v>4348</v>
      </c>
      <c r="M5131" t="s">
        <v>4348</v>
      </c>
      <c r="N5131" t="s">
        <v>4348</v>
      </c>
      <c r="O5131" t="s">
        <v>4348</v>
      </c>
    </row>
    <row r="5132" spans="1:15">
      <c r="A5132" t="s">
        <v>3762</v>
      </c>
      <c r="B5132" t="str">
        <f ca="1">IF(ISBLANK(OFFSET(B5132,0,'Field labels'!$Q$1)),C5132,OFFSET(B5132,0,'Field labels'!$Q$1))</f>
        <v>Cellar</v>
      </c>
      <c r="C5132" t="s">
        <v>4349</v>
      </c>
      <c r="D5132" t="s">
        <v>4349</v>
      </c>
      <c r="E5132" t="s">
        <v>4349</v>
      </c>
      <c r="F5132" t="s">
        <v>4349</v>
      </c>
      <c r="G5132" t="s">
        <v>4349</v>
      </c>
      <c r="H5132" t="s">
        <v>4349</v>
      </c>
      <c r="I5132" t="s">
        <v>4349</v>
      </c>
      <c r="J5132" t="s">
        <v>4349</v>
      </c>
      <c r="K5132" t="s">
        <v>4349</v>
      </c>
      <c r="L5132" t="s">
        <v>4349</v>
      </c>
      <c r="M5132" t="s">
        <v>4349</v>
      </c>
      <c r="N5132" t="s">
        <v>4349</v>
      </c>
      <c r="O5132" t="s">
        <v>4349</v>
      </c>
    </row>
    <row r="5133" spans="1:15">
      <c r="A5133" t="s">
        <v>3762</v>
      </c>
      <c r="B5133" t="str">
        <f ca="1">IF(ISBLANK(OFFSET(B5133,0,'Field labels'!$Q$1)),C5133,OFFSET(B5133,0,'Field labels'!$Q$1))</f>
        <v>Center</v>
      </c>
      <c r="C5133" t="s">
        <v>4350</v>
      </c>
      <c r="D5133" t="s">
        <v>4350</v>
      </c>
      <c r="E5133" t="s">
        <v>4350</v>
      </c>
      <c r="F5133" t="s">
        <v>4350</v>
      </c>
      <c r="G5133" t="s">
        <v>4350</v>
      </c>
      <c r="H5133" t="s">
        <v>4350</v>
      </c>
      <c r="I5133" t="s">
        <v>4350</v>
      </c>
      <c r="J5133" t="s">
        <v>4350</v>
      </c>
      <c r="K5133" t="s">
        <v>4350</v>
      </c>
      <c r="L5133" t="s">
        <v>4350</v>
      </c>
      <c r="M5133" t="s">
        <v>4350</v>
      </c>
      <c r="N5133" t="s">
        <v>4350</v>
      </c>
      <c r="O5133" t="s">
        <v>4350</v>
      </c>
    </row>
    <row r="5134" spans="1:15">
      <c r="A5134" t="s">
        <v>3762</v>
      </c>
      <c r="B5134" t="str">
        <f ca="1">IF(ISBLANK(OFFSET(B5134,0,'Field labels'!$Q$1)),C5134,OFFSET(B5134,0,'Field labels'!$Q$1))</f>
        <v>Chalet</v>
      </c>
      <c r="C5134" t="s">
        <v>3768</v>
      </c>
      <c r="D5134" t="s">
        <v>3768</v>
      </c>
      <c r="E5134" t="s">
        <v>3768</v>
      </c>
      <c r="F5134" t="s">
        <v>3768</v>
      </c>
      <c r="G5134" t="s">
        <v>3768</v>
      </c>
      <c r="H5134" t="s">
        <v>3768</v>
      </c>
      <c r="I5134" t="s">
        <v>3768</v>
      </c>
      <c r="J5134" t="s">
        <v>3768</v>
      </c>
      <c r="K5134" t="s">
        <v>3768</v>
      </c>
      <c r="L5134" t="s">
        <v>3768</v>
      </c>
      <c r="M5134" t="s">
        <v>3768</v>
      </c>
      <c r="N5134" t="s">
        <v>3768</v>
      </c>
      <c r="O5134" t="s">
        <v>3768</v>
      </c>
    </row>
    <row r="5135" spans="1:15">
      <c r="A5135" t="s">
        <v>3762</v>
      </c>
      <c r="B5135" t="str">
        <f ca="1">IF(ISBLANK(OFFSET(B5135,0,'Field labels'!$Q$1)),C5135,OFFSET(B5135,0,'Field labels'!$Q$1))</f>
        <v>Channel</v>
      </c>
      <c r="C5135" t="s">
        <v>4351</v>
      </c>
      <c r="D5135" t="s">
        <v>4351</v>
      </c>
      <c r="E5135" t="s">
        <v>4351</v>
      </c>
      <c r="F5135" t="s">
        <v>4351</v>
      </c>
      <c r="G5135" t="s">
        <v>4351</v>
      </c>
      <c r="H5135" t="s">
        <v>4351</v>
      </c>
      <c r="I5135" t="s">
        <v>4351</v>
      </c>
      <c r="J5135" t="s">
        <v>4351</v>
      </c>
      <c r="K5135" t="s">
        <v>4351</v>
      </c>
      <c r="L5135" t="s">
        <v>4351</v>
      </c>
      <c r="M5135" t="s">
        <v>4351</v>
      </c>
      <c r="N5135" t="s">
        <v>4351</v>
      </c>
      <c r="O5135" t="s">
        <v>4351</v>
      </c>
    </row>
    <row r="5136" spans="1:15">
      <c r="A5136" t="s">
        <v>3762</v>
      </c>
      <c r="B5136" t="str">
        <f ca="1">IF(ISBLANK(OFFSET(B5136,0,'Field labels'!$Q$1)),C5136,OFFSET(B5136,0,'Field labels'!$Q$1))</f>
        <v>Coast</v>
      </c>
      <c r="C5136" t="s">
        <v>4352</v>
      </c>
      <c r="D5136" t="s">
        <v>4352</v>
      </c>
      <c r="E5136" t="s">
        <v>4352</v>
      </c>
      <c r="F5136" t="s">
        <v>4352</v>
      </c>
      <c r="G5136" t="s">
        <v>4352</v>
      </c>
      <c r="H5136" t="s">
        <v>4352</v>
      </c>
      <c r="I5136" t="s">
        <v>4352</v>
      </c>
      <c r="J5136" t="s">
        <v>4352</v>
      </c>
      <c r="K5136" t="s">
        <v>4352</v>
      </c>
      <c r="L5136" t="s">
        <v>4352</v>
      </c>
      <c r="M5136" t="s">
        <v>4352</v>
      </c>
      <c r="N5136" t="s">
        <v>4352</v>
      </c>
      <c r="O5136" t="s">
        <v>4352</v>
      </c>
    </row>
    <row r="5137" spans="1:15">
      <c r="A5137" t="s">
        <v>3762</v>
      </c>
      <c r="B5137" t="str">
        <f ca="1">IF(ISBLANK(OFFSET(B5137,0,'Field labels'!$Q$1)),C5137,OFFSET(B5137,0,'Field labels'!$Q$1))</f>
        <v>Coastal</v>
      </c>
      <c r="C5137" t="s">
        <v>4353</v>
      </c>
      <c r="D5137" t="s">
        <v>4353</v>
      </c>
      <c r="E5137" t="s">
        <v>4353</v>
      </c>
      <c r="F5137" t="s">
        <v>4353</v>
      </c>
      <c r="G5137" t="s">
        <v>4353</v>
      </c>
      <c r="H5137" t="s">
        <v>4353</v>
      </c>
      <c r="I5137" t="s">
        <v>4353</v>
      </c>
      <c r="J5137" t="s">
        <v>4353</v>
      </c>
      <c r="K5137" t="s">
        <v>4353</v>
      </c>
      <c r="L5137" t="s">
        <v>4353</v>
      </c>
      <c r="M5137" t="s">
        <v>4353</v>
      </c>
      <c r="N5137" t="s">
        <v>4353</v>
      </c>
      <c r="O5137" t="s">
        <v>4353</v>
      </c>
    </row>
    <row r="5138" spans="1:15">
      <c r="A5138" t="s">
        <v>3762</v>
      </c>
      <c r="B5138" t="str">
        <f ca="1">IF(ISBLANK(OFFSET(B5138,0,'Field labels'!$Q$1)),C5138,OFFSET(B5138,0,'Field labels'!$Q$1))</f>
        <v>Community</v>
      </c>
      <c r="C5138" t="s">
        <v>3769</v>
      </c>
      <c r="D5138" t="s">
        <v>3769</v>
      </c>
      <c r="E5138" t="s">
        <v>3769</v>
      </c>
      <c r="F5138" t="s">
        <v>3769</v>
      </c>
      <c r="G5138" t="s">
        <v>3769</v>
      </c>
      <c r="H5138" t="s">
        <v>3769</v>
      </c>
      <c r="I5138" t="s">
        <v>3769</v>
      </c>
      <c r="J5138" t="s">
        <v>3769</v>
      </c>
      <c r="K5138" t="s">
        <v>3769</v>
      </c>
      <c r="L5138" t="s">
        <v>3769</v>
      </c>
      <c r="M5138" t="s">
        <v>3769</v>
      </c>
      <c r="N5138" t="s">
        <v>3769</v>
      </c>
      <c r="O5138" t="s">
        <v>3769</v>
      </c>
    </row>
    <row r="5139" spans="1:15">
      <c r="A5139" t="s">
        <v>3762</v>
      </c>
      <c r="B5139" t="str">
        <f ca="1">IF(ISBLANK(OFFSET(B5139,0,'Field labels'!$Q$1)),C5139,OFFSET(B5139,0,'Field labels'!$Q$1))</f>
        <v>Complex</v>
      </c>
      <c r="C5139" t="s">
        <v>4354</v>
      </c>
      <c r="D5139" t="s">
        <v>4354</v>
      </c>
      <c r="E5139" t="s">
        <v>4354</v>
      </c>
      <c r="F5139" t="s">
        <v>4354</v>
      </c>
      <c r="G5139" t="s">
        <v>4354</v>
      </c>
      <c r="H5139" t="s">
        <v>4354</v>
      </c>
      <c r="I5139" t="s">
        <v>4354</v>
      </c>
      <c r="J5139" t="s">
        <v>4354</v>
      </c>
      <c r="K5139" t="s">
        <v>4354</v>
      </c>
      <c r="L5139" t="s">
        <v>4354</v>
      </c>
      <c r="M5139" t="s">
        <v>4354</v>
      </c>
      <c r="N5139" t="s">
        <v>4354</v>
      </c>
      <c r="O5139" t="s">
        <v>4354</v>
      </c>
    </row>
    <row r="5140" spans="1:15">
      <c r="A5140" t="s">
        <v>3762</v>
      </c>
      <c r="B5140" t="str">
        <f ca="1">IF(ISBLANK(OFFSET(B5140,0,'Field labels'!$Q$1)),C5140,OFFSET(B5140,0,'Field labels'!$Q$1))</f>
        <v>Complex</v>
      </c>
      <c r="C5140" t="s">
        <v>4354</v>
      </c>
      <c r="D5140" t="s">
        <v>4354</v>
      </c>
      <c r="E5140" t="s">
        <v>4354</v>
      </c>
      <c r="F5140" t="s">
        <v>4354</v>
      </c>
      <c r="G5140" t="s">
        <v>4354</v>
      </c>
      <c r="H5140" t="s">
        <v>4354</v>
      </c>
      <c r="I5140" t="s">
        <v>4354</v>
      </c>
      <c r="J5140" t="s">
        <v>4354</v>
      </c>
      <c r="K5140" t="s">
        <v>4354</v>
      </c>
      <c r="L5140" t="s">
        <v>4354</v>
      </c>
      <c r="M5140" t="s">
        <v>4354</v>
      </c>
      <c r="N5140" t="s">
        <v>4354</v>
      </c>
      <c r="O5140" t="s">
        <v>4354</v>
      </c>
    </row>
    <row r="5141" spans="1:15">
      <c r="A5141" t="s">
        <v>3762</v>
      </c>
      <c r="B5141" t="str">
        <f ca="1">IF(ISBLANK(OFFSET(B5141,0,'Field labels'!$Q$1)),C5141,OFFSET(B5141,0,'Field labels'!$Q$1))</f>
        <v>Convent</v>
      </c>
      <c r="C5141" t="s">
        <v>4355</v>
      </c>
      <c r="D5141" t="s">
        <v>4355</v>
      </c>
      <c r="E5141" t="s">
        <v>4355</v>
      </c>
      <c r="F5141" t="s">
        <v>4355</v>
      </c>
      <c r="G5141" t="s">
        <v>4355</v>
      </c>
      <c r="H5141" t="s">
        <v>4355</v>
      </c>
      <c r="I5141" t="s">
        <v>4355</v>
      </c>
      <c r="J5141" t="s">
        <v>4355</v>
      </c>
      <c r="K5141" t="s">
        <v>4355</v>
      </c>
      <c r="L5141" t="s">
        <v>4355</v>
      </c>
      <c r="M5141" t="s">
        <v>4355</v>
      </c>
      <c r="N5141" t="s">
        <v>4355</v>
      </c>
      <c r="O5141" t="s">
        <v>4355</v>
      </c>
    </row>
    <row r="5142" spans="1:15">
      <c r="A5142" t="s">
        <v>3762</v>
      </c>
      <c r="B5142" t="str">
        <f ca="1">IF(ISBLANK(OFFSET(B5142,0,'Field labels'!$Q$1)),C5142,OFFSET(B5142,0,'Field labels'!$Q$1))</f>
        <v>Cooperative</v>
      </c>
      <c r="C5142" t="s">
        <v>4356</v>
      </c>
      <c r="D5142" t="s">
        <v>4356</v>
      </c>
      <c r="E5142" t="s">
        <v>4356</v>
      </c>
      <c r="F5142" t="s">
        <v>4356</v>
      </c>
      <c r="G5142" t="s">
        <v>4356</v>
      </c>
      <c r="H5142" t="s">
        <v>4356</v>
      </c>
      <c r="I5142" t="s">
        <v>4356</v>
      </c>
      <c r="J5142" t="s">
        <v>4356</v>
      </c>
      <c r="K5142" t="s">
        <v>4356</v>
      </c>
      <c r="L5142" t="s">
        <v>4356</v>
      </c>
      <c r="M5142" t="s">
        <v>4356</v>
      </c>
      <c r="N5142" t="s">
        <v>4356</v>
      </c>
      <c r="O5142" t="s">
        <v>4356</v>
      </c>
    </row>
    <row r="5143" spans="1:15">
      <c r="A5143" t="s">
        <v>3762</v>
      </c>
      <c r="B5143" t="str">
        <f ca="1">IF(ISBLANK(OFFSET(B5143,0,'Field labels'!$Q$1)),C5143,OFFSET(B5143,0,'Field labels'!$Q$1))</f>
        <v>Corner</v>
      </c>
      <c r="C5143" t="s">
        <v>4357</v>
      </c>
      <c r="D5143" t="s">
        <v>4357</v>
      </c>
      <c r="E5143" t="s">
        <v>4357</v>
      </c>
      <c r="F5143" t="s">
        <v>4357</v>
      </c>
      <c r="G5143" t="s">
        <v>4357</v>
      </c>
      <c r="H5143" t="s">
        <v>4357</v>
      </c>
      <c r="I5143" t="s">
        <v>4357</v>
      </c>
      <c r="J5143" t="s">
        <v>4357</v>
      </c>
      <c r="K5143" t="s">
        <v>4357</v>
      </c>
      <c r="L5143" t="s">
        <v>4357</v>
      </c>
      <c r="M5143" t="s">
        <v>4357</v>
      </c>
      <c r="N5143" t="s">
        <v>4357</v>
      </c>
      <c r="O5143" t="s">
        <v>4357</v>
      </c>
    </row>
    <row r="5144" spans="1:15">
      <c r="A5144" t="s">
        <v>3762</v>
      </c>
      <c r="B5144" t="str">
        <f ca="1">IF(ISBLANK(OFFSET(B5144,0,'Field labels'!$Q$1)),C5144,OFFSET(B5144,0,'Field labels'!$Q$1))</f>
        <v>Corner</v>
      </c>
      <c r="C5144" t="s">
        <v>4357</v>
      </c>
      <c r="D5144" t="s">
        <v>4357</v>
      </c>
      <c r="E5144" t="s">
        <v>4357</v>
      </c>
      <c r="F5144" t="s">
        <v>4357</v>
      </c>
      <c r="G5144" t="s">
        <v>4357</v>
      </c>
      <c r="H5144" t="s">
        <v>4357</v>
      </c>
      <c r="I5144" t="s">
        <v>4357</v>
      </c>
      <c r="J5144" t="s">
        <v>4357</v>
      </c>
      <c r="K5144" t="s">
        <v>4357</v>
      </c>
      <c r="L5144" t="s">
        <v>4357</v>
      </c>
      <c r="M5144" t="s">
        <v>4357</v>
      </c>
      <c r="N5144" t="s">
        <v>4357</v>
      </c>
      <c r="O5144" t="s">
        <v>4357</v>
      </c>
    </row>
    <row r="5145" spans="1:15">
      <c r="A5145" t="s">
        <v>3762</v>
      </c>
      <c r="B5145" t="str">
        <f ca="1">IF(ISBLANK(OFFSET(B5145,0,'Field labels'!$Q$1)),C5145,OFFSET(B5145,0,'Field labels'!$Q$1))</f>
        <v>Corner</v>
      </c>
      <c r="C5145" t="s">
        <v>4357</v>
      </c>
      <c r="D5145" t="s">
        <v>4357</v>
      </c>
      <c r="E5145" t="s">
        <v>4357</v>
      </c>
      <c r="F5145" t="s">
        <v>4357</v>
      </c>
      <c r="G5145" t="s">
        <v>4357</v>
      </c>
      <c r="H5145" t="s">
        <v>4357</v>
      </c>
      <c r="I5145" t="s">
        <v>4357</v>
      </c>
      <c r="J5145" t="s">
        <v>4357</v>
      </c>
      <c r="K5145" t="s">
        <v>4357</v>
      </c>
      <c r="L5145" t="s">
        <v>4357</v>
      </c>
      <c r="M5145" t="s">
        <v>4357</v>
      </c>
      <c r="N5145" t="s">
        <v>4357</v>
      </c>
      <c r="O5145" t="s">
        <v>4357</v>
      </c>
    </row>
    <row r="5146" spans="1:15">
      <c r="A5146" t="s">
        <v>3762</v>
      </c>
      <c r="B5146" t="str">
        <f ca="1">IF(ISBLANK(OFFSET(B5146,0,'Field labels'!$Q$1)),C5146,OFFSET(B5146,0,'Field labels'!$Q$1))</f>
        <v>Corral</v>
      </c>
      <c r="C5146" t="s">
        <v>4358</v>
      </c>
      <c r="D5146" t="s">
        <v>4358</v>
      </c>
      <c r="E5146" t="s">
        <v>4358</v>
      </c>
      <c r="F5146" t="s">
        <v>4358</v>
      </c>
      <c r="G5146" t="s">
        <v>4358</v>
      </c>
      <c r="H5146" t="s">
        <v>4358</v>
      </c>
      <c r="I5146" t="s">
        <v>4358</v>
      </c>
      <c r="J5146" t="s">
        <v>4358</v>
      </c>
      <c r="K5146" t="s">
        <v>4358</v>
      </c>
      <c r="L5146" t="s">
        <v>4358</v>
      </c>
      <c r="M5146" t="s">
        <v>4358</v>
      </c>
      <c r="N5146" t="s">
        <v>4358</v>
      </c>
      <c r="O5146" t="s">
        <v>4358</v>
      </c>
    </row>
    <row r="5147" spans="1:15">
      <c r="A5147" t="s">
        <v>3762</v>
      </c>
      <c r="B5147" t="str">
        <f ca="1">IF(ISBLANK(OFFSET(B5147,0,'Field labels'!$Q$1)),C5147,OFFSET(B5147,0,'Field labels'!$Q$1))</f>
        <v>Corralillo</v>
      </c>
      <c r="C5147" t="s">
        <v>4359</v>
      </c>
      <c r="D5147" t="s">
        <v>4359</v>
      </c>
      <c r="E5147" t="s">
        <v>4359</v>
      </c>
      <c r="F5147" t="s">
        <v>4359</v>
      </c>
      <c r="G5147" t="s">
        <v>4359</v>
      </c>
      <c r="H5147" t="s">
        <v>4359</v>
      </c>
      <c r="I5147" t="s">
        <v>4359</v>
      </c>
      <c r="J5147" t="s">
        <v>4359</v>
      </c>
      <c r="K5147" t="s">
        <v>4359</v>
      </c>
      <c r="L5147" t="s">
        <v>4359</v>
      </c>
      <c r="M5147" t="s">
        <v>4359</v>
      </c>
      <c r="N5147" t="s">
        <v>4359</v>
      </c>
      <c r="O5147" t="s">
        <v>4359</v>
      </c>
    </row>
    <row r="5148" spans="1:15">
      <c r="A5148" t="s">
        <v>3762</v>
      </c>
      <c r="B5148" t="str">
        <f ca="1">IF(ISBLANK(OFFSET(B5148,0,'Field labels'!$Q$1)),C5148,OFFSET(B5148,0,'Field labels'!$Q$1))</f>
        <v>Country Estate/s</v>
      </c>
      <c r="C5148" t="s">
        <v>4360</v>
      </c>
      <c r="D5148" t="s">
        <v>4360</v>
      </c>
      <c r="E5148" t="s">
        <v>4360</v>
      </c>
      <c r="F5148" t="s">
        <v>4360</v>
      </c>
      <c r="G5148" t="s">
        <v>4360</v>
      </c>
      <c r="H5148" t="s">
        <v>4360</v>
      </c>
      <c r="I5148" t="s">
        <v>4360</v>
      </c>
      <c r="J5148" t="s">
        <v>4360</v>
      </c>
      <c r="K5148" t="s">
        <v>4360</v>
      </c>
      <c r="L5148" t="s">
        <v>4360</v>
      </c>
      <c r="M5148" t="s">
        <v>4360</v>
      </c>
      <c r="N5148" t="s">
        <v>4360</v>
      </c>
      <c r="O5148" t="s">
        <v>4360</v>
      </c>
    </row>
    <row r="5149" spans="1:15">
      <c r="A5149" t="s">
        <v>3762</v>
      </c>
      <c r="B5149" t="str">
        <f ca="1">IF(ISBLANK(OFFSET(B5149,0,'Field labels'!$Q$1)),C5149,OFFSET(B5149,0,'Field labels'!$Q$1))</f>
        <v>Country House</v>
      </c>
      <c r="C5149" t="s">
        <v>4361</v>
      </c>
      <c r="D5149" t="s">
        <v>4361</v>
      </c>
      <c r="E5149" t="s">
        <v>4361</v>
      </c>
      <c r="F5149" t="s">
        <v>4361</v>
      </c>
      <c r="G5149" t="s">
        <v>4361</v>
      </c>
      <c r="H5149" t="s">
        <v>4361</v>
      </c>
      <c r="I5149" t="s">
        <v>4361</v>
      </c>
      <c r="J5149" t="s">
        <v>4361</v>
      </c>
      <c r="K5149" t="s">
        <v>4361</v>
      </c>
      <c r="L5149" t="s">
        <v>4361</v>
      </c>
      <c r="M5149" t="s">
        <v>4361</v>
      </c>
      <c r="N5149" t="s">
        <v>4361</v>
      </c>
      <c r="O5149" t="s">
        <v>4361</v>
      </c>
    </row>
    <row r="5150" spans="1:15">
      <c r="A5150" t="s">
        <v>3762</v>
      </c>
      <c r="B5150" t="str">
        <f ca="1">IF(ISBLANK(OFFSET(B5150,0,'Field labels'!$Q$1)),C5150,OFFSET(B5150,0,'Field labels'!$Q$1))</f>
        <v>Cross</v>
      </c>
      <c r="C5150" t="s">
        <v>4362</v>
      </c>
      <c r="D5150" t="s">
        <v>4362</v>
      </c>
      <c r="E5150" t="s">
        <v>4362</v>
      </c>
      <c r="F5150" t="s">
        <v>4362</v>
      </c>
      <c r="G5150" t="s">
        <v>4362</v>
      </c>
      <c r="H5150" t="s">
        <v>4362</v>
      </c>
      <c r="I5150" t="s">
        <v>4362</v>
      </c>
      <c r="J5150" t="s">
        <v>4362</v>
      </c>
      <c r="K5150" t="s">
        <v>4362</v>
      </c>
      <c r="L5150" t="s">
        <v>4362</v>
      </c>
      <c r="M5150" t="s">
        <v>4362</v>
      </c>
      <c r="N5150" t="s">
        <v>4362</v>
      </c>
      <c r="O5150" t="s">
        <v>4362</v>
      </c>
    </row>
    <row r="5151" spans="1:15">
      <c r="A5151" t="s">
        <v>3762</v>
      </c>
      <c r="B5151" t="str">
        <f ca="1">IF(ISBLANK(OFFSET(B5151,0,'Field labels'!$Q$1)),C5151,OFFSET(B5151,0,'Field labels'!$Q$1))</f>
        <v>Cross Street</v>
      </c>
      <c r="C5151" t="s">
        <v>4363</v>
      </c>
      <c r="D5151" t="s">
        <v>4363</v>
      </c>
      <c r="E5151" t="s">
        <v>4363</v>
      </c>
      <c r="F5151" t="s">
        <v>4363</v>
      </c>
      <c r="G5151" t="s">
        <v>4363</v>
      </c>
      <c r="H5151" t="s">
        <v>4363</v>
      </c>
      <c r="I5151" t="s">
        <v>4363</v>
      </c>
      <c r="J5151" t="s">
        <v>4363</v>
      </c>
      <c r="K5151" t="s">
        <v>4363</v>
      </c>
      <c r="L5151" t="s">
        <v>4363</v>
      </c>
      <c r="M5151" t="s">
        <v>4363</v>
      </c>
      <c r="N5151" t="s">
        <v>4363</v>
      </c>
      <c r="O5151" t="s">
        <v>4363</v>
      </c>
    </row>
    <row r="5152" spans="1:15">
      <c r="A5152" t="s">
        <v>3762</v>
      </c>
      <c r="B5152" t="str">
        <f ca="1">IF(ISBLANK(OFFSET(B5152,0,'Field labels'!$Q$1)),C5152,OFFSET(B5152,0,'Field labels'!$Q$1))</f>
        <v>csárda</v>
      </c>
      <c r="C5152" t="s">
        <v>4364</v>
      </c>
      <c r="D5152" t="s">
        <v>4364</v>
      </c>
      <c r="E5152" t="s">
        <v>4364</v>
      </c>
      <c r="F5152" t="s">
        <v>4364</v>
      </c>
      <c r="G5152" t="s">
        <v>4364</v>
      </c>
      <c r="H5152" t="s">
        <v>4364</v>
      </c>
      <c r="I5152" t="s">
        <v>4364</v>
      </c>
      <c r="J5152" t="s">
        <v>4364</v>
      </c>
      <c r="K5152" t="s">
        <v>4364</v>
      </c>
      <c r="L5152" t="s">
        <v>4364</v>
      </c>
      <c r="M5152" t="s">
        <v>4364</v>
      </c>
      <c r="N5152" t="s">
        <v>4364</v>
      </c>
      <c r="O5152" t="s">
        <v>4364</v>
      </c>
    </row>
    <row r="5153" spans="1:15">
      <c r="A5153" t="s">
        <v>3762</v>
      </c>
      <c r="B5153" t="str">
        <f ca="1">IF(ISBLANK(OFFSET(B5153,0,'Field labels'!$Q$1)),C5153,OFFSET(B5153,0,'Field labels'!$Q$1))</f>
        <v>csónakházak</v>
      </c>
      <c r="C5153" t="s">
        <v>4365</v>
      </c>
      <c r="D5153" t="s">
        <v>4365</v>
      </c>
      <c r="E5153" t="s">
        <v>4365</v>
      </c>
      <c r="F5153" t="s">
        <v>4365</v>
      </c>
      <c r="G5153" t="s">
        <v>4365</v>
      </c>
      <c r="H5153" t="s">
        <v>4365</v>
      </c>
      <c r="I5153" t="s">
        <v>4365</v>
      </c>
      <c r="J5153" t="s">
        <v>4365</v>
      </c>
      <c r="K5153" t="s">
        <v>4365</v>
      </c>
      <c r="L5153" t="s">
        <v>4365</v>
      </c>
      <c r="M5153" t="s">
        <v>4365</v>
      </c>
      <c r="N5153" t="s">
        <v>4365</v>
      </c>
      <c r="O5153" t="s">
        <v>4365</v>
      </c>
    </row>
    <row r="5154" spans="1:15">
      <c r="A5154" t="s">
        <v>3762</v>
      </c>
      <c r="B5154" t="str">
        <f ca="1">IF(ISBLANK(OFFSET(B5154,0,'Field labels'!$Q$1)),C5154,OFFSET(B5154,0,'Field labels'!$Q$1))</f>
        <v>Descent</v>
      </c>
      <c r="C5154" t="s">
        <v>4366</v>
      </c>
      <c r="D5154" t="s">
        <v>4366</v>
      </c>
      <c r="E5154" t="s">
        <v>4366</v>
      </c>
      <c r="F5154" t="s">
        <v>4366</v>
      </c>
      <c r="G5154" t="s">
        <v>4366</v>
      </c>
      <c r="H5154" t="s">
        <v>4366</v>
      </c>
      <c r="I5154" t="s">
        <v>4366</v>
      </c>
      <c r="J5154" t="s">
        <v>4366</v>
      </c>
      <c r="K5154" t="s">
        <v>4366</v>
      </c>
      <c r="L5154" t="s">
        <v>4366</v>
      </c>
      <c r="M5154" t="s">
        <v>4366</v>
      </c>
      <c r="N5154" t="s">
        <v>4366</v>
      </c>
      <c r="O5154" t="s">
        <v>4366</v>
      </c>
    </row>
    <row r="5155" spans="1:15">
      <c r="A5155" t="s">
        <v>3762</v>
      </c>
      <c r="B5155" t="str">
        <f ca="1">IF(ISBLANK(OFFSET(B5155,0,'Field labels'!$Q$1)),C5155,OFFSET(B5155,0,'Field labels'!$Q$1))</f>
        <v>District</v>
      </c>
      <c r="C5155" t="s">
        <v>4367</v>
      </c>
      <c r="D5155" t="s">
        <v>4367</v>
      </c>
      <c r="E5155" t="s">
        <v>4367</v>
      </c>
      <c r="F5155" t="s">
        <v>4367</v>
      </c>
      <c r="G5155" t="s">
        <v>4367</v>
      </c>
      <c r="H5155" t="s">
        <v>4367</v>
      </c>
      <c r="I5155" t="s">
        <v>4367</v>
      </c>
      <c r="J5155" t="s">
        <v>4367</v>
      </c>
      <c r="K5155" t="s">
        <v>4367</v>
      </c>
      <c r="L5155" t="s">
        <v>4367</v>
      </c>
      <c r="M5155" t="s">
        <v>4367</v>
      </c>
      <c r="N5155" t="s">
        <v>4367</v>
      </c>
      <c r="O5155" t="s">
        <v>4367</v>
      </c>
    </row>
    <row r="5156" spans="1:15">
      <c r="A5156" t="s">
        <v>3762</v>
      </c>
      <c r="B5156" t="str">
        <f ca="1">IF(ISBLANK(OFFSET(B5156,0,'Field labels'!$Q$1)),C5156,OFFSET(B5156,0,'Field labels'!$Q$1))</f>
        <v>District</v>
      </c>
      <c r="C5156" t="s">
        <v>4367</v>
      </c>
      <c r="D5156" t="s">
        <v>4367</v>
      </c>
      <c r="E5156" t="s">
        <v>4367</v>
      </c>
      <c r="F5156" t="s">
        <v>4367</v>
      </c>
      <c r="G5156" t="s">
        <v>4367</v>
      </c>
      <c r="H5156" t="s">
        <v>4367</v>
      </c>
      <c r="I5156" t="s">
        <v>4367</v>
      </c>
      <c r="J5156" t="s">
        <v>4367</v>
      </c>
      <c r="K5156" t="s">
        <v>4367</v>
      </c>
      <c r="L5156" t="s">
        <v>4367</v>
      </c>
      <c r="M5156" t="s">
        <v>4367</v>
      </c>
      <c r="N5156" t="s">
        <v>4367</v>
      </c>
      <c r="O5156" t="s">
        <v>4367</v>
      </c>
    </row>
    <row r="5157" spans="1:15">
      <c r="A5157" t="s">
        <v>3762</v>
      </c>
      <c r="B5157" t="str">
        <f ca="1">IF(ISBLANK(OFFSET(B5157,0,'Field labels'!$Q$1)),C5157,OFFSET(B5157,0,'Field labels'!$Q$1))</f>
        <v>domb</v>
      </c>
      <c r="C5157" t="s">
        <v>4368</v>
      </c>
      <c r="D5157" t="s">
        <v>4368</v>
      </c>
      <c r="E5157" t="s">
        <v>4368</v>
      </c>
      <c r="F5157" t="s">
        <v>4368</v>
      </c>
      <c r="G5157" t="s">
        <v>4368</v>
      </c>
      <c r="H5157" t="s">
        <v>4368</v>
      </c>
      <c r="I5157" t="s">
        <v>4368</v>
      </c>
      <c r="J5157" t="s">
        <v>4368</v>
      </c>
      <c r="K5157" t="s">
        <v>4368</v>
      </c>
      <c r="L5157" t="s">
        <v>4368</v>
      </c>
      <c r="M5157" t="s">
        <v>4368</v>
      </c>
      <c r="N5157" t="s">
        <v>4368</v>
      </c>
      <c r="O5157" t="s">
        <v>4368</v>
      </c>
    </row>
    <row r="5158" spans="1:15">
      <c r="A5158" t="s">
        <v>3762</v>
      </c>
      <c r="B5158" t="str">
        <f ca="1">IF(ISBLANK(OFFSET(B5158,0,'Field labels'!$Q$1)),C5158,OFFSET(B5158,0,'Field labels'!$Q$1))</f>
        <v>Door</v>
      </c>
      <c r="C5158" t="s">
        <v>4369</v>
      </c>
      <c r="D5158" t="s">
        <v>4369</v>
      </c>
      <c r="E5158" t="s">
        <v>4369</v>
      </c>
      <c r="F5158" t="s">
        <v>4369</v>
      </c>
      <c r="G5158" t="s">
        <v>4369</v>
      </c>
      <c r="H5158" t="s">
        <v>4369</v>
      </c>
      <c r="I5158" t="s">
        <v>4369</v>
      </c>
      <c r="J5158" t="s">
        <v>4369</v>
      </c>
      <c r="K5158" t="s">
        <v>4369</v>
      </c>
      <c r="L5158" t="s">
        <v>4369</v>
      </c>
      <c r="M5158" t="s">
        <v>4369</v>
      </c>
      <c r="N5158" t="s">
        <v>4369</v>
      </c>
      <c r="O5158" t="s">
        <v>4369</v>
      </c>
    </row>
    <row r="5159" spans="1:15">
      <c r="A5159" t="s">
        <v>3762</v>
      </c>
      <c r="B5159" t="str">
        <f ca="1">IF(ISBLANK(OFFSET(B5159,0,'Field labels'!$Q$1)),C5159,OFFSET(B5159,0,'Field labels'!$Q$1))</f>
        <v>dűlő</v>
      </c>
      <c r="C5159" t="s">
        <v>4370</v>
      </c>
      <c r="D5159" t="s">
        <v>4370</v>
      </c>
      <c r="E5159" t="s">
        <v>4370</v>
      </c>
      <c r="F5159" t="s">
        <v>4370</v>
      </c>
      <c r="G5159" t="s">
        <v>4370</v>
      </c>
      <c r="H5159" t="s">
        <v>4370</v>
      </c>
      <c r="I5159" t="s">
        <v>4370</v>
      </c>
      <c r="J5159" t="s">
        <v>4370</v>
      </c>
      <c r="K5159" t="s">
        <v>4370</v>
      </c>
      <c r="L5159" t="s">
        <v>4370</v>
      </c>
      <c r="M5159" t="s">
        <v>4370</v>
      </c>
      <c r="N5159" t="s">
        <v>4370</v>
      </c>
      <c r="O5159" t="s">
        <v>4370</v>
      </c>
    </row>
    <row r="5160" spans="1:15">
      <c r="A5160" t="s">
        <v>3762</v>
      </c>
      <c r="B5160" t="str">
        <f ca="1">IF(ISBLANK(OFFSET(B5160,0,'Field labels'!$Q$1)),C5160,OFFSET(B5160,0,'Field labels'!$Q$1))</f>
        <v>dűlők</v>
      </c>
      <c r="C5160" t="s">
        <v>4371</v>
      </c>
      <c r="D5160" t="s">
        <v>4371</v>
      </c>
      <c r="E5160" t="s">
        <v>4371</v>
      </c>
      <c r="F5160" t="s">
        <v>4371</v>
      </c>
      <c r="G5160" t="s">
        <v>4371</v>
      </c>
      <c r="H5160" t="s">
        <v>4371</v>
      </c>
      <c r="I5160" t="s">
        <v>4371</v>
      </c>
      <c r="J5160" t="s">
        <v>4371</v>
      </c>
      <c r="K5160" t="s">
        <v>4371</v>
      </c>
      <c r="L5160" t="s">
        <v>4371</v>
      </c>
      <c r="M5160" t="s">
        <v>4371</v>
      </c>
      <c r="N5160" t="s">
        <v>4371</v>
      </c>
      <c r="O5160" t="s">
        <v>4371</v>
      </c>
    </row>
    <row r="5161" spans="1:15">
      <c r="A5161" t="s">
        <v>3762</v>
      </c>
      <c r="B5161" t="str">
        <f ca="1">IF(ISBLANK(OFFSET(B5161,0,'Field labels'!$Q$1)),C5161,OFFSET(B5161,0,'Field labels'!$Q$1))</f>
        <v>dűlősor</v>
      </c>
      <c r="C5161" t="s">
        <v>4372</v>
      </c>
      <c r="D5161" t="s">
        <v>4372</v>
      </c>
      <c r="E5161" t="s">
        <v>4372</v>
      </c>
      <c r="F5161" t="s">
        <v>4372</v>
      </c>
      <c r="G5161" t="s">
        <v>4372</v>
      </c>
      <c r="H5161" t="s">
        <v>4372</v>
      </c>
      <c r="I5161" t="s">
        <v>4372</v>
      </c>
      <c r="J5161" t="s">
        <v>4372</v>
      </c>
      <c r="K5161" t="s">
        <v>4372</v>
      </c>
      <c r="L5161" t="s">
        <v>4372</v>
      </c>
      <c r="M5161" t="s">
        <v>4372</v>
      </c>
      <c r="N5161" t="s">
        <v>4372</v>
      </c>
      <c r="O5161" t="s">
        <v>4372</v>
      </c>
    </row>
    <row r="5162" spans="1:15">
      <c r="A5162" t="s">
        <v>3762</v>
      </c>
      <c r="B5162" t="str">
        <f ca="1">IF(ISBLANK(OFFSET(B5162,0,'Field labels'!$Q$1)),C5162,OFFSET(B5162,0,'Field labels'!$Q$1))</f>
        <v>dűlőterület</v>
      </c>
      <c r="C5162" t="s">
        <v>4373</v>
      </c>
      <c r="D5162" t="s">
        <v>4373</v>
      </c>
      <c r="E5162" t="s">
        <v>4373</v>
      </c>
      <c r="F5162" t="s">
        <v>4373</v>
      </c>
      <c r="G5162" t="s">
        <v>4373</v>
      </c>
      <c r="H5162" t="s">
        <v>4373</v>
      </c>
      <c r="I5162" t="s">
        <v>4373</v>
      </c>
      <c r="J5162" t="s">
        <v>4373</v>
      </c>
      <c r="K5162" t="s">
        <v>4373</v>
      </c>
      <c r="L5162" t="s">
        <v>4373</v>
      </c>
      <c r="M5162" t="s">
        <v>4373</v>
      </c>
      <c r="N5162" t="s">
        <v>4373</v>
      </c>
      <c r="O5162" t="s">
        <v>4373</v>
      </c>
    </row>
    <row r="5163" spans="1:15">
      <c r="A5163" t="s">
        <v>3762</v>
      </c>
      <c r="B5163" t="str">
        <f ca="1">IF(ISBLANK(OFFSET(B5163,0,'Field labels'!$Q$1)),C5163,OFFSET(B5163,0,'Field labels'!$Q$1))</f>
        <v>dűlőút</v>
      </c>
      <c r="C5163" t="s">
        <v>4374</v>
      </c>
      <c r="D5163" t="s">
        <v>4374</v>
      </c>
      <c r="E5163" t="s">
        <v>4374</v>
      </c>
      <c r="F5163" t="s">
        <v>4374</v>
      </c>
      <c r="G5163" t="s">
        <v>4374</v>
      </c>
      <c r="H5163" t="s">
        <v>4374</v>
      </c>
      <c r="I5163" t="s">
        <v>4374</v>
      </c>
      <c r="J5163" t="s">
        <v>4374</v>
      </c>
      <c r="K5163" t="s">
        <v>4374</v>
      </c>
      <c r="L5163" t="s">
        <v>4374</v>
      </c>
      <c r="M5163" t="s">
        <v>4374</v>
      </c>
      <c r="N5163" t="s">
        <v>4374</v>
      </c>
      <c r="O5163" t="s">
        <v>4374</v>
      </c>
    </row>
    <row r="5164" spans="1:15">
      <c r="A5164" t="s">
        <v>3762</v>
      </c>
      <c r="B5164" t="str">
        <f ca="1">IF(ISBLANK(OFFSET(B5164,0,'Field labels'!$Q$1)),C5164,OFFSET(B5164,0,'Field labels'!$Q$1))</f>
        <v>egyéb</v>
      </c>
      <c r="C5164" t="s">
        <v>4375</v>
      </c>
      <c r="D5164" t="s">
        <v>4375</v>
      </c>
      <c r="E5164" t="s">
        <v>4375</v>
      </c>
      <c r="F5164" t="s">
        <v>4375</v>
      </c>
      <c r="G5164" t="s">
        <v>4375</v>
      </c>
      <c r="H5164" t="s">
        <v>4375</v>
      </c>
      <c r="I5164" t="s">
        <v>4375</v>
      </c>
      <c r="J5164" t="s">
        <v>4375</v>
      </c>
      <c r="K5164" t="s">
        <v>4375</v>
      </c>
      <c r="L5164" t="s">
        <v>4375</v>
      </c>
      <c r="M5164" t="s">
        <v>4375</v>
      </c>
      <c r="N5164" t="s">
        <v>4375</v>
      </c>
      <c r="O5164" t="s">
        <v>4375</v>
      </c>
    </row>
    <row r="5165" spans="1:15">
      <c r="A5165" t="s">
        <v>3762</v>
      </c>
      <c r="B5165" t="str">
        <f ca="1">IF(ISBLANK(OFFSET(B5165,0,'Field labels'!$Q$1)),C5165,OFFSET(B5165,0,'Field labels'!$Q$1))</f>
        <v>egyetemváros</v>
      </c>
      <c r="C5165" t="s">
        <v>4376</v>
      </c>
      <c r="D5165" t="s">
        <v>4376</v>
      </c>
      <c r="E5165" t="s">
        <v>4376</v>
      </c>
      <c r="F5165" t="s">
        <v>4376</v>
      </c>
      <c r="G5165" t="s">
        <v>4376</v>
      </c>
      <c r="H5165" t="s">
        <v>4376</v>
      </c>
      <c r="I5165" t="s">
        <v>4376</v>
      </c>
      <c r="J5165" t="s">
        <v>4376</v>
      </c>
      <c r="K5165" t="s">
        <v>4376</v>
      </c>
      <c r="L5165" t="s">
        <v>4376</v>
      </c>
      <c r="M5165" t="s">
        <v>4376</v>
      </c>
      <c r="N5165" t="s">
        <v>4376</v>
      </c>
      <c r="O5165" t="s">
        <v>4376</v>
      </c>
    </row>
    <row r="5166" spans="1:15">
      <c r="A5166" t="s">
        <v>3762</v>
      </c>
      <c r="B5166" t="str">
        <f ca="1">IF(ISBLANK(OFFSET(B5166,0,'Field labels'!$Q$1)),C5166,OFFSET(B5166,0,'Field labels'!$Q$1))</f>
        <v>Eirado</v>
      </c>
      <c r="C5166" t="s">
        <v>4377</v>
      </c>
      <c r="D5166" t="s">
        <v>4377</v>
      </c>
      <c r="E5166" t="s">
        <v>4377</v>
      </c>
      <c r="F5166" t="s">
        <v>4377</v>
      </c>
      <c r="G5166" t="s">
        <v>4377</v>
      </c>
      <c r="H5166" t="s">
        <v>4377</v>
      </c>
      <c r="I5166" t="s">
        <v>4377</v>
      </c>
      <c r="J5166" t="s">
        <v>4377</v>
      </c>
      <c r="K5166" t="s">
        <v>4377</v>
      </c>
      <c r="L5166" t="s">
        <v>4377</v>
      </c>
      <c r="M5166" t="s">
        <v>4377</v>
      </c>
      <c r="N5166" t="s">
        <v>4377</v>
      </c>
      <c r="O5166" t="s">
        <v>4377</v>
      </c>
    </row>
    <row r="5167" spans="1:15">
      <c r="A5167" t="s">
        <v>3762</v>
      </c>
      <c r="B5167" t="str">
        <f ca="1">IF(ISBLANK(OFFSET(B5167,0,'Field labels'!$Q$1)),C5167,OFFSET(B5167,0,'Field labels'!$Q$1))</f>
        <v>elágazás</v>
      </c>
      <c r="C5167" t="s">
        <v>4378</v>
      </c>
      <c r="D5167" t="s">
        <v>4378</v>
      </c>
      <c r="E5167" t="s">
        <v>4378</v>
      </c>
      <c r="F5167" t="s">
        <v>4378</v>
      </c>
      <c r="G5167" t="s">
        <v>4378</v>
      </c>
      <c r="H5167" t="s">
        <v>4378</v>
      </c>
      <c r="I5167" t="s">
        <v>4378</v>
      </c>
      <c r="J5167" t="s">
        <v>4378</v>
      </c>
      <c r="K5167" t="s">
        <v>4378</v>
      </c>
      <c r="L5167" t="s">
        <v>4378</v>
      </c>
      <c r="M5167" t="s">
        <v>4378</v>
      </c>
      <c r="N5167" t="s">
        <v>4378</v>
      </c>
      <c r="O5167" t="s">
        <v>4378</v>
      </c>
    </row>
    <row r="5168" spans="1:15">
      <c r="A5168" t="s">
        <v>3762</v>
      </c>
      <c r="B5168" t="str">
        <f ca="1">IF(ISBLANK(OFFSET(B5168,0,'Field labels'!$Q$1)),C5168,OFFSET(B5168,0,'Field labels'!$Q$1))</f>
        <v>emlékút</v>
      </c>
      <c r="C5168" t="s">
        <v>4379</v>
      </c>
      <c r="D5168" t="s">
        <v>4379</v>
      </c>
      <c r="E5168" t="s">
        <v>4379</v>
      </c>
      <c r="F5168" t="s">
        <v>4379</v>
      </c>
      <c r="G5168" t="s">
        <v>4379</v>
      </c>
      <c r="H5168" t="s">
        <v>4379</v>
      </c>
      <c r="I5168" t="s">
        <v>4379</v>
      </c>
      <c r="J5168" t="s">
        <v>4379</v>
      </c>
      <c r="K5168" t="s">
        <v>4379</v>
      </c>
      <c r="L5168" t="s">
        <v>4379</v>
      </c>
      <c r="M5168" t="s">
        <v>4379</v>
      </c>
      <c r="N5168" t="s">
        <v>4379</v>
      </c>
      <c r="O5168" t="s">
        <v>4379</v>
      </c>
    </row>
    <row r="5169" spans="1:15">
      <c r="A5169" t="s">
        <v>3762</v>
      </c>
      <c r="B5169" t="str">
        <f ca="1">IF(ISBLANK(OFFSET(B5169,0,'Field labels'!$Q$1)),C5169,OFFSET(B5169,0,'Field labels'!$Q$1))</f>
        <v>Entrance</v>
      </c>
      <c r="C5169" t="s">
        <v>4380</v>
      </c>
      <c r="D5169" t="s">
        <v>4380</v>
      </c>
      <c r="E5169" t="s">
        <v>4380</v>
      </c>
      <c r="F5169" t="s">
        <v>4380</v>
      </c>
      <c r="G5169" t="s">
        <v>4380</v>
      </c>
      <c r="H5169" t="s">
        <v>4380</v>
      </c>
      <c r="I5169" t="s">
        <v>4380</v>
      </c>
      <c r="J5169" t="s">
        <v>4380</v>
      </c>
      <c r="K5169" t="s">
        <v>4380</v>
      </c>
      <c r="L5169" t="s">
        <v>4380</v>
      </c>
      <c r="M5169" t="s">
        <v>4380</v>
      </c>
      <c r="N5169" t="s">
        <v>4380</v>
      </c>
      <c r="O5169" t="s">
        <v>4380</v>
      </c>
    </row>
    <row r="5170" spans="1:15">
      <c r="A5170" t="s">
        <v>3762</v>
      </c>
      <c r="B5170" t="str">
        <f ca="1">IF(ISBLANK(OFFSET(B5170,0,'Field labels'!$Q$1)),C5170,OFFSET(B5170,0,'Field labels'!$Q$1))</f>
        <v>erdészház</v>
      </c>
      <c r="C5170" t="s">
        <v>4381</v>
      </c>
      <c r="D5170" t="s">
        <v>4381</v>
      </c>
      <c r="E5170" t="s">
        <v>4381</v>
      </c>
      <c r="F5170" t="s">
        <v>4381</v>
      </c>
      <c r="G5170" t="s">
        <v>4381</v>
      </c>
      <c r="H5170" t="s">
        <v>4381</v>
      </c>
      <c r="I5170" t="s">
        <v>4381</v>
      </c>
      <c r="J5170" t="s">
        <v>4381</v>
      </c>
      <c r="K5170" t="s">
        <v>4381</v>
      </c>
      <c r="L5170" t="s">
        <v>4381</v>
      </c>
      <c r="M5170" t="s">
        <v>4381</v>
      </c>
      <c r="N5170" t="s">
        <v>4381</v>
      </c>
      <c r="O5170" t="s">
        <v>4381</v>
      </c>
    </row>
    <row r="5171" spans="1:15">
      <c r="A5171" t="s">
        <v>3762</v>
      </c>
      <c r="B5171" t="str">
        <f ca="1">IF(ISBLANK(OFFSET(B5171,0,'Field labels'!$Q$1)),C5171,OFFSET(B5171,0,'Field labels'!$Q$1))</f>
        <v>erdészlak</v>
      </c>
      <c r="C5171" t="s">
        <v>4382</v>
      </c>
      <c r="D5171" t="s">
        <v>4382</v>
      </c>
      <c r="E5171" t="s">
        <v>4382</v>
      </c>
      <c r="F5171" t="s">
        <v>4382</v>
      </c>
      <c r="G5171" t="s">
        <v>4382</v>
      </c>
      <c r="H5171" t="s">
        <v>4382</v>
      </c>
      <c r="I5171" t="s">
        <v>4382</v>
      </c>
      <c r="J5171" t="s">
        <v>4382</v>
      </c>
      <c r="K5171" t="s">
        <v>4382</v>
      </c>
      <c r="L5171" t="s">
        <v>4382</v>
      </c>
      <c r="M5171" t="s">
        <v>4382</v>
      </c>
      <c r="N5171" t="s">
        <v>4382</v>
      </c>
      <c r="O5171" t="s">
        <v>4382</v>
      </c>
    </row>
    <row r="5172" spans="1:15">
      <c r="A5172" t="s">
        <v>3762</v>
      </c>
      <c r="B5172" t="str">
        <f ca="1">IF(ISBLANK(OFFSET(B5172,0,'Field labels'!$Q$1)),C5172,OFFSET(B5172,0,'Field labels'!$Q$1))</f>
        <v>erdő</v>
      </c>
      <c r="C5172" t="s">
        <v>4383</v>
      </c>
      <c r="D5172" t="s">
        <v>4383</v>
      </c>
      <c r="E5172" t="s">
        <v>4383</v>
      </c>
      <c r="F5172" t="s">
        <v>4383</v>
      </c>
      <c r="G5172" t="s">
        <v>4383</v>
      </c>
      <c r="H5172" t="s">
        <v>4383</v>
      </c>
      <c r="I5172" t="s">
        <v>4383</v>
      </c>
      <c r="J5172" t="s">
        <v>4383</v>
      </c>
      <c r="K5172" t="s">
        <v>4383</v>
      </c>
      <c r="L5172" t="s">
        <v>4383</v>
      </c>
      <c r="M5172" t="s">
        <v>4383</v>
      </c>
      <c r="N5172" t="s">
        <v>4383</v>
      </c>
      <c r="O5172" t="s">
        <v>4383</v>
      </c>
    </row>
    <row r="5173" spans="1:15">
      <c r="A5173" t="s">
        <v>3762</v>
      </c>
      <c r="B5173" t="str">
        <f ca="1">IF(ISBLANK(OFFSET(B5173,0,'Field labels'!$Q$1)),C5173,OFFSET(B5173,0,'Field labels'!$Q$1))</f>
        <v>erdősor</v>
      </c>
      <c r="C5173" t="s">
        <v>4384</v>
      </c>
      <c r="D5173" t="s">
        <v>4384</v>
      </c>
      <c r="E5173" t="s">
        <v>4384</v>
      </c>
      <c r="F5173" t="s">
        <v>4384</v>
      </c>
      <c r="G5173" t="s">
        <v>4384</v>
      </c>
      <c r="H5173" t="s">
        <v>4384</v>
      </c>
      <c r="I5173" t="s">
        <v>4384</v>
      </c>
      <c r="J5173" t="s">
        <v>4384</v>
      </c>
      <c r="K5173" t="s">
        <v>4384</v>
      </c>
      <c r="L5173" t="s">
        <v>4384</v>
      </c>
      <c r="M5173" t="s">
        <v>4384</v>
      </c>
      <c r="N5173" t="s">
        <v>4384</v>
      </c>
      <c r="O5173" t="s">
        <v>4384</v>
      </c>
    </row>
    <row r="5174" spans="1:15">
      <c r="A5174" t="s">
        <v>3762</v>
      </c>
      <c r="B5174" t="str">
        <f ca="1">IF(ISBLANK(OFFSET(B5174,0,'Field labels'!$Q$1)),C5174,OFFSET(B5174,0,'Field labels'!$Q$1))</f>
        <v>Esplanade</v>
      </c>
      <c r="C5174" t="s">
        <v>4385</v>
      </c>
      <c r="D5174" t="s">
        <v>4385</v>
      </c>
      <c r="E5174" t="s">
        <v>4385</v>
      </c>
      <c r="F5174" t="s">
        <v>4385</v>
      </c>
      <c r="G5174" t="s">
        <v>4385</v>
      </c>
      <c r="H5174" t="s">
        <v>4385</v>
      </c>
      <c r="I5174" t="s">
        <v>4385</v>
      </c>
      <c r="J5174" t="s">
        <v>4385</v>
      </c>
      <c r="K5174" t="s">
        <v>4385</v>
      </c>
      <c r="L5174" t="s">
        <v>4385</v>
      </c>
      <c r="M5174" t="s">
        <v>4385</v>
      </c>
      <c r="N5174" t="s">
        <v>4385</v>
      </c>
      <c r="O5174" t="s">
        <v>4385</v>
      </c>
    </row>
    <row r="5175" spans="1:15">
      <c r="A5175" t="s">
        <v>3762</v>
      </c>
      <c r="B5175" t="str">
        <f ca="1">IF(ISBLANK(OFFSET(B5175,0,'Field labels'!$Q$1)),C5175,OFFSET(B5175,0,'Field labels'!$Q$1))</f>
        <v>Esplanade</v>
      </c>
      <c r="C5175" t="s">
        <v>4385</v>
      </c>
      <c r="D5175" t="s">
        <v>4385</v>
      </c>
      <c r="E5175" t="s">
        <v>4385</v>
      </c>
      <c r="F5175" t="s">
        <v>4385</v>
      </c>
      <c r="G5175" t="s">
        <v>4385</v>
      </c>
      <c r="H5175" t="s">
        <v>4385</v>
      </c>
      <c r="I5175" t="s">
        <v>4385</v>
      </c>
      <c r="J5175" t="s">
        <v>4385</v>
      </c>
      <c r="K5175" t="s">
        <v>4385</v>
      </c>
      <c r="L5175" t="s">
        <v>4385</v>
      </c>
      <c r="M5175" t="s">
        <v>4385</v>
      </c>
      <c r="N5175" t="s">
        <v>4385</v>
      </c>
      <c r="O5175" t="s">
        <v>4385</v>
      </c>
    </row>
    <row r="5176" spans="1:15">
      <c r="A5176" t="s">
        <v>3762</v>
      </c>
      <c r="B5176" t="str">
        <f ca="1">IF(ISBLANK(OFFSET(B5176,0,'Field labels'!$Q$1)),C5176,OFFSET(B5176,0,'Field labels'!$Q$1))</f>
        <v>Estate</v>
      </c>
      <c r="C5176" t="s">
        <v>4386</v>
      </c>
      <c r="D5176" t="s">
        <v>4386</v>
      </c>
      <c r="E5176" t="s">
        <v>4386</v>
      </c>
      <c r="F5176" t="s">
        <v>4386</v>
      </c>
      <c r="G5176" t="s">
        <v>4386</v>
      </c>
      <c r="H5176" t="s">
        <v>4386</v>
      </c>
      <c r="I5176" t="s">
        <v>4386</v>
      </c>
      <c r="J5176" t="s">
        <v>4386</v>
      </c>
      <c r="K5176" t="s">
        <v>4386</v>
      </c>
      <c r="L5176" t="s">
        <v>4386</v>
      </c>
      <c r="M5176" t="s">
        <v>4386</v>
      </c>
      <c r="N5176" t="s">
        <v>4386</v>
      </c>
      <c r="O5176" t="s">
        <v>4386</v>
      </c>
    </row>
    <row r="5177" spans="1:15">
      <c r="A5177" t="s">
        <v>3762</v>
      </c>
      <c r="B5177" t="str">
        <f ca="1">IF(ISBLANK(OFFSET(B5177,0,'Field labels'!$Q$1)),C5177,OFFSET(B5177,0,'Field labels'!$Q$1))</f>
        <v>Expansion</v>
      </c>
      <c r="C5177" t="s">
        <v>3770</v>
      </c>
      <c r="D5177" t="s">
        <v>3770</v>
      </c>
      <c r="E5177" t="s">
        <v>3770</v>
      </c>
      <c r="F5177" t="s">
        <v>3770</v>
      </c>
      <c r="G5177" t="s">
        <v>3770</v>
      </c>
      <c r="H5177" t="s">
        <v>3770</v>
      </c>
      <c r="I5177" t="s">
        <v>3770</v>
      </c>
      <c r="J5177" t="s">
        <v>3770</v>
      </c>
      <c r="K5177" t="s">
        <v>3770</v>
      </c>
      <c r="L5177" t="s">
        <v>3770</v>
      </c>
      <c r="M5177" t="s">
        <v>3770</v>
      </c>
      <c r="N5177" t="s">
        <v>3770</v>
      </c>
      <c r="O5177" t="s">
        <v>3770</v>
      </c>
    </row>
    <row r="5178" spans="1:15">
      <c r="A5178" t="s">
        <v>3762</v>
      </c>
      <c r="B5178" t="str">
        <f ca="1">IF(ISBLANK(OFFSET(B5178,0,'Field labels'!$Q$1)),C5178,OFFSET(B5178,0,'Field labels'!$Q$1))</f>
        <v>Factory</v>
      </c>
      <c r="C5178" t="s">
        <v>4387</v>
      </c>
      <c r="D5178" t="s">
        <v>4387</v>
      </c>
      <c r="E5178" t="s">
        <v>4387</v>
      </c>
      <c r="F5178" t="s">
        <v>4387</v>
      </c>
      <c r="G5178" t="s">
        <v>4387</v>
      </c>
      <c r="H5178" t="s">
        <v>4387</v>
      </c>
      <c r="I5178" t="s">
        <v>4387</v>
      </c>
      <c r="J5178" t="s">
        <v>4387</v>
      </c>
      <c r="K5178" t="s">
        <v>4387</v>
      </c>
      <c r="L5178" t="s">
        <v>4387</v>
      </c>
      <c r="M5178" t="s">
        <v>4387</v>
      </c>
      <c r="N5178" t="s">
        <v>4387</v>
      </c>
      <c r="O5178" t="s">
        <v>4387</v>
      </c>
    </row>
    <row r="5179" spans="1:15">
      <c r="A5179" t="s">
        <v>3762</v>
      </c>
      <c r="B5179" t="str">
        <f ca="1">IF(ISBLANK(OFFSET(B5179,0,'Field labels'!$Q$1)),C5179,OFFSET(B5179,0,'Field labels'!$Q$1))</f>
        <v>Farm</v>
      </c>
      <c r="C5179" t="s">
        <v>4388</v>
      </c>
      <c r="D5179" t="s">
        <v>4388</v>
      </c>
      <c r="E5179" t="s">
        <v>4388</v>
      </c>
      <c r="F5179" t="s">
        <v>4388</v>
      </c>
      <c r="G5179" t="s">
        <v>4388</v>
      </c>
      <c r="H5179" t="s">
        <v>4388</v>
      </c>
      <c r="I5179" t="s">
        <v>4388</v>
      </c>
      <c r="J5179" t="s">
        <v>4388</v>
      </c>
      <c r="K5179" t="s">
        <v>4388</v>
      </c>
      <c r="L5179" t="s">
        <v>4388</v>
      </c>
      <c r="M5179" t="s">
        <v>4388</v>
      </c>
      <c r="N5179" t="s">
        <v>4388</v>
      </c>
      <c r="O5179" t="s">
        <v>4388</v>
      </c>
    </row>
    <row r="5180" spans="1:15">
      <c r="A5180" t="s">
        <v>3762</v>
      </c>
      <c r="B5180" t="str">
        <f ca="1">IF(ISBLANK(OFFSET(B5180,0,'Field labels'!$Q$1)),C5180,OFFSET(B5180,0,'Field labels'!$Q$1))</f>
        <v>Farm</v>
      </c>
      <c r="C5180" t="s">
        <v>4388</v>
      </c>
      <c r="D5180" t="s">
        <v>4388</v>
      </c>
      <c r="E5180" t="s">
        <v>4388</v>
      </c>
      <c r="F5180" t="s">
        <v>4388</v>
      </c>
      <c r="G5180" t="s">
        <v>4388</v>
      </c>
      <c r="H5180" t="s">
        <v>4388</v>
      </c>
      <c r="I5180" t="s">
        <v>4388</v>
      </c>
      <c r="J5180" t="s">
        <v>4388</v>
      </c>
      <c r="K5180" t="s">
        <v>4388</v>
      </c>
      <c r="L5180" t="s">
        <v>4388</v>
      </c>
      <c r="M5180" t="s">
        <v>4388</v>
      </c>
      <c r="N5180" t="s">
        <v>4388</v>
      </c>
      <c r="O5180" t="s">
        <v>4388</v>
      </c>
    </row>
    <row r="5181" spans="1:15">
      <c r="A5181" t="s">
        <v>3762</v>
      </c>
      <c r="B5181" t="str">
        <f ca="1">IF(ISBLANK(OFFSET(B5181,0,'Field labels'!$Q$1)),C5181,OFFSET(B5181,0,'Field labels'!$Q$1))</f>
        <v>fasor</v>
      </c>
      <c r="C5181" t="s">
        <v>4389</v>
      </c>
      <c r="D5181" t="s">
        <v>4389</v>
      </c>
      <c r="E5181" t="s">
        <v>4389</v>
      </c>
      <c r="F5181" t="s">
        <v>4389</v>
      </c>
      <c r="G5181" t="s">
        <v>4389</v>
      </c>
      <c r="H5181" t="s">
        <v>4389</v>
      </c>
      <c r="I5181" t="s">
        <v>4389</v>
      </c>
      <c r="J5181" t="s">
        <v>4389</v>
      </c>
      <c r="K5181" t="s">
        <v>4389</v>
      </c>
      <c r="L5181" t="s">
        <v>4389</v>
      </c>
      <c r="M5181" t="s">
        <v>4389</v>
      </c>
      <c r="N5181" t="s">
        <v>4389</v>
      </c>
      <c r="O5181" t="s">
        <v>4389</v>
      </c>
    </row>
    <row r="5182" spans="1:15">
      <c r="A5182" t="s">
        <v>3762</v>
      </c>
      <c r="B5182" t="str">
        <f ca="1">IF(ISBLANK(OFFSET(B5182,0,'Field labels'!$Q$1)),C5182,OFFSET(B5182,0,'Field labels'!$Q$1))</f>
        <v>fasora</v>
      </c>
      <c r="C5182" t="s">
        <v>4390</v>
      </c>
      <c r="D5182" t="s">
        <v>4390</v>
      </c>
      <c r="E5182" t="s">
        <v>4390</v>
      </c>
      <c r="F5182" t="s">
        <v>4390</v>
      </c>
      <c r="G5182" t="s">
        <v>4390</v>
      </c>
      <c r="H5182" t="s">
        <v>4390</v>
      </c>
      <c r="I5182" t="s">
        <v>4390</v>
      </c>
      <c r="J5182" t="s">
        <v>4390</v>
      </c>
      <c r="K5182" t="s">
        <v>4390</v>
      </c>
      <c r="L5182" t="s">
        <v>4390</v>
      </c>
      <c r="M5182" t="s">
        <v>4390</v>
      </c>
      <c r="N5182" t="s">
        <v>4390</v>
      </c>
      <c r="O5182" t="s">
        <v>4390</v>
      </c>
    </row>
    <row r="5183" spans="1:15">
      <c r="A5183" t="s">
        <v>3762</v>
      </c>
      <c r="B5183" t="str">
        <f ca="1">IF(ISBLANK(OFFSET(B5183,0,'Field labels'!$Q$1)),C5183,OFFSET(B5183,0,'Field labels'!$Q$1))</f>
        <v>felső</v>
      </c>
      <c r="C5183" t="s">
        <v>4391</v>
      </c>
      <c r="D5183" t="s">
        <v>4391</v>
      </c>
      <c r="E5183" t="s">
        <v>4391</v>
      </c>
      <c r="F5183" t="s">
        <v>4391</v>
      </c>
      <c r="G5183" t="s">
        <v>4391</v>
      </c>
      <c r="H5183" t="s">
        <v>4391</v>
      </c>
      <c r="I5183" t="s">
        <v>4391</v>
      </c>
      <c r="J5183" t="s">
        <v>4391</v>
      </c>
      <c r="K5183" t="s">
        <v>4391</v>
      </c>
      <c r="L5183" t="s">
        <v>4391</v>
      </c>
      <c r="M5183" t="s">
        <v>4391</v>
      </c>
      <c r="N5183" t="s">
        <v>4391</v>
      </c>
      <c r="O5183" t="s">
        <v>4391</v>
      </c>
    </row>
    <row r="5184" spans="1:15">
      <c r="A5184" t="s">
        <v>3762</v>
      </c>
      <c r="B5184" t="str">
        <f ca="1">IF(ISBLANK(OFFSET(B5184,0,'Field labels'!$Q$1)),C5184,OFFSET(B5184,0,'Field labels'!$Q$1))</f>
        <v>Field</v>
      </c>
      <c r="C5184" t="s">
        <v>822</v>
      </c>
      <c r="D5184" t="s">
        <v>822</v>
      </c>
      <c r="E5184" t="s">
        <v>822</v>
      </c>
      <c r="F5184" t="s">
        <v>822</v>
      </c>
      <c r="G5184" t="s">
        <v>822</v>
      </c>
      <c r="H5184" t="s">
        <v>822</v>
      </c>
      <c r="I5184" t="s">
        <v>822</v>
      </c>
      <c r="J5184" t="s">
        <v>822</v>
      </c>
      <c r="K5184" t="s">
        <v>822</v>
      </c>
      <c r="L5184" t="s">
        <v>822</v>
      </c>
      <c r="M5184" t="s">
        <v>822</v>
      </c>
      <c r="N5184" t="s">
        <v>822</v>
      </c>
      <c r="O5184" t="s">
        <v>822</v>
      </c>
    </row>
    <row r="5185" spans="1:15">
      <c r="A5185" t="s">
        <v>3762</v>
      </c>
      <c r="B5185" t="str">
        <f ca="1">IF(ISBLANK(OFFSET(B5185,0,'Field labels'!$Q$1)),C5185,OFFSET(B5185,0,'Field labels'!$Q$1))</f>
        <v>föld</v>
      </c>
      <c r="C5185" t="s">
        <v>4392</v>
      </c>
      <c r="D5185" t="s">
        <v>4392</v>
      </c>
      <c r="E5185" t="s">
        <v>4392</v>
      </c>
      <c r="F5185" t="s">
        <v>4392</v>
      </c>
      <c r="G5185" t="s">
        <v>4392</v>
      </c>
      <c r="H5185" t="s">
        <v>4392</v>
      </c>
      <c r="I5185" t="s">
        <v>4392</v>
      </c>
      <c r="J5185" t="s">
        <v>4392</v>
      </c>
      <c r="K5185" t="s">
        <v>4392</v>
      </c>
      <c r="L5185" t="s">
        <v>4392</v>
      </c>
      <c r="M5185" t="s">
        <v>4392</v>
      </c>
      <c r="N5185" t="s">
        <v>4392</v>
      </c>
      <c r="O5185" t="s">
        <v>4392</v>
      </c>
    </row>
    <row r="5186" spans="1:15">
      <c r="A5186" t="s">
        <v>3762</v>
      </c>
      <c r="B5186" t="str">
        <f ca="1">IF(ISBLANK(OFFSET(B5186,0,'Field labels'!$Q$1)),C5186,OFFSET(B5186,0,'Field labels'!$Q$1))</f>
        <v>főmérnökség</v>
      </c>
      <c r="C5186" t="s">
        <v>4393</v>
      </c>
      <c r="D5186" t="s">
        <v>4393</v>
      </c>
      <c r="E5186" t="s">
        <v>4393</v>
      </c>
      <c r="F5186" t="s">
        <v>4393</v>
      </c>
      <c r="G5186" t="s">
        <v>4393</v>
      </c>
      <c r="H5186" t="s">
        <v>4393</v>
      </c>
      <c r="I5186" t="s">
        <v>4393</v>
      </c>
      <c r="J5186" t="s">
        <v>4393</v>
      </c>
      <c r="K5186" t="s">
        <v>4393</v>
      </c>
      <c r="L5186" t="s">
        <v>4393</v>
      </c>
      <c r="M5186" t="s">
        <v>4393</v>
      </c>
      <c r="N5186" t="s">
        <v>4393</v>
      </c>
      <c r="O5186" t="s">
        <v>4393</v>
      </c>
    </row>
    <row r="5187" spans="1:15">
      <c r="A5187" t="s">
        <v>3762</v>
      </c>
      <c r="B5187" t="str">
        <f ca="1">IF(ISBLANK(OFFSET(B5187,0,'Field labels'!$Q$1)),C5187,OFFSET(B5187,0,'Field labels'!$Q$1))</f>
        <v>forduló</v>
      </c>
      <c r="C5187" t="s">
        <v>4394</v>
      </c>
      <c r="D5187" t="s">
        <v>4394</v>
      </c>
      <c r="E5187" t="s">
        <v>4394</v>
      </c>
      <c r="F5187" t="s">
        <v>4394</v>
      </c>
      <c r="G5187" t="s">
        <v>4394</v>
      </c>
      <c r="H5187" t="s">
        <v>4394</v>
      </c>
      <c r="I5187" t="s">
        <v>4394</v>
      </c>
      <c r="J5187" t="s">
        <v>4394</v>
      </c>
      <c r="K5187" t="s">
        <v>4394</v>
      </c>
      <c r="L5187" t="s">
        <v>4394</v>
      </c>
      <c r="M5187" t="s">
        <v>4394</v>
      </c>
      <c r="N5187" t="s">
        <v>4394</v>
      </c>
      <c r="O5187" t="s">
        <v>4394</v>
      </c>
    </row>
    <row r="5188" spans="1:15">
      <c r="A5188" t="s">
        <v>3762</v>
      </c>
      <c r="B5188" t="str">
        <f ca="1">IF(ISBLANK(OFFSET(B5188,0,'Field labels'!$Q$1)),C5188,OFFSET(B5188,0,'Field labels'!$Q$1))</f>
        <v>főtér</v>
      </c>
      <c r="C5188" t="s">
        <v>4395</v>
      </c>
      <c r="D5188" t="s">
        <v>4395</v>
      </c>
      <c r="E5188" t="s">
        <v>4395</v>
      </c>
      <c r="F5188" t="s">
        <v>4395</v>
      </c>
      <c r="G5188" t="s">
        <v>4395</v>
      </c>
      <c r="H5188" t="s">
        <v>4395</v>
      </c>
      <c r="I5188" t="s">
        <v>4395</v>
      </c>
      <c r="J5188" t="s">
        <v>4395</v>
      </c>
      <c r="K5188" t="s">
        <v>4395</v>
      </c>
      <c r="L5188" t="s">
        <v>4395</v>
      </c>
      <c r="M5188" t="s">
        <v>4395</v>
      </c>
      <c r="N5188" t="s">
        <v>4395</v>
      </c>
      <c r="O5188" t="s">
        <v>4395</v>
      </c>
    </row>
    <row r="5189" spans="1:15">
      <c r="A5189" t="s">
        <v>3762</v>
      </c>
      <c r="B5189" t="str">
        <f ca="1">IF(ISBLANK(OFFSET(B5189,0,'Field labels'!$Q$1)),C5189,OFFSET(B5189,0,'Field labels'!$Q$1))</f>
        <v>főút</v>
      </c>
      <c r="C5189" t="s">
        <v>4396</v>
      </c>
      <c r="D5189" t="s">
        <v>4396</v>
      </c>
      <c r="E5189" t="s">
        <v>4396</v>
      </c>
      <c r="F5189" t="s">
        <v>4396</v>
      </c>
      <c r="G5189" t="s">
        <v>4396</v>
      </c>
      <c r="H5189" t="s">
        <v>4396</v>
      </c>
      <c r="I5189" t="s">
        <v>4396</v>
      </c>
      <c r="J5189" t="s">
        <v>4396</v>
      </c>
      <c r="K5189" t="s">
        <v>4396</v>
      </c>
      <c r="L5189" t="s">
        <v>4396</v>
      </c>
      <c r="M5189" t="s">
        <v>4396</v>
      </c>
      <c r="N5189" t="s">
        <v>4396</v>
      </c>
      <c r="O5189" t="s">
        <v>4396</v>
      </c>
    </row>
    <row r="5190" spans="1:15">
      <c r="A5190" t="s">
        <v>3762</v>
      </c>
      <c r="B5190" t="str">
        <f ca="1">IF(ISBLANK(OFFSET(B5190,0,'Field labels'!$Q$1)),C5190,OFFSET(B5190,0,'Field labels'!$Q$1))</f>
        <v>Freeway</v>
      </c>
      <c r="C5190" t="s">
        <v>4397</v>
      </c>
      <c r="D5190" t="s">
        <v>4397</v>
      </c>
      <c r="E5190" t="s">
        <v>4397</v>
      </c>
      <c r="F5190" t="s">
        <v>4397</v>
      </c>
      <c r="G5190" t="s">
        <v>4397</v>
      </c>
      <c r="H5190" t="s">
        <v>4397</v>
      </c>
      <c r="I5190" t="s">
        <v>4397</v>
      </c>
      <c r="J5190" t="s">
        <v>4397</v>
      </c>
      <c r="K5190" t="s">
        <v>4397</v>
      </c>
      <c r="L5190" t="s">
        <v>4397</v>
      </c>
      <c r="M5190" t="s">
        <v>4397</v>
      </c>
      <c r="N5190" t="s">
        <v>4397</v>
      </c>
      <c r="O5190" t="s">
        <v>4397</v>
      </c>
    </row>
    <row r="5191" spans="1:15">
      <c r="A5191" t="s">
        <v>3762</v>
      </c>
      <c r="B5191" t="str">
        <f ca="1">IF(ISBLANK(OFFSET(B5191,0,'Field labels'!$Q$1)),C5191,OFFSET(B5191,0,'Field labels'!$Q$1))</f>
        <v>Gallery</v>
      </c>
      <c r="C5191" t="s">
        <v>4398</v>
      </c>
      <c r="D5191" t="s">
        <v>4398</v>
      </c>
      <c r="E5191" t="s">
        <v>4398</v>
      </c>
      <c r="F5191" t="s">
        <v>4398</v>
      </c>
      <c r="G5191" t="s">
        <v>4398</v>
      </c>
      <c r="H5191" t="s">
        <v>4398</v>
      </c>
      <c r="I5191" t="s">
        <v>4398</v>
      </c>
      <c r="J5191" t="s">
        <v>4398</v>
      </c>
      <c r="K5191" t="s">
        <v>4398</v>
      </c>
      <c r="L5191" t="s">
        <v>4398</v>
      </c>
      <c r="M5191" t="s">
        <v>4398</v>
      </c>
      <c r="N5191" t="s">
        <v>4398</v>
      </c>
      <c r="O5191" t="s">
        <v>4398</v>
      </c>
    </row>
    <row r="5192" spans="1:15">
      <c r="A5192" t="s">
        <v>3762</v>
      </c>
      <c r="B5192" t="str">
        <f ca="1">IF(ISBLANK(OFFSET(B5192,0,'Field labels'!$Q$1)),C5192,OFFSET(B5192,0,'Field labels'!$Q$1))</f>
        <v>Garden</v>
      </c>
      <c r="C5192" t="s">
        <v>4399</v>
      </c>
      <c r="D5192" t="s">
        <v>4399</v>
      </c>
      <c r="E5192" t="s">
        <v>4399</v>
      </c>
      <c r="F5192" t="s">
        <v>4399</v>
      </c>
      <c r="G5192" t="s">
        <v>4399</v>
      </c>
      <c r="H5192" t="s">
        <v>4399</v>
      </c>
      <c r="I5192" t="s">
        <v>4399</v>
      </c>
      <c r="J5192" t="s">
        <v>4399</v>
      </c>
      <c r="K5192" t="s">
        <v>4399</v>
      </c>
      <c r="L5192" t="s">
        <v>4399</v>
      </c>
      <c r="M5192" t="s">
        <v>4399</v>
      </c>
      <c r="N5192" t="s">
        <v>4399</v>
      </c>
      <c r="O5192" t="s">
        <v>4399</v>
      </c>
    </row>
    <row r="5193" spans="1:15">
      <c r="A5193" t="s">
        <v>3762</v>
      </c>
      <c r="B5193" t="str">
        <f ca="1">IF(ISBLANK(OFFSET(B5193,0,'Field labels'!$Q$1)),C5193,OFFSET(B5193,0,'Field labels'!$Q$1))</f>
        <v>gát</v>
      </c>
      <c r="C5193" t="s">
        <v>4400</v>
      </c>
      <c r="D5193" t="s">
        <v>4400</v>
      </c>
      <c r="E5193" t="s">
        <v>4400</v>
      </c>
      <c r="F5193" t="s">
        <v>4400</v>
      </c>
      <c r="G5193" t="s">
        <v>4400</v>
      </c>
      <c r="H5193" t="s">
        <v>4400</v>
      </c>
      <c r="I5193" t="s">
        <v>4400</v>
      </c>
      <c r="J5193" t="s">
        <v>4400</v>
      </c>
      <c r="K5193" t="s">
        <v>4400</v>
      </c>
      <c r="L5193" t="s">
        <v>4400</v>
      </c>
      <c r="M5193" t="s">
        <v>4400</v>
      </c>
      <c r="N5193" t="s">
        <v>4400</v>
      </c>
      <c r="O5193" t="s">
        <v>4400</v>
      </c>
    </row>
    <row r="5194" spans="1:15">
      <c r="A5194" t="s">
        <v>3762</v>
      </c>
      <c r="B5194" t="str">
        <f ca="1">IF(ISBLANK(OFFSET(B5194,0,'Field labels'!$Q$1)),C5194,OFFSET(B5194,0,'Field labels'!$Q$1))</f>
        <v>Gate</v>
      </c>
      <c r="C5194" t="s">
        <v>4401</v>
      </c>
      <c r="D5194" t="s">
        <v>4401</v>
      </c>
      <c r="E5194" t="s">
        <v>4401</v>
      </c>
      <c r="F5194" t="s">
        <v>4401</v>
      </c>
      <c r="G5194" t="s">
        <v>4401</v>
      </c>
      <c r="H5194" t="s">
        <v>4401</v>
      </c>
      <c r="I5194" t="s">
        <v>4401</v>
      </c>
      <c r="J5194" t="s">
        <v>4401</v>
      </c>
      <c r="K5194" t="s">
        <v>4401</v>
      </c>
      <c r="L5194" t="s">
        <v>4401</v>
      </c>
      <c r="M5194" t="s">
        <v>4401</v>
      </c>
      <c r="N5194" t="s">
        <v>4401</v>
      </c>
      <c r="O5194" t="s">
        <v>4401</v>
      </c>
    </row>
    <row r="5195" spans="1:15">
      <c r="A5195" t="s">
        <v>3762</v>
      </c>
      <c r="B5195" t="str">
        <f ca="1">IF(ISBLANK(OFFSET(B5195,0,'Field labels'!$Q$1)),C5195,OFFSET(B5195,0,'Field labels'!$Q$1))</f>
        <v>gátőrház</v>
      </c>
      <c r="C5195" t="s">
        <v>4402</v>
      </c>
      <c r="D5195" t="s">
        <v>4402</v>
      </c>
      <c r="E5195" t="s">
        <v>4402</v>
      </c>
      <c r="F5195" t="s">
        <v>4402</v>
      </c>
      <c r="G5195" t="s">
        <v>4402</v>
      </c>
      <c r="H5195" t="s">
        <v>4402</v>
      </c>
      <c r="I5195" t="s">
        <v>4402</v>
      </c>
      <c r="J5195" t="s">
        <v>4402</v>
      </c>
      <c r="K5195" t="s">
        <v>4402</v>
      </c>
      <c r="L5195" t="s">
        <v>4402</v>
      </c>
      <c r="M5195" t="s">
        <v>4402</v>
      </c>
      <c r="N5195" t="s">
        <v>4402</v>
      </c>
      <c r="O5195" t="s">
        <v>4402</v>
      </c>
    </row>
    <row r="5196" spans="1:15">
      <c r="A5196" t="s">
        <v>3762</v>
      </c>
      <c r="B5196" t="str">
        <f ca="1">IF(ISBLANK(OFFSET(B5196,0,'Field labels'!$Q$1)),C5196,OFFSET(B5196,0,'Field labels'!$Q$1))</f>
        <v>gátsor</v>
      </c>
      <c r="C5196" t="s">
        <v>4403</v>
      </c>
      <c r="D5196" t="s">
        <v>4403</v>
      </c>
      <c r="E5196" t="s">
        <v>4403</v>
      </c>
      <c r="F5196" t="s">
        <v>4403</v>
      </c>
      <c r="G5196" t="s">
        <v>4403</v>
      </c>
      <c r="H5196" t="s">
        <v>4403</v>
      </c>
      <c r="I5196" t="s">
        <v>4403</v>
      </c>
      <c r="J5196" t="s">
        <v>4403</v>
      </c>
      <c r="K5196" t="s">
        <v>4403</v>
      </c>
      <c r="L5196" t="s">
        <v>4403</v>
      </c>
      <c r="M5196" t="s">
        <v>4403</v>
      </c>
      <c r="N5196" t="s">
        <v>4403</v>
      </c>
      <c r="O5196" t="s">
        <v>4403</v>
      </c>
    </row>
    <row r="5197" spans="1:15">
      <c r="A5197" t="s">
        <v>3762</v>
      </c>
      <c r="B5197" t="str">
        <f ca="1">IF(ISBLANK(OFFSET(B5197,0,'Field labels'!$Q$1)),C5197,OFFSET(B5197,0,'Field labels'!$Q$1))</f>
        <v>Group/s</v>
      </c>
      <c r="C5197" t="s">
        <v>3771</v>
      </c>
      <c r="D5197" t="s">
        <v>3771</v>
      </c>
      <c r="E5197" t="s">
        <v>3771</v>
      </c>
      <c r="F5197" t="s">
        <v>3771</v>
      </c>
      <c r="G5197" t="s">
        <v>3771</v>
      </c>
      <c r="H5197" t="s">
        <v>3771</v>
      </c>
      <c r="I5197" t="s">
        <v>3771</v>
      </c>
      <c r="J5197" t="s">
        <v>3771</v>
      </c>
      <c r="K5197" t="s">
        <v>3771</v>
      </c>
      <c r="L5197" t="s">
        <v>3771</v>
      </c>
      <c r="M5197" t="s">
        <v>3771</v>
      </c>
      <c r="N5197" t="s">
        <v>3771</v>
      </c>
      <c r="O5197" t="s">
        <v>3771</v>
      </c>
    </row>
    <row r="5198" spans="1:15">
      <c r="A5198" t="s">
        <v>3762</v>
      </c>
      <c r="B5198" t="str">
        <f ca="1">IF(ISBLANK(OFFSET(B5198,0,'Field labels'!$Q$1)),C5198,OFFSET(B5198,0,'Field labels'!$Q$1))</f>
        <v>Grove</v>
      </c>
      <c r="C5198" t="s">
        <v>4404</v>
      </c>
      <c r="D5198" t="s">
        <v>4404</v>
      </c>
      <c r="E5198" t="s">
        <v>4404</v>
      </c>
      <c r="F5198" t="s">
        <v>4404</v>
      </c>
      <c r="G5198" t="s">
        <v>4404</v>
      </c>
      <c r="H5198" t="s">
        <v>4404</v>
      </c>
      <c r="I5198" t="s">
        <v>4404</v>
      </c>
      <c r="J5198" t="s">
        <v>4404</v>
      </c>
      <c r="K5198" t="s">
        <v>4404</v>
      </c>
      <c r="L5198" t="s">
        <v>4404</v>
      </c>
      <c r="M5198" t="s">
        <v>4404</v>
      </c>
      <c r="N5198" t="s">
        <v>4404</v>
      </c>
      <c r="O5198" t="s">
        <v>4404</v>
      </c>
    </row>
    <row r="5199" spans="1:15">
      <c r="A5199" t="s">
        <v>3762</v>
      </c>
      <c r="B5199" t="str">
        <f ca="1">IF(ISBLANK(OFFSET(B5199,0,'Field labels'!$Q$1)),C5199,OFFSET(B5199,0,'Field labels'!$Q$1))</f>
        <v>gyár</v>
      </c>
      <c r="C5199" t="s">
        <v>4405</v>
      </c>
      <c r="D5199" t="s">
        <v>4405</v>
      </c>
      <c r="E5199" t="s">
        <v>4405</v>
      </c>
      <c r="F5199" t="s">
        <v>4405</v>
      </c>
      <c r="G5199" t="s">
        <v>4405</v>
      </c>
      <c r="H5199" t="s">
        <v>4405</v>
      </c>
      <c r="I5199" t="s">
        <v>4405</v>
      </c>
      <c r="J5199" t="s">
        <v>4405</v>
      </c>
      <c r="K5199" t="s">
        <v>4405</v>
      </c>
      <c r="L5199" t="s">
        <v>4405</v>
      </c>
      <c r="M5199" t="s">
        <v>4405</v>
      </c>
      <c r="N5199" t="s">
        <v>4405</v>
      </c>
      <c r="O5199" t="s">
        <v>4405</v>
      </c>
    </row>
    <row r="5200" spans="1:15">
      <c r="A5200" t="s">
        <v>3762</v>
      </c>
      <c r="B5200" t="str">
        <f ca="1">IF(ISBLANK(OFFSET(B5200,0,'Field labels'!$Q$1)),C5200,OFFSET(B5200,0,'Field labels'!$Q$1))</f>
        <v>gyártelep</v>
      </c>
      <c r="C5200" t="s">
        <v>4406</v>
      </c>
      <c r="D5200" t="s">
        <v>4406</v>
      </c>
      <c r="E5200" t="s">
        <v>4406</v>
      </c>
      <c r="F5200" t="s">
        <v>4406</v>
      </c>
      <c r="G5200" t="s">
        <v>4406</v>
      </c>
      <c r="H5200" t="s">
        <v>4406</v>
      </c>
      <c r="I5200" t="s">
        <v>4406</v>
      </c>
      <c r="J5200" t="s">
        <v>4406</v>
      </c>
      <c r="K5200" t="s">
        <v>4406</v>
      </c>
      <c r="L5200" t="s">
        <v>4406</v>
      </c>
      <c r="M5200" t="s">
        <v>4406</v>
      </c>
      <c r="N5200" t="s">
        <v>4406</v>
      </c>
      <c r="O5200" t="s">
        <v>4406</v>
      </c>
    </row>
    <row r="5201" spans="1:15">
      <c r="A5201" t="s">
        <v>3762</v>
      </c>
      <c r="B5201" t="str">
        <f ca="1">IF(ISBLANK(OFFSET(B5201,0,'Field labels'!$Q$1)),C5201,OFFSET(B5201,0,'Field labels'!$Q$1))</f>
        <v>gyárváros</v>
      </c>
      <c r="C5201" t="s">
        <v>4407</v>
      </c>
      <c r="D5201" t="s">
        <v>4407</v>
      </c>
      <c r="E5201" t="s">
        <v>4407</v>
      </c>
      <c r="F5201" t="s">
        <v>4407</v>
      </c>
      <c r="G5201" t="s">
        <v>4407</v>
      </c>
      <c r="H5201" t="s">
        <v>4407</v>
      </c>
      <c r="I5201" t="s">
        <v>4407</v>
      </c>
      <c r="J5201" t="s">
        <v>4407</v>
      </c>
      <c r="K5201" t="s">
        <v>4407</v>
      </c>
      <c r="L5201" t="s">
        <v>4407</v>
      </c>
      <c r="M5201" t="s">
        <v>4407</v>
      </c>
      <c r="N5201" t="s">
        <v>4407</v>
      </c>
      <c r="O5201" t="s">
        <v>4407</v>
      </c>
    </row>
    <row r="5202" spans="1:15">
      <c r="A5202" t="s">
        <v>3762</v>
      </c>
      <c r="B5202" t="str">
        <f ca="1">IF(ISBLANK(OFFSET(B5202,0,'Field labels'!$Q$1)),C5202,OFFSET(B5202,0,'Field labels'!$Q$1))</f>
        <v>gyümölcsös</v>
      </c>
      <c r="C5202" t="s">
        <v>4408</v>
      </c>
      <c r="D5202" t="s">
        <v>4408</v>
      </c>
      <c r="E5202" t="s">
        <v>4408</v>
      </c>
      <c r="F5202" t="s">
        <v>4408</v>
      </c>
      <c r="G5202" t="s">
        <v>4408</v>
      </c>
      <c r="H5202" t="s">
        <v>4408</v>
      </c>
      <c r="I5202" t="s">
        <v>4408</v>
      </c>
      <c r="J5202" t="s">
        <v>4408</v>
      </c>
      <c r="K5202" t="s">
        <v>4408</v>
      </c>
      <c r="L5202" t="s">
        <v>4408</v>
      </c>
      <c r="M5202" t="s">
        <v>4408</v>
      </c>
      <c r="N5202" t="s">
        <v>4408</v>
      </c>
      <c r="O5202" t="s">
        <v>4408</v>
      </c>
    </row>
    <row r="5203" spans="1:15">
      <c r="A5203" t="s">
        <v>3762</v>
      </c>
      <c r="B5203" t="str">
        <f ca="1">IF(ISBLANK(OFFSET(B5203,0,'Field labels'!$Q$1)),C5203,OFFSET(B5203,0,'Field labels'!$Q$1))</f>
        <v>hajóállomás</v>
      </c>
      <c r="C5203" t="s">
        <v>4409</v>
      </c>
      <c r="D5203" t="s">
        <v>4409</v>
      </c>
      <c r="E5203" t="s">
        <v>4409</v>
      </c>
      <c r="F5203" t="s">
        <v>4409</v>
      </c>
      <c r="G5203" t="s">
        <v>4409</v>
      </c>
      <c r="H5203" t="s">
        <v>4409</v>
      </c>
      <c r="I5203" t="s">
        <v>4409</v>
      </c>
      <c r="J5203" t="s">
        <v>4409</v>
      </c>
      <c r="K5203" t="s">
        <v>4409</v>
      </c>
      <c r="L5203" t="s">
        <v>4409</v>
      </c>
      <c r="M5203" t="s">
        <v>4409</v>
      </c>
      <c r="N5203" t="s">
        <v>4409</v>
      </c>
      <c r="O5203" t="s">
        <v>4409</v>
      </c>
    </row>
    <row r="5204" spans="1:15">
      <c r="A5204" t="s">
        <v>3762</v>
      </c>
      <c r="B5204" t="str">
        <f ca="1">IF(ISBLANK(OFFSET(B5204,0,'Field labels'!$Q$1)),C5204,OFFSET(B5204,0,'Field labels'!$Q$1))</f>
        <v>Hamlet</v>
      </c>
      <c r="C5204" t="s">
        <v>3772</v>
      </c>
      <c r="D5204" t="s">
        <v>3772</v>
      </c>
      <c r="E5204" t="s">
        <v>3772</v>
      </c>
      <c r="F5204" t="s">
        <v>3772</v>
      </c>
      <c r="G5204" t="s">
        <v>3772</v>
      </c>
      <c r="H5204" t="s">
        <v>3772</v>
      </c>
      <c r="I5204" t="s">
        <v>3772</v>
      </c>
      <c r="J5204" t="s">
        <v>3772</v>
      </c>
      <c r="K5204" t="s">
        <v>3772</v>
      </c>
      <c r="L5204" t="s">
        <v>3772</v>
      </c>
      <c r="M5204" t="s">
        <v>3772</v>
      </c>
      <c r="N5204" t="s">
        <v>3772</v>
      </c>
      <c r="O5204" t="s">
        <v>3772</v>
      </c>
    </row>
    <row r="5205" spans="1:15">
      <c r="A5205" t="s">
        <v>3762</v>
      </c>
      <c r="B5205" t="str">
        <f ca="1">IF(ISBLANK(OFFSET(B5205,0,'Field labels'!$Q$1)),C5205,OFFSET(B5205,0,'Field labels'!$Q$1))</f>
        <v>határsor</v>
      </c>
      <c r="C5205" t="s">
        <v>4410</v>
      </c>
      <c r="D5205" t="s">
        <v>4410</v>
      </c>
      <c r="E5205" t="s">
        <v>4410</v>
      </c>
      <c r="F5205" t="s">
        <v>4410</v>
      </c>
      <c r="G5205" t="s">
        <v>4410</v>
      </c>
      <c r="H5205" t="s">
        <v>4410</v>
      </c>
      <c r="I5205" t="s">
        <v>4410</v>
      </c>
      <c r="J5205" t="s">
        <v>4410</v>
      </c>
      <c r="K5205" t="s">
        <v>4410</v>
      </c>
      <c r="L5205" t="s">
        <v>4410</v>
      </c>
      <c r="M5205" t="s">
        <v>4410</v>
      </c>
      <c r="N5205" t="s">
        <v>4410</v>
      </c>
      <c r="O5205" t="s">
        <v>4410</v>
      </c>
    </row>
    <row r="5206" spans="1:15">
      <c r="A5206" t="s">
        <v>3762</v>
      </c>
      <c r="B5206" t="str">
        <f ca="1">IF(ISBLANK(OFFSET(B5206,0,'Field labels'!$Q$1)),C5206,OFFSET(B5206,0,'Field labels'!$Q$1))</f>
        <v>határút</v>
      </c>
      <c r="C5206" t="s">
        <v>4411</v>
      </c>
      <c r="D5206" t="s">
        <v>4411</v>
      </c>
      <c r="E5206" t="s">
        <v>4411</v>
      </c>
      <c r="F5206" t="s">
        <v>4411</v>
      </c>
      <c r="G5206" t="s">
        <v>4411</v>
      </c>
      <c r="H5206" t="s">
        <v>4411</v>
      </c>
      <c r="I5206" t="s">
        <v>4411</v>
      </c>
      <c r="J5206" t="s">
        <v>4411</v>
      </c>
      <c r="K5206" t="s">
        <v>4411</v>
      </c>
      <c r="L5206" t="s">
        <v>4411</v>
      </c>
      <c r="M5206" t="s">
        <v>4411</v>
      </c>
      <c r="N5206" t="s">
        <v>4411</v>
      </c>
      <c r="O5206" t="s">
        <v>4411</v>
      </c>
    </row>
    <row r="5207" spans="1:15">
      <c r="A5207" t="s">
        <v>3762</v>
      </c>
      <c r="B5207" t="str">
        <f ca="1">IF(ISBLANK(OFFSET(B5207,0,'Field labels'!$Q$1)),C5207,OFFSET(B5207,0,'Field labels'!$Q$1))</f>
        <v>ház</v>
      </c>
      <c r="C5207" t="s">
        <v>4412</v>
      </c>
      <c r="D5207" t="s">
        <v>4412</v>
      </c>
      <c r="E5207" t="s">
        <v>4412</v>
      </c>
      <c r="F5207" t="s">
        <v>4412</v>
      </c>
      <c r="G5207" t="s">
        <v>4412</v>
      </c>
      <c r="H5207" t="s">
        <v>4412</v>
      </c>
      <c r="I5207" t="s">
        <v>4412</v>
      </c>
      <c r="J5207" t="s">
        <v>4412</v>
      </c>
      <c r="K5207" t="s">
        <v>4412</v>
      </c>
      <c r="L5207" t="s">
        <v>4412</v>
      </c>
      <c r="M5207" t="s">
        <v>4412</v>
      </c>
      <c r="N5207" t="s">
        <v>4412</v>
      </c>
      <c r="O5207" t="s">
        <v>4412</v>
      </c>
    </row>
    <row r="5208" spans="1:15">
      <c r="A5208" t="s">
        <v>3762</v>
      </c>
      <c r="B5208" t="str">
        <f ca="1">IF(ISBLANK(OFFSET(B5208,0,'Field labels'!$Q$1)),C5208,OFFSET(B5208,0,'Field labels'!$Q$1))</f>
        <v>Hegi</v>
      </c>
      <c r="C5208" t="s">
        <v>4413</v>
      </c>
      <c r="D5208" t="s">
        <v>4413</v>
      </c>
      <c r="E5208" t="s">
        <v>4413</v>
      </c>
      <c r="F5208" t="s">
        <v>4413</v>
      </c>
      <c r="G5208" t="s">
        <v>4413</v>
      </c>
      <c r="H5208" t="s">
        <v>4413</v>
      </c>
      <c r="I5208" t="s">
        <v>4413</v>
      </c>
      <c r="J5208" t="s">
        <v>4413</v>
      </c>
      <c r="K5208" t="s">
        <v>4413</v>
      </c>
      <c r="L5208" t="s">
        <v>4413</v>
      </c>
      <c r="M5208" t="s">
        <v>4413</v>
      </c>
      <c r="N5208" t="s">
        <v>4413</v>
      </c>
      <c r="O5208" t="s">
        <v>4413</v>
      </c>
    </row>
    <row r="5209" spans="1:15">
      <c r="A5209" t="s">
        <v>3762</v>
      </c>
      <c r="B5209" t="str">
        <f ca="1">IF(ISBLANK(OFFSET(B5209,0,'Field labels'!$Q$1)),C5209,OFFSET(B5209,0,'Field labels'!$Q$1))</f>
        <v>hegy</v>
      </c>
      <c r="C5209" t="s">
        <v>4414</v>
      </c>
      <c r="D5209" t="s">
        <v>4414</v>
      </c>
      <c r="E5209" t="s">
        <v>4414</v>
      </c>
      <c r="F5209" t="s">
        <v>4414</v>
      </c>
      <c r="G5209" t="s">
        <v>4414</v>
      </c>
      <c r="H5209" t="s">
        <v>4414</v>
      </c>
      <c r="I5209" t="s">
        <v>4414</v>
      </c>
      <c r="J5209" t="s">
        <v>4414</v>
      </c>
      <c r="K5209" t="s">
        <v>4414</v>
      </c>
      <c r="L5209" t="s">
        <v>4414</v>
      </c>
      <c r="M5209" t="s">
        <v>4414</v>
      </c>
      <c r="N5209" t="s">
        <v>4414</v>
      </c>
      <c r="O5209" t="s">
        <v>4414</v>
      </c>
    </row>
    <row r="5210" spans="1:15">
      <c r="A5210" t="s">
        <v>3762</v>
      </c>
      <c r="B5210" t="str">
        <f ca="1">IF(ISBLANK(OFFSET(B5210,0,'Field labels'!$Q$1)),C5210,OFFSET(B5210,0,'Field labels'!$Q$1))</f>
        <v>hegyhát</v>
      </c>
      <c r="C5210" t="s">
        <v>4415</v>
      </c>
      <c r="D5210" t="s">
        <v>4415</v>
      </c>
      <c r="E5210" t="s">
        <v>4415</v>
      </c>
      <c r="F5210" t="s">
        <v>4415</v>
      </c>
      <c r="G5210" t="s">
        <v>4415</v>
      </c>
      <c r="H5210" t="s">
        <v>4415</v>
      </c>
      <c r="I5210" t="s">
        <v>4415</v>
      </c>
      <c r="J5210" t="s">
        <v>4415</v>
      </c>
      <c r="K5210" t="s">
        <v>4415</v>
      </c>
      <c r="L5210" t="s">
        <v>4415</v>
      </c>
      <c r="M5210" t="s">
        <v>4415</v>
      </c>
      <c r="N5210" t="s">
        <v>4415</v>
      </c>
      <c r="O5210" t="s">
        <v>4415</v>
      </c>
    </row>
    <row r="5211" spans="1:15">
      <c r="A5211" t="s">
        <v>3762</v>
      </c>
      <c r="B5211" t="str">
        <f ca="1">IF(ISBLANK(OFFSET(B5211,0,'Field labels'!$Q$1)),C5211,OFFSET(B5211,0,'Field labels'!$Q$1))</f>
        <v>hegyhát dűlő</v>
      </c>
      <c r="C5211" t="s">
        <v>4416</v>
      </c>
      <c r="D5211" t="s">
        <v>4416</v>
      </c>
      <c r="E5211" t="s">
        <v>4416</v>
      </c>
      <c r="F5211" t="s">
        <v>4416</v>
      </c>
      <c r="G5211" t="s">
        <v>4416</v>
      </c>
      <c r="H5211" t="s">
        <v>4416</v>
      </c>
      <c r="I5211" t="s">
        <v>4416</v>
      </c>
      <c r="J5211" t="s">
        <v>4416</v>
      </c>
      <c r="K5211" t="s">
        <v>4416</v>
      </c>
      <c r="L5211" t="s">
        <v>4416</v>
      </c>
      <c r="M5211" t="s">
        <v>4416</v>
      </c>
      <c r="N5211" t="s">
        <v>4416</v>
      </c>
      <c r="O5211" t="s">
        <v>4416</v>
      </c>
    </row>
    <row r="5212" spans="1:15">
      <c r="A5212" t="s">
        <v>3762</v>
      </c>
      <c r="B5212" t="str">
        <f ca="1">IF(ISBLANK(OFFSET(B5212,0,'Field labels'!$Q$1)),C5212,OFFSET(B5212,0,'Field labels'!$Q$1))</f>
        <v>hegyhát köz</v>
      </c>
      <c r="C5212" t="s">
        <v>4417</v>
      </c>
      <c r="D5212" t="s">
        <v>4417</v>
      </c>
      <c r="E5212" t="s">
        <v>4417</v>
      </c>
      <c r="F5212" t="s">
        <v>4417</v>
      </c>
      <c r="G5212" t="s">
        <v>4417</v>
      </c>
      <c r="H5212" t="s">
        <v>4417</v>
      </c>
      <c r="I5212" t="s">
        <v>4417</v>
      </c>
      <c r="J5212" t="s">
        <v>4417</v>
      </c>
      <c r="K5212" t="s">
        <v>4417</v>
      </c>
      <c r="L5212" t="s">
        <v>4417</v>
      </c>
      <c r="M5212" t="s">
        <v>4417</v>
      </c>
      <c r="N5212" t="s">
        <v>4417</v>
      </c>
      <c r="O5212" t="s">
        <v>4417</v>
      </c>
    </row>
    <row r="5213" spans="1:15">
      <c r="A5213" t="s">
        <v>3762</v>
      </c>
      <c r="B5213" t="str">
        <f ca="1">IF(ISBLANK(OFFSET(B5213,0,'Field labels'!$Q$1)),C5213,OFFSET(B5213,0,'Field labels'!$Q$1))</f>
        <v>Heights</v>
      </c>
      <c r="C5213" t="s">
        <v>4418</v>
      </c>
      <c r="D5213" t="s">
        <v>4418</v>
      </c>
      <c r="E5213" t="s">
        <v>4418</v>
      </c>
      <c r="F5213" t="s">
        <v>4418</v>
      </c>
      <c r="G5213" t="s">
        <v>4418</v>
      </c>
      <c r="H5213" t="s">
        <v>4418</v>
      </c>
      <c r="I5213" t="s">
        <v>4418</v>
      </c>
      <c r="J5213" t="s">
        <v>4418</v>
      </c>
      <c r="K5213" t="s">
        <v>4418</v>
      </c>
      <c r="L5213" t="s">
        <v>4418</v>
      </c>
      <c r="M5213" t="s">
        <v>4418</v>
      </c>
      <c r="N5213" t="s">
        <v>4418</v>
      </c>
      <c r="O5213" t="s">
        <v>4418</v>
      </c>
    </row>
    <row r="5214" spans="1:15">
      <c r="A5214" t="s">
        <v>3762</v>
      </c>
      <c r="B5214" t="str">
        <f ca="1">IF(ISBLANK(OFFSET(B5214,0,'Field labels'!$Q$1)),C5214,OFFSET(B5214,0,'Field labels'!$Q$1))</f>
        <v>hídfő</v>
      </c>
      <c r="C5214" t="s">
        <v>4419</v>
      </c>
      <c r="D5214" t="s">
        <v>4419</v>
      </c>
      <c r="E5214" t="s">
        <v>4419</v>
      </c>
      <c r="F5214" t="s">
        <v>4419</v>
      </c>
      <c r="G5214" t="s">
        <v>4419</v>
      </c>
      <c r="H5214" t="s">
        <v>4419</v>
      </c>
      <c r="I5214" t="s">
        <v>4419</v>
      </c>
      <c r="J5214" t="s">
        <v>4419</v>
      </c>
      <c r="K5214" t="s">
        <v>4419</v>
      </c>
      <c r="L5214" t="s">
        <v>4419</v>
      </c>
      <c r="M5214" t="s">
        <v>4419</v>
      </c>
      <c r="N5214" t="s">
        <v>4419</v>
      </c>
      <c r="O5214" t="s">
        <v>4419</v>
      </c>
    </row>
    <row r="5215" spans="1:15">
      <c r="A5215" t="s">
        <v>3762</v>
      </c>
      <c r="B5215" t="str">
        <f ca="1">IF(ISBLANK(OFFSET(B5215,0,'Field labels'!$Q$1)),C5215,OFFSET(B5215,0,'Field labels'!$Q$1))</f>
        <v>Highway</v>
      </c>
      <c r="C5215" t="s">
        <v>4420</v>
      </c>
      <c r="D5215" t="s">
        <v>4420</v>
      </c>
      <c r="E5215" t="s">
        <v>4420</v>
      </c>
      <c r="F5215" t="s">
        <v>4420</v>
      </c>
      <c r="G5215" t="s">
        <v>4420</v>
      </c>
      <c r="H5215" t="s">
        <v>4420</v>
      </c>
      <c r="I5215" t="s">
        <v>4420</v>
      </c>
      <c r="J5215" t="s">
        <v>4420</v>
      </c>
      <c r="K5215" t="s">
        <v>4420</v>
      </c>
      <c r="L5215" t="s">
        <v>4420</v>
      </c>
      <c r="M5215" t="s">
        <v>4420</v>
      </c>
      <c r="N5215" t="s">
        <v>4420</v>
      </c>
      <c r="O5215" t="s">
        <v>4420</v>
      </c>
    </row>
    <row r="5216" spans="1:15">
      <c r="A5216" t="s">
        <v>3762</v>
      </c>
      <c r="B5216" t="str">
        <f ca="1">IF(ISBLANK(OFFSET(B5216,0,'Field labels'!$Q$1)),C5216,OFFSET(B5216,0,'Field labels'!$Q$1))</f>
        <v>Hill</v>
      </c>
      <c r="C5216" t="s">
        <v>4421</v>
      </c>
      <c r="D5216" t="s">
        <v>4421</v>
      </c>
      <c r="E5216" t="s">
        <v>4421</v>
      </c>
      <c r="F5216" t="s">
        <v>4421</v>
      </c>
      <c r="G5216" t="s">
        <v>4421</v>
      </c>
      <c r="H5216" t="s">
        <v>4421</v>
      </c>
      <c r="I5216" t="s">
        <v>4421</v>
      </c>
      <c r="J5216" t="s">
        <v>4421</v>
      </c>
      <c r="K5216" t="s">
        <v>4421</v>
      </c>
      <c r="L5216" t="s">
        <v>4421</v>
      </c>
      <c r="M5216" t="s">
        <v>4421</v>
      </c>
      <c r="N5216" t="s">
        <v>4421</v>
      </c>
      <c r="O5216" t="s">
        <v>4421</v>
      </c>
    </row>
    <row r="5217" spans="1:15">
      <c r="A5217" t="s">
        <v>3762</v>
      </c>
      <c r="B5217" t="str">
        <f ca="1">IF(ISBLANK(OFFSET(B5217,0,'Field labels'!$Q$1)),C5217,OFFSET(B5217,0,'Field labels'!$Q$1))</f>
        <v>Hill</v>
      </c>
      <c r="C5217" t="s">
        <v>4421</v>
      </c>
      <c r="D5217" t="s">
        <v>4421</v>
      </c>
      <c r="E5217" t="s">
        <v>4421</v>
      </c>
      <c r="F5217" t="s">
        <v>4421</v>
      </c>
      <c r="G5217" t="s">
        <v>4421</v>
      </c>
      <c r="H5217" t="s">
        <v>4421</v>
      </c>
      <c r="I5217" t="s">
        <v>4421</v>
      </c>
      <c r="J5217" t="s">
        <v>4421</v>
      </c>
      <c r="K5217" t="s">
        <v>4421</v>
      </c>
      <c r="L5217" t="s">
        <v>4421</v>
      </c>
      <c r="M5217" t="s">
        <v>4421</v>
      </c>
      <c r="N5217" t="s">
        <v>4421</v>
      </c>
      <c r="O5217" t="s">
        <v>4421</v>
      </c>
    </row>
    <row r="5218" spans="1:15">
      <c r="A5218" t="s">
        <v>3762</v>
      </c>
      <c r="B5218" t="str">
        <f ca="1">IF(ISBLANK(OFFSET(B5218,0,'Field labels'!$Q$1)),C5218,OFFSET(B5218,0,'Field labels'!$Q$1))</f>
        <v>Hill</v>
      </c>
      <c r="C5218" t="s">
        <v>4421</v>
      </c>
      <c r="D5218" t="s">
        <v>4421</v>
      </c>
      <c r="E5218" t="s">
        <v>4421</v>
      </c>
      <c r="F5218" t="s">
        <v>4421</v>
      </c>
      <c r="G5218" t="s">
        <v>4421</v>
      </c>
      <c r="H5218" t="s">
        <v>4421</v>
      </c>
      <c r="I5218" t="s">
        <v>4421</v>
      </c>
      <c r="J5218" t="s">
        <v>4421</v>
      </c>
      <c r="K5218" t="s">
        <v>4421</v>
      </c>
      <c r="L5218" t="s">
        <v>4421</v>
      </c>
      <c r="M5218" t="s">
        <v>4421</v>
      </c>
      <c r="N5218" t="s">
        <v>4421</v>
      </c>
      <c r="O5218" t="s">
        <v>4421</v>
      </c>
    </row>
    <row r="5219" spans="1:15">
      <c r="A5219" t="s">
        <v>3762</v>
      </c>
      <c r="B5219" t="str">
        <f ca="1">IF(ISBLANK(OFFSET(B5219,0,'Field labels'!$Q$1)),C5219,OFFSET(B5219,0,'Field labels'!$Q$1))</f>
        <v>Hillside</v>
      </c>
      <c r="C5219" t="s">
        <v>4422</v>
      </c>
      <c r="D5219" t="s">
        <v>4422</v>
      </c>
      <c r="E5219" t="s">
        <v>4422</v>
      </c>
      <c r="F5219" t="s">
        <v>4422</v>
      </c>
      <c r="G5219" t="s">
        <v>4422</v>
      </c>
      <c r="H5219" t="s">
        <v>4422</v>
      </c>
      <c r="I5219" t="s">
        <v>4422</v>
      </c>
      <c r="J5219" t="s">
        <v>4422</v>
      </c>
      <c r="K5219" t="s">
        <v>4422</v>
      </c>
      <c r="L5219" t="s">
        <v>4422</v>
      </c>
      <c r="M5219" t="s">
        <v>4422</v>
      </c>
      <c r="N5219" t="s">
        <v>4422</v>
      </c>
      <c r="O5219" t="s">
        <v>4422</v>
      </c>
    </row>
    <row r="5220" spans="1:15">
      <c r="A5220" t="s">
        <v>3762</v>
      </c>
      <c r="B5220" t="str">
        <f ca="1">IF(ISBLANK(OFFSET(B5220,0,'Field labels'!$Q$1)),C5220,OFFSET(B5220,0,'Field labels'!$Q$1))</f>
        <v>Hippodrome</v>
      </c>
      <c r="C5220" t="s">
        <v>4423</v>
      </c>
      <c r="D5220" t="s">
        <v>4423</v>
      </c>
      <c r="E5220" t="s">
        <v>4423</v>
      </c>
      <c r="F5220" t="s">
        <v>4423</v>
      </c>
      <c r="G5220" t="s">
        <v>4423</v>
      </c>
      <c r="H5220" t="s">
        <v>4423</v>
      </c>
      <c r="I5220" t="s">
        <v>4423</v>
      </c>
      <c r="J5220" t="s">
        <v>4423</v>
      </c>
      <c r="K5220" t="s">
        <v>4423</v>
      </c>
      <c r="L5220" t="s">
        <v>4423</v>
      </c>
      <c r="M5220" t="s">
        <v>4423</v>
      </c>
      <c r="N5220" t="s">
        <v>4423</v>
      </c>
      <c r="O5220" t="s">
        <v>4423</v>
      </c>
    </row>
    <row r="5221" spans="1:15">
      <c r="A5221" t="s">
        <v>3762</v>
      </c>
      <c r="B5221" t="str">
        <f ca="1">IF(ISBLANK(OFFSET(B5221,0,'Field labels'!$Q$1)),C5221,OFFSET(B5221,0,'Field labels'!$Q$1))</f>
        <v>Hospital</v>
      </c>
      <c r="C5221" t="s">
        <v>4424</v>
      </c>
      <c r="D5221" t="s">
        <v>4424</v>
      </c>
      <c r="E5221" t="s">
        <v>4424</v>
      </c>
      <c r="F5221" t="s">
        <v>4424</v>
      </c>
      <c r="G5221" t="s">
        <v>4424</v>
      </c>
      <c r="H5221" t="s">
        <v>4424</v>
      </c>
      <c r="I5221" t="s">
        <v>4424</v>
      </c>
      <c r="J5221" t="s">
        <v>4424</v>
      </c>
      <c r="K5221" t="s">
        <v>4424</v>
      </c>
      <c r="L5221" t="s">
        <v>4424</v>
      </c>
      <c r="M5221" t="s">
        <v>4424</v>
      </c>
      <c r="N5221" t="s">
        <v>4424</v>
      </c>
      <c r="O5221" t="s">
        <v>4424</v>
      </c>
    </row>
    <row r="5222" spans="1:15">
      <c r="A5222" t="s">
        <v>3762</v>
      </c>
      <c r="B5222" t="str">
        <f ca="1">IF(ISBLANK(OFFSET(B5222,0,'Field labels'!$Q$1)),C5222,OFFSET(B5222,0,'Field labels'!$Q$1))</f>
        <v>House</v>
      </c>
      <c r="C5222" t="s">
        <v>4425</v>
      </c>
      <c r="D5222" t="s">
        <v>4425</v>
      </c>
      <c r="E5222" t="s">
        <v>4425</v>
      </c>
      <c r="F5222" t="s">
        <v>4425</v>
      </c>
      <c r="G5222" t="s">
        <v>4425</v>
      </c>
      <c r="H5222" t="s">
        <v>4425</v>
      </c>
      <c r="I5222" t="s">
        <v>4425</v>
      </c>
      <c r="J5222" t="s">
        <v>4425</v>
      </c>
      <c r="K5222" t="s">
        <v>4425</v>
      </c>
      <c r="L5222" t="s">
        <v>4425</v>
      </c>
      <c r="M5222" t="s">
        <v>4425</v>
      </c>
      <c r="N5222" t="s">
        <v>4425</v>
      </c>
      <c r="O5222" t="s">
        <v>4425</v>
      </c>
    </row>
    <row r="5223" spans="1:15">
      <c r="A5223" t="s">
        <v>3762</v>
      </c>
      <c r="B5223" t="str">
        <f ca="1">IF(ISBLANK(OFFSET(B5223,0,'Field labels'!$Q$1)),C5223,OFFSET(B5223,0,'Field labels'!$Q$1))</f>
        <v>Housing</v>
      </c>
      <c r="C5223" t="s">
        <v>4426</v>
      </c>
      <c r="D5223" t="s">
        <v>4426</v>
      </c>
      <c r="E5223" t="s">
        <v>4426</v>
      </c>
      <c r="F5223" t="s">
        <v>4426</v>
      </c>
      <c r="G5223" t="s">
        <v>4426</v>
      </c>
      <c r="H5223" t="s">
        <v>4426</v>
      </c>
      <c r="I5223" t="s">
        <v>4426</v>
      </c>
      <c r="J5223" t="s">
        <v>4426</v>
      </c>
      <c r="K5223" t="s">
        <v>4426</v>
      </c>
      <c r="L5223" t="s">
        <v>4426</v>
      </c>
      <c r="M5223" t="s">
        <v>4426</v>
      </c>
      <c r="N5223" t="s">
        <v>4426</v>
      </c>
      <c r="O5223" t="s">
        <v>4426</v>
      </c>
    </row>
    <row r="5224" spans="1:15">
      <c r="A5224" t="s">
        <v>3762</v>
      </c>
      <c r="B5224" t="str">
        <f ca="1">IF(ISBLANK(OFFSET(B5224,0,'Field labels'!$Q$1)),C5224,OFFSET(B5224,0,'Field labels'!$Q$1))</f>
        <v>Housing Development</v>
      </c>
      <c r="C5224" t="s">
        <v>3773</v>
      </c>
      <c r="D5224" t="s">
        <v>3773</v>
      </c>
      <c r="E5224" t="s">
        <v>3773</v>
      </c>
      <c r="F5224" t="s">
        <v>3773</v>
      </c>
      <c r="G5224" t="s">
        <v>3773</v>
      </c>
      <c r="H5224" t="s">
        <v>3773</v>
      </c>
      <c r="I5224" t="s">
        <v>3773</v>
      </c>
      <c r="J5224" t="s">
        <v>3773</v>
      </c>
      <c r="K5224" t="s">
        <v>3773</v>
      </c>
      <c r="L5224" t="s">
        <v>3773</v>
      </c>
      <c r="M5224" t="s">
        <v>3773</v>
      </c>
      <c r="N5224" t="s">
        <v>3773</v>
      </c>
      <c r="O5224" t="s">
        <v>3773</v>
      </c>
    </row>
    <row r="5225" spans="1:15">
      <c r="A5225" t="s">
        <v>3762</v>
      </c>
      <c r="B5225" t="str">
        <f ca="1">IF(ISBLANK(OFFSET(B5225,0,'Field labels'!$Q$1)),C5225,OFFSET(B5225,0,'Field labels'!$Q$1))</f>
        <v>hrsz.</v>
      </c>
      <c r="C5225" t="s">
        <v>4427</v>
      </c>
      <c r="D5225" t="s">
        <v>4427</v>
      </c>
      <c r="E5225" t="s">
        <v>4427</v>
      </c>
      <c r="F5225" t="s">
        <v>4427</v>
      </c>
      <c r="G5225" t="s">
        <v>4427</v>
      </c>
      <c r="H5225" t="s">
        <v>4427</v>
      </c>
      <c r="I5225" t="s">
        <v>4427</v>
      </c>
      <c r="J5225" t="s">
        <v>4427</v>
      </c>
      <c r="K5225" t="s">
        <v>4427</v>
      </c>
      <c r="L5225" t="s">
        <v>4427</v>
      </c>
      <c r="M5225" t="s">
        <v>4427</v>
      </c>
      <c r="N5225" t="s">
        <v>4427</v>
      </c>
      <c r="O5225" t="s">
        <v>4427</v>
      </c>
    </row>
    <row r="5226" spans="1:15">
      <c r="A5226" t="s">
        <v>3762</v>
      </c>
      <c r="B5226" t="str">
        <f ca="1">IF(ISBLANK(OFFSET(B5226,0,'Field labels'!$Q$1)),C5226,OFFSET(B5226,0,'Field labels'!$Q$1))</f>
        <v>Inda</v>
      </c>
      <c r="C5226" t="s">
        <v>4428</v>
      </c>
      <c r="D5226" t="s">
        <v>4428</v>
      </c>
      <c r="E5226" t="s">
        <v>4428</v>
      </c>
      <c r="F5226" t="s">
        <v>4428</v>
      </c>
      <c r="G5226" t="s">
        <v>4428</v>
      </c>
      <c r="H5226" t="s">
        <v>4428</v>
      </c>
      <c r="I5226" t="s">
        <v>4428</v>
      </c>
      <c r="J5226" t="s">
        <v>4428</v>
      </c>
      <c r="K5226" t="s">
        <v>4428</v>
      </c>
      <c r="L5226" t="s">
        <v>4428</v>
      </c>
      <c r="M5226" t="s">
        <v>4428</v>
      </c>
      <c r="N5226" t="s">
        <v>4428</v>
      </c>
      <c r="O5226" t="s">
        <v>4428</v>
      </c>
    </row>
    <row r="5227" spans="1:15">
      <c r="A5227" t="s">
        <v>3762</v>
      </c>
      <c r="B5227" t="str">
        <f ca="1">IF(ISBLANK(OFFSET(B5227,0,'Field labels'!$Q$1)),C5227,OFFSET(B5227,0,'Field labels'!$Q$1))</f>
        <v>Industrial Zone</v>
      </c>
      <c r="C5227" t="s">
        <v>3774</v>
      </c>
      <c r="D5227" t="s">
        <v>3774</v>
      </c>
      <c r="E5227" t="s">
        <v>3774</v>
      </c>
      <c r="F5227" t="s">
        <v>3774</v>
      </c>
      <c r="G5227" t="s">
        <v>3774</v>
      </c>
      <c r="H5227" t="s">
        <v>3774</v>
      </c>
      <c r="I5227" t="s">
        <v>3774</v>
      </c>
      <c r="J5227" t="s">
        <v>3774</v>
      </c>
      <c r="K5227" t="s">
        <v>3774</v>
      </c>
      <c r="L5227" t="s">
        <v>3774</v>
      </c>
      <c r="M5227" t="s">
        <v>3774</v>
      </c>
      <c r="N5227" t="s">
        <v>3774</v>
      </c>
      <c r="O5227" t="s">
        <v>3774</v>
      </c>
    </row>
    <row r="5228" spans="1:15">
      <c r="A5228" t="s">
        <v>3762</v>
      </c>
      <c r="B5228" t="str">
        <f ca="1">IF(ISBLANK(OFFSET(B5228,0,'Field labels'!$Q$1)),C5228,OFFSET(B5228,0,'Field labels'!$Q$1))</f>
        <v>Irrigation Ditch</v>
      </c>
      <c r="C5228" t="s">
        <v>4429</v>
      </c>
      <c r="D5228" t="s">
        <v>4429</v>
      </c>
      <c r="E5228" t="s">
        <v>4429</v>
      </c>
      <c r="F5228" t="s">
        <v>4429</v>
      </c>
      <c r="G5228" t="s">
        <v>4429</v>
      </c>
      <c r="H5228" t="s">
        <v>4429</v>
      </c>
      <c r="I5228" t="s">
        <v>4429</v>
      </c>
      <c r="J5228" t="s">
        <v>4429</v>
      </c>
      <c r="K5228" t="s">
        <v>4429</v>
      </c>
      <c r="L5228" t="s">
        <v>4429</v>
      </c>
      <c r="M5228" t="s">
        <v>4429</v>
      </c>
      <c r="N5228" t="s">
        <v>4429</v>
      </c>
      <c r="O5228" t="s">
        <v>4429</v>
      </c>
    </row>
    <row r="5229" spans="1:15">
      <c r="A5229" t="s">
        <v>3762</v>
      </c>
      <c r="B5229" t="str">
        <f ca="1">IF(ISBLANK(OFFSET(B5229,0,'Field labels'!$Q$1)),C5229,OFFSET(B5229,0,'Field labels'!$Q$1))</f>
        <v>iskola</v>
      </c>
      <c r="C5229" t="s">
        <v>4430</v>
      </c>
      <c r="D5229" t="s">
        <v>4430</v>
      </c>
      <c r="E5229" t="s">
        <v>4430</v>
      </c>
      <c r="F5229" t="s">
        <v>4430</v>
      </c>
      <c r="G5229" t="s">
        <v>4430</v>
      </c>
      <c r="H5229" t="s">
        <v>4430</v>
      </c>
      <c r="I5229" t="s">
        <v>4430</v>
      </c>
      <c r="J5229" t="s">
        <v>4430</v>
      </c>
      <c r="K5229" t="s">
        <v>4430</v>
      </c>
      <c r="L5229" t="s">
        <v>4430</v>
      </c>
      <c r="M5229" t="s">
        <v>4430</v>
      </c>
      <c r="N5229" t="s">
        <v>4430</v>
      </c>
      <c r="O5229" t="s">
        <v>4430</v>
      </c>
    </row>
    <row r="5230" spans="1:15">
      <c r="A5230" t="s">
        <v>3762</v>
      </c>
      <c r="B5230" t="str">
        <f ca="1">IF(ISBLANK(OFFSET(B5230,0,'Field labels'!$Q$1)),C5230,OFFSET(B5230,0,'Field labels'!$Q$1))</f>
        <v>Island</v>
      </c>
      <c r="C5230" t="s">
        <v>4431</v>
      </c>
      <c r="D5230" t="s">
        <v>4431</v>
      </c>
      <c r="E5230" t="s">
        <v>4431</v>
      </c>
      <c r="F5230" t="s">
        <v>4431</v>
      </c>
      <c r="G5230" t="s">
        <v>4431</v>
      </c>
      <c r="H5230" t="s">
        <v>4431</v>
      </c>
      <c r="I5230" t="s">
        <v>4431</v>
      </c>
      <c r="J5230" t="s">
        <v>4431</v>
      </c>
      <c r="K5230" t="s">
        <v>4431</v>
      </c>
      <c r="L5230" t="s">
        <v>4431</v>
      </c>
      <c r="M5230" t="s">
        <v>4431</v>
      </c>
      <c r="N5230" t="s">
        <v>4431</v>
      </c>
      <c r="O5230" t="s">
        <v>4431</v>
      </c>
    </row>
    <row r="5231" spans="1:15">
      <c r="A5231" t="s">
        <v>3762</v>
      </c>
      <c r="B5231" t="str">
        <f ca="1">IF(ISBLANK(OFFSET(B5231,0,'Field labels'!$Q$1)),C5231,OFFSET(B5231,0,'Field labels'!$Q$1))</f>
        <v>játszótér</v>
      </c>
      <c r="C5231" t="s">
        <v>4432</v>
      </c>
      <c r="D5231" t="s">
        <v>4432</v>
      </c>
      <c r="E5231" t="s">
        <v>4432</v>
      </c>
      <c r="F5231" t="s">
        <v>4432</v>
      </c>
      <c r="G5231" t="s">
        <v>4432</v>
      </c>
      <c r="H5231" t="s">
        <v>4432</v>
      </c>
      <c r="I5231" t="s">
        <v>4432</v>
      </c>
      <c r="J5231" t="s">
        <v>4432</v>
      </c>
      <c r="K5231" t="s">
        <v>4432</v>
      </c>
      <c r="L5231" t="s">
        <v>4432</v>
      </c>
      <c r="M5231" t="s">
        <v>4432</v>
      </c>
      <c r="N5231" t="s">
        <v>4432</v>
      </c>
      <c r="O5231" t="s">
        <v>4432</v>
      </c>
    </row>
    <row r="5232" spans="1:15">
      <c r="A5232" t="s">
        <v>3762</v>
      </c>
      <c r="B5232" t="str">
        <f ca="1">IF(ISBLANK(OFFSET(B5232,0,'Field labels'!$Q$1)),C5232,OFFSET(B5232,0,'Field labels'!$Q$1))</f>
        <v>Junction</v>
      </c>
      <c r="C5232" t="s">
        <v>4433</v>
      </c>
      <c r="D5232" t="s">
        <v>4433</v>
      </c>
      <c r="E5232" t="s">
        <v>4433</v>
      </c>
      <c r="F5232" t="s">
        <v>4433</v>
      </c>
      <c r="G5232" t="s">
        <v>4433</v>
      </c>
      <c r="H5232" t="s">
        <v>4433</v>
      </c>
      <c r="I5232" t="s">
        <v>4433</v>
      </c>
      <c r="J5232" t="s">
        <v>4433</v>
      </c>
      <c r="K5232" t="s">
        <v>4433</v>
      </c>
      <c r="L5232" t="s">
        <v>4433</v>
      </c>
      <c r="M5232" t="s">
        <v>4433</v>
      </c>
      <c r="N5232" t="s">
        <v>4433</v>
      </c>
      <c r="O5232" t="s">
        <v>4433</v>
      </c>
    </row>
    <row r="5233" spans="1:15">
      <c r="A5233" t="s">
        <v>3762</v>
      </c>
      <c r="B5233" t="str">
        <f ca="1">IF(ISBLANK(OFFSET(B5233,0,'Field labels'!$Q$1)),C5233,OFFSET(B5233,0,'Field labels'!$Q$1))</f>
        <v>kapu</v>
      </c>
      <c r="C5233" t="s">
        <v>4434</v>
      </c>
      <c r="D5233" t="s">
        <v>4434</v>
      </c>
      <c r="E5233" t="s">
        <v>4434</v>
      </c>
      <c r="F5233" t="s">
        <v>4434</v>
      </c>
      <c r="G5233" t="s">
        <v>4434</v>
      </c>
      <c r="H5233" t="s">
        <v>4434</v>
      </c>
      <c r="I5233" t="s">
        <v>4434</v>
      </c>
      <c r="J5233" t="s">
        <v>4434</v>
      </c>
      <c r="K5233" t="s">
        <v>4434</v>
      </c>
      <c r="L5233" t="s">
        <v>4434</v>
      </c>
      <c r="M5233" t="s">
        <v>4434</v>
      </c>
      <c r="N5233" t="s">
        <v>4434</v>
      </c>
      <c r="O5233" t="s">
        <v>4434</v>
      </c>
    </row>
    <row r="5234" spans="1:15">
      <c r="A5234" t="s">
        <v>3762</v>
      </c>
      <c r="B5234" t="str">
        <f ca="1">IF(ISBLANK(OFFSET(B5234,0,'Field labels'!$Q$1)),C5234,OFFSET(B5234,0,'Field labels'!$Q$1))</f>
        <v>kastély</v>
      </c>
      <c r="C5234" t="s">
        <v>4435</v>
      </c>
      <c r="D5234" t="s">
        <v>4435</v>
      </c>
      <c r="E5234" t="s">
        <v>4435</v>
      </c>
      <c r="F5234" t="s">
        <v>4435</v>
      </c>
      <c r="G5234" t="s">
        <v>4435</v>
      </c>
      <c r="H5234" t="s">
        <v>4435</v>
      </c>
      <c r="I5234" t="s">
        <v>4435</v>
      </c>
      <c r="J5234" t="s">
        <v>4435</v>
      </c>
      <c r="K5234" t="s">
        <v>4435</v>
      </c>
      <c r="L5234" t="s">
        <v>4435</v>
      </c>
      <c r="M5234" t="s">
        <v>4435</v>
      </c>
      <c r="N5234" t="s">
        <v>4435</v>
      </c>
      <c r="O5234" t="s">
        <v>4435</v>
      </c>
    </row>
    <row r="5235" spans="1:15">
      <c r="A5235" t="s">
        <v>3762</v>
      </c>
      <c r="B5235" t="str">
        <f ca="1">IF(ISBLANK(OFFSET(B5235,0,'Field labels'!$Q$1)),C5235,OFFSET(B5235,0,'Field labels'!$Q$1))</f>
        <v>kert</v>
      </c>
      <c r="C5235" t="s">
        <v>4436</v>
      </c>
      <c r="D5235" t="s">
        <v>4436</v>
      </c>
      <c r="E5235" t="s">
        <v>4436</v>
      </c>
      <c r="F5235" t="s">
        <v>4436</v>
      </c>
      <c r="G5235" t="s">
        <v>4436</v>
      </c>
      <c r="H5235" t="s">
        <v>4436</v>
      </c>
      <c r="I5235" t="s">
        <v>4436</v>
      </c>
      <c r="J5235" t="s">
        <v>4436</v>
      </c>
      <c r="K5235" t="s">
        <v>4436</v>
      </c>
      <c r="L5235" t="s">
        <v>4436</v>
      </c>
      <c r="M5235" t="s">
        <v>4436</v>
      </c>
      <c r="N5235" t="s">
        <v>4436</v>
      </c>
      <c r="O5235" t="s">
        <v>4436</v>
      </c>
    </row>
    <row r="5236" spans="1:15">
      <c r="A5236" t="s">
        <v>3762</v>
      </c>
      <c r="B5236" t="str">
        <f ca="1">IF(ISBLANK(OFFSET(B5236,0,'Field labels'!$Q$1)),C5236,OFFSET(B5236,0,'Field labels'!$Q$1))</f>
        <v>kertsor</v>
      </c>
      <c r="C5236" t="s">
        <v>4437</v>
      </c>
      <c r="D5236" t="s">
        <v>4437</v>
      </c>
      <c r="E5236" t="s">
        <v>4437</v>
      </c>
      <c r="F5236" t="s">
        <v>4437</v>
      </c>
      <c r="G5236" t="s">
        <v>4437</v>
      </c>
      <c r="H5236" t="s">
        <v>4437</v>
      </c>
      <c r="I5236" t="s">
        <v>4437</v>
      </c>
      <c r="J5236" t="s">
        <v>4437</v>
      </c>
      <c r="K5236" t="s">
        <v>4437</v>
      </c>
      <c r="L5236" t="s">
        <v>4437</v>
      </c>
      <c r="M5236" t="s">
        <v>4437</v>
      </c>
      <c r="N5236" t="s">
        <v>4437</v>
      </c>
      <c r="O5236" t="s">
        <v>4437</v>
      </c>
    </row>
    <row r="5237" spans="1:15">
      <c r="A5237" t="s">
        <v>3762</v>
      </c>
      <c r="B5237" t="str">
        <f ca="1">IF(ISBLANK(OFFSET(B5237,0,'Field labels'!$Q$1)),C5237,OFFSET(B5237,0,'Field labels'!$Q$1))</f>
        <v>kerület</v>
      </c>
      <c r="C5237" t="s">
        <v>4438</v>
      </c>
      <c r="D5237" t="s">
        <v>4438</v>
      </c>
      <c r="E5237" t="s">
        <v>4438</v>
      </c>
      <c r="F5237" t="s">
        <v>4438</v>
      </c>
      <c r="G5237" t="s">
        <v>4438</v>
      </c>
      <c r="H5237" t="s">
        <v>4438</v>
      </c>
      <c r="I5237" t="s">
        <v>4438</v>
      </c>
      <c r="J5237" t="s">
        <v>4438</v>
      </c>
      <c r="K5237" t="s">
        <v>4438</v>
      </c>
      <c r="L5237" t="s">
        <v>4438</v>
      </c>
      <c r="M5237" t="s">
        <v>4438</v>
      </c>
      <c r="N5237" t="s">
        <v>4438</v>
      </c>
      <c r="O5237" t="s">
        <v>4438</v>
      </c>
    </row>
    <row r="5238" spans="1:15">
      <c r="A5238" t="s">
        <v>3762</v>
      </c>
      <c r="B5238" t="str">
        <f ca="1">IF(ISBLANK(OFFSET(B5238,0,'Field labels'!$Q$1)),C5238,OFFSET(B5238,0,'Field labels'!$Q$1))</f>
        <v>kilátó</v>
      </c>
      <c r="C5238" t="s">
        <v>4439</v>
      </c>
      <c r="D5238" t="s">
        <v>4439</v>
      </c>
      <c r="E5238" t="s">
        <v>4439</v>
      </c>
      <c r="F5238" t="s">
        <v>4439</v>
      </c>
      <c r="G5238" t="s">
        <v>4439</v>
      </c>
      <c r="H5238" t="s">
        <v>4439</v>
      </c>
      <c r="I5238" t="s">
        <v>4439</v>
      </c>
      <c r="J5238" t="s">
        <v>4439</v>
      </c>
      <c r="K5238" t="s">
        <v>4439</v>
      </c>
      <c r="L5238" t="s">
        <v>4439</v>
      </c>
      <c r="M5238" t="s">
        <v>4439</v>
      </c>
      <c r="N5238" t="s">
        <v>4439</v>
      </c>
      <c r="O5238" t="s">
        <v>4439</v>
      </c>
    </row>
    <row r="5239" spans="1:15">
      <c r="A5239" t="s">
        <v>3762</v>
      </c>
      <c r="B5239" t="str">
        <f ca="1">IF(ISBLANK(OFFSET(B5239,0,'Field labels'!$Q$1)),C5239,OFFSET(B5239,0,'Field labels'!$Q$1))</f>
        <v>kioszk</v>
      </c>
      <c r="C5239" t="s">
        <v>4440</v>
      </c>
      <c r="D5239" t="s">
        <v>4440</v>
      </c>
      <c r="E5239" t="s">
        <v>4440</v>
      </c>
      <c r="F5239" t="s">
        <v>4440</v>
      </c>
      <c r="G5239" t="s">
        <v>4440</v>
      </c>
      <c r="H5239" t="s">
        <v>4440</v>
      </c>
      <c r="I5239" t="s">
        <v>4440</v>
      </c>
      <c r="J5239" t="s">
        <v>4440</v>
      </c>
      <c r="K5239" t="s">
        <v>4440</v>
      </c>
      <c r="L5239" t="s">
        <v>4440</v>
      </c>
      <c r="M5239" t="s">
        <v>4440</v>
      </c>
      <c r="N5239" t="s">
        <v>4440</v>
      </c>
      <c r="O5239" t="s">
        <v>4440</v>
      </c>
    </row>
    <row r="5240" spans="1:15">
      <c r="A5240" t="s">
        <v>3762</v>
      </c>
      <c r="B5240" t="str">
        <f ca="1">IF(ISBLANK(OFFSET(B5240,0,'Field labels'!$Q$1)),C5240,OFFSET(B5240,0,'Field labels'!$Q$1))</f>
        <v>kocsiszín</v>
      </c>
      <c r="C5240" t="s">
        <v>4441</v>
      </c>
      <c r="D5240" t="s">
        <v>4441</v>
      </c>
      <c r="E5240" t="s">
        <v>4441</v>
      </c>
      <c r="F5240" t="s">
        <v>4441</v>
      </c>
      <c r="G5240" t="s">
        <v>4441</v>
      </c>
      <c r="H5240" t="s">
        <v>4441</v>
      </c>
      <c r="I5240" t="s">
        <v>4441</v>
      </c>
      <c r="J5240" t="s">
        <v>4441</v>
      </c>
      <c r="K5240" t="s">
        <v>4441</v>
      </c>
      <c r="L5240" t="s">
        <v>4441</v>
      </c>
      <c r="M5240" t="s">
        <v>4441</v>
      </c>
      <c r="N5240" t="s">
        <v>4441</v>
      </c>
      <c r="O5240" t="s">
        <v>4441</v>
      </c>
    </row>
    <row r="5241" spans="1:15">
      <c r="A5241" t="s">
        <v>3762</v>
      </c>
      <c r="B5241" t="str">
        <f ca="1">IF(ISBLANK(OFFSET(B5241,0,'Field labels'!$Q$1)),C5241,OFFSET(B5241,0,'Field labels'!$Q$1))</f>
        <v>kolónia</v>
      </c>
      <c r="C5241" t="s">
        <v>4442</v>
      </c>
      <c r="D5241" t="s">
        <v>4442</v>
      </c>
      <c r="E5241" t="s">
        <v>4442</v>
      </c>
      <c r="F5241" t="s">
        <v>4442</v>
      </c>
      <c r="G5241" t="s">
        <v>4442</v>
      </c>
      <c r="H5241" t="s">
        <v>4442</v>
      </c>
      <c r="I5241" t="s">
        <v>4442</v>
      </c>
      <c r="J5241" t="s">
        <v>4442</v>
      </c>
      <c r="K5241" t="s">
        <v>4442</v>
      </c>
      <c r="L5241" t="s">
        <v>4442</v>
      </c>
      <c r="M5241" t="s">
        <v>4442</v>
      </c>
      <c r="N5241" t="s">
        <v>4442</v>
      </c>
      <c r="O5241" t="s">
        <v>4442</v>
      </c>
    </row>
    <row r="5242" spans="1:15">
      <c r="A5242" t="s">
        <v>3762</v>
      </c>
      <c r="B5242" t="str">
        <f ca="1">IF(ISBLANK(OFFSET(B5242,0,'Field labels'!$Q$1)),C5242,OFFSET(B5242,0,'Field labels'!$Q$1))</f>
        <v>kör</v>
      </c>
      <c r="C5242" t="s">
        <v>4443</v>
      </c>
      <c r="D5242" t="s">
        <v>4443</v>
      </c>
      <c r="E5242" t="s">
        <v>4443</v>
      </c>
      <c r="F5242" t="s">
        <v>4443</v>
      </c>
      <c r="G5242" t="s">
        <v>4443</v>
      </c>
      <c r="H5242" t="s">
        <v>4443</v>
      </c>
      <c r="I5242" t="s">
        <v>4443</v>
      </c>
      <c r="J5242" t="s">
        <v>4443</v>
      </c>
      <c r="K5242" t="s">
        <v>4443</v>
      </c>
      <c r="L5242" t="s">
        <v>4443</v>
      </c>
      <c r="M5242" t="s">
        <v>4443</v>
      </c>
      <c r="N5242" t="s">
        <v>4443</v>
      </c>
      <c r="O5242" t="s">
        <v>4443</v>
      </c>
    </row>
    <row r="5243" spans="1:15">
      <c r="A5243" t="s">
        <v>3762</v>
      </c>
      <c r="B5243" t="str">
        <f ca="1">IF(ISBLANK(OFFSET(B5243,0,'Field labels'!$Q$1)),C5243,OFFSET(B5243,0,'Field labels'!$Q$1))</f>
        <v>körönd</v>
      </c>
      <c r="C5243" t="s">
        <v>4444</v>
      </c>
      <c r="D5243" t="s">
        <v>4444</v>
      </c>
      <c r="E5243" t="s">
        <v>4444</v>
      </c>
      <c r="F5243" t="s">
        <v>4444</v>
      </c>
      <c r="G5243" t="s">
        <v>4444</v>
      </c>
      <c r="H5243" t="s">
        <v>4444</v>
      </c>
      <c r="I5243" t="s">
        <v>4444</v>
      </c>
      <c r="J5243" t="s">
        <v>4444</v>
      </c>
      <c r="K5243" t="s">
        <v>4444</v>
      </c>
      <c r="L5243" t="s">
        <v>4444</v>
      </c>
      <c r="M5243" t="s">
        <v>4444</v>
      </c>
      <c r="N5243" t="s">
        <v>4444</v>
      </c>
      <c r="O5243" t="s">
        <v>4444</v>
      </c>
    </row>
    <row r="5244" spans="1:15">
      <c r="A5244" t="s">
        <v>3762</v>
      </c>
      <c r="B5244" t="str">
        <f ca="1">IF(ISBLANK(OFFSET(B5244,0,'Field labels'!$Q$1)),C5244,OFFSET(B5244,0,'Field labels'!$Q$1))</f>
        <v>körtér</v>
      </c>
      <c r="C5244" t="s">
        <v>4445</v>
      </c>
      <c r="D5244" t="s">
        <v>4445</v>
      </c>
      <c r="E5244" t="s">
        <v>4445</v>
      </c>
      <c r="F5244" t="s">
        <v>4445</v>
      </c>
      <c r="G5244" t="s">
        <v>4445</v>
      </c>
      <c r="H5244" t="s">
        <v>4445</v>
      </c>
      <c r="I5244" t="s">
        <v>4445</v>
      </c>
      <c r="J5244" t="s">
        <v>4445</v>
      </c>
      <c r="K5244" t="s">
        <v>4445</v>
      </c>
      <c r="L5244" t="s">
        <v>4445</v>
      </c>
      <c r="M5244" t="s">
        <v>4445</v>
      </c>
      <c r="N5244" t="s">
        <v>4445</v>
      </c>
      <c r="O5244" t="s">
        <v>4445</v>
      </c>
    </row>
    <row r="5245" spans="1:15">
      <c r="A5245" t="s">
        <v>3762</v>
      </c>
      <c r="B5245" t="str">
        <f ca="1">IF(ISBLANK(OFFSET(B5245,0,'Field labels'!$Q$1)),C5245,OFFSET(B5245,0,'Field labels'!$Q$1))</f>
        <v>körút</v>
      </c>
      <c r="C5245" t="s">
        <v>4446</v>
      </c>
      <c r="D5245" t="s">
        <v>4446</v>
      </c>
      <c r="E5245" t="s">
        <v>4446</v>
      </c>
      <c r="F5245" t="s">
        <v>4446</v>
      </c>
      <c r="G5245" t="s">
        <v>4446</v>
      </c>
      <c r="H5245" t="s">
        <v>4446</v>
      </c>
      <c r="I5245" t="s">
        <v>4446</v>
      </c>
      <c r="J5245" t="s">
        <v>4446</v>
      </c>
      <c r="K5245" t="s">
        <v>4446</v>
      </c>
      <c r="L5245" t="s">
        <v>4446</v>
      </c>
      <c r="M5245" t="s">
        <v>4446</v>
      </c>
      <c r="N5245" t="s">
        <v>4446</v>
      </c>
      <c r="O5245" t="s">
        <v>4446</v>
      </c>
    </row>
    <row r="5246" spans="1:15">
      <c r="A5246" t="s">
        <v>3762</v>
      </c>
      <c r="B5246" t="str">
        <f ca="1">IF(ISBLANK(OFFSET(B5246,0,'Field labels'!$Q$1)),C5246,OFFSET(B5246,0,'Field labels'!$Q$1))</f>
        <v>körvasútsor</v>
      </c>
      <c r="C5246" t="s">
        <v>4447</v>
      </c>
      <c r="D5246" t="s">
        <v>4447</v>
      </c>
      <c r="E5246" t="s">
        <v>4447</v>
      </c>
      <c r="F5246" t="s">
        <v>4447</v>
      </c>
      <c r="G5246" t="s">
        <v>4447</v>
      </c>
      <c r="H5246" t="s">
        <v>4447</v>
      </c>
      <c r="I5246" t="s">
        <v>4447</v>
      </c>
      <c r="J5246" t="s">
        <v>4447</v>
      </c>
      <c r="K5246" t="s">
        <v>4447</v>
      </c>
      <c r="L5246" t="s">
        <v>4447</v>
      </c>
      <c r="M5246" t="s">
        <v>4447</v>
      </c>
      <c r="N5246" t="s">
        <v>4447</v>
      </c>
      <c r="O5246" t="s">
        <v>4447</v>
      </c>
    </row>
    <row r="5247" spans="1:15">
      <c r="A5247" t="s">
        <v>3762</v>
      </c>
      <c r="B5247" t="str">
        <f ca="1">IF(ISBLANK(OFFSET(B5247,0,'Field labels'!$Q$1)),C5247,OFFSET(B5247,0,'Field labels'!$Q$1))</f>
        <v>körzet</v>
      </c>
      <c r="C5247" t="s">
        <v>4448</v>
      </c>
      <c r="D5247" t="s">
        <v>4448</v>
      </c>
      <c r="E5247" t="s">
        <v>4448</v>
      </c>
      <c r="F5247" t="s">
        <v>4448</v>
      </c>
      <c r="G5247" t="s">
        <v>4448</v>
      </c>
      <c r="H5247" t="s">
        <v>4448</v>
      </c>
      <c r="I5247" t="s">
        <v>4448</v>
      </c>
      <c r="J5247" t="s">
        <v>4448</v>
      </c>
      <c r="K5247" t="s">
        <v>4448</v>
      </c>
      <c r="L5247" t="s">
        <v>4448</v>
      </c>
      <c r="M5247" t="s">
        <v>4448</v>
      </c>
      <c r="N5247" t="s">
        <v>4448</v>
      </c>
      <c r="O5247" t="s">
        <v>4448</v>
      </c>
    </row>
    <row r="5248" spans="1:15">
      <c r="A5248" t="s">
        <v>3762</v>
      </c>
      <c r="B5248" t="str">
        <f ca="1">IF(ISBLANK(OFFSET(B5248,0,'Field labels'!$Q$1)),C5248,OFFSET(B5248,0,'Field labels'!$Q$1))</f>
        <v>korzó</v>
      </c>
      <c r="C5248" t="s">
        <v>4449</v>
      </c>
      <c r="D5248" t="s">
        <v>4449</v>
      </c>
      <c r="E5248" t="s">
        <v>4449</v>
      </c>
      <c r="F5248" t="s">
        <v>4449</v>
      </c>
      <c r="G5248" t="s">
        <v>4449</v>
      </c>
      <c r="H5248" t="s">
        <v>4449</v>
      </c>
      <c r="I5248" t="s">
        <v>4449</v>
      </c>
      <c r="J5248" t="s">
        <v>4449</v>
      </c>
      <c r="K5248" t="s">
        <v>4449</v>
      </c>
      <c r="L5248" t="s">
        <v>4449</v>
      </c>
      <c r="M5248" t="s">
        <v>4449</v>
      </c>
      <c r="N5248" t="s">
        <v>4449</v>
      </c>
      <c r="O5248" t="s">
        <v>4449</v>
      </c>
    </row>
    <row r="5249" spans="1:15">
      <c r="A5249" t="s">
        <v>3762</v>
      </c>
      <c r="B5249" t="str">
        <f ca="1">IF(ISBLANK(OFFSET(B5249,0,'Field labels'!$Q$1)),C5249,OFFSET(B5249,0,'Field labels'!$Q$1))</f>
        <v>köz</v>
      </c>
      <c r="C5249" t="s">
        <v>4450</v>
      </c>
      <c r="D5249" t="s">
        <v>4450</v>
      </c>
      <c r="E5249" t="s">
        <v>4450</v>
      </c>
      <c r="F5249" t="s">
        <v>4450</v>
      </c>
      <c r="G5249" t="s">
        <v>4450</v>
      </c>
      <c r="H5249" t="s">
        <v>4450</v>
      </c>
      <c r="I5249" t="s">
        <v>4450</v>
      </c>
      <c r="J5249" t="s">
        <v>4450</v>
      </c>
      <c r="K5249" t="s">
        <v>4450</v>
      </c>
      <c r="L5249" t="s">
        <v>4450</v>
      </c>
      <c r="M5249" t="s">
        <v>4450</v>
      </c>
      <c r="N5249" t="s">
        <v>4450</v>
      </c>
      <c r="O5249" t="s">
        <v>4450</v>
      </c>
    </row>
    <row r="5250" spans="1:15">
      <c r="A5250" t="s">
        <v>3762</v>
      </c>
      <c r="B5250" t="str">
        <f ca="1">IF(ISBLANK(OFFSET(B5250,0,'Field labels'!$Q$1)),C5250,OFFSET(B5250,0,'Field labels'!$Q$1))</f>
        <v>kültelek</v>
      </c>
      <c r="C5250" t="s">
        <v>4451</v>
      </c>
      <c r="D5250" t="s">
        <v>4451</v>
      </c>
      <c r="E5250" t="s">
        <v>4451</v>
      </c>
      <c r="F5250" t="s">
        <v>4451</v>
      </c>
      <c r="G5250" t="s">
        <v>4451</v>
      </c>
      <c r="H5250" t="s">
        <v>4451</v>
      </c>
      <c r="I5250" t="s">
        <v>4451</v>
      </c>
      <c r="J5250" t="s">
        <v>4451</v>
      </c>
      <c r="K5250" t="s">
        <v>4451</v>
      </c>
      <c r="L5250" t="s">
        <v>4451</v>
      </c>
      <c r="M5250" t="s">
        <v>4451</v>
      </c>
      <c r="N5250" t="s">
        <v>4451</v>
      </c>
      <c r="O5250" t="s">
        <v>4451</v>
      </c>
    </row>
    <row r="5251" spans="1:15">
      <c r="A5251" t="s">
        <v>3762</v>
      </c>
      <c r="B5251" t="str">
        <f ca="1">IF(ISBLANK(OFFSET(B5251,0,'Field labels'!$Q$1)),C5251,OFFSET(B5251,0,'Field labels'!$Q$1))</f>
        <v>külterület</v>
      </c>
      <c r="C5251" t="s">
        <v>4452</v>
      </c>
      <c r="D5251" t="s">
        <v>4452</v>
      </c>
      <c r="E5251" t="s">
        <v>4452</v>
      </c>
      <c r="F5251" t="s">
        <v>4452</v>
      </c>
      <c r="G5251" t="s">
        <v>4452</v>
      </c>
      <c r="H5251" t="s">
        <v>4452</v>
      </c>
      <c r="I5251" t="s">
        <v>4452</v>
      </c>
      <c r="J5251" t="s">
        <v>4452</v>
      </c>
      <c r="K5251" t="s">
        <v>4452</v>
      </c>
      <c r="L5251" t="s">
        <v>4452</v>
      </c>
      <c r="M5251" t="s">
        <v>4452</v>
      </c>
      <c r="N5251" t="s">
        <v>4452</v>
      </c>
      <c r="O5251" t="s">
        <v>4452</v>
      </c>
    </row>
    <row r="5252" spans="1:15">
      <c r="A5252" t="s">
        <v>3762</v>
      </c>
      <c r="B5252" t="str">
        <f ca="1">IF(ISBLANK(OFFSET(B5252,0,'Field labels'!$Q$1)),C5252,OFFSET(B5252,0,'Field labels'!$Q$1))</f>
        <v>kultúrpark</v>
      </c>
      <c r="C5252" t="s">
        <v>4453</v>
      </c>
      <c r="D5252" t="s">
        <v>4453</v>
      </c>
      <c r="E5252" t="s">
        <v>4453</v>
      </c>
      <c r="F5252" t="s">
        <v>4453</v>
      </c>
      <c r="G5252" t="s">
        <v>4453</v>
      </c>
      <c r="H5252" t="s">
        <v>4453</v>
      </c>
      <c r="I5252" t="s">
        <v>4453</v>
      </c>
      <c r="J5252" t="s">
        <v>4453</v>
      </c>
      <c r="K5252" t="s">
        <v>4453</v>
      </c>
      <c r="L5252" t="s">
        <v>4453</v>
      </c>
      <c r="M5252" t="s">
        <v>4453</v>
      </c>
      <c r="N5252" t="s">
        <v>4453</v>
      </c>
      <c r="O5252" t="s">
        <v>4453</v>
      </c>
    </row>
    <row r="5253" spans="1:15">
      <c r="A5253" t="s">
        <v>3762</v>
      </c>
      <c r="B5253" t="str">
        <f ca="1">IF(ISBLANK(OFFSET(B5253,0,'Field labels'!$Q$1)),C5253,OFFSET(B5253,0,'Field labels'!$Q$1))</f>
        <v>kunyhó</v>
      </c>
      <c r="C5253" t="s">
        <v>4454</v>
      </c>
      <c r="D5253" t="s">
        <v>4454</v>
      </c>
      <c r="E5253" t="s">
        <v>4454</v>
      </c>
      <c r="F5253" t="s">
        <v>4454</v>
      </c>
      <c r="G5253" t="s">
        <v>4454</v>
      </c>
      <c r="H5253" t="s">
        <v>4454</v>
      </c>
      <c r="I5253" t="s">
        <v>4454</v>
      </c>
      <c r="J5253" t="s">
        <v>4454</v>
      </c>
      <c r="K5253" t="s">
        <v>4454</v>
      </c>
      <c r="L5253" t="s">
        <v>4454</v>
      </c>
      <c r="M5253" t="s">
        <v>4454</v>
      </c>
      <c r="N5253" t="s">
        <v>4454</v>
      </c>
      <c r="O5253" t="s">
        <v>4454</v>
      </c>
    </row>
    <row r="5254" spans="1:15">
      <c r="A5254" t="s">
        <v>3762</v>
      </c>
      <c r="B5254" t="str">
        <f ca="1">IF(ISBLANK(OFFSET(B5254,0,'Field labels'!$Q$1)),C5254,OFFSET(B5254,0,'Field labels'!$Q$1))</f>
        <v>kút</v>
      </c>
      <c r="C5254" t="s">
        <v>4455</v>
      </c>
      <c r="D5254" t="s">
        <v>4455</v>
      </c>
      <c r="E5254" t="s">
        <v>4455</v>
      </c>
      <c r="F5254" t="s">
        <v>4455</v>
      </c>
      <c r="G5254" t="s">
        <v>4455</v>
      </c>
      <c r="H5254" t="s">
        <v>4455</v>
      </c>
      <c r="I5254" t="s">
        <v>4455</v>
      </c>
      <c r="J5254" t="s">
        <v>4455</v>
      </c>
      <c r="K5254" t="s">
        <v>4455</v>
      </c>
      <c r="L5254" t="s">
        <v>4455</v>
      </c>
      <c r="M5254" t="s">
        <v>4455</v>
      </c>
      <c r="N5254" t="s">
        <v>4455</v>
      </c>
      <c r="O5254" t="s">
        <v>4455</v>
      </c>
    </row>
    <row r="5255" spans="1:15">
      <c r="A5255" t="s">
        <v>3762</v>
      </c>
      <c r="B5255" t="str">
        <f ca="1">IF(ISBLANK(OFFSET(B5255,0,'Field labels'!$Q$1)),C5255,OFFSET(B5255,0,'Field labels'!$Q$1))</f>
        <v>Lake</v>
      </c>
      <c r="C5255" t="s">
        <v>4456</v>
      </c>
      <c r="D5255" t="s">
        <v>4456</v>
      </c>
      <c r="E5255" t="s">
        <v>4456</v>
      </c>
      <c r="F5255" t="s">
        <v>4456</v>
      </c>
      <c r="G5255" t="s">
        <v>4456</v>
      </c>
      <c r="H5255" t="s">
        <v>4456</v>
      </c>
      <c r="I5255" t="s">
        <v>4456</v>
      </c>
      <c r="J5255" t="s">
        <v>4456</v>
      </c>
      <c r="K5255" t="s">
        <v>4456</v>
      </c>
      <c r="L5255" t="s">
        <v>4456</v>
      </c>
      <c r="M5255" t="s">
        <v>4456</v>
      </c>
      <c r="N5255" t="s">
        <v>4456</v>
      </c>
      <c r="O5255" t="s">
        <v>4456</v>
      </c>
    </row>
    <row r="5256" spans="1:15">
      <c r="A5256" t="s">
        <v>3762</v>
      </c>
      <c r="B5256" t="str">
        <f ca="1">IF(ISBLANK(OFFSET(B5256,0,'Field labels'!$Q$1)),C5256,OFFSET(B5256,0,'Field labels'!$Q$1))</f>
        <v>lakóház</v>
      </c>
      <c r="C5256" t="s">
        <v>4457</v>
      </c>
      <c r="D5256" t="s">
        <v>4457</v>
      </c>
      <c r="E5256" t="s">
        <v>4457</v>
      </c>
      <c r="F5256" t="s">
        <v>4457</v>
      </c>
      <c r="G5256" t="s">
        <v>4457</v>
      </c>
      <c r="H5256" t="s">
        <v>4457</v>
      </c>
      <c r="I5256" t="s">
        <v>4457</v>
      </c>
      <c r="J5256" t="s">
        <v>4457</v>
      </c>
      <c r="K5256" t="s">
        <v>4457</v>
      </c>
      <c r="L5256" t="s">
        <v>4457</v>
      </c>
      <c r="M5256" t="s">
        <v>4457</v>
      </c>
      <c r="N5256" t="s">
        <v>4457</v>
      </c>
      <c r="O5256" t="s">
        <v>4457</v>
      </c>
    </row>
    <row r="5257" spans="1:15">
      <c r="A5257" t="s">
        <v>3762</v>
      </c>
      <c r="B5257" t="str">
        <f ca="1">IF(ISBLANK(OFFSET(B5257,0,'Field labels'!$Q$1)),C5257,OFFSET(B5257,0,'Field labels'!$Q$1))</f>
        <v>lakónegyed</v>
      </c>
      <c r="C5257" t="s">
        <v>4458</v>
      </c>
      <c r="D5257" t="s">
        <v>4458</v>
      </c>
      <c r="E5257" t="s">
        <v>4458</v>
      </c>
      <c r="F5257" t="s">
        <v>4458</v>
      </c>
      <c r="G5257" t="s">
        <v>4458</v>
      </c>
      <c r="H5257" t="s">
        <v>4458</v>
      </c>
      <c r="I5257" t="s">
        <v>4458</v>
      </c>
      <c r="J5257" t="s">
        <v>4458</v>
      </c>
      <c r="K5257" t="s">
        <v>4458</v>
      </c>
      <c r="L5257" t="s">
        <v>4458</v>
      </c>
      <c r="M5257" t="s">
        <v>4458</v>
      </c>
      <c r="N5257" t="s">
        <v>4458</v>
      </c>
      <c r="O5257" t="s">
        <v>4458</v>
      </c>
    </row>
    <row r="5258" spans="1:15">
      <c r="A5258" t="s">
        <v>3762</v>
      </c>
      <c r="B5258" t="str">
        <f ca="1">IF(ISBLANK(OFFSET(B5258,0,'Field labels'!$Q$1)),C5258,OFFSET(B5258,0,'Field labels'!$Q$1))</f>
        <v>lakópark</v>
      </c>
      <c r="C5258" t="s">
        <v>4459</v>
      </c>
      <c r="D5258" t="s">
        <v>4459</v>
      </c>
      <c r="E5258" t="s">
        <v>4459</v>
      </c>
      <c r="F5258" t="s">
        <v>4459</v>
      </c>
      <c r="G5258" t="s">
        <v>4459</v>
      </c>
      <c r="H5258" t="s">
        <v>4459</v>
      </c>
      <c r="I5258" t="s">
        <v>4459</v>
      </c>
      <c r="J5258" t="s">
        <v>4459</v>
      </c>
      <c r="K5258" t="s">
        <v>4459</v>
      </c>
      <c r="L5258" t="s">
        <v>4459</v>
      </c>
      <c r="M5258" t="s">
        <v>4459</v>
      </c>
      <c r="N5258" t="s">
        <v>4459</v>
      </c>
      <c r="O5258" t="s">
        <v>4459</v>
      </c>
    </row>
    <row r="5259" spans="1:15">
      <c r="A5259" t="s">
        <v>3762</v>
      </c>
      <c r="B5259" t="str">
        <f ca="1">IF(ISBLANK(OFFSET(B5259,0,'Field labels'!$Q$1)),C5259,OFFSET(B5259,0,'Field labels'!$Q$1))</f>
        <v>lakótelep</v>
      </c>
      <c r="C5259" t="s">
        <v>4460</v>
      </c>
      <c r="D5259" t="s">
        <v>4460</v>
      </c>
      <c r="E5259" t="s">
        <v>4460</v>
      </c>
      <c r="F5259" t="s">
        <v>4460</v>
      </c>
      <c r="G5259" t="s">
        <v>4460</v>
      </c>
      <c r="H5259" t="s">
        <v>4460</v>
      </c>
      <c r="I5259" t="s">
        <v>4460</v>
      </c>
      <c r="J5259" t="s">
        <v>4460</v>
      </c>
      <c r="K5259" t="s">
        <v>4460</v>
      </c>
      <c r="L5259" t="s">
        <v>4460</v>
      </c>
      <c r="M5259" t="s">
        <v>4460</v>
      </c>
      <c r="N5259" t="s">
        <v>4460</v>
      </c>
      <c r="O5259" t="s">
        <v>4460</v>
      </c>
    </row>
    <row r="5260" spans="1:15">
      <c r="A5260" t="s">
        <v>3762</v>
      </c>
      <c r="B5260" t="str">
        <f ca="1">IF(ISBLANK(OFFSET(B5260,0,'Field labels'!$Q$1)),C5260,OFFSET(B5260,0,'Field labels'!$Q$1))</f>
        <v>Lane</v>
      </c>
      <c r="C5260" t="s">
        <v>4461</v>
      </c>
      <c r="D5260" t="s">
        <v>4461</v>
      </c>
      <c r="E5260" t="s">
        <v>4461</v>
      </c>
      <c r="F5260" t="s">
        <v>4461</v>
      </c>
      <c r="G5260" t="s">
        <v>4461</v>
      </c>
      <c r="H5260" t="s">
        <v>4461</v>
      </c>
      <c r="I5260" t="s">
        <v>4461</v>
      </c>
      <c r="J5260" t="s">
        <v>4461</v>
      </c>
      <c r="K5260" t="s">
        <v>4461</v>
      </c>
      <c r="L5260" t="s">
        <v>4461</v>
      </c>
      <c r="M5260" t="s">
        <v>4461</v>
      </c>
      <c r="N5260" t="s">
        <v>4461</v>
      </c>
      <c r="O5260" t="s">
        <v>4461</v>
      </c>
    </row>
    <row r="5261" spans="1:15">
      <c r="A5261" t="s">
        <v>3762</v>
      </c>
      <c r="B5261" t="str">
        <f ca="1">IF(ISBLANK(OFFSET(B5261,0,'Field labels'!$Q$1)),C5261,OFFSET(B5261,0,'Field labels'!$Q$1))</f>
        <v>Lane</v>
      </c>
      <c r="C5261" t="s">
        <v>4461</v>
      </c>
      <c r="D5261" t="s">
        <v>4461</v>
      </c>
      <c r="E5261" t="s">
        <v>4461</v>
      </c>
      <c r="F5261" t="s">
        <v>4461</v>
      </c>
      <c r="G5261" t="s">
        <v>4461</v>
      </c>
      <c r="H5261" t="s">
        <v>4461</v>
      </c>
      <c r="I5261" t="s">
        <v>4461</v>
      </c>
      <c r="J5261" t="s">
        <v>4461</v>
      </c>
      <c r="K5261" t="s">
        <v>4461</v>
      </c>
      <c r="L5261" t="s">
        <v>4461</v>
      </c>
      <c r="M5261" t="s">
        <v>4461</v>
      </c>
      <c r="N5261" t="s">
        <v>4461</v>
      </c>
      <c r="O5261" t="s">
        <v>4461</v>
      </c>
    </row>
    <row r="5262" spans="1:15">
      <c r="A5262" t="s">
        <v>3762</v>
      </c>
      <c r="B5262" t="str">
        <f ca="1">IF(ISBLANK(OFFSET(B5262,0,'Field labels'!$Q$1)),C5262,OFFSET(B5262,0,'Field labels'!$Q$1))</f>
        <v>Lane</v>
      </c>
      <c r="C5262" t="s">
        <v>4461</v>
      </c>
      <c r="D5262" t="s">
        <v>4461</v>
      </c>
      <c r="E5262" t="s">
        <v>4461</v>
      </c>
      <c r="F5262" t="s">
        <v>4461</v>
      </c>
      <c r="G5262" t="s">
        <v>4461</v>
      </c>
      <c r="H5262" t="s">
        <v>4461</v>
      </c>
      <c r="I5262" t="s">
        <v>4461</v>
      </c>
      <c r="J5262" t="s">
        <v>4461</v>
      </c>
      <c r="K5262" t="s">
        <v>4461</v>
      </c>
      <c r="L5262" t="s">
        <v>4461</v>
      </c>
      <c r="M5262" t="s">
        <v>4461</v>
      </c>
      <c r="N5262" t="s">
        <v>4461</v>
      </c>
      <c r="O5262" t="s">
        <v>4461</v>
      </c>
    </row>
    <row r="5263" spans="1:15">
      <c r="A5263" t="s">
        <v>3762</v>
      </c>
      <c r="B5263" t="str">
        <f ca="1">IF(ISBLANK(OFFSET(B5263,0,'Field labels'!$Q$1)),C5263,OFFSET(B5263,0,'Field labels'!$Q$1))</f>
        <v>Lane</v>
      </c>
      <c r="C5263" t="s">
        <v>4461</v>
      </c>
      <c r="D5263" t="s">
        <v>4461</v>
      </c>
      <c r="E5263" t="s">
        <v>4461</v>
      </c>
      <c r="F5263" t="s">
        <v>4461</v>
      </c>
      <c r="G5263" t="s">
        <v>4461</v>
      </c>
      <c r="H5263" t="s">
        <v>4461</v>
      </c>
      <c r="I5263" t="s">
        <v>4461</v>
      </c>
      <c r="J5263" t="s">
        <v>4461</v>
      </c>
      <c r="K5263" t="s">
        <v>4461</v>
      </c>
      <c r="L5263" t="s">
        <v>4461</v>
      </c>
      <c r="M5263" t="s">
        <v>4461</v>
      </c>
      <c r="N5263" t="s">
        <v>4461</v>
      </c>
      <c r="O5263" t="s">
        <v>4461</v>
      </c>
    </row>
    <row r="5264" spans="1:15">
      <c r="A5264" t="s">
        <v>3762</v>
      </c>
      <c r="B5264" t="str">
        <f ca="1">IF(ISBLANK(OFFSET(B5264,0,'Field labels'!$Q$1)),C5264,OFFSET(B5264,0,'Field labels'!$Q$1))</f>
        <v>lejáró</v>
      </c>
      <c r="C5264" t="s">
        <v>4462</v>
      </c>
      <c r="D5264" t="s">
        <v>4462</v>
      </c>
      <c r="E5264" t="s">
        <v>4462</v>
      </c>
      <c r="F5264" t="s">
        <v>4462</v>
      </c>
      <c r="G5264" t="s">
        <v>4462</v>
      </c>
      <c r="H5264" t="s">
        <v>4462</v>
      </c>
      <c r="I5264" t="s">
        <v>4462</v>
      </c>
      <c r="J5264" t="s">
        <v>4462</v>
      </c>
      <c r="K5264" t="s">
        <v>4462</v>
      </c>
      <c r="L5264" t="s">
        <v>4462</v>
      </c>
      <c r="M5264" t="s">
        <v>4462</v>
      </c>
      <c r="N5264" t="s">
        <v>4462</v>
      </c>
      <c r="O5264" t="s">
        <v>4462</v>
      </c>
    </row>
    <row r="5265" spans="1:15">
      <c r="A5265" t="s">
        <v>3762</v>
      </c>
      <c r="B5265" t="str">
        <f ca="1">IF(ISBLANK(OFFSET(B5265,0,'Field labels'!$Q$1)),C5265,OFFSET(B5265,0,'Field labels'!$Q$1))</f>
        <v>lejtő</v>
      </c>
      <c r="C5265" t="s">
        <v>4463</v>
      </c>
      <c r="D5265" t="s">
        <v>4463</v>
      </c>
      <c r="E5265" t="s">
        <v>4463</v>
      </c>
      <c r="F5265" t="s">
        <v>4463</v>
      </c>
      <c r="G5265" t="s">
        <v>4463</v>
      </c>
      <c r="H5265" t="s">
        <v>4463</v>
      </c>
      <c r="I5265" t="s">
        <v>4463</v>
      </c>
      <c r="J5265" t="s">
        <v>4463</v>
      </c>
      <c r="K5265" t="s">
        <v>4463</v>
      </c>
      <c r="L5265" t="s">
        <v>4463</v>
      </c>
      <c r="M5265" t="s">
        <v>4463</v>
      </c>
      <c r="N5265" t="s">
        <v>4463</v>
      </c>
      <c r="O5265" t="s">
        <v>4463</v>
      </c>
    </row>
    <row r="5266" spans="1:15">
      <c r="A5266" t="s">
        <v>3762</v>
      </c>
      <c r="B5266" t="str">
        <f ca="1">IF(ISBLANK(OFFSET(B5266,0,'Field labels'!$Q$1)),C5266,OFFSET(B5266,0,'Field labels'!$Q$1))</f>
        <v>lépcső</v>
      </c>
      <c r="C5266" t="s">
        <v>4464</v>
      </c>
      <c r="D5266" t="s">
        <v>4464</v>
      </c>
      <c r="E5266" t="s">
        <v>4464</v>
      </c>
      <c r="F5266" t="s">
        <v>4464</v>
      </c>
      <c r="G5266" t="s">
        <v>4464</v>
      </c>
      <c r="H5266" t="s">
        <v>4464</v>
      </c>
      <c r="I5266" t="s">
        <v>4464</v>
      </c>
      <c r="J5266" t="s">
        <v>4464</v>
      </c>
      <c r="K5266" t="s">
        <v>4464</v>
      </c>
      <c r="L5266" t="s">
        <v>4464</v>
      </c>
      <c r="M5266" t="s">
        <v>4464</v>
      </c>
      <c r="N5266" t="s">
        <v>4464</v>
      </c>
      <c r="O5266" t="s">
        <v>4464</v>
      </c>
    </row>
    <row r="5267" spans="1:15">
      <c r="A5267" t="s">
        <v>3762</v>
      </c>
      <c r="B5267" t="str">
        <f ca="1">IF(ISBLANK(OFFSET(B5267,0,'Field labels'!$Q$1)),C5267,OFFSET(B5267,0,'Field labels'!$Q$1))</f>
        <v>liget</v>
      </c>
      <c r="C5267" t="s">
        <v>4465</v>
      </c>
      <c r="D5267" t="s">
        <v>4465</v>
      </c>
      <c r="E5267" t="s">
        <v>4465</v>
      </c>
      <c r="F5267" t="s">
        <v>4465</v>
      </c>
      <c r="G5267" t="s">
        <v>4465</v>
      </c>
      <c r="H5267" t="s">
        <v>4465</v>
      </c>
      <c r="I5267" t="s">
        <v>4465</v>
      </c>
      <c r="J5267" t="s">
        <v>4465</v>
      </c>
      <c r="K5267" t="s">
        <v>4465</v>
      </c>
      <c r="L5267" t="s">
        <v>4465</v>
      </c>
      <c r="M5267" t="s">
        <v>4465</v>
      </c>
      <c r="N5267" t="s">
        <v>4465</v>
      </c>
      <c r="O5267" t="s">
        <v>4465</v>
      </c>
    </row>
    <row r="5268" spans="1:15">
      <c r="A5268" t="s">
        <v>3762</v>
      </c>
      <c r="B5268" t="str">
        <f ca="1">IF(ISBLANK(OFFSET(B5268,0,'Field labels'!$Q$1)),C5268,OFFSET(B5268,0,'Field labels'!$Q$1))</f>
        <v>Main road</v>
      </c>
      <c r="C5268" t="s">
        <v>4466</v>
      </c>
      <c r="D5268" t="s">
        <v>4466</v>
      </c>
      <c r="E5268" t="s">
        <v>4466</v>
      </c>
      <c r="F5268" t="s">
        <v>4466</v>
      </c>
      <c r="G5268" t="s">
        <v>4466</v>
      </c>
      <c r="H5268" t="s">
        <v>4466</v>
      </c>
      <c r="I5268" t="s">
        <v>4466</v>
      </c>
      <c r="J5268" t="s">
        <v>4466</v>
      </c>
      <c r="K5268" t="s">
        <v>4466</v>
      </c>
      <c r="L5268" t="s">
        <v>4466</v>
      </c>
      <c r="M5268" t="s">
        <v>4466</v>
      </c>
      <c r="N5268" t="s">
        <v>4466</v>
      </c>
      <c r="O5268" t="s">
        <v>4466</v>
      </c>
    </row>
    <row r="5269" spans="1:15">
      <c r="A5269" t="s">
        <v>3762</v>
      </c>
      <c r="B5269" t="str">
        <f ca="1">IF(ISBLANK(OFFSET(B5269,0,'Field labels'!$Q$1)),C5269,OFFSET(B5269,0,'Field labels'!$Q$1))</f>
        <v>major</v>
      </c>
      <c r="C5269" t="s">
        <v>4467</v>
      </c>
      <c r="D5269" t="s">
        <v>4467</v>
      </c>
      <c r="E5269" t="s">
        <v>4467</v>
      </c>
      <c r="F5269" t="s">
        <v>4467</v>
      </c>
      <c r="G5269" t="s">
        <v>4467</v>
      </c>
      <c r="H5269" t="s">
        <v>4467</v>
      </c>
      <c r="I5269" t="s">
        <v>4467</v>
      </c>
      <c r="J5269" t="s">
        <v>4467</v>
      </c>
      <c r="K5269" t="s">
        <v>4467</v>
      </c>
      <c r="L5269" t="s">
        <v>4467</v>
      </c>
      <c r="M5269" t="s">
        <v>4467</v>
      </c>
      <c r="N5269" t="s">
        <v>4467</v>
      </c>
      <c r="O5269" t="s">
        <v>4467</v>
      </c>
    </row>
    <row r="5270" spans="1:15">
      <c r="A5270" t="s">
        <v>3762</v>
      </c>
      <c r="B5270" t="str">
        <f ca="1">IF(ISBLANK(OFFSET(B5270,0,'Field labels'!$Q$1)),C5270,OFFSET(B5270,0,'Field labels'!$Q$1))</f>
        <v>malom</v>
      </c>
      <c r="C5270" t="s">
        <v>4468</v>
      </c>
      <c r="D5270" t="s">
        <v>4468</v>
      </c>
      <c r="E5270" t="s">
        <v>4468</v>
      </c>
      <c r="F5270" t="s">
        <v>4468</v>
      </c>
      <c r="G5270" t="s">
        <v>4468</v>
      </c>
      <c r="H5270" t="s">
        <v>4468</v>
      </c>
      <c r="I5270" t="s">
        <v>4468</v>
      </c>
      <c r="J5270" t="s">
        <v>4468</v>
      </c>
      <c r="K5270" t="s">
        <v>4468</v>
      </c>
      <c r="L5270" t="s">
        <v>4468</v>
      </c>
      <c r="M5270" t="s">
        <v>4468</v>
      </c>
      <c r="N5270" t="s">
        <v>4468</v>
      </c>
      <c r="O5270" t="s">
        <v>4468</v>
      </c>
    </row>
    <row r="5271" spans="1:15">
      <c r="A5271" t="s">
        <v>3762</v>
      </c>
      <c r="B5271" t="str">
        <f ca="1">IF(ISBLANK(OFFSET(B5271,0,'Field labels'!$Q$1)),C5271,OFFSET(B5271,0,'Field labels'!$Q$1))</f>
        <v>Market</v>
      </c>
      <c r="C5271" t="s">
        <v>3775</v>
      </c>
      <c r="D5271" t="s">
        <v>3775</v>
      </c>
      <c r="E5271" t="s">
        <v>3775</v>
      </c>
      <c r="F5271" t="s">
        <v>3775</v>
      </c>
      <c r="G5271" t="s">
        <v>3775</v>
      </c>
      <c r="H5271" t="s">
        <v>3775</v>
      </c>
      <c r="I5271" t="s">
        <v>3775</v>
      </c>
      <c r="J5271" t="s">
        <v>3775</v>
      </c>
      <c r="K5271" t="s">
        <v>3775</v>
      </c>
      <c r="L5271" t="s">
        <v>3775</v>
      </c>
      <c r="M5271" t="s">
        <v>3775</v>
      </c>
      <c r="N5271" t="s">
        <v>3775</v>
      </c>
      <c r="O5271" t="s">
        <v>3775</v>
      </c>
    </row>
    <row r="5272" spans="1:15">
      <c r="A5272" t="s">
        <v>3762</v>
      </c>
      <c r="B5272" t="str">
        <f ca="1">IF(ISBLANK(OFFSET(B5272,0,'Field labels'!$Q$1)),C5272,OFFSET(B5272,0,'Field labels'!$Q$1))</f>
        <v>Mazo</v>
      </c>
      <c r="C5272" t="s">
        <v>3776</v>
      </c>
      <c r="D5272" t="s">
        <v>3776</v>
      </c>
      <c r="E5272" t="s">
        <v>3776</v>
      </c>
      <c r="F5272" t="s">
        <v>3776</v>
      </c>
      <c r="G5272" t="s">
        <v>3776</v>
      </c>
      <c r="H5272" t="s">
        <v>3776</v>
      </c>
      <c r="I5272" t="s">
        <v>3776</v>
      </c>
      <c r="J5272" t="s">
        <v>3776</v>
      </c>
      <c r="K5272" t="s">
        <v>3776</v>
      </c>
      <c r="L5272" t="s">
        <v>3776</v>
      </c>
      <c r="M5272" t="s">
        <v>3776</v>
      </c>
      <c r="N5272" t="s">
        <v>3776</v>
      </c>
      <c r="O5272" t="s">
        <v>3776</v>
      </c>
    </row>
    <row r="5273" spans="1:15">
      <c r="A5273" t="s">
        <v>3762</v>
      </c>
      <c r="B5273" t="str">
        <f ca="1">IF(ISBLANK(OFFSET(B5273,0,'Field labels'!$Q$1)),C5273,OFFSET(B5273,0,'Field labels'!$Q$1))</f>
        <v>Meadow</v>
      </c>
      <c r="C5273" t="s">
        <v>4469</v>
      </c>
      <c r="D5273" t="s">
        <v>4469</v>
      </c>
      <c r="E5273" t="s">
        <v>4469</v>
      </c>
      <c r="F5273" t="s">
        <v>4469</v>
      </c>
      <c r="G5273" t="s">
        <v>4469</v>
      </c>
      <c r="H5273" t="s">
        <v>4469</v>
      </c>
      <c r="I5273" t="s">
        <v>4469</v>
      </c>
      <c r="J5273" t="s">
        <v>4469</v>
      </c>
      <c r="K5273" t="s">
        <v>4469</v>
      </c>
      <c r="L5273" t="s">
        <v>4469</v>
      </c>
      <c r="M5273" t="s">
        <v>4469</v>
      </c>
      <c r="N5273" t="s">
        <v>4469</v>
      </c>
      <c r="O5273" t="s">
        <v>4469</v>
      </c>
    </row>
    <row r="5274" spans="1:15">
      <c r="A5274" t="s">
        <v>3762</v>
      </c>
      <c r="B5274" t="str">
        <f ca="1">IF(ISBLANK(OFFSET(B5274,0,'Field labels'!$Q$1)),C5274,OFFSET(B5274,0,'Field labels'!$Q$1))</f>
        <v>Meadow</v>
      </c>
      <c r="C5274" t="s">
        <v>4469</v>
      </c>
      <c r="D5274" t="s">
        <v>4469</v>
      </c>
      <c r="E5274" t="s">
        <v>4469</v>
      </c>
      <c r="F5274" t="s">
        <v>4469</v>
      </c>
      <c r="G5274" t="s">
        <v>4469</v>
      </c>
      <c r="H5274" t="s">
        <v>4469</v>
      </c>
      <c r="I5274" t="s">
        <v>4469</v>
      </c>
      <c r="J5274" t="s">
        <v>4469</v>
      </c>
      <c r="K5274" t="s">
        <v>4469</v>
      </c>
      <c r="L5274" t="s">
        <v>4469</v>
      </c>
      <c r="M5274" t="s">
        <v>4469</v>
      </c>
      <c r="N5274" t="s">
        <v>4469</v>
      </c>
      <c r="O5274" t="s">
        <v>4469</v>
      </c>
    </row>
    <row r="5275" spans="1:15">
      <c r="A5275" t="s">
        <v>3762</v>
      </c>
      <c r="B5275" t="str">
        <f ca="1">IF(ISBLANK(OFFSET(B5275,0,'Field labels'!$Q$1)),C5275,OFFSET(B5275,0,'Field labels'!$Q$1))</f>
        <v>mélyút</v>
      </c>
      <c r="C5275" t="s">
        <v>4470</v>
      </c>
      <c r="D5275" t="s">
        <v>4470</v>
      </c>
      <c r="E5275" t="s">
        <v>4470</v>
      </c>
      <c r="F5275" t="s">
        <v>4470</v>
      </c>
      <c r="G5275" t="s">
        <v>4470</v>
      </c>
      <c r="H5275" t="s">
        <v>4470</v>
      </c>
      <c r="I5275" t="s">
        <v>4470</v>
      </c>
      <c r="J5275" t="s">
        <v>4470</v>
      </c>
      <c r="K5275" t="s">
        <v>4470</v>
      </c>
      <c r="L5275" t="s">
        <v>4470</v>
      </c>
      <c r="M5275" t="s">
        <v>4470</v>
      </c>
      <c r="N5275" t="s">
        <v>4470</v>
      </c>
      <c r="O5275" t="s">
        <v>4470</v>
      </c>
    </row>
    <row r="5276" spans="1:15">
      <c r="A5276" t="s">
        <v>3762</v>
      </c>
      <c r="B5276" t="str">
        <f ca="1">IF(ISBLANK(OFFSET(B5276,0,'Field labels'!$Q$1)),C5276,OFFSET(B5276,0,'Field labels'!$Q$1))</f>
        <v>menedékház</v>
      </c>
      <c r="C5276" t="s">
        <v>4471</v>
      </c>
      <c r="D5276" t="s">
        <v>4471</v>
      </c>
      <c r="E5276" t="s">
        <v>4471</v>
      </c>
      <c r="F5276" t="s">
        <v>4471</v>
      </c>
      <c r="G5276" t="s">
        <v>4471</v>
      </c>
      <c r="H5276" t="s">
        <v>4471</v>
      </c>
      <c r="I5276" t="s">
        <v>4471</v>
      </c>
      <c r="J5276" t="s">
        <v>4471</v>
      </c>
      <c r="K5276" t="s">
        <v>4471</v>
      </c>
      <c r="L5276" t="s">
        <v>4471</v>
      </c>
      <c r="M5276" t="s">
        <v>4471</v>
      </c>
      <c r="N5276" t="s">
        <v>4471</v>
      </c>
      <c r="O5276" t="s">
        <v>4471</v>
      </c>
    </row>
    <row r="5277" spans="1:15">
      <c r="A5277" t="s">
        <v>3762</v>
      </c>
      <c r="B5277" t="str">
        <f ca="1">IF(ISBLANK(OFFSET(B5277,0,'Field labels'!$Q$1)),C5277,OFFSET(B5277,0,'Field labels'!$Q$1))</f>
        <v>Monastery</v>
      </c>
      <c r="C5277" t="s">
        <v>4472</v>
      </c>
      <c r="D5277" t="s">
        <v>4472</v>
      </c>
      <c r="E5277" t="s">
        <v>4472</v>
      </c>
      <c r="F5277" t="s">
        <v>4472</v>
      </c>
      <c r="G5277" t="s">
        <v>4472</v>
      </c>
      <c r="H5277" t="s">
        <v>4472</v>
      </c>
      <c r="I5277" t="s">
        <v>4472</v>
      </c>
      <c r="J5277" t="s">
        <v>4472</v>
      </c>
      <c r="K5277" t="s">
        <v>4472</v>
      </c>
      <c r="L5277" t="s">
        <v>4472</v>
      </c>
      <c r="M5277" t="s">
        <v>4472</v>
      </c>
      <c r="N5277" t="s">
        <v>4472</v>
      </c>
      <c r="O5277" t="s">
        <v>4472</v>
      </c>
    </row>
    <row r="5278" spans="1:15">
      <c r="A5278" t="s">
        <v>3762</v>
      </c>
      <c r="B5278" t="str">
        <f ca="1">IF(ISBLANK(OFFSET(B5278,0,'Field labels'!$Q$1)),C5278,OFFSET(B5278,0,'Field labels'!$Q$1))</f>
        <v>Mountainside</v>
      </c>
      <c r="C5278" t="s">
        <v>4473</v>
      </c>
      <c r="D5278" t="s">
        <v>4473</v>
      </c>
      <c r="E5278" t="s">
        <v>4473</v>
      </c>
      <c r="F5278" t="s">
        <v>4473</v>
      </c>
      <c r="G5278" t="s">
        <v>4473</v>
      </c>
      <c r="H5278" t="s">
        <v>4473</v>
      </c>
      <c r="I5278" t="s">
        <v>4473</v>
      </c>
      <c r="J5278" t="s">
        <v>4473</v>
      </c>
      <c r="K5278" t="s">
        <v>4473</v>
      </c>
      <c r="L5278" t="s">
        <v>4473</v>
      </c>
      <c r="M5278" t="s">
        <v>4473</v>
      </c>
      <c r="N5278" t="s">
        <v>4473</v>
      </c>
      <c r="O5278" t="s">
        <v>4473</v>
      </c>
    </row>
    <row r="5279" spans="1:15">
      <c r="A5279" t="s">
        <v>3762</v>
      </c>
      <c r="B5279" t="str">
        <f ca="1">IF(ISBLANK(OFFSET(B5279,0,'Field labels'!$Q$1)),C5279,OFFSET(B5279,0,'Field labels'!$Q$1))</f>
        <v>munkásszálló</v>
      </c>
      <c r="C5279" t="s">
        <v>4474</v>
      </c>
      <c r="D5279" t="s">
        <v>4474</v>
      </c>
      <c r="E5279" t="s">
        <v>4474</v>
      </c>
      <c r="F5279" t="s">
        <v>4474</v>
      </c>
      <c r="G5279" t="s">
        <v>4474</v>
      </c>
      <c r="H5279" t="s">
        <v>4474</v>
      </c>
      <c r="I5279" t="s">
        <v>4474</v>
      </c>
      <c r="J5279" t="s">
        <v>4474</v>
      </c>
      <c r="K5279" t="s">
        <v>4474</v>
      </c>
      <c r="L5279" t="s">
        <v>4474</v>
      </c>
      <c r="M5279" t="s">
        <v>4474</v>
      </c>
      <c r="N5279" t="s">
        <v>4474</v>
      </c>
      <c r="O5279" t="s">
        <v>4474</v>
      </c>
    </row>
    <row r="5280" spans="1:15">
      <c r="A5280" t="s">
        <v>3762</v>
      </c>
      <c r="B5280" t="str">
        <f ca="1">IF(ISBLANK(OFFSET(B5280,0,'Field labels'!$Q$1)),C5280,OFFSET(B5280,0,'Field labels'!$Q$1))</f>
        <v>műút</v>
      </c>
      <c r="C5280" t="s">
        <v>4475</v>
      </c>
      <c r="D5280" t="s">
        <v>4475</v>
      </c>
      <c r="E5280" t="s">
        <v>4475</v>
      </c>
      <c r="F5280" t="s">
        <v>4475</v>
      </c>
      <c r="G5280" t="s">
        <v>4475</v>
      </c>
      <c r="H5280" t="s">
        <v>4475</v>
      </c>
      <c r="I5280" t="s">
        <v>4475</v>
      </c>
      <c r="J5280" t="s">
        <v>4475</v>
      </c>
      <c r="K5280" t="s">
        <v>4475</v>
      </c>
      <c r="L5280" t="s">
        <v>4475</v>
      </c>
      <c r="M5280" t="s">
        <v>4475</v>
      </c>
      <c r="N5280" t="s">
        <v>4475</v>
      </c>
      <c r="O5280" t="s">
        <v>4475</v>
      </c>
    </row>
    <row r="5281" spans="1:15">
      <c r="A5281" t="s">
        <v>3762</v>
      </c>
      <c r="B5281" t="str">
        <f ca="1">IF(ISBLANK(OFFSET(B5281,0,'Field labels'!$Q$1)),C5281,OFFSET(B5281,0,'Field labels'!$Q$1))</f>
        <v>Neighborhood</v>
      </c>
      <c r="C5281" t="s">
        <v>3777</v>
      </c>
      <c r="D5281" t="s">
        <v>3777</v>
      </c>
      <c r="E5281" t="s">
        <v>3777</v>
      </c>
      <c r="F5281" t="s">
        <v>3777</v>
      </c>
      <c r="G5281" t="s">
        <v>3777</v>
      </c>
      <c r="H5281" t="s">
        <v>3777</v>
      </c>
      <c r="I5281" t="s">
        <v>3777</v>
      </c>
      <c r="J5281" t="s">
        <v>3777</v>
      </c>
      <c r="K5281" t="s">
        <v>3777</v>
      </c>
      <c r="L5281" t="s">
        <v>3777</v>
      </c>
      <c r="M5281" t="s">
        <v>3777</v>
      </c>
      <c r="N5281" t="s">
        <v>3777</v>
      </c>
      <c r="O5281" t="s">
        <v>3777</v>
      </c>
    </row>
    <row r="5282" spans="1:15">
      <c r="A5282" t="s">
        <v>3762</v>
      </c>
      <c r="B5282" t="str">
        <f ca="1">IF(ISBLANK(OFFSET(B5282,0,'Field labels'!$Q$1)),C5282,OFFSET(B5282,0,'Field labels'!$Q$1))</f>
        <v>Neighborhood</v>
      </c>
      <c r="C5282" t="s">
        <v>3777</v>
      </c>
      <c r="D5282" t="s">
        <v>3777</v>
      </c>
      <c r="E5282" t="s">
        <v>3777</v>
      </c>
      <c r="F5282" t="s">
        <v>3777</v>
      </c>
      <c r="G5282" t="s">
        <v>3777</v>
      </c>
      <c r="H5282" t="s">
        <v>3777</v>
      </c>
      <c r="I5282" t="s">
        <v>3777</v>
      </c>
      <c r="J5282" t="s">
        <v>3777</v>
      </c>
      <c r="K5282" t="s">
        <v>3777</v>
      </c>
      <c r="L5282" t="s">
        <v>3777</v>
      </c>
      <c r="M5282" t="s">
        <v>3777</v>
      </c>
      <c r="N5282" t="s">
        <v>3777</v>
      </c>
      <c r="O5282" t="s">
        <v>3777</v>
      </c>
    </row>
    <row r="5283" spans="1:15">
      <c r="A5283" t="s">
        <v>3762</v>
      </c>
      <c r="B5283" t="str">
        <f ca="1">IF(ISBLANK(OFFSET(B5283,0,'Field labels'!$Q$1)),C5283,OFFSET(B5283,0,'Field labels'!$Q$1))</f>
        <v>Neighborhood</v>
      </c>
      <c r="C5283" t="s">
        <v>3777</v>
      </c>
      <c r="D5283" t="s">
        <v>3777</v>
      </c>
      <c r="E5283" t="s">
        <v>3777</v>
      </c>
      <c r="F5283" t="s">
        <v>3777</v>
      </c>
      <c r="G5283" t="s">
        <v>3777</v>
      </c>
      <c r="H5283" t="s">
        <v>3777</v>
      </c>
      <c r="I5283" t="s">
        <v>3777</v>
      </c>
      <c r="J5283" t="s">
        <v>3777</v>
      </c>
      <c r="K5283" t="s">
        <v>3777</v>
      </c>
      <c r="L5283" t="s">
        <v>3777</v>
      </c>
      <c r="M5283" t="s">
        <v>3777</v>
      </c>
      <c r="N5283" t="s">
        <v>3777</v>
      </c>
      <c r="O5283" t="s">
        <v>3777</v>
      </c>
    </row>
    <row r="5284" spans="1:15">
      <c r="A5284" t="s">
        <v>3762</v>
      </c>
      <c r="B5284" t="str">
        <f ca="1">IF(ISBLANK(OFFSET(B5284,0,'Field labels'!$Q$1)),C5284,OFFSET(B5284,0,'Field labels'!$Q$1))</f>
        <v>oldal</v>
      </c>
      <c r="C5284" t="s">
        <v>4476</v>
      </c>
      <c r="D5284" t="s">
        <v>4476</v>
      </c>
      <c r="E5284" t="s">
        <v>4476</v>
      </c>
      <c r="F5284" t="s">
        <v>4476</v>
      </c>
      <c r="G5284" t="s">
        <v>4476</v>
      </c>
      <c r="H5284" t="s">
        <v>4476</v>
      </c>
      <c r="I5284" t="s">
        <v>4476</v>
      </c>
      <c r="J5284" t="s">
        <v>4476</v>
      </c>
      <c r="K5284" t="s">
        <v>4476</v>
      </c>
      <c r="L5284" t="s">
        <v>4476</v>
      </c>
      <c r="M5284" t="s">
        <v>4476</v>
      </c>
      <c r="N5284" t="s">
        <v>4476</v>
      </c>
      <c r="O5284" t="s">
        <v>4476</v>
      </c>
    </row>
    <row r="5285" spans="1:15">
      <c r="A5285" t="s">
        <v>3762</v>
      </c>
      <c r="B5285" t="str">
        <f ca="1">IF(ISBLANK(OFFSET(B5285,0,'Field labels'!$Q$1)),C5285,OFFSET(B5285,0,'Field labels'!$Q$1))</f>
        <v>őrház</v>
      </c>
      <c r="C5285" t="s">
        <v>4477</v>
      </c>
      <c r="D5285" t="s">
        <v>4477</v>
      </c>
      <c r="E5285" t="s">
        <v>4477</v>
      </c>
      <c r="F5285" t="s">
        <v>4477</v>
      </c>
      <c r="G5285" t="s">
        <v>4477</v>
      </c>
      <c r="H5285" t="s">
        <v>4477</v>
      </c>
      <c r="I5285" t="s">
        <v>4477</v>
      </c>
      <c r="J5285" t="s">
        <v>4477</v>
      </c>
      <c r="K5285" t="s">
        <v>4477</v>
      </c>
      <c r="L5285" t="s">
        <v>4477</v>
      </c>
      <c r="M5285" t="s">
        <v>4477</v>
      </c>
      <c r="N5285" t="s">
        <v>4477</v>
      </c>
      <c r="O5285" t="s">
        <v>4477</v>
      </c>
    </row>
    <row r="5286" spans="1:15">
      <c r="A5286" t="s">
        <v>3762</v>
      </c>
      <c r="B5286" t="str">
        <f ca="1">IF(ISBLANK(OFFSET(B5286,0,'Field labels'!$Q$1)),C5286,OFFSET(B5286,0,'Field labels'!$Q$1))</f>
        <v>őrházak</v>
      </c>
      <c r="C5286" t="s">
        <v>4478</v>
      </c>
      <c r="D5286" t="s">
        <v>4478</v>
      </c>
      <c r="E5286" t="s">
        <v>4478</v>
      </c>
      <c r="F5286" t="s">
        <v>4478</v>
      </c>
      <c r="G5286" t="s">
        <v>4478</v>
      </c>
      <c r="H5286" t="s">
        <v>4478</v>
      </c>
      <c r="I5286" t="s">
        <v>4478</v>
      </c>
      <c r="J5286" t="s">
        <v>4478</v>
      </c>
      <c r="K5286" t="s">
        <v>4478</v>
      </c>
      <c r="L5286" t="s">
        <v>4478</v>
      </c>
      <c r="M5286" t="s">
        <v>4478</v>
      </c>
      <c r="N5286" t="s">
        <v>4478</v>
      </c>
      <c r="O5286" t="s">
        <v>4478</v>
      </c>
    </row>
    <row r="5287" spans="1:15">
      <c r="A5287" t="s">
        <v>3762</v>
      </c>
      <c r="B5287" t="str">
        <f ca="1">IF(ISBLANK(OFFSET(B5287,0,'Field labels'!$Q$1)),C5287,OFFSET(B5287,0,'Field labels'!$Q$1))</f>
        <v>őrházlak</v>
      </c>
      <c r="C5287" t="s">
        <v>4479</v>
      </c>
      <c r="D5287" t="s">
        <v>4479</v>
      </c>
      <c r="E5287" t="s">
        <v>4479</v>
      </c>
      <c r="F5287" t="s">
        <v>4479</v>
      </c>
      <c r="G5287" t="s">
        <v>4479</v>
      </c>
      <c r="H5287" t="s">
        <v>4479</v>
      </c>
      <c r="I5287" t="s">
        <v>4479</v>
      </c>
      <c r="J5287" t="s">
        <v>4479</v>
      </c>
      <c r="K5287" t="s">
        <v>4479</v>
      </c>
      <c r="L5287" t="s">
        <v>4479</v>
      </c>
      <c r="M5287" t="s">
        <v>4479</v>
      </c>
      <c r="N5287" t="s">
        <v>4479</v>
      </c>
      <c r="O5287" t="s">
        <v>4479</v>
      </c>
    </row>
    <row r="5288" spans="1:15">
      <c r="A5288" t="s">
        <v>3762</v>
      </c>
      <c r="B5288" t="str">
        <f ca="1">IF(ISBLANK(OFFSET(B5288,0,'Field labels'!$Q$1)),C5288,OFFSET(B5288,0,'Field labels'!$Q$1))</f>
        <v>orom</v>
      </c>
      <c r="C5288" t="s">
        <v>4480</v>
      </c>
      <c r="D5288" t="s">
        <v>4480</v>
      </c>
      <c r="E5288" t="s">
        <v>4480</v>
      </c>
      <c r="F5288" t="s">
        <v>4480</v>
      </c>
      <c r="G5288" t="s">
        <v>4480</v>
      </c>
      <c r="H5288" t="s">
        <v>4480</v>
      </c>
      <c r="I5288" t="s">
        <v>4480</v>
      </c>
      <c r="J5288" t="s">
        <v>4480</v>
      </c>
      <c r="K5288" t="s">
        <v>4480</v>
      </c>
      <c r="L5288" t="s">
        <v>4480</v>
      </c>
      <c r="M5288" t="s">
        <v>4480</v>
      </c>
      <c r="N5288" t="s">
        <v>4480</v>
      </c>
      <c r="O5288" t="s">
        <v>4480</v>
      </c>
    </row>
    <row r="5289" spans="1:15">
      <c r="A5289" t="s">
        <v>3762</v>
      </c>
      <c r="B5289" t="str">
        <f ca="1">IF(ISBLANK(OFFSET(B5289,0,'Field labels'!$Q$1)),C5289,OFFSET(B5289,0,'Field labels'!$Q$1))</f>
        <v>Outskirts</v>
      </c>
      <c r="C5289" t="s">
        <v>4481</v>
      </c>
      <c r="D5289" t="s">
        <v>4481</v>
      </c>
      <c r="E5289" t="s">
        <v>4481</v>
      </c>
      <c r="F5289" t="s">
        <v>4481</v>
      </c>
      <c r="G5289" t="s">
        <v>4481</v>
      </c>
      <c r="H5289" t="s">
        <v>4481</v>
      </c>
      <c r="I5289" t="s">
        <v>4481</v>
      </c>
      <c r="J5289" t="s">
        <v>4481</v>
      </c>
      <c r="K5289" t="s">
        <v>4481</v>
      </c>
      <c r="L5289" t="s">
        <v>4481</v>
      </c>
      <c r="M5289" t="s">
        <v>4481</v>
      </c>
      <c r="N5289" t="s">
        <v>4481</v>
      </c>
      <c r="O5289" t="s">
        <v>4481</v>
      </c>
    </row>
    <row r="5290" spans="1:15">
      <c r="A5290" t="s">
        <v>3762</v>
      </c>
      <c r="B5290" t="str">
        <f ca="1">IF(ISBLANK(OFFSET(B5290,0,'Field labels'!$Q$1)),C5290,OFFSET(B5290,0,'Field labels'!$Q$1))</f>
        <v>Outskirts</v>
      </c>
      <c r="C5290" t="s">
        <v>4481</v>
      </c>
      <c r="D5290" t="s">
        <v>4481</v>
      </c>
      <c r="E5290" t="s">
        <v>4481</v>
      </c>
      <c r="F5290" t="s">
        <v>4481</v>
      </c>
      <c r="G5290" t="s">
        <v>4481</v>
      </c>
      <c r="H5290" t="s">
        <v>4481</v>
      </c>
      <c r="I5290" t="s">
        <v>4481</v>
      </c>
      <c r="J5290" t="s">
        <v>4481</v>
      </c>
      <c r="K5290" t="s">
        <v>4481</v>
      </c>
      <c r="L5290" t="s">
        <v>4481</v>
      </c>
      <c r="M5290" t="s">
        <v>4481</v>
      </c>
      <c r="N5290" t="s">
        <v>4481</v>
      </c>
      <c r="O5290" t="s">
        <v>4481</v>
      </c>
    </row>
    <row r="5291" spans="1:15">
      <c r="A5291" t="s">
        <v>3762</v>
      </c>
      <c r="B5291" t="str">
        <f ca="1">IF(ISBLANK(OFFSET(B5291,0,'Field labels'!$Q$1)),C5291,OFFSET(B5291,0,'Field labels'!$Q$1))</f>
        <v>Palace</v>
      </c>
      <c r="C5291" t="s">
        <v>4482</v>
      </c>
      <c r="D5291" t="s">
        <v>4482</v>
      </c>
      <c r="E5291" t="s">
        <v>4482</v>
      </c>
      <c r="F5291" t="s">
        <v>4482</v>
      </c>
      <c r="G5291" t="s">
        <v>4482</v>
      </c>
      <c r="H5291" t="s">
        <v>4482</v>
      </c>
      <c r="I5291" t="s">
        <v>4482</v>
      </c>
      <c r="J5291" t="s">
        <v>4482</v>
      </c>
      <c r="K5291" t="s">
        <v>4482</v>
      </c>
      <c r="L5291" t="s">
        <v>4482</v>
      </c>
      <c r="M5291" t="s">
        <v>4482</v>
      </c>
      <c r="N5291" t="s">
        <v>4482</v>
      </c>
      <c r="O5291" t="s">
        <v>4482</v>
      </c>
    </row>
    <row r="5292" spans="1:15">
      <c r="A5292" t="s">
        <v>3762</v>
      </c>
      <c r="B5292" t="str">
        <f ca="1">IF(ISBLANK(OFFSET(B5292,0,'Field labels'!$Q$1)),C5292,OFFSET(B5292,0,'Field labels'!$Q$1))</f>
        <v>pálya</v>
      </c>
      <c r="C5292" t="s">
        <v>4483</v>
      </c>
      <c r="D5292" t="s">
        <v>4483</v>
      </c>
      <c r="E5292" t="s">
        <v>4483</v>
      </c>
      <c r="F5292" t="s">
        <v>4483</v>
      </c>
      <c r="G5292" t="s">
        <v>4483</v>
      </c>
      <c r="H5292" t="s">
        <v>4483</v>
      </c>
      <c r="I5292" t="s">
        <v>4483</v>
      </c>
      <c r="J5292" t="s">
        <v>4483</v>
      </c>
      <c r="K5292" t="s">
        <v>4483</v>
      </c>
      <c r="L5292" t="s">
        <v>4483</v>
      </c>
      <c r="M5292" t="s">
        <v>4483</v>
      </c>
      <c r="N5292" t="s">
        <v>4483</v>
      </c>
      <c r="O5292" t="s">
        <v>4483</v>
      </c>
    </row>
    <row r="5293" spans="1:15">
      <c r="A5293" t="s">
        <v>3762</v>
      </c>
      <c r="B5293" t="str">
        <f ca="1">IF(ISBLANK(OFFSET(B5293,0,'Field labels'!$Q$1)),C5293,OFFSET(B5293,0,'Field labels'!$Q$1))</f>
        <v>pályaudvar</v>
      </c>
      <c r="C5293" t="s">
        <v>4484</v>
      </c>
      <c r="D5293" t="s">
        <v>4484</v>
      </c>
      <c r="E5293" t="s">
        <v>4484</v>
      </c>
      <c r="F5293" t="s">
        <v>4484</v>
      </c>
      <c r="G5293" t="s">
        <v>4484</v>
      </c>
      <c r="H5293" t="s">
        <v>4484</v>
      </c>
      <c r="I5293" t="s">
        <v>4484</v>
      </c>
      <c r="J5293" t="s">
        <v>4484</v>
      </c>
      <c r="K5293" t="s">
        <v>4484</v>
      </c>
      <c r="L5293" t="s">
        <v>4484</v>
      </c>
      <c r="M5293" t="s">
        <v>4484</v>
      </c>
      <c r="N5293" t="s">
        <v>4484</v>
      </c>
      <c r="O5293" t="s">
        <v>4484</v>
      </c>
    </row>
    <row r="5294" spans="1:15">
      <c r="A5294" t="s">
        <v>3762</v>
      </c>
      <c r="B5294" t="str">
        <f ca="1">IF(ISBLANK(OFFSET(B5294,0,'Field labels'!$Q$1)),C5294,OFFSET(B5294,0,'Field labels'!$Q$1))</f>
        <v>Park</v>
      </c>
      <c r="C5294" t="s">
        <v>3778</v>
      </c>
      <c r="D5294" t="s">
        <v>3778</v>
      </c>
      <c r="E5294" t="s">
        <v>3778</v>
      </c>
      <c r="F5294" t="s">
        <v>3778</v>
      </c>
      <c r="G5294" t="s">
        <v>3778</v>
      </c>
      <c r="H5294" t="s">
        <v>3778</v>
      </c>
      <c r="I5294" t="s">
        <v>3778</v>
      </c>
      <c r="J5294" t="s">
        <v>3778</v>
      </c>
      <c r="K5294" t="s">
        <v>3778</v>
      </c>
      <c r="L5294" t="s">
        <v>3778</v>
      </c>
      <c r="M5294" t="s">
        <v>3778</v>
      </c>
      <c r="N5294" t="s">
        <v>3778</v>
      </c>
      <c r="O5294" t="s">
        <v>3778</v>
      </c>
    </row>
    <row r="5295" spans="1:15">
      <c r="A5295" t="s">
        <v>3762</v>
      </c>
      <c r="B5295" t="str">
        <f ca="1">IF(ISBLANK(OFFSET(B5295,0,'Field labels'!$Q$1)),C5295,OFFSET(B5295,0,'Field labels'!$Q$1))</f>
        <v>park</v>
      </c>
      <c r="C5295" t="s">
        <v>4485</v>
      </c>
      <c r="D5295" t="s">
        <v>4485</v>
      </c>
      <c r="E5295" t="s">
        <v>4485</v>
      </c>
      <c r="F5295" t="s">
        <v>4485</v>
      </c>
      <c r="G5295" t="s">
        <v>4485</v>
      </c>
      <c r="H5295" t="s">
        <v>4485</v>
      </c>
      <c r="I5295" t="s">
        <v>4485</v>
      </c>
      <c r="J5295" t="s">
        <v>4485</v>
      </c>
      <c r="K5295" t="s">
        <v>4485</v>
      </c>
      <c r="L5295" t="s">
        <v>4485</v>
      </c>
      <c r="M5295" t="s">
        <v>4485</v>
      </c>
      <c r="N5295" t="s">
        <v>4485</v>
      </c>
      <c r="O5295" t="s">
        <v>4485</v>
      </c>
    </row>
    <row r="5296" spans="1:15">
      <c r="A5296" t="s">
        <v>3762</v>
      </c>
      <c r="B5296" t="str">
        <f ca="1">IF(ISBLANK(OFFSET(B5296,0,'Field labels'!$Q$1)),C5296,OFFSET(B5296,0,'Field labels'!$Q$1))</f>
        <v>parkja</v>
      </c>
      <c r="C5296" t="s">
        <v>4486</v>
      </c>
      <c r="D5296" t="s">
        <v>4486</v>
      </c>
      <c r="E5296" t="s">
        <v>4486</v>
      </c>
      <c r="F5296" t="s">
        <v>4486</v>
      </c>
      <c r="G5296" t="s">
        <v>4486</v>
      </c>
      <c r="H5296" t="s">
        <v>4486</v>
      </c>
      <c r="I5296" t="s">
        <v>4486</v>
      </c>
      <c r="J5296" t="s">
        <v>4486</v>
      </c>
      <c r="K5296" t="s">
        <v>4486</v>
      </c>
      <c r="L5296" t="s">
        <v>4486</v>
      </c>
      <c r="M5296" t="s">
        <v>4486</v>
      </c>
      <c r="N5296" t="s">
        <v>4486</v>
      </c>
      <c r="O5296" t="s">
        <v>4486</v>
      </c>
    </row>
    <row r="5297" spans="1:15">
      <c r="A5297" t="s">
        <v>3762</v>
      </c>
      <c r="B5297" t="str">
        <f ca="1">IF(ISBLANK(OFFSET(B5297,0,'Field labels'!$Q$1)),C5297,OFFSET(B5297,0,'Field labels'!$Q$1))</f>
        <v>parkoló</v>
      </c>
      <c r="C5297" t="s">
        <v>4487</v>
      </c>
      <c r="D5297" t="s">
        <v>4487</v>
      </c>
      <c r="E5297" t="s">
        <v>4487</v>
      </c>
      <c r="F5297" t="s">
        <v>4487</v>
      </c>
      <c r="G5297" t="s">
        <v>4487</v>
      </c>
      <c r="H5297" t="s">
        <v>4487</v>
      </c>
      <c r="I5297" t="s">
        <v>4487</v>
      </c>
      <c r="J5297" t="s">
        <v>4487</v>
      </c>
      <c r="K5297" t="s">
        <v>4487</v>
      </c>
      <c r="L5297" t="s">
        <v>4487</v>
      </c>
      <c r="M5297" t="s">
        <v>4487</v>
      </c>
      <c r="N5297" t="s">
        <v>4487</v>
      </c>
      <c r="O5297" t="s">
        <v>4487</v>
      </c>
    </row>
    <row r="5298" spans="1:15">
      <c r="A5298" t="s">
        <v>3762</v>
      </c>
      <c r="B5298" t="str">
        <f ca="1">IF(ISBLANK(OFFSET(B5298,0,'Field labels'!$Q$1)),C5298,OFFSET(B5298,0,'Field labels'!$Q$1))</f>
        <v>part</v>
      </c>
      <c r="C5298" t="s">
        <v>4488</v>
      </c>
      <c r="D5298" t="s">
        <v>4488</v>
      </c>
      <c r="E5298" t="s">
        <v>4488</v>
      </c>
      <c r="F5298" t="s">
        <v>4488</v>
      </c>
      <c r="G5298" t="s">
        <v>4488</v>
      </c>
      <c r="H5298" t="s">
        <v>4488</v>
      </c>
      <c r="I5298" t="s">
        <v>4488</v>
      </c>
      <c r="J5298" t="s">
        <v>4488</v>
      </c>
      <c r="K5298" t="s">
        <v>4488</v>
      </c>
      <c r="L5298" t="s">
        <v>4488</v>
      </c>
      <c r="M5298" t="s">
        <v>4488</v>
      </c>
      <c r="N5298" t="s">
        <v>4488</v>
      </c>
      <c r="O5298" t="s">
        <v>4488</v>
      </c>
    </row>
    <row r="5299" spans="1:15">
      <c r="A5299" t="s">
        <v>3762</v>
      </c>
      <c r="B5299" t="str">
        <f ca="1">IF(ISBLANK(OFFSET(B5299,0,'Field labels'!$Q$1)),C5299,OFFSET(B5299,0,'Field labels'!$Q$1))</f>
        <v>Passage</v>
      </c>
      <c r="C5299" t="s">
        <v>3779</v>
      </c>
      <c r="D5299" t="s">
        <v>3779</v>
      </c>
      <c r="E5299" t="s">
        <v>3779</v>
      </c>
      <c r="F5299" t="s">
        <v>3779</v>
      </c>
      <c r="G5299" t="s">
        <v>3779</v>
      </c>
      <c r="H5299" t="s">
        <v>3779</v>
      </c>
      <c r="I5299" t="s">
        <v>3779</v>
      </c>
      <c r="J5299" t="s">
        <v>3779</v>
      </c>
      <c r="K5299" t="s">
        <v>3779</v>
      </c>
      <c r="L5299" t="s">
        <v>3779</v>
      </c>
      <c r="M5299" t="s">
        <v>3779</v>
      </c>
      <c r="N5299" t="s">
        <v>3779</v>
      </c>
      <c r="O5299" t="s">
        <v>3779</v>
      </c>
    </row>
    <row r="5300" spans="1:15">
      <c r="A5300" t="s">
        <v>3762</v>
      </c>
      <c r="B5300" t="str">
        <f ca="1">IF(ISBLANK(OFFSET(B5300,0,'Field labels'!$Q$1)),C5300,OFFSET(B5300,0,'Field labels'!$Q$1))</f>
        <v>Passage</v>
      </c>
      <c r="C5300" t="s">
        <v>3779</v>
      </c>
      <c r="D5300" t="s">
        <v>3779</v>
      </c>
      <c r="E5300" t="s">
        <v>3779</v>
      </c>
      <c r="F5300" t="s">
        <v>3779</v>
      </c>
      <c r="G5300" t="s">
        <v>3779</v>
      </c>
      <c r="H5300" t="s">
        <v>3779</v>
      </c>
      <c r="I5300" t="s">
        <v>3779</v>
      </c>
      <c r="J5300" t="s">
        <v>3779</v>
      </c>
      <c r="K5300" t="s">
        <v>3779</v>
      </c>
      <c r="L5300" t="s">
        <v>3779</v>
      </c>
      <c r="M5300" t="s">
        <v>3779</v>
      </c>
      <c r="N5300" t="s">
        <v>3779</v>
      </c>
      <c r="O5300" t="s">
        <v>3779</v>
      </c>
    </row>
    <row r="5301" spans="1:15">
      <c r="A5301" t="s">
        <v>3762</v>
      </c>
      <c r="B5301" t="str">
        <f ca="1">IF(ISBLANK(OFFSET(B5301,0,'Field labels'!$Q$1)),C5301,OFFSET(B5301,0,'Field labels'!$Q$1))</f>
        <v>Passage</v>
      </c>
      <c r="C5301" t="s">
        <v>3779</v>
      </c>
      <c r="D5301" t="s">
        <v>3779</v>
      </c>
      <c r="E5301" t="s">
        <v>3779</v>
      </c>
      <c r="F5301" t="s">
        <v>3779</v>
      </c>
      <c r="G5301" t="s">
        <v>3779</v>
      </c>
      <c r="H5301" t="s">
        <v>3779</v>
      </c>
      <c r="I5301" t="s">
        <v>3779</v>
      </c>
      <c r="J5301" t="s">
        <v>3779</v>
      </c>
      <c r="K5301" t="s">
        <v>3779</v>
      </c>
      <c r="L5301" t="s">
        <v>3779</v>
      </c>
      <c r="M5301" t="s">
        <v>3779</v>
      </c>
      <c r="N5301" t="s">
        <v>3779</v>
      </c>
      <c r="O5301" t="s">
        <v>3779</v>
      </c>
    </row>
    <row r="5302" spans="1:15">
      <c r="A5302" t="s">
        <v>3762</v>
      </c>
      <c r="B5302" t="str">
        <f ca="1">IF(ISBLANK(OFFSET(B5302,0,'Field labels'!$Q$1)),C5302,OFFSET(B5302,0,'Field labels'!$Q$1))</f>
        <v>Passage</v>
      </c>
      <c r="C5302" t="s">
        <v>3779</v>
      </c>
      <c r="D5302" t="s">
        <v>3779</v>
      </c>
      <c r="E5302" t="s">
        <v>3779</v>
      </c>
      <c r="F5302" t="s">
        <v>3779</v>
      </c>
      <c r="G5302" t="s">
        <v>3779</v>
      </c>
      <c r="H5302" t="s">
        <v>3779</v>
      </c>
      <c r="I5302" t="s">
        <v>3779</v>
      </c>
      <c r="J5302" t="s">
        <v>3779</v>
      </c>
      <c r="K5302" t="s">
        <v>3779</v>
      </c>
      <c r="L5302" t="s">
        <v>3779</v>
      </c>
      <c r="M5302" t="s">
        <v>3779</v>
      </c>
      <c r="N5302" t="s">
        <v>3779</v>
      </c>
      <c r="O5302" t="s">
        <v>3779</v>
      </c>
    </row>
    <row r="5303" spans="1:15">
      <c r="A5303" t="s">
        <v>3762</v>
      </c>
      <c r="B5303" t="str">
        <f ca="1">IF(ISBLANK(OFFSET(B5303,0,'Field labels'!$Q$1)),C5303,OFFSET(B5303,0,'Field labels'!$Q$1))</f>
        <v>Passage</v>
      </c>
      <c r="C5303" t="s">
        <v>3779</v>
      </c>
      <c r="D5303" t="s">
        <v>3779</v>
      </c>
      <c r="E5303" t="s">
        <v>3779</v>
      </c>
      <c r="F5303" t="s">
        <v>3779</v>
      </c>
      <c r="G5303" t="s">
        <v>3779</v>
      </c>
      <c r="H5303" t="s">
        <v>3779</v>
      </c>
      <c r="I5303" t="s">
        <v>3779</v>
      </c>
      <c r="J5303" t="s">
        <v>3779</v>
      </c>
      <c r="K5303" t="s">
        <v>3779</v>
      </c>
      <c r="L5303" t="s">
        <v>3779</v>
      </c>
      <c r="M5303" t="s">
        <v>3779</v>
      </c>
      <c r="N5303" t="s">
        <v>3779</v>
      </c>
      <c r="O5303" t="s">
        <v>3779</v>
      </c>
    </row>
    <row r="5304" spans="1:15">
      <c r="A5304" t="s">
        <v>3762</v>
      </c>
      <c r="B5304" t="str">
        <f ca="1">IF(ISBLANK(OFFSET(B5304,0,'Field labels'!$Q$1)),C5304,OFFSET(B5304,0,'Field labels'!$Q$1))</f>
        <v>Path</v>
      </c>
      <c r="C5304" t="s">
        <v>4489</v>
      </c>
      <c r="D5304" t="s">
        <v>4489</v>
      </c>
      <c r="E5304" t="s">
        <v>4489</v>
      </c>
      <c r="F5304" t="s">
        <v>4489</v>
      </c>
      <c r="G5304" t="s">
        <v>4489</v>
      </c>
      <c r="H5304" t="s">
        <v>4489</v>
      </c>
      <c r="I5304" t="s">
        <v>4489</v>
      </c>
      <c r="J5304" t="s">
        <v>4489</v>
      </c>
      <c r="K5304" t="s">
        <v>4489</v>
      </c>
      <c r="L5304" t="s">
        <v>4489</v>
      </c>
      <c r="M5304" t="s">
        <v>4489</v>
      </c>
      <c r="N5304" t="s">
        <v>4489</v>
      </c>
      <c r="O5304" t="s">
        <v>4489</v>
      </c>
    </row>
    <row r="5305" spans="1:15">
      <c r="A5305" t="s">
        <v>3762</v>
      </c>
      <c r="B5305" t="str">
        <f ca="1">IF(ISBLANK(OFFSET(B5305,0,'Field labels'!$Q$1)),C5305,OFFSET(B5305,0,'Field labels'!$Q$1))</f>
        <v>Path</v>
      </c>
      <c r="C5305" t="s">
        <v>4489</v>
      </c>
      <c r="D5305" t="s">
        <v>4489</v>
      </c>
      <c r="E5305" t="s">
        <v>4489</v>
      </c>
      <c r="F5305" t="s">
        <v>4489</v>
      </c>
      <c r="G5305" t="s">
        <v>4489</v>
      </c>
      <c r="H5305" t="s">
        <v>4489</v>
      </c>
      <c r="I5305" t="s">
        <v>4489</v>
      </c>
      <c r="J5305" t="s">
        <v>4489</v>
      </c>
      <c r="K5305" t="s">
        <v>4489</v>
      </c>
      <c r="L5305" t="s">
        <v>4489</v>
      </c>
      <c r="M5305" t="s">
        <v>4489</v>
      </c>
      <c r="N5305" t="s">
        <v>4489</v>
      </c>
      <c r="O5305" t="s">
        <v>4489</v>
      </c>
    </row>
    <row r="5306" spans="1:15">
      <c r="A5306" t="s">
        <v>3762</v>
      </c>
      <c r="B5306" t="str">
        <f ca="1">IF(ISBLANK(OFFSET(B5306,0,'Field labels'!$Q$1)),C5306,OFFSET(B5306,0,'Field labels'!$Q$1))</f>
        <v>Path</v>
      </c>
      <c r="C5306" t="s">
        <v>4489</v>
      </c>
      <c r="D5306" t="s">
        <v>4489</v>
      </c>
      <c r="E5306" t="s">
        <v>4489</v>
      </c>
      <c r="F5306" t="s">
        <v>4489</v>
      </c>
      <c r="G5306" t="s">
        <v>4489</v>
      </c>
      <c r="H5306" t="s">
        <v>4489</v>
      </c>
      <c r="I5306" t="s">
        <v>4489</v>
      </c>
      <c r="J5306" t="s">
        <v>4489</v>
      </c>
      <c r="K5306" t="s">
        <v>4489</v>
      </c>
      <c r="L5306" t="s">
        <v>4489</v>
      </c>
      <c r="M5306" t="s">
        <v>4489</v>
      </c>
      <c r="N5306" t="s">
        <v>4489</v>
      </c>
      <c r="O5306" t="s">
        <v>4489</v>
      </c>
    </row>
    <row r="5307" spans="1:15">
      <c r="A5307" t="s">
        <v>3762</v>
      </c>
      <c r="B5307" t="str">
        <f ca="1">IF(ISBLANK(OFFSET(B5307,0,'Field labels'!$Q$1)),C5307,OFFSET(B5307,0,'Field labels'!$Q$1))</f>
        <v>Path</v>
      </c>
      <c r="C5307" t="s">
        <v>4489</v>
      </c>
      <c r="D5307" t="s">
        <v>4489</v>
      </c>
      <c r="E5307" t="s">
        <v>4489</v>
      </c>
      <c r="F5307" t="s">
        <v>4489</v>
      </c>
      <c r="G5307" t="s">
        <v>4489</v>
      </c>
      <c r="H5307" t="s">
        <v>4489</v>
      </c>
      <c r="I5307" t="s">
        <v>4489</v>
      </c>
      <c r="J5307" t="s">
        <v>4489</v>
      </c>
      <c r="K5307" t="s">
        <v>4489</v>
      </c>
      <c r="L5307" t="s">
        <v>4489</v>
      </c>
      <c r="M5307" t="s">
        <v>4489</v>
      </c>
      <c r="N5307" t="s">
        <v>4489</v>
      </c>
      <c r="O5307" t="s">
        <v>4489</v>
      </c>
    </row>
    <row r="5308" spans="1:15">
      <c r="A5308" t="s">
        <v>3762</v>
      </c>
      <c r="B5308" t="str">
        <f ca="1">IF(ISBLANK(OFFSET(B5308,0,'Field labels'!$Q$1)),C5308,OFFSET(B5308,0,'Field labels'!$Q$1))</f>
        <v>Patio</v>
      </c>
      <c r="C5308" t="s">
        <v>4490</v>
      </c>
      <c r="D5308" t="s">
        <v>4490</v>
      </c>
      <c r="E5308" t="s">
        <v>4490</v>
      </c>
      <c r="F5308" t="s">
        <v>4490</v>
      </c>
      <c r="G5308" t="s">
        <v>4490</v>
      </c>
      <c r="H5308" t="s">
        <v>4490</v>
      </c>
      <c r="I5308" t="s">
        <v>4490</v>
      </c>
      <c r="J5308" t="s">
        <v>4490</v>
      </c>
      <c r="K5308" t="s">
        <v>4490</v>
      </c>
      <c r="L5308" t="s">
        <v>4490</v>
      </c>
      <c r="M5308" t="s">
        <v>4490</v>
      </c>
      <c r="N5308" t="s">
        <v>4490</v>
      </c>
      <c r="O5308" t="s">
        <v>4490</v>
      </c>
    </row>
    <row r="5309" spans="1:15">
      <c r="A5309" t="s">
        <v>3762</v>
      </c>
      <c r="B5309" t="str">
        <f ca="1">IF(ISBLANK(OFFSET(B5309,0,'Field labels'!$Q$1)),C5309,OFFSET(B5309,0,'Field labels'!$Q$1))</f>
        <v>pavilon</v>
      </c>
      <c r="C5309" t="s">
        <v>4491</v>
      </c>
      <c r="D5309" t="s">
        <v>4491</v>
      </c>
      <c r="E5309" t="s">
        <v>4491</v>
      </c>
      <c r="F5309" t="s">
        <v>4491</v>
      </c>
      <c r="G5309" t="s">
        <v>4491</v>
      </c>
      <c r="H5309" t="s">
        <v>4491</v>
      </c>
      <c r="I5309" t="s">
        <v>4491</v>
      </c>
      <c r="J5309" t="s">
        <v>4491</v>
      </c>
      <c r="K5309" t="s">
        <v>4491</v>
      </c>
      <c r="L5309" t="s">
        <v>4491</v>
      </c>
      <c r="M5309" t="s">
        <v>4491</v>
      </c>
      <c r="N5309" t="s">
        <v>4491</v>
      </c>
      <c r="O5309" t="s">
        <v>4491</v>
      </c>
    </row>
    <row r="5310" spans="1:15">
      <c r="A5310" t="s">
        <v>3762</v>
      </c>
      <c r="B5310" t="str">
        <f ca="1">IF(ISBLANK(OFFSET(B5310,0,'Field labels'!$Q$1)),C5310,OFFSET(B5310,0,'Field labels'!$Q$1))</f>
        <v>piac</v>
      </c>
      <c r="C5310" t="s">
        <v>4492</v>
      </c>
      <c r="D5310" t="s">
        <v>4492</v>
      </c>
      <c r="E5310" t="s">
        <v>4492</v>
      </c>
      <c r="F5310" t="s">
        <v>4492</v>
      </c>
      <c r="G5310" t="s">
        <v>4492</v>
      </c>
      <c r="H5310" t="s">
        <v>4492</v>
      </c>
      <c r="I5310" t="s">
        <v>4492</v>
      </c>
      <c r="J5310" t="s">
        <v>4492</v>
      </c>
      <c r="K5310" t="s">
        <v>4492</v>
      </c>
      <c r="L5310" t="s">
        <v>4492</v>
      </c>
      <c r="M5310" t="s">
        <v>4492</v>
      </c>
      <c r="N5310" t="s">
        <v>4492</v>
      </c>
      <c r="O5310" t="s">
        <v>4492</v>
      </c>
    </row>
    <row r="5311" spans="1:15">
      <c r="A5311" t="s">
        <v>3762</v>
      </c>
      <c r="B5311" t="str">
        <f ca="1">IF(ISBLANK(OFFSET(B5311,0,'Field labels'!$Q$1)),C5311,OFFSET(B5311,0,'Field labels'!$Q$1))</f>
        <v>Pier</v>
      </c>
      <c r="C5311" t="s">
        <v>4493</v>
      </c>
      <c r="D5311" t="s">
        <v>4493</v>
      </c>
      <c r="E5311" t="s">
        <v>4493</v>
      </c>
      <c r="F5311" t="s">
        <v>4493</v>
      </c>
      <c r="G5311" t="s">
        <v>4493</v>
      </c>
      <c r="H5311" t="s">
        <v>4493</v>
      </c>
      <c r="I5311" t="s">
        <v>4493</v>
      </c>
      <c r="J5311" t="s">
        <v>4493</v>
      </c>
      <c r="K5311" t="s">
        <v>4493</v>
      </c>
      <c r="L5311" t="s">
        <v>4493</v>
      </c>
      <c r="M5311" t="s">
        <v>4493</v>
      </c>
      <c r="N5311" t="s">
        <v>4493</v>
      </c>
      <c r="O5311" t="s">
        <v>4493</v>
      </c>
    </row>
    <row r="5312" spans="1:15">
      <c r="A5312" t="s">
        <v>3762</v>
      </c>
      <c r="B5312" t="str">
        <f ca="1">IF(ISBLANK(OFFSET(B5312,0,'Field labels'!$Q$1)),C5312,OFFSET(B5312,0,'Field labels'!$Q$1))</f>
        <v>pihenő</v>
      </c>
      <c r="C5312" t="s">
        <v>4494</v>
      </c>
      <c r="D5312" t="s">
        <v>4494</v>
      </c>
      <c r="E5312" t="s">
        <v>4494</v>
      </c>
      <c r="F5312" t="s">
        <v>4494</v>
      </c>
      <c r="G5312" t="s">
        <v>4494</v>
      </c>
      <c r="H5312" t="s">
        <v>4494</v>
      </c>
      <c r="I5312" t="s">
        <v>4494</v>
      </c>
      <c r="J5312" t="s">
        <v>4494</v>
      </c>
      <c r="K5312" t="s">
        <v>4494</v>
      </c>
      <c r="L5312" t="s">
        <v>4494</v>
      </c>
      <c r="M5312" t="s">
        <v>4494</v>
      </c>
      <c r="N5312" t="s">
        <v>4494</v>
      </c>
      <c r="O5312" t="s">
        <v>4494</v>
      </c>
    </row>
    <row r="5313" spans="1:15">
      <c r="A5313" t="s">
        <v>3762</v>
      </c>
      <c r="B5313" t="str">
        <f ca="1">IF(ISBLANK(OFFSET(B5313,0,'Field labels'!$Q$1)),C5313,OFFSET(B5313,0,'Field labels'!$Q$1))</f>
        <v>pince</v>
      </c>
      <c r="C5313" t="s">
        <v>4495</v>
      </c>
      <c r="D5313" t="s">
        <v>4495</v>
      </c>
      <c r="E5313" t="s">
        <v>4495</v>
      </c>
      <c r="F5313" t="s">
        <v>4495</v>
      </c>
      <c r="G5313" t="s">
        <v>4495</v>
      </c>
      <c r="H5313" t="s">
        <v>4495</v>
      </c>
      <c r="I5313" t="s">
        <v>4495</v>
      </c>
      <c r="J5313" t="s">
        <v>4495</v>
      </c>
      <c r="K5313" t="s">
        <v>4495</v>
      </c>
      <c r="L5313" t="s">
        <v>4495</v>
      </c>
      <c r="M5313" t="s">
        <v>4495</v>
      </c>
      <c r="N5313" t="s">
        <v>4495</v>
      </c>
      <c r="O5313" t="s">
        <v>4495</v>
      </c>
    </row>
    <row r="5314" spans="1:15">
      <c r="A5314" t="s">
        <v>3762</v>
      </c>
      <c r="B5314" t="str">
        <f ca="1">IF(ISBLANK(OFFSET(B5314,0,'Field labels'!$Q$1)),C5314,OFFSET(B5314,0,'Field labels'!$Q$1))</f>
        <v>pincesor</v>
      </c>
      <c r="C5314" t="s">
        <v>4496</v>
      </c>
      <c r="D5314" t="s">
        <v>4496</v>
      </c>
      <c r="E5314" t="s">
        <v>4496</v>
      </c>
      <c r="F5314" t="s">
        <v>4496</v>
      </c>
      <c r="G5314" t="s">
        <v>4496</v>
      </c>
      <c r="H5314" t="s">
        <v>4496</v>
      </c>
      <c r="I5314" t="s">
        <v>4496</v>
      </c>
      <c r="J5314" t="s">
        <v>4496</v>
      </c>
      <c r="K5314" t="s">
        <v>4496</v>
      </c>
      <c r="L5314" t="s">
        <v>4496</v>
      </c>
      <c r="M5314" t="s">
        <v>4496</v>
      </c>
      <c r="N5314" t="s">
        <v>4496</v>
      </c>
      <c r="O5314" t="s">
        <v>4496</v>
      </c>
    </row>
    <row r="5315" spans="1:15">
      <c r="A5315" t="s">
        <v>3762</v>
      </c>
      <c r="B5315" t="str">
        <f ca="1">IF(ISBLANK(OFFSET(B5315,0,'Field labels'!$Q$1)),C5315,OFFSET(B5315,0,'Field labels'!$Q$1))</f>
        <v>Pine Forest</v>
      </c>
      <c r="C5315" t="s">
        <v>4497</v>
      </c>
      <c r="D5315" t="s">
        <v>4497</v>
      </c>
      <c r="E5315" t="s">
        <v>4497</v>
      </c>
      <c r="F5315" t="s">
        <v>4497</v>
      </c>
      <c r="G5315" t="s">
        <v>4497</v>
      </c>
      <c r="H5315" t="s">
        <v>4497</v>
      </c>
      <c r="I5315" t="s">
        <v>4497</v>
      </c>
      <c r="J5315" t="s">
        <v>4497</v>
      </c>
      <c r="K5315" t="s">
        <v>4497</v>
      </c>
      <c r="L5315" t="s">
        <v>4497</v>
      </c>
      <c r="M5315" t="s">
        <v>4497</v>
      </c>
      <c r="N5315" t="s">
        <v>4497</v>
      </c>
      <c r="O5315" t="s">
        <v>4497</v>
      </c>
    </row>
    <row r="5316" spans="1:15">
      <c r="A5316" t="s">
        <v>3762</v>
      </c>
      <c r="B5316" t="str">
        <f ca="1">IF(ISBLANK(OFFSET(B5316,0,'Field labels'!$Q$1)),C5316,OFFSET(B5316,0,'Field labels'!$Q$1))</f>
        <v>Place</v>
      </c>
      <c r="C5316" t="s">
        <v>3780</v>
      </c>
      <c r="D5316" t="s">
        <v>3780</v>
      </c>
      <c r="E5316" t="s">
        <v>3780</v>
      </c>
      <c r="F5316" t="s">
        <v>3780</v>
      </c>
      <c r="G5316" t="s">
        <v>3780</v>
      </c>
      <c r="H5316" t="s">
        <v>3780</v>
      </c>
      <c r="I5316" t="s">
        <v>3780</v>
      </c>
      <c r="J5316" t="s">
        <v>3780</v>
      </c>
      <c r="K5316" t="s">
        <v>3780</v>
      </c>
      <c r="L5316" t="s">
        <v>3780</v>
      </c>
      <c r="M5316" t="s">
        <v>3780</v>
      </c>
      <c r="N5316" t="s">
        <v>3780</v>
      </c>
      <c r="O5316" t="s">
        <v>3780</v>
      </c>
    </row>
    <row r="5317" spans="1:15">
      <c r="A5317" t="s">
        <v>3762</v>
      </c>
      <c r="B5317" t="str">
        <f ca="1">IF(ISBLANK(OFFSET(B5317,0,'Field labels'!$Q$1)),C5317,OFFSET(B5317,0,'Field labels'!$Q$1))</f>
        <v>Place</v>
      </c>
      <c r="C5317" t="s">
        <v>3780</v>
      </c>
      <c r="D5317" t="s">
        <v>3780</v>
      </c>
      <c r="E5317" t="s">
        <v>3780</v>
      </c>
      <c r="F5317" t="s">
        <v>3780</v>
      </c>
      <c r="G5317" t="s">
        <v>3780</v>
      </c>
      <c r="H5317" t="s">
        <v>3780</v>
      </c>
      <c r="I5317" t="s">
        <v>3780</v>
      </c>
      <c r="J5317" t="s">
        <v>3780</v>
      </c>
      <c r="K5317" t="s">
        <v>3780</v>
      </c>
      <c r="L5317" t="s">
        <v>3780</v>
      </c>
      <c r="M5317" t="s">
        <v>3780</v>
      </c>
      <c r="N5317" t="s">
        <v>3780</v>
      </c>
      <c r="O5317" t="s">
        <v>3780</v>
      </c>
    </row>
    <row r="5318" spans="1:15">
      <c r="A5318" t="s">
        <v>3762</v>
      </c>
      <c r="B5318" t="str">
        <f ca="1">IF(ISBLANK(OFFSET(B5318,0,'Field labels'!$Q$1)),C5318,OFFSET(B5318,0,'Field labels'!$Q$1))</f>
        <v>Plain</v>
      </c>
      <c r="C5318" t="s">
        <v>4498</v>
      </c>
      <c r="D5318" t="s">
        <v>4498</v>
      </c>
      <c r="E5318" t="s">
        <v>4498</v>
      </c>
      <c r="F5318" t="s">
        <v>4498</v>
      </c>
      <c r="G5318" t="s">
        <v>4498</v>
      </c>
      <c r="H5318" t="s">
        <v>4498</v>
      </c>
      <c r="I5318" t="s">
        <v>4498</v>
      </c>
      <c r="J5318" t="s">
        <v>4498</v>
      </c>
      <c r="K5318" t="s">
        <v>4498</v>
      </c>
      <c r="L5318" t="s">
        <v>4498</v>
      </c>
      <c r="M5318" t="s">
        <v>4498</v>
      </c>
      <c r="N5318" t="s">
        <v>4498</v>
      </c>
      <c r="O5318" t="s">
        <v>4498</v>
      </c>
    </row>
    <row r="5319" spans="1:15">
      <c r="A5319" t="s">
        <v>3762</v>
      </c>
      <c r="B5319" t="str">
        <f ca="1">IF(ISBLANK(OFFSET(B5319,0,'Field labels'!$Q$1)),C5319,OFFSET(B5319,0,'Field labels'!$Q$1))</f>
        <v>Platform</v>
      </c>
      <c r="C5319" t="s">
        <v>4499</v>
      </c>
      <c r="D5319" t="s">
        <v>4499</v>
      </c>
      <c r="E5319" t="s">
        <v>4499</v>
      </c>
      <c r="F5319" t="s">
        <v>4499</v>
      </c>
      <c r="G5319" t="s">
        <v>4499</v>
      </c>
      <c r="H5319" t="s">
        <v>4499</v>
      </c>
      <c r="I5319" t="s">
        <v>4499</v>
      </c>
      <c r="J5319" t="s">
        <v>4499</v>
      </c>
      <c r="K5319" t="s">
        <v>4499</v>
      </c>
      <c r="L5319" t="s">
        <v>4499</v>
      </c>
      <c r="M5319" t="s">
        <v>4499</v>
      </c>
      <c r="N5319" t="s">
        <v>4499</v>
      </c>
      <c r="O5319" t="s">
        <v>4499</v>
      </c>
    </row>
    <row r="5320" spans="1:15">
      <c r="A5320" t="s">
        <v>3762</v>
      </c>
      <c r="B5320" t="str">
        <f ca="1">IF(ISBLANK(OFFSET(B5320,0,'Field labels'!$Q$1)),C5320,OFFSET(B5320,0,'Field labels'!$Q$1))</f>
        <v>Poor Quarter</v>
      </c>
      <c r="C5320" t="s">
        <v>4500</v>
      </c>
      <c r="D5320" t="s">
        <v>4500</v>
      </c>
      <c r="E5320" t="s">
        <v>4500</v>
      </c>
      <c r="F5320" t="s">
        <v>4500</v>
      </c>
      <c r="G5320" t="s">
        <v>4500</v>
      </c>
      <c r="H5320" t="s">
        <v>4500</v>
      </c>
      <c r="I5320" t="s">
        <v>4500</v>
      </c>
      <c r="J5320" t="s">
        <v>4500</v>
      </c>
      <c r="K5320" t="s">
        <v>4500</v>
      </c>
      <c r="L5320" t="s">
        <v>4500</v>
      </c>
      <c r="M5320" t="s">
        <v>4500</v>
      </c>
      <c r="N5320" t="s">
        <v>4500</v>
      </c>
      <c r="O5320" t="s">
        <v>4500</v>
      </c>
    </row>
    <row r="5321" spans="1:15">
      <c r="A5321" t="s">
        <v>3762</v>
      </c>
      <c r="B5321" t="str">
        <f ca="1">IF(ISBLANK(OFFSET(B5321,0,'Field labels'!$Q$1)),C5321,OFFSET(B5321,0,'Field labels'!$Q$1))</f>
        <v>Port</v>
      </c>
      <c r="C5321" t="s">
        <v>4501</v>
      </c>
      <c r="D5321" t="s">
        <v>4501</v>
      </c>
      <c r="E5321" t="s">
        <v>4501</v>
      </c>
      <c r="F5321" t="s">
        <v>4501</v>
      </c>
      <c r="G5321" t="s">
        <v>4501</v>
      </c>
      <c r="H5321" t="s">
        <v>4501</v>
      </c>
      <c r="I5321" t="s">
        <v>4501</v>
      </c>
      <c r="J5321" t="s">
        <v>4501</v>
      </c>
      <c r="K5321" t="s">
        <v>4501</v>
      </c>
      <c r="L5321" t="s">
        <v>4501</v>
      </c>
      <c r="M5321" t="s">
        <v>4501</v>
      </c>
      <c r="N5321" t="s">
        <v>4501</v>
      </c>
      <c r="O5321" t="s">
        <v>4501</v>
      </c>
    </row>
    <row r="5322" spans="1:15">
      <c r="A5322" t="s">
        <v>3762</v>
      </c>
      <c r="B5322" t="str">
        <f ca="1">IF(ISBLANK(OFFSET(B5322,0,'Field labels'!$Q$1)),C5322,OFFSET(B5322,0,'Field labels'!$Q$1))</f>
        <v>Praciña</v>
      </c>
      <c r="C5322" t="s">
        <v>4502</v>
      </c>
      <c r="D5322" t="s">
        <v>4502</v>
      </c>
      <c r="E5322" t="s">
        <v>4502</v>
      </c>
      <c r="F5322" t="s">
        <v>4502</v>
      </c>
      <c r="G5322" t="s">
        <v>4502</v>
      </c>
      <c r="H5322" t="s">
        <v>4502</v>
      </c>
      <c r="I5322" t="s">
        <v>4502</v>
      </c>
      <c r="J5322" t="s">
        <v>4502</v>
      </c>
      <c r="K5322" t="s">
        <v>4502</v>
      </c>
      <c r="L5322" t="s">
        <v>4502</v>
      </c>
      <c r="M5322" t="s">
        <v>4502</v>
      </c>
      <c r="N5322" t="s">
        <v>4502</v>
      </c>
      <c r="O5322" t="s">
        <v>4502</v>
      </c>
    </row>
    <row r="5323" spans="1:15">
      <c r="A5323" t="s">
        <v>3762</v>
      </c>
      <c r="B5323" t="str">
        <f ca="1">IF(ISBLANK(OFFSET(B5323,0,'Field labels'!$Q$1)),C5323,OFFSET(B5323,0,'Field labels'!$Q$1))</f>
        <v>Premises</v>
      </c>
      <c r="C5323" t="s">
        <v>4503</v>
      </c>
      <c r="D5323" t="s">
        <v>4503</v>
      </c>
      <c r="E5323" t="s">
        <v>4503</v>
      </c>
      <c r="F5323" t="s">
        <v>4503</v>
      </c>
      <c r="G5323" t="s">
        <v>4503</v>
      </c>
      <c r="H5323" t="s">
        <v>4503</v>
      </c>
      <c r="I5323" t="s">
        <v>4503</v>
      </c>
      <c r="J5323" t="s">
        <v>4503</v>
      </c>
      <c r="K5323" t="s">
        <v>4503</v>
      </c>
      <c r="L5323" t="s">
        <v>4503</v>
      </c>
      <c r="M5323" t="s">
        <v>4503</v>
      </c>
      <c r="N5323" t="s">
        <v>4503</v>
      </c>
      <c r="O5323" t="s">
        <v>4503</v>
      </c>
    </row>
    <row r="5324" spans="1:15">
      <c r="A5324" t="s">
        <v>3762</v>
      </c>
      <c r="B5324" t="str">
        <f ca="1">IF(ISBLANK(OFFSET(B5324,0,'Field labels'!$Q$1)),C5324,OFFSET(B5324,0,'Field labels'!$Q$1))</f>
        <v>Private</v>
      </c>
      <c r="C5324" t="s">
        <v>4504</v>
      </c>
      <c r="D5324" t="s">
        <v>4504</v>
      </c>
      <c r="E5324" t="s">
        <v>4504</v>
      </c>
      <c r="F5324" t="s">
        <v>4504</v>
      </c>
      <c r="G5324" t="s">
        <v>4504</v>
      </c>
      <c r="H5324" t="s">
        <v>4504</v>
      </c>
      <c r="I5324" t="s">
        <v>4504</v>
      </c>
      <c r="J5324" t="s">
        <v>4504</v>
      </c>
      <c r="K5324" t="s">
        <v>4504</v>
      </c>
      <c r="L5324" t="s">
        <v>4504</v>
      </c>
      <c r="M5324" t="s">
        <v>4504</v>
      </c>
      <c r="N5324" t="s">
        <v>4504</v>
      </c>
      <c r="O5324" t="s">
        <v>4504</v>
      </c>
    </row>
    <row r="5325" spans="1:15">
      <c r="A5325" t="s">
        <v>3762</v>
      </c>
      <c r="B5325" t="str">
        <f ca="1">IF(ISBLANK(OFFSET(B5325,0,'Field labels'!$Q$1)),C5325,OFFSET(B5325,0,'Field labels'!$Q$1))</f>
        <v>puszta</v>
      </c>
      <c r="C5325" t="s">
        <v>4505</v>
      </c>
      <c r="D5325" t="s">
        <v>4505</v>
      </c>
      <c r="E5325" t="s">
        <v>4505</v>
      </c>
      <c r="F5325" t="s">
        <v>4505</v>
      </c>
      <c r="G5325" t="s">
        <v>4505</v>
      </c>
      <c r="H5325" t="s">
        <v>4505</v>
      </c>
      <c r="I5325" t="s">
        <v>4505</v>
      </c>
      <c r="J5325" t="s">
        <v>4505</v>
      </c>
      <c r="K5325" t="s">
        <v>4505</v>
      </c>
      <c r="L5325" t="s">
        <v>4505</v>
      </c>
      <c r="M5325" t="s">
        <v>4505</v>
      </c>
      <c r="N5325" t="s">
        <v>4505</v>
      </c>
      <c r="O5325" t="s">
        <v>4505</v>
      </c>
    </row>
    <row r="5326" spans="1:15">
      <c r="A5326" t="s">
        <v>3762</v>
      </c>
      <c r="B5326" t="str">
        <f ca="1">IF(ISBLANK(OFFSET(B5326,0,'Field labels'!$Q$1)),C5326,OFFSET(B5326,0,'Field labels'!$Q$1))</f>
        <v>Quarry</v>
      </c>
      <c r="C5326" t="s">
        <v>4506</v>
      </c>
      <c r="D5326" t="s">
        <v>4506</v>
      </c>
      <c r="E5326" t="s">
        <v>4506</v>
      </c>
      <c r="F5326" t="s">
        <v>4506</v>
      </c>
      <c r="G5326" t="s">
        <v>4506</v>
      </c>
      <c r="H5326" t="s">
        <v>4506</v>
      </c>
      <c r="I5326" t="s">
        <v>4506</v>
      </c>
      <c r="J5326" t="s">
        <v>4506</v>
      </c>
      <c r="K5326" t="s">
        <v>4506</v>
      </c>
      <c r="L5326" t="s">
        <v>4506</v>
      </c>
      <c r="M5326" t="s">
        <v>4506</v>
      </c>
      <c r="N5326" t="s">
        <v>4506</v>
      </c>
      <c r="O5326" t="s">
        <v>4506</v>
      </c>
    </row>
    <row r="5327" spans="1:15">
      <c r="A5327" t="s">
        <v>3762</v>
      </c>
      <c r="B5327" t="str">
        <f ca="1">IF(ISBLANK(OFFSET(B5327,0,'Field labels'!$Q$1)),C5327,OFFSET(B5327,0,'Field labels'!$Q$1))</f>
        <v>rakpart</v>
      </c>
      <c r="C5327" t="s">
        <v>4507</v>
      </c>
      <c r="D5327" t="s">
        <v>4507</v>
      </c>
      <c r="E5327" t="s">
        <v>4507</v>
      </c>
      <c r="F5327" t="s">
        <v>4507</v>
      </c>
      <c r="G5327" t="s">
        <v>4507</v>
      </c>
      <c r="H5327" t="s">
        <v>4507</v>
      </c>
      <c r="I5327" t="s">
        <v>4507</v>
      </c>
      <c r="J5327" t="s">
        <v>4507</v>
      </c>
      <c r="K5327" t="s">
        <v>4507</v>
      </c>
      <c r="L5327" t="s">
        <v>4507</v>
      </c>
      <c r="M5327" t="s">
        <v>4507</v>
      </c>
      <c r="N5327" t="s">
        <v>4507</v>
      </c>
      <c r="O5327" t="s">
        <v>4507</v>
      </c>
    </row>
    <row r="5328" spans="1:15">
      <c r="A5328" t="s">
        <v>3762</v>
      </c>
      <c r="B5328" t="str">
        <f ca="1">IF(ISBLANK(OFFSET(B5328,0,'Field labels'!$Q$1)),C5328,OFFSET(B5328,0,'Field labels'!$Q$1))</f>
        <v>Ramp</v>
      </c>
      <c r="C5328" t="s">
        <v>4508</v>
      </c>
      <c r="D5328" t="s">
        <v>4508</v>
      </c>
      <c r="E5328" t="s">
        <v>4508</v>
      </c>
      <c r="F5328" t="s">
        <v>4508</v>
      </c>
      <c r="G5328" t="s">
        <v>4508</v>
      </c>
      <c r="H5328" t="s">
        <v>4508</v>
      </c>
      <c r="I5328" t="s">
        <v>4508</v>
      </c>
      <c r="J5328" t="s">
        <v>4508</v>
      </c>
      <c r="K5328" t="s">
        <v>4508</v>
      </c>
      <c r="L5328" t="s">
        <v>4508</v>
      </c>
      <c r="M5328" t="s">
        <v>4508</v>
      </c>
      <c r="N5328" t="s">
        <v>4508</v>
      </c>
      <c r="O5328" t="s">
        <v>4508</v>
      </c>
    </row>
    <row r="5329" spans="1:15">
      <c r="A5329" t="s">
        <v>3762</v>
      </c>
      <c r="B5329" t="str">
        <f ca="1">IF(ISBLANK(OFFSET(B5329,0,'Field labels'!$Q$1)),C5329,OFFSET(B5329,0,'Field labels'!$Q$1))</f>
        <v>Ravine</v>
      </c>
      <c r="C5329" t="s">
        <v>4509</v>
      </c>
      <c r="D5329" t="s">
        <v>4509</v>
      </c>
      <c r="E5329" t="s">
        <v>4509</v>
      </c>
      <c r="F5329" t="s">
        <v>4509</v>
      </c>
      <c r="G5329" t="s">
        <v>4509</v>
      </c>
      <c r="H5329" t="s">
        <v>4509</v>
      </c>
      <c r="I5329" t="s">
        <v>4509</v>
      </c>
      <c r="J5329" t="s">
        <v>4509</v>
      </c>
      <c r="K5329" t="s">
        <v>4509</v>
      </c>
      <c r="L5329" t="s">
        <v>4509</v>
      </c>
      <c r="M5329" t="s">
        <v>4509</v>
      </c>
      <c r="N5329" t="s">
        <v>4509</v>
      </c>
      <c r="O5329" t="s">
        <v>4509</v>
      </c>
    </row>
    <row r="5330" spans="1:15">
      <c r="A5330" t="s">
        <v>3762</v>
      </c>
      <c r="B5330" t="str">
        <f ca="1">IF(ISBLANK(OFFSET(B5330,0,'Field labels'!$Q$1)),C5330,OFFSET(B5330,0,'Field labels'!$Q$1))</f>
        <v>Ravine</v>
      </c>
      <c r="C5330" t="s">
        <v>4509</v>
      </c>
      <c r="D5330" t="s">
        <v>4509</v>
      </c>
      <c r="E5330" t="s">
        <v>4509</v>
      </c>
      <c r="F5330" t="s">
        <v>4509</v>
      </c>
      <c r="G5330" t="s">
        <v>4509</v>
      </c>
      <c r="H5330" t="s">
        <v>4509</v>
      </c>
      <c r="I5330" t="s">
        <v>4509</v>
      </c>
      <c r="J5330" t="s">
        <v>4509</v>
      </c>
      <c r="K5330" t="s">
        <v>4509</v>
      </c>
      <c r="L5330" t="s">
        <v>4509</v>
      </c>
      <c r="M5330" t="s">
        <v>4509</v>
      </c>
      <c r="N5330" t="s">
        <v>4509</v>
      </c>
      <c r="O5330" t="s">
        <v>4509</v>
      </c>
    </row>
    <row r="5331" spans="1:15">
      <c r="A5331" t="s">
        <v>3762</v>
      </c>
      <c r="B5331" t="str">
        <f ca="1">IF(ISBLANK(OFFSET(B5331,0,'Field labels'!$Q$1)),C5331,OFFSET(B5331,0,'Field labels'!$Q$1))</f>
        <v>Rear</v>
      </c>
      <c r="C5331" t="s">
        <v>4510</v>
      </c>
      <c r="D5331" t="s">
        <v>4510</v>
      </c>
      <c r="E5331" t="s">
        <v>4510</v>
      </c>
      <c r="F5331" t="s">
        <v>4510</v>
      </c>
      <c r="G5331" t="s">
        <v>4510</v>
      </c>
      <c r="H5331" t="s">
        <v>4510</v>
      </c>
      <c r="I5331" t="s">
        <v>4510</v>
      </c>
      <c r="J5331" t="s">
        <v>4510</v>
      </c>
      <c r="K5331" t="s">
        <v>4510</v>
      </c>
      <c r="L5331" t="s">
        <v>4510</v>
      </c>
      <c r="M5331" t="s">
        <v>4510</v>
      </c>
      <c r="N5331" t="s">
        <v>4510</v>
      </c>
      <c r="O5331" t="s">
        <v>4510</v>
      </c>
    </row>
    <row r="5332" spans="1:15">
      <c r="A5332" t="s">
        <v>3762</v>
      </c>
      <c r="B5332" t="str">
        <f ca="1">IF(ISBLANK(OFFSET(B5332,0,'Field labels'!$Q$1)),C5332,OFFSET(B5332,0,'Field labels'!$Q$1))</f>
        <v>Rento</v>
      </c>
      <c r="C5332" t="s">
        <v>4511</v>
      </c>
      <c r="D5332" t="s">
        <v>4511</v>
      </c>
      <c r="E5332" t="s">
        <v>4511</v>
      </c>
      <c r="F5332" t="s">
        <v>4511</v>
      </c>
      <c r="G5332" t="s">
        <v>4511</v>
      </c>
      <c r="H5332" t="s">
        <v>4511</v>
      </c>
      <c r="I5332" t="s">
        <v>4511</v>
      </c>
      <c r="J5332" t="s">
        <v>4511</v>
      </c>
      <c r="K5332" t="s">
        <v>4511</v>
      </c>
      <c r="L5332" t="s">
        <v>4511</v>
      </c>
      <c r="M5332" t="s">
        <v>4511</v>
      </c>
      <c r="N5332" t="s">
        <v>4511</v>
      </c>
      <c r="O5332" t="s">
        <v>4511</v>
      </c>
    </row>
    <row r="5333" spans="1:15">
      <c r="A5333" t="s">
        <v>3762</v>
      </c>
      <c r="B5333" t="str">
        <f ca="1">IF(ISBLANK(OFFSET(B5333,0,'Field labels'!$Q$1)),C5333,OFFSET(B5333,0,'Field labels'!$Q$1))</f>
        <v>repülőtér</v>
      </c>
      <c r="C5333" t="s">
        <v>4512</v>
      </c>
      <c r="D5333" t="s">
        <v>4512</v>
      </c>
      <c r="E5333" t="s">
        <v>4512</v>
      </c>
      <c r="F5333" t="s">
        <v>4512</v>
      </c>
      <c r="G5333" t="s">
        <v>4512</v>
      </c>
      <c r="H5333" t="s">
        <v>4512</v>
      </c>
      <c r="I5333" t="s">
        <v>4512</v>
      </c>
      <c r="J5333" t="s">
        <v>4512</v>
      </c>
      <c r="K5333" t="s">
        <v>4512</v>
      </c>
      <c r="L5333" t="s">
        <v>4512</v>
      </c>
      <c r="M5333" t="s">
        <v>4512</v>
      </c>
      <c r="N5333" t="s">
        <v>4512</v>
      </c>
      <c r="O5333" t="s">
        <v>4512</v>
      </c>
    </row>
    <row r="5334" spans="1:15">
      <c r="A5334" t="s">
        <v>3762</v>
      </c>
      <c r="B5334" t="str">
        <f ca="1">IF(ISBLANK(OFFSET(B5334,0,'Field labels'!$Q$1)),C5334,OFFSET(B5334,0,'Field labels'!$Q$1))</f>
        <v>Reservoir</v>
      </c>
      <c r="C5334" t="s">
        <v>4513</v>
      </c>
      <c r="D5334" t="s">
        <v>4513</v>
      </c>
      <c r="E5334" t="s">
        <v>4513</v>
      </c>
      <c r="F5334" t="s">
        <v>4513</v>
      </c>
      <c r="G5334" t="s">
        <v>4513</v>
      </c>
      <c r="H5334" t="s">
        <v>4513</v>
      </c>
      <c r="I5334" t="s">
        <v>4513</v>
      </c>
      <c r="J5334" t="s">
        <v>4513</v>
      </c>
      <c r="K5334" t="s">
        <v>4513</v>
      </c>
      <c r="L5334" t="s">
        <v>4513</v>
      </c>
      <c r="M5334" t="s">
        <v>4513</v>
      </c>
      <c r="N5334" t="s">
        <v>4513</v>
      </c>
      <c r="O5334" t="s">
        <v>4513</v>
      </c>
    </row>
    <row r="5335" spans="1:15">
      <c r="A5335" t="s">
        <v>3762</v>
      </c>
      <c r="B5335" t="str">
        <f ca="1">IF(ISBLANK(OFFSET(B5335,0,'Field labels'!$Q$1)),C5335,OFFSET(B5335,0,'Field labels'!$Q$1))</f>
        <v>Residential</v>
      </c>
      <c r="C5335" t="s">
        <v>4514</v>
      </c>
      <c r="D5335" t="s">
        <v>4514</v>
      </c>
      <c r="E5335" t="s">
        <v>4514</v>
      </c>
      <c r="F5335" t="s">
        <v>4514</v>
      </c>
      <c r="G5335" t="s">
        <v>4514</v>
      </c>
      <c r="H5335" t="s">
        <v>4514</v>
      </c>
      <c r="I5335" t="s">
        <v>4514</v>
      </c>
      <c r="J5335" t="s">
        <v>4514</v>
      </c>
      <c r="K5335" t="s">
        <v>4514</v>
      </c>
      <c r="L5335" t="s">
        <v>4514</v>
      </c>
      <c r="M5335" t="s">
        <v>4514</v>
      </c>
      <c r="N5335" t="s">
        <v>4514</v>
      </c>
      <c r="O5335" t="s">
        <v>4514</v>
      </c>
    </row>
    <row r="5336" spans="1:15">
      <c r="A5336" t="s">
        <v>3762</v>
      </c>
      <c r="B5336" t="str">
        <f ca="1">IF(ISBLANK(OFFSET(B5336,0,'Field labels'!$Q$1)),C5336,OFFSET(B5336,0,'Field labels'!$Q$1))</f>
        <v>rész</v>
      </c>
      <c r="C5336" t="s">
        <v>4515</v>
      </c>
      <c r="D5336" t="s">
        <v>4515</v>
      </c>
      <c r="E5336" t="s">
        <v>4515</v>
      </c>
      <c r="F5336" t="s">
        <v>4515</v>
      </c>
      <c r="G5336" t="s">
        <v>4515</v>
      </c>
      <c r="H5336" t="s">
        <v>4515</v>
      </c>
      <c r="I5336" t="s">
        <v>4515</v>
      </c>
      <c r="J5336" t="s">
        <v>4515</v>
      </c>
      <c r="K5336" t="s">
        <v>4515</v>
      </c>
      <c r="L5336" t="s">
        <v>4515</v>
      </c>
      <c r="M5336" t="s">
        <v>4515</v>
      </c>
      <c r="N5336" t="s">
        <v>4515</v>
      </c>
      <c r="O5336" t="s">
        <v>4515</v>
      </c>
    </row>
    <row r="5337" spans="1:15">
      <c r="A5337" t="s">
        <v>3762</v>
      </c>
      <c r="B5337" t="str">
        <f ca="1">IF(ISBLANK(OFFSET(B5337,0,'Field labels'!$Q$1)),C5337,OFFSET(B5337,0,'Field labels'!$Q$1))</f>
        <v>rét</v>
      </c>
      <c r="C5337" t="s">
        <v>4516</v>
      </c>
      <c r="D5337" t="s">
        <v>4516</v>
      </c>
      <c r="E5337" t="s">
        <v>4516</v>
      </c>
      <c r="F5337" t="s">
        <v>4516</v>
      </c>
      <c r="G5337" t="s">
        <v>4516</v>
      </c>
      <c r="H5337" t="s">
        <v>4516</v>
      </c>
      <c r="I5337" t="s">
        <v>4516</v>
      </c>
      <c r="J5337" t="s">
        <v>4516</v>
      </c>
      <c r="K5337" t="s">
        <v>4516</v>
      </c>
      <c r="L5337" t="s">
        <v>4516</v>
      </c>
      <c r="M5337" t="s">
        <v>4516</v>
      </c>
      <c r="N5337" t="s">
        <v>4516</v>
      </c>
      <c r="O5337" t="s">
        <v>4516</v>
      </c>
    </row>
    <row r="5338" spans="1:15">
      <c r="A5338" t="s">
        <v>3762</v>
      </c>
      <c r="B5338" t="str">
        <f ca="1">IF(ISBLANK(OFFSET(B5338,0,'Field labels'!$Q$1)),C5338,OFFSET(B5338,0,'Field labels'!$Q$1))</f>
        <v>River Basin</v>
      </c>
      <c r="C5338" t="s">
        <v>4517</v>
      </c>
      <c r="D5338" t="s">
        <v>4517</v>
      </c>
      <c r="E5338" t="s">
        <v>4517</v>
      </c>
      <c r="F5338" t="s">
        <v>4517</v>
      </c>
      <c r="G5338" t="s">
        <v>4517</v>
      </c>
      <c r="H5338" t="s">
        <v>4517</v>
      </c>
      <c r="I5338" t="s">
        <v>4517</v>
      </c>
      <c r="J5338" t="s">
        <v>4517</v>
      </c>
      <c r="K5338" t="s">
        <v>4517</v>
      </c>
      <c r="L5338" t="s">
        <v>4517</v>
      </c>
      <c r="M5338" t="s">
        <v>4517</v>
      </c>
      <c r="N5338" t="s">
        <v>4517</v>
      </c>
      <c r="O5338" t="s">
        <v>4517</v>
      </c>
    </row>
    <row r="5339" spans="1:15">
      <c r="A5339" t="s">
        <v>3762</v>
      </c>
      <c r="B5339" t="str">
        <f ca="1">IF(ISBLANK(OFFSET(B5339,0,'Field labels'!$Q$1)),C5339,OFFSET(B5339,0,'Field labels'!$Q$1))</f>
        <v>Road</v>
      </c>
      <c r="C5339" t="s">
        <v>3781</v>
      </c>
      <c r="D5339" t="s">
        <v>3781</v>
      </c>
      <c r="E5339" t="s">
        <v>3781</v>
      </c>
      <c r="F5339" t="s">
        <v>3781</v>
      </c>
      <c r="G5339" t="s">
        <v>3781</v>
      </c>
      <c r="H5339" t="s">
        <v>3781</v>
      </c>
      <c r="I5339" t="s">
        <v>3781</v>
      </c>
      <c r="J5339" t="s">
        <v>3781</v>
      </c>
      <c r="K5339" t="s">
        <v>3781</v>
      </c>
      <c r="L5339" t="s">
        <v>3781</v>
      </c>
      <c r="M5339" t="s">
        <v>3781</v>
      </c>
      <c r="N5339" t="s">
        <v>3781</v>
      </c>
      <c r="O5339" t="s">
        <v>3781</v>
      </c>
    </row>
    <row r="5340" spans="1:15">
      <c r="A5340" t="s">
        <v>3762</v>
      </c>
      <c r="B5340" t="str">
        <f ca="1">IF(ISBLANK(OFFSET(B5340,0,'Field labels'!$Q$1)),C5340,OFFSET(B5340,0,'Field labels'!$Q$1))</f>
        <v>Road</v>
      </c>
      <c r="C5340" t="s">
        <v>3781</v>
      </c>
      <c r="D5340" t="s">
        <v>3781</v>
      </c>
      <c r="E5340" t="s">
        <v>3781</v>
      </c>
      <c r="F5340" t="s">
        <v>3781</v>
      </c>
      <c r="G5340" t="s">
        <v>3781</v>
      </c>
      <c r="H5340" t="s">
        <v>3781</v>
      </c>
      <c r="I5340" t="s">
        <v>3781</v>
      </c>
      <c r="J5340" t="s">
        <v>3781</v>
      </c>
      <c r="K5340" t="s">
        <v>3781</v>
      </c>
      <c r="L5340" t="s">
        <v>3781</v>
      </c>
      <c r="M5340" t="s">
        <v>3781</v>
      </c>
      <c r="N5340" t="s">
        <v>3781</v>
      </c>
      <c r="O5340" t="s">
        <v>3781</v>
      </c>
    </row>
    <row r="5341" spans="1:15">
      <c r="A5341" t="s">
        <v>3762</v>
      </c>
      <c r="B5341" t="str">
        <f ca="1">IF(ISBLANK(OFFSET(B5341,0,'Field labels'!$Q$1)),C5341,OFFSET(B5341,0,'Field labels'!$Q$1))</f>
        <v>Road</v>
      </c>
      <c r="C5341" t="s">
        <v>3781</v>
      </c>
      <c r="D5341" t="s">
        <v>3781</v>
      </c>
      <c r="E5341" t="s">
        <v>3781</v>
      </c>
      <c r="F5341" t="s">
        <v>3781</v>
      </c>
      <c r="G5341" t="s">
        <v>3781</v>
      </c>
      <c r="H5341" t="s">
        <v>3781</v>
      </c>
      <c r="I5341" t="s">
        <v>3781</v>
      </c>
      <c r="J5341" t="s">
        <v>3781</v>
      </c>
      <c r="K5341" t="s">
        <v>3781</v>
      </c>
      <c r="L5341" t="s">
        <v>3781</v>
      </c>
      <c r="M5341" t="s">
        <v>3781</v>
      </c>
      <c r="N5341" t="s">
        <v>3781</v>
      </c>
      <c r="O5341" t="s">
        <v>3781</v>
      </c>
    </row>
    <row r="5342" spans="1:15">
      <c r="A5342" t="s">
        <v>3762</v>
      </c>
      <c r="B5342" t="str">
        <f ca="1">IF(ISBLANK(OFFSET(B5342,0,'Field labels'!$Q$1)),C5342,OFFSET(B5342,0,'Field labels'!$Q$1))</f>
        <v>Road</v>
      </c>
      <c r="C5342" t="s">
        <v>3781</v>
      </c>
      <c r="D5342" t="s">
        <v>3781</v>
      </c>
      <c r="E5342" t="s">
        <v>3781</v>
      </c>
      <c r="F5342" t="s">
        <v>3781</v>
      </c>
      <c r="G5342" t="s">
        <v>3781</v>
      </c>
      <c r="H5342" t="s">
        <v>3781</v>
      </c>
      <c r="I5342" t="s">
        <v>3781</v>
      </c>
      <c r="J5342" t="s">
        <v>3781</v>
      </c>
      <c r="K5342" t="s">
        <v>3781</v>
      </c>
      <c r="L5342" t="s">
        <v>3781</v>
      </c>
      <c r="M5342" t="s">
        <v>3781</v>
      </c>
      <c r="N5342" t="s">
        <v>3781</v>
      </c>
      <c r="O5342" t="s">
        <v>3781</v>
      </c>
    </row>
    <row r="5343" spans="1:15">
      <c r="A5343" t="s">
        <v>3762</v>
      </c>
      <c r="B5343" t="str">
        <f ca="1">IF(ISBLANK(OFFSET(B5343,0,'Field labels'!$Q$1)),C5343,OFFSET(B5343,0,'Field labels'!$Q$1))</f>
        <v>Road</v>
      </c>
      <c r="C5343" t="s">
        <v>3781</v>
      </c>
      <c r="D5343" t="s">
        <v>3781</v>
      </c>
      <c r="E5343" t="s">
        <v>3781</v>
      </c>
      <c r="F5343" t="s">
        <v>3781</v>
      </c>
      <c r="G5343" t="s">
        <v>3781</v>
      </c>
      <c r="H5343" t="s">
        <v>3781</v>
      </c>
      <c r="I5343" t="s">
        <v>3781</v>
      </c>
      <c r="J5343" t="s">
        <v>3781</v>
      </c>
      <c r="K5343" t="s">
        <v>3781</v>
      </c>
      <c r="L5343" t="s">
        <v>3781</v>
      </c>
      <c r="M5343" t="s">
        <v>3781</v>
      </c>
      <c r="N5343" t="s">
        <v>3781</v>
      </c>
      <c r="O5343" t="s">
        <v>3781</v>
      </c>
    </row>
    <row r="5344" spans="1:15">
      <c r="A5344" t="s">
        <v>3762</v>
      </c>
      <c r="B5344" t="str">
        <f ca="1">IF(ISBLANK(OFFSET(B5344,0,'Field labels'!$Q$1)),C5344,OFFSET(B5344,0,'Field labels'!$Q$1))</f>
        <v>Road</v>
      </c>
      <c r="C5344" t="s">
        <v>3781</v>
      </c>
      <c r="D5344" t="s">
        <v>3781</v>
      </c>
      <c r="E5344" t="s">
        <v>3781</v>
      </c>
      <c r="F5344" t="s">
        <v>3781</v>
      </c>
      <c r="G5344" t="s">
        <v>3781</v>
      </c>
      <c r="H5344" t="s">
        <v>3781</v>
      </c>
      <c r="I5344" t="s">
        <v>3781</v>
      </c>
      <c r="J5344" t="s">
        <v>3781</v>
      </c>
      <c r="K5344" t="s">
        <v>3781</v>
      </c>
      <c r="L5344" t="s">
        <v>3781</v>
      </c>
      <c r="M5344" t="s">
        <v>3781</v>
      </c>
      <c r="N5344" t="s">
        <v>3781</v>
      </c>
      <c r="O5344" t="s">
        <v>3781</v>
      </c>
    </row>
    <row r="5345" spans="1:15">
      <c r="A5345" t="s">
        <v>3762</v>
      </c>
      <c r="B5345" t="str">
        <f ca="1">IF(ISBLANK(OFFSET(B5345,0,'Field labels'!$Q$1)),C5345,OFFSET(B5345,0,'Field labels'!$Q$1))</f>
        <v>Road</v>
      </c>
      <c r="C5345" t="s">
        <v>3781</v>
      </c>
      <c r="D5345" t="s">
        <v>3781</v>
      </c>
      <c r="E5345" t="s">
        <v>3781</v>
      </c>
      <c r="F5345" t="s">
        <v>3781</v>
      </c>
      <c r="G5345" t="s">
        <v>3781</v>
      </c>
      <c r="H5345" t="s">
        <v>3781</v>
      </c>
      <c r="I5345" t="s">
        <v>3781</v>
      </c>
      <c r="J5345" t="s">
        <v>3781</v>
      </c>
      <c r="K5345" t="s">
        <v>3781</v>
      </c>
      <c r="L5345" t="s">
        <v>3781</v>
      </c>
      <c r="M5345" t="s">
        <v>3781</v>
      </c>
      <c r="N5345" t="s">
        <v>3781</v>
      </c>
      <c r="O5345" t="s">
        <v>3781</v>
      </c>
    </row>
    <row r="5346" spans="1:15">
      <c r="A5346" t="s">
        <v>3762</v>
      </c>
      <c r="B5346" t="str">
        <f ca="1">IF(ISBLANK(OFFSET(B5346,0,'Field labels'!$Q$1)),C5346,OFFSET(B5346,0,'Field labels'!$Q$1))</f>
        <v>Road</v>
      </c>
      <c r="C5346" t="s">
        <v>3781</v>
      </c>
      <c r="D5346" t="s">
        <v>3781</v>
      </c>
      <c r="E5346" t="s">
        <v>3781</v>
      </c>
      <c r="F5346" t="s">
        <v>3781</v>
      </c>
      <c r="G5346" t="s">
        <v>3781</v>
      </c>
      <c r="H5346" t="s">
        <v>3781</v>
      </c>
      <c r="I5346" t="s">
        <v>3781</v>
      </c>
      <c r="J5346" t="s">
        <v>3781</v>
      </c>
      <c r="K5346" t="s">
        <v>3781</v>
      </c>
      <c r="L5346" t="s">
        <v>3781</v>
      </c>
      <c r="M5346" t="s">
        <v>3781</v>
      </c>
      <c r="N5346" t="s">
        <v>3781</v>
      </c>
      <c r="O5346" t="s">
        <v>3781</v>
      </c>
    </row>
    <row r="5347" spans="1:15">
      <c r="A5347" t="s">
        <v>3762</v>
      </c>
      <c r="B5347" t="str">
        <f ca="1">IF(ISBLANK(OFFSET(B5347,0,'Field labels'!$Q$1)),C5347,OFFSET(B5347,0,'Field labels'!$Q$1))</f>
        <v>Roundabout</v>
      </c>
      <c r="C5347" t="s">
        <v>3782</v>
      </c>
      <c r="D5347" t="s">
        <v>3782</v>
      </c>
      <c r="E5347" t="s">
        <v>3782</v>
      </c>
      <c r="F5347" t="s">
        <v>3782</v>
      </c>
      <c r="G5347" t="s">
        <v>3782</v>
      </c>
      <c r="H5347" t="s">
        <v>3782</v>
      </c>
      <c r="I5347" t="s">
        <v>3782</v>
      </c>
      <c r="J5347" t="s">
        <v>3782</v>
      </c>
      <c r="K5347" t="s">
        <v>3782</v>
      </c>
      <c r="L5347" t="s">
        <v>3782</v>
      </c>
      <c r="M5347" t="s">
        <v>3782</v>
      </c>
      <c r="N5347" t="s">
        <v>3782</v>
      </c>
      <c r="O5347" t="s">
        <v>3782</v>
      </c>
    </row>
    <row r="5348" spans="1:15">
      <c r="A5348" t="s">
        <v>3762</v>
      </c>
      <c r="B5348" t="str">
        <f ca="1">IF(ISBLANK(OFFSET(B5348,0,'Field labels'!$Q$1)),C5348,OFFSET(B5348,0,'Field labels'!$Q$1))</f>
        <v>Roundabout</v>
      </c>
      <c r="C5348" t="s">
        <v>3782</v>
      </c>
      <c r="D5348" t="s">
        <v>3782</v>
      </c>
      <c r="E5348" t="s">
        <v>3782</v>
      </c>
      <c r="F5348" t="s">
        <v>3782</v>
      </c>
      <c r="G5348" t="s">
        <v>3782</v>
      </c>
      <c r="H5348" t="s">
        <v>3782</v>
      </c>
      <c r="I5348" t="s">
        <v>3782</v>
      </c>
      <c r="J5348" t="s">
        <v>3782</v>
      </c>
      <c r="K5348" t="s">
        <v>3782</v>
      </c>
      <c r="L5348" t="s">
        <v>3782</v>
      </c>
      <c r="M5348" t="s">
        <v>3782</v>
      </c>
      <c r="N5348" t="s">
        <v>3782</v>
      </c>
      <c r="O5348" t="s">
        <v>3782</v>
      </c>
    </row>
    <row r="5349" spans="1:15">
      <c r="A5349" t="s">
        <v>3762</v>
      </c>
      <c r="B5349" t="str">
        <f ca="1">IF(ISBLANK(OFFSET(B5349,0,'Field labels'!$Q$1)),C5349,OFFSET(B5349,0,'Field labels'!$Q$1))</f>
        <v>Row</v>
      </c>
      <c r="C5349" t="s">
        <v>4518</v>
      </c>
      <c r="D5349" t="s">
        <v>4518</v>
      </c>
      <c r="E5349" t="s">
        <v>4518</v>
      </c>
      <c r="F5349" t="s">
        <v>4518</v>
      </c>
      <c r="G5349" t="s">
        <v>4518</v>
      </c>
      <c r="H5349" t="s">
        <v>4518</v>
      </c>
      <c r="I5349" t="s">
        <v>4518</v>
      </c>
      <c r="J5349" t="s">
        <v>4518</v>
      </c>
      <c r="K5349" t="s">
        <v>4518</v>
      </c>
      <c r="L5349" t="s">
        <v>4518</v>
      </c>
      <c r="M5349" t="s">
        <v>4518</v>
      </c>
      <c r="N5349" t="s">
        <v>4518</v>
      </c>
      <c r="O5349" t="s">
        <v>4518</v>
      </c>
    </row>
    <row r="5350" spans="1:15">
      <c r="A5350" t="s">
        <v>3762</v>
      </c>
      <c r="B5350" t="str">
        <f ca="1">IF(ISBLANK(OFFSET(B5350,0,'Field labels'!$Q$1)),C5350,OFFSET(B5350,0,'Field labels'!$Q$1))</f>
        <v>Rueiro</v>
      </c>
      <c r="C5350" t="s">
        <v>4519</v>
      </c>
      <c r="D5350" t="s">
        <v>4519</v>
      </c>
      <c r="E5350" t="s">
        <v>4519</v>
      </c>
      <c r="F5350" t="s">
        <v>4519</v>
      </c>
      <c r="G5350" t="s">
        <v>4519</v>
      </c>
      <c r="H5350" t="s">
        <v>4519</v>
      </c>
      <c r="I5350" t="s">
        <v>4519</v>
      </c>
      <c r="J5350" t="s">
        <v>4519</v>
      </c>
      <c r="K5350" t="s">
        <v>4519</v>
      </c>
      <c r="L5350" t="s">
        <v>4519</v>
      </c>
      <c r="M5350" t="s">
        <v>4519</v>
      </c>
      <c r="N5350" t="s">
        <v>4519</v>
      </c>
      <c r="O5350" t="s">
        <v>4519</v>
      </c>
    </row>
    <row r="5351" spans="1:15">
      <c r="A5351" t="s">
        <v>3762</v>
      </c>
      <c r="B5351" t="str">
        <f ca="1">IF(ISBLANK(OFFSET(B5351,0,'Field labels'!$Q$1)),C5351,OFFSET(B5351,0,'Field labels'!$Q$1))</f>
        <v>sánc</v>
      </c>
      <c r="C5351" t="s">
        <v>4520</v>
      </c>
      <c r="D5351" t="s">
        <v>4520</v>
      </c>
      <c r="E5351" t="s">
        <v>4520</v>
      </c>
      <c r="F5351" t="s">
        <v>4520</v>
      </c>
      <c r="G5351" t="s">
        <v>4520</v>
      </c>
      <c r="H5351" t="s">
        <v>4520</v>
      </c>
      <c r="I5351" t="s">
        <v>4520</v>
      </c>
      <c r="J5351" t="s">
        <v>4520</v>
      </c>
      <c r="K5351" t="s">
        <v>4520</v>
      </c>
      <c r="L5351" t="s">
        <v>4520</v>
      </c>
      <c r="M5351" t="s">
        <v>4520</v>
      </c>
      <c r="N5351" t="s">
        <v>4520</v>
      </c>
      <c r="O5351" t="s">
        <v>4520</v>
      </c>
    </row>
    <row r="5352" spans="1:15">
      <c r="A5352" t="s">
        <v>3762</v>
      </c>
      <c r="B5352" t="str">
        <f ca="1">IF(ISBLANK(OFFSET(B5352,0,'Field labels'!$Q$1)),C5352,OFFSET(B5352,0,'Field labels'!$Q$1))</f>
        <v>Sanctuary</v>
      </c>
      <c r="C5352" t="s">
        <v>4521</v>
      </c>
      <c r="D5352" t="s">
        <v>4521</v>
      </c>
      <c r="E5352" t="s">
        <v>4521</v>
      </c>
      <c r="F5352" t="s">
        <v>4521</v>
      </c>
      <c r="G5352" t="s">
        <v>4521</v>
      </c>
      <c r="H5352" t="s">
        <v>4521</v>
      </c>
      <c r="I5352" t="s">
        <v>4521</v>
      </c>
      <c r="J5352" t="s">
        <v>4521</v>
      </c>
      <c r="K5352" t="s">
        <v>4521</v>
      </c>
      <c r="L5352" t="s">
        <v>4521</v>
      </c>
      <c r="M5352" t="s">
        <v>4521</v>
      </c>
      <c r="N5352" t="s">
        <v>4521</v>
      </c>
      <c r="O5352" t="s">
        <v>4521</v>
      </c>
    </row>
    <row r="5353" spans="1:15">
      <c r="A5353" t="s">
        <v>3762</v>
      </c>
      <c r="B5353" t="str">
        <f ca="1">IF(ISBLANK(OFFSET(B5353,0,'Field labels'!$Q$1)),C5353,OFFSET(B5353,0,'Field labels'!$Q$1))</f>
        <v>sarok</v>
      </c>
      <c r="C5353" t="s">
        <v>4522</v>
      </c>
      <c r="D5353" t="s">
        <v>4522</v>
      </c>
      <c r="E5353" t="s">
        <v>4522</v>
      </c>
      <c r="F5353" t="s">
        <v>4522</v>
      </c>
      <c r="G5353" t="s">
        <v>4522</v>
      </c>
      <c r="H5353" t="s">
        <v>4522</v>
      </c>
      <c r="I5353" t="s">
        <v>4522</v>
      </c>
      <c r="J5353" t="s">
        <v>4522</v>
      </c>
      <c r="K5353" t="s">
        <v>4522</v>
      </c>
      <c r="L5353" t="s">
        <v>4522</v>
      </c>
      <c r="M5353" t="s">
        <v>4522</v>
      </c>
      <c r="N5353" t="s">
        <v>4522</v>
      </c>
      <c r="O5353" t="s">
        <v>4522</v>
      </c>
    </row>
    <row r="5354" spans="1:15">
      <c r="A5354" t="s">
        <v>3762</v>
      </c>
      <c r="B5354" t="str">
        <f ca="1">IF(ISBLANK(OFFSET(B5354,0,'Field labels'!$Q$1)),C5354,OFFSET(B5354,0,'Field labels'!$Q$1))</f>
        <v>sávház</v>
      </c>
      <c r="C5354" t="s">
        <v>4523</v>
      </c>
      <c r="D5354" t="s">
        <v>4523</v>
      </c>
      <c r="E5354" t="s">
        <v>4523</v>
      </c>
      <c r="F5354" t="s">
        <v>4523</v>
      </c>
      <c r="G5354" t="s">
        <v>4523</v>
      </c>
      <c r="H5354" t="s">
        <v>4523</v>
      </c>
      <c r="I5354" t="s">
        <v>4523</v>
      </c>
      <c r="J5354" t="s">
        <v>4523</v>
      </c>
      <c r="K5354" t="s">
        <v>4523</v>
      </c>
      <c r="L5354" t="s">
        <v>4523</v>
      </c>
      <c r="M5354" t="s">
        <v>4523</v>
      </c>
      <c r="N5354" t="s">
        <v>4523</v>
      </c>
      <c r="O5354" t="s">
        <v>4523</v>
      </c>
    </row>
    <row r="5355" spans="1:15">
      <c r="A5355" t="s">
        <v>3762</v>
      </c>
      <c r="B5355" t="str">
        <f ca="1">IF(ISBLANK(OFFSET(B5355,0,'Field labels'!$Q$1)),C5355,OFFSET(B5355,0,'Field labels'!$Q$1))</f>
        <v>Sector</v>
      </c>
      <c r="C5355" t="s">
        <v>4524</v>
      </c>
      <c r="D5355" t="s">
        <v>4524</v>
      </c>
      <c r="E5355" t="s">
        <v>4524</v>
      </c>
      <c r="F5355" t="s">
        <v>4524</v>
      </c>
      <c r="G5355" t="s">
        <v>4524</v>
      </c>
      <c r="H5355" t="s">
        <v>4524</v>
      </c>
      <c r="I5355" t="s">
        <v>4524</v>
      </c>
      <c r="J5355" t="s">
        <v>4524</v>
      </c>
      <c r="K5355" t="s">
        <v>4524</v>
      </c>
      <c r="L5355" t="s">
        <v>4524</v>
      </c>
      <c r="M5355" t="s">
        <v>4524</v>
      </c>
      <c r="N5355" t="s">
        <v>4524</v>
      </c>
      <c r="O5355" t="s">
        <v>4524</v>
      </c>
    </row>
    <row r="5356" spans="1:15">
      <c r="A5356" t="s">
        <v>3762</v>
      </c>
      <c r="B5356" t="str">
        <f ca="1">IF(ISBLANK(OFFSET(B5356,0,'Field labels'!$Q$1)),C5356,OFFSET(B5356,0,'Field labels'!$Q$1))</f>
        <v>sétány</v>
      </c>
      <c r="C5356" t="s">
        <v>4525</v>
      </c>
      <c r="D5356" t="s">
        <v>4525</v>
      </c>
      <c r="E5356" t="s">
        <v>4525</v>
      </c>
      <c r="F5356" t="s">
        <v>4525</v>
      </c>
      <c r="G5356" t="s">
        <v>4525</v>
      </c>
      <c r="H5356" t="s">
        <v>4525</v>
      </c>
      <c r="I5356" t="s">
        <v>4525</v>
      </c>
      <c r="J5356" t="s">
        <v>4525</v>
      </c>
      <c r="K5356" t="s">
        <v>4525</v>
      </c>
      <c r="L5356" t="s">
        <v>4525</v>
      </c>
      <c r="M5356" t="s">
        <v>4525</v>
      </c>
      <c r="N5356" t="s">
        <v>4525</v>
      </c>
      <c r="O5356" t="s">
        <v>4525</v>
      </c>
    </row>
    <row r="5357" spans="1:15">
      <c r="A5357" t="s">
        <v>3762</v>
      </c>
      <c r="B5357" t="str">
        <f ca="1">IF(ISBLANK(OFFSET(B5357,0,'Field labels'!$Q$1)),C5357,OFFSET(B5357,0,'Field labels'!$Q$1))</f>
        <v>Shed</v>
      </c>
      <c r="C5357" t="s">
        <v>4526</v>
      </c>
      <c r="D5357" t="s">
        <v>4526</v>
      </c>
      <c r="E5357" t="s">
        <v>4526</v>
      </c>
      <c r="F5357" t="s">
        <v>4526</v>
      </c>
      <c r="G5357" t="s">
        <v>4526</v>
      </c>
      <c r="H5357" t="s">
        <v>4526</v>
      </c>
      <c r="I5357" t="s">
        <v>4526</v>
      </c>
      <c r="J5357" t="s">
        <v>4526</v>
      </c>
      <c r="K5357" t="s">
        <v>4526</v>
      </c>
      <c r="L5357" t="s">
        <v>4526</v>
      </c>
      <c r="M5357" t="s">
        <v>4526</v>
      </c>
      <c r="N5357" t="s">
        <v>4526</v>
      </c>
      <c r="O5357" t="s">
        <v>4526</v>
      </c>
    </row>
    <row r="5358" spans="1:15">
      <c r="A5358" t="s">
        <v>3762</v>
      </c>
      <c r="B5358" t="str">
        <f ca="1">IF(ISBLANK(OFFSET(B5358,0,'Field labels'!$Q$1)),C5358,OFFSET(B5358,0,'Field labels'!$Q$1))</f>
        <v>Short Alley</v>
      </c>
      <c r="C5358" t="s">
        <v>4527</v>
      </c>
      <c r="D5358" t="s">
        <v>4527</v>
      </c>
      <c r="E5358" t="s">
        <v>4527</v>
      </c>
      <c r="F5358" t="s">
        <v>4527</v>
      </c>
      <c r="G5358" t="s">
        <v>4527</v>
      </c>
      <c r="H5358" t="s">
        <v>4527</v>
      </c>
      <c r="I5358" t="s">
        <v>4527</v>
      </c>
      <c r="J5358" t="s">
        <v>4527</v>
      </c>
      <c r="K5358" t="s">
        <v>4527</v>
      </c>
      <c r="L5358" t="s">
        <v>4527</v>
      </c>
      <c r="M5358" t="s">
        <v>4527</v>
      </c>
      <c r="N5358" t="s">
        <v>4527</v>
      </c>
      <c r="O5358" t="s">
        <v>4527</v>
      </c>
    </row>
    <row r="5359" spans="1:15">
      <c r="A5359" t="s">
        <v>3762</v>
      </c>
      <c r="B5359" t="str">
        <f ca="1">IF(ISBLANK(OFFSET(B5359,0,'Field labels'!$Q$1)),C5359,OFFSET(B5359,0,'Field labels'!$Q$1))</f>
        <v>Short Cut</v>
      </c>
      <c r="C5359" t="s">
        <v>4528</v>
      </c>
      <c r="D5359" t="s">
        <v>4528</v>
      </c>
      <c r="E5359" t="s">
        <v>4528</v>
      </c>
      <c r="F5359" t="s">
        <v>4528</v>
      </c>
      <c r="G5359" t="s">
        <v>4528</v>
      </c>
      <c r="H5359" t="s">
        <v>4528</v>
      </c>
      <c r="I5359" t="s">
        <v>4528</v>
      </c>
      <c r="J5359" t="s">
        <v>4528</v>
      </c>
      <c r="K5359" t="s">
        <v>4528</v>
      </c>
      <c r="L5359" t="s">
        <v>4528</v>
      </c>
      <c r="M5359" t="s">
        <v>4528</v>
      </c>
      <c r="N5359" t="s">
        <v>4528</v>
      </c>
      <c r="O5359" t="s">
        <v>4528</v>
      </c>
    </row>
    <row r="5360" spans="1:15">
      <c r="A5360" t="s">
        <v>3762</v>
      </c>
      <c r="B5360" t="str">
        <f ca="1">IF(ISBLANK(OFFSET(B5360,0,'Field labels'!$Q$1)),C5360,OFFSET(B5360,0,'Field labels'!$Q$1))</f>
        <v>Short-cut</v>
      </c>
      <c r="C5360" t="s">
        <v>4529</v>
      </c>
      <c r="D5360" t="s">
        <v>4529</v>
      </c>
      <c r="E5360" t="s">
        <v>4529</v>
      </c>
      <c r="F5360" t="s">
        <v>4529</v>
      </c>
      <c r="G5360" t="s">
        <v>4529</v>
      </c>
      <c r="H5360" t="s">
        <v>4529</v>
      </c>
      <c r="I5360" t="s">
        <v>4529</v>
      </c>
      <c r="J5360" t="s">
        <v>4529</v>
      </c>
      <c r="K5360" t="s">
        <v>4529</v>
      </c>
      <c r="L5360" t="s">
        <v>4529</v>
      </c>
      <c r="M5360" t="s">
        <v>4529</v>
      </c>
      <c r="N5360" t="s">
        <v>4529</v>
      </c>
      <c r="O5360" t="s">
        <v>4529</v>
      </c>
    </row>
    <row r="5361" spans="1:15">
      <c r="A5361" t="s">
        <v>3762</v>
      </c>
      <c r="B5361" t="str">
        <f ca="1">IF(ISBLANK(OFFSET(B5361,0,'Field labels'!$Q$1)),C5361,OFFSET(B5361,0,'Field labels'!$Q$1))</f>
        <v>Side Street</v>
      </c>
      <c r="C5361" t="s">
        <v>3783</v>
      </c>
      <c r="D5361" t="s">
        <v>3783</v>
      </c>
      <c r="E5361" t="s">
        <v>3783</v>
      </c>
      <c r="F5361" t="s">
        <v>3783</v>
      </c>
      <c r="G5361" t="s">
        <v>3783</v>
      </c>
      <c r="H5361" t="s">
        <v>3783</v>
      </c>
      <c r="I5361" t="s">
        <v>3783</v>
      </c>
      <c r="J5361" t="s">
        <v>3783</v>
      </c>
      <c r="K5361" t="s">
        <v>3783</v>
      </c>
      <c r="L5361" t="s">
        <v>3783</v>
      </c>
      <c r="M5361" t="s">
        <v>3783</v>
      </c>
      <c r="N5361" t="s">
        <v>3783</v>
      </c>
      <c r="O5361" t="s">
        <v>3783</v>
      </c>
    </row>
    <row r="5362" spans="1:15">
      <c r="A5362" t="s">
        <v>3762</v>
      </c>
      <c r="B5362" t="str">
        <f ca="1">IF(ISBLANK(OFFSET(B5362,0,'Field labels'!$Q$1)),C5362,OFFSET(B5362,0,'Field labels'!$Q$1))</f>
        <v>Sidewalk</v>
      </c>
      <c r="C5362" t="s">
        <v>4530</v>
      </c>
      <c r="D5362" t="s">
        <v>4530</v>
      </c>
      <c r="E5362" t="s">
        <v>4530</v>
      </c>
      <c r="F5362" t="s">
        <v>4530</v>
      </c>
      <c r="G5362" t="s">
        <v>4530</v>
      </c>
      <c r="H5362" t="s">
        <v>4530</v>
      </c>
      <c r="I5362" t="s">
        <v>4530</v>
      </c>
      <c r="J5362" t="s">
        <v>4530</v>
      </c>
      <c r="K5362" t="s">
        <v>4530</v>
      </c>
      <c r="L5362" t="s">
        <v>4530</v>
      </c>
      <c r="M5362" t="s">
        <v>4530</v>
      </c>
      <c r="N5362" t="s">
        <v>4530</v>
      </c>
      <c r="O5362" t="s">
        <v>4530</v>
      </c>
    </row>
    <row r="5363" spans="1:15">
      <c r="A5363" t="s">
        <v>3762</v>
      </c>
      <c r="B5363" t="str">
        <f ca="1">IF(ISBLANK(OFFSET(B5363,0,'Field labels'!$Q$1)),C5363,OFFSET(B5363,0,'Field labels'!$Q$1))</f>
        <v>Slope</v>
      </c>
      <c r="C5363" t="s">
        <v>3784</v>
      </c>
      <c r="D5363" t="s">
        <v>3784</v>
      </c>
      <c r="E5363" t="s">
        <v>3784</v>
      </c>
      <c r="F5363" t="s">
        <v>3784</v>
      </c>
      <c r="G5363" t="s">
        <v>3784</v>
      </c>
      <c r="H5363" t="s">
        <v>3784</v>
      </c>
      <c r="I5363" t="s">
        <v>3784</v>
      </c>
      <c r="J5363" t="s">
        <v>3784</v>
      </c>
      <c r="K5363" t="s">
        <v>3784</v>
      </c>
      <c r="L5363" t="s">
        <v>3784</v>
      </c>
      <c r="M5363" t="s">
        <v>3784</v>
      </c>
      <c r="N5363" t="s">
        <v>3784</v>
      </c>
      <c r="O5363" t="s">
        <v>3784</v>
      </c>
    </row>
    <row r="5364" spans="1:15">
      <c r="A5364" t="s">
        <v>3762</v>
      </c>
      <c r="B5364" t="str">
        <f ca="1">IF(ISBLANK(OFFSET(B5364,0,'Field labels'!$Q$1)),C5364,OFFSET(B5364,0,'Field labels'!$Q$1))</f>
        <v>Small Square</v>
      </c>
      <c r="C5364" t="s">
        <v>4531</v>
      </c>
      <c r="D5364" t="s">
        <v>4531</v>
      </c>
      <c r="E5364" t="s">
        <v>4531</v>
      </c>
      <c r="F5364" t="s">
        <v>4531</v>
      </c>
      <c r="G5364" t="s">
        <v>4531</v>
      </c>
      <c r="H5364" t="s">
        <v>4531</v>
      </c>
      <c r="I5364" t="s">
        <v>4531</v>
      </c>
      <c r="J5364" t="s">
        <v>4531</v>
      </c>
      <c r="K5364" t="s">
        <v>4531</v>
      </c>
      <c r="L5364" t="s">
        <v>4531</v>
      </c>
      <c r="M5364" t="s">
        <v>4531</v>
      </c>
      <c r="N5364" t="s">
        <v>4531</v>
      </c>
      <c r="O5364" t="s">
        <v>4531</v>
      </c>
    </row>
    <row r="5365" spans="1:15">
      <c r="A5365" t="s">
        <v>3762</v>
      </c>
      <c r="B5365" t="str">
        <f ca="1">IF(ISBLANK(OFFSET(B5365,0,'Field labels'!$Q$1)),C5365,OFFSET(B5365,0,'Field labels'!$Q$1))</f>
        <v>sor</v>
      </c>
      <c r="C5365" t="s">
        <v>4532</v>
      </c>
      <c r="D5365" t="s">
        <v>4532</v>
      </c>
      <c r="E5365" t="s">
        <v>4532</v>
      </c>
      <c r="F5365" t="s">
        <v>4532</v>
      </c>
      <c r="G5365" t="s">
        <v>4532</v>
      </c>
      <c r="H5365" t="s">
        <v>4532</v>
      </c>
      <c r="I5365" t="s">
        <v>4532</v>
      </c>
      <c r="J5365" t="s">
        <v>4532</v>
      </c>
      <c r="K5365" t="s">
        <v>4532</v>
      </c>
      <c r="L5365" t="s">
        <v>4532</v>
      </c>
      <c r="M5365" t="s">
        <v>4532</v>
      </c>
      <c r="N5365" t="s">
        <v>4532</v>
      </c>
      <c r="O5365" t="s">
        <v>4532</v>
      </c>
    </row>
    <row r="5366" spans="1:15">
      <c r="A5366" t="s">
        <v>3762</v>
      </c>
      <c r="B5366" t="str">
        <f ca="1">IF(ISBLANK(OFFSET(B5366,0,'Field labels'!$Q$1)),C5366,OFFSET(B5366,0,'Field labels'!$Q$1))</f>
        <v>sora</v>
      </c>
      <c r="C5366" t="s">
        <v>4533</v>
      </c>
      <c r="D5366" t="s">
        <v>4533</v>
      </c>
      <c r="E5366" t="s">
        <v>4533</v>
      </c>
      <c r="F5366" t="s">
        <v>4533</v>
      </c>
      <c r="G5366" t="s">
        <v>4533</v>
      </c>
      <c r="H5366" t="s">
        <v>4533</v>
      </c>
      <c r="I5366" t="s">
        <v>4533</v>
      </c>
      <c r="J5366" t="s">
        <v>4533</v>
      </c>
      <c r="K5366" t="s">
        <v>4533</v>
      </c>
      <c r="L5366" t="s">
        <v>4533</v>
      </c>
      <c r="M5366" t="s">
        <v>4533</v>
      </c>
      <c r="N5366" t="s">
        <v>4533</v>
      </c>
      <c r="O5366" t="s">
        <v>4533</v>
      </c>
    </row>
    <row r="5367" spans="1:15">
      <c r="A5367" t="s">
        <v>3762</v>
      </c>
      <c r="B5367" t="str">
        <f ca="1">IF(ISBLANK(OFFSET(B5367,0,'Field labels'!$Q$1)),C5367,OFFSET(B5367,0,'Field labels'!$Q$1))</f>
        <v>Spa</v>
      </c>
      <c r="C5367" t="s">
        <v>4534</v>
      </c>
      <c r="D5367" t="s">
        <v>4534</v>
      </c>
      <c r="E5367" t="s">
        <v>4534</v>
      </c>
      <c r="F5367" t="s">
        <v>4534</v>
      </c>
      <c r="G5367" t="s">
        <v>4534</v>
      </c>
      <c r="H5367" t="s">
        <v>4534</v>
      </c>
      <c r="I5367" t="s">
        <v>4534</v>
      </c>
      <c r="J5367" t="s">
        <v>4534</v>
      </c>
      <c r="K5367" t="s">
        <v>4534</v>
      </c>
      <c r="L5367" t="s">
        <v>4534</v>
      </c>
      <c r="M5367" t="s">
        <v>4534</v>
      </c>
      <c r="N5367" t="s">
        <v>4534</v>
      </c>
      <c r="O5367" t="s">
        <v>4534</v>
      </c>
    </row>
    <row r="5368" spans="1:15">
      <c r="A5368" t="s">
        <v>3762</v>
      </c>
      <c r="B5368" t="str">
        <f ca="1">IF(ISBLANK(OFFSET(B5368,0,'Field labels'!$Q$1)),C5368,OFFSET(B5368,0,'Field labels'!$Q$1))</f>
        <v>sportpálya</v>
      </c>
      <c r="C5368" t="s">
        <v>4535</v>
      </c>
      <c r="D5368" t="s">
        <v>4535</v>
      </c>
      <c r="E5368" t="s">
        <v>4535</v>
      </c>
      <c r="F5368" t="s">
        <v>4535</v>
      </c>
      <c r="G5368" t="s">
        <v>4535</v>
      </c>
      <c r="H5368" t="s">
        <v>4535</v>
      </c>
      <c r="I5368" t="s">
        <v>4535</v>
      </c>
      <c r="J5368" t="s">
        <v>4535</v>
      </c>
      <c r="K5368" t="s">
        <v>4535</v>
      </c>
      <c r="L5368" t="s">
        <v>4535</v>
      </c>
      <c r="M5368" t="s">
        <v>4535</v>
      </c>
      <c r="N5368" t="s">
        <v>4535</v>
      </c>
      <c r="O5368" t="s">
        <v>4535</v>
      </c>
    </row>
    <row r="5369" spans="1:15">
      <c r="A5369" t="s">
        <v>3762</v>
      </c>
      <c r="B5369" t="str">
        <f ca="1">IF(ISBLANK(OFFSET(B5369,0,'Field labels'!$Q$1)),C5369,OFFSET(B5369,0,'Field labels'!$Q$1))</f>
        <v>sporttelep</v>
      </c>
      <c r="C5369" t="s">
        <v>4536</v>
      </c>
      <c r="D5369" t="s">
        <v>4536</v>
      </c>
      <c r="E5369" t="s">
        <v>4536</v>
      </c>
      <c r="F5369" t="s">
        <v>4536</v>
      </c>
      <c r="G5369" t="s">
        <v>4536</v>
      </c>
      <c r="H5369" t="s">
        <v>4536</v>
      </c>
      <c r="I5369" t="s">
        <v>4536</v>
      </c>
      <c r="J5369" t="s">
        <v>4536</v>
      </c>
      <c r="K5369" t="s">
        <v>4536</v>
      </c>
      <c r="L5369" t="s">
        <v>4536</v>
      </c>
      <c r="M5369" t="s">
        <v>4536</v>
      </c>
      <c r="N5369" t="s">
        <v>4536</v>
      </c>
      <c r="O5369" t="s">
        <v>4536</v>
      </c>
    </row>
    <row r="5370" spans="1:15">
      <c r="A5370" t="s">
        <v>3762</v>
      </c>
      <c r="B5370" t="str">
        <f ca="1">IF(ISBLANK(OFFSET(B5370,0,'Field labels'!$Q$1)),C5370,OFFSET(B5370,0,'Field labels'!$Q$1))</f>
        <v>Square</v>
      </c>
      <c r="C5370" t="s">
        <v>3785</v>
      </c>
      <c r="D5370" t="s">
        <v>3785</v>
      </c>
      <c r="E5370" t="s">
        <v>3785</v>
      </c>
      <c r="F5370" t="s">
        <v>3785</v>
      </c>
      <c r="G5370" t="s">
        <v>3785</v>
      </c>
      <c r="H5370" t="s">
        <v>3785</v>
      </c>
      <c r="I5370" t="s">
        <v>3785</v>
      </c>
      <c r="J5370" t="s">
        <v>3785</v>
      </c>
      <c r="K5370" t="s">
        <v>3785</v>
      </c>
      <c r="L5370" t="s">
        <v>3785</v>
      </c>
      <c r="M5370" t="s">
        <v>3785</v>
      </c>
      <c r="N5370" t="s">
        <v>3785</v>
      </c>
      <c r="O5370" t="s">
        <v>3785</v>
      </c>
    </row>
    <row r="5371" spans="1:15">
      <c r="A5371" t="s">
        <v>3762</v>
      </c>
      <c r="B5371" t="str">
        <f ca="1">IF(ISBLANK(OFFSET(B5371,0,'Field labels'!$Q$1)),C5371,OFFSET(B5371,0,'Field labels'!$Q$1))</f>
        <v>Square</v>
      </c>
      <c r="C5371" t="s">
        <v>3785</v>
      </c>
      <c r="D5371" t="s">
        <v>3785</v>
      </c>
      <c r="E5371" t="s">
        <v>3785</v>
      </c>
      <c r="F5371" t="s">
        <v>3785</v>
      </c>
      <c r="G5371" t="s">
        <v>3785</v>
      </c>
      <c r="H5371" t="s">
        <v>3785</v>
      </c>
      <c r="I5371" t="s">
        <v>3785</v>
      </c>
      <c r="J5371" t="s">
        <v>3785</v>
      </c>
      <c r="K5371" t="s">
        <v>3785</v>
      </c>
      <c r="L5371" t="s">
        <v>3785</v>
      </c>
      <c r="M5371" t="s">
        <v>3785</v>
      </c>
      <c r="N5371" t="s">
        <v>3785</v>
      </c>
      <c r="O5371" t="s">
        <v>3785</v>
      </c>
    </row>
    <row r="5372" spans="1:15">
      <c r="A5372" t="s">
        <v>3762</v>
      </c>
      <c r="B5372" t="str">
        <f ca="1">IF(ISBLANK(OFFSET(B5372,0,'Field labels'!$Q$1)),C5372,OFFSET(B5372,0,'Field labels'!$Q$1))</f>
        <v>stadion</v>
      </c>
      <c r="C5372" t="s">
        <v>4537</v>
      </c>
      <c r="D5372" t="s">
        <v>4537</v>
      </c>
      <c r="E5372" t="s">
        <v>4537</v>
      </c>
      <c r="F5372" t="s">
        <v>4537</v>
      </c>
      <c r="G5372" t="s">
        <v>4537</v>
      </c>
      <c r="H5372" t="s">
        <v>4537</v>
      </c>
      <c r="I5372" t="s">
        <v>4537</v>
      </c>
      <c r="J5372" t="s">
        <v>4537</v>
      </c>
      <c r="K5372" t="s">
        <v>4537</v>
      </c>
      <c r="L5372" t="s">
        <v>4537</v>
      </c>
      <c r="M5372" t="s">
        <v>4537</v>
      </c>
      <c r="N5372" t="s">
        <v>4537</v>
      </c>
      <c r="O5372" t="s">
        <v>4537</v>
      </c>
    </row>
    <row r="5373" spans="1:15">
      <c r="A5373" t="s">
        <v>3762</v>
      </c>
      <c r="B5373" t="str">
        <f ca="1">IF(ISBLANK(OFFSET(B5373,0,'Field labels'!$Q$1)),C5373,OFFSET(B5373,0,'Field labels'!$Q$1))</f>
        <v>Staircase</v>
      </c>
      <c r="C5373" t="s">
        <v>1948</v>
      </c>
      <c r="D5373" t="s">
        <v>1948</v>
      </c>
      <c r="E5373" t="s">
        <v>1948</v>
      </c>
      <c r="F5373" t="s">
        <v>1948</v>
      </c>
      <c r="G5373" t="s">
        <v>1948</v>
      </c>
      <c r="H5373" t="s">
        <v>1948</v>
      </c>
      <c r="I5373" t="s">
        <v>1948</v>
      </c>
      <c r="J5373" t="s">
        <v>1948</v>
      </c>
      <c r="K5373" t="s">
        <v>1948</v>
      </c>
      <c r="L5373" t="s">
        <v>1948</v>
      </c>
      <c r="M5373" t="s">
        <v>1948</v>
      </c>
      <c r="N5373" t="s">
        <v>1948</v>
      </c>
      <c r="O5373" t="s">
        <v>1948</v>
      </c>
    </row>
    <row r="5374" spans="1:15">
      <c r="A5374" t="s">
        <v>3762</v>
      </c>
      <c r="B5374" t="str">
        <f ca="1">IF(ISBLANK(OFFSET(B5374,0,'Field labels'!$Q$1)),C5374,OFFSET(B5374,0,'Field labels'!$Q$1))</f>
        <v>Stairway/s</v>
      </c>
      <c r="C5374" t="s">
        <v>4538</v>
      </c>
      <c r="D5374" t="s">
        <v>4538</v>
      </c>
      <c r="E5374" t="s">
        <v>4538</v>
      </c>
      <c r="F5374" t="s">
        <v>4538</v>
      </c>
      <c r="G5374" t="s">
        <v>4538</v>
      </c>
      <c r="H5374" t="s">
        <v>4538</v>
      </c>
      <c r="I5374" t="s">
        <v>4538</v>
      </c>
      <c r="J5374" t="s">
        <v>4538</v>
      </c>
      <c r="K5374" t="s">
        <v>4538</v>
      </c>
      <c r="L5374" t="s">
        <v>4538</v>
      </c>
      <c r="M5374" t="s">
        <v>4538</v>
      </c>
      <c r="N5374" t="s">
        <v>4538</v>
      </c>
      <c r="O5374" t="s">
        <v>4538</v>
      </c>
    </row>
    <row r="5375" spans="1:15">
      <c r="A5375" t="s">
        <v>3762</v>
      </c>
      <c r="B5375" t="str">
        <f ca="1">IF(ISBLANK(OFFSET(B5375,0,'Field labels'!$Q$1)),C5375,OFFSET(B5375,0,'Field labels'!$Q$1))</f>
        <v>Station</v>
      </c>
      <c r="C5375" t="s">
        <v>4539</v>
      </c>
      <c r="D5375" t="s">
        <v>4539</v>
      </c>
      <c r="E5375" t="s">
        <v>4539</v>
      </c>
      <c r="F5375" t="s">
        <v>4539</v>
      </c>
      <c r="G5375" t="s">
        <v>4539</v>
      </c>
      <c r="H5375" t="s">
        <v>4539</v>
      </c>
      <c r="I5375" t="s">
        <v>4539</v>
      </c>
      <c r="J5375" t="s">
        <v>4539</v>
      </c>
      <c r="K5375" t="s">
        <v>4539</v>
      </c>
      <c r="L5375" t="s">
        <v>4539</v>
      </c>
      <c r="M5375" t="s">
        <v>4539</v>
      </c>
      <c r="N5375" t="s">
        <v>4539</v>
      </c>
      <c r="O5375" t="s">
        <v>4539</v>
      </c>
    </row>
    <row r="5376" spans="1:15">
      <c r="A5376" t="s">
        <v>3762</v>
      </c>
      <c r="B5376" t="str">
        <f ca="1">IF(ISBLANK(OFFSET(B5376,0,'Field labels'!$Q$1)),C5376,OFFSET(B5376,0,'Field labels'!$Q$1))</f>
        <v>strandfürdő</v>
      </c>
      <c r="C5376" t="s">
        <v>4540</v>
      </c>
      <c r="D5376" t="s">
        <v>4540</v>
      </c>
      <c r="E5376" t="s">
        <v>4540</v>
      </c>
      <c r="F5376" t="s">
        <v>4540</v>
      </c>
      <c r="G5376" t="s">
        <v>4540</v>
      </c>
      <c r="H5376" t="s">
        <v>4540</v>
      </c>
      <c r="I5376" t="s">
        <v>4540</v>
      </c>
      <c r="J5376" t="s">
        <v>4540</v>
      </c>
      <c r="K5376" t="s">
        <v>4540</v>
      </c>
      <c r="L5376" t="s">
        <v>4540</v>
      </c>
      <c r="M5376" t="s">
        <v>4540</v>
      </c>
      <c r="N5376" t="s">
        <v>4540</v>
      </c>
      <c r="O5376" t="s">
        <v>4540</v>
      </c>
    </row>
    <row r="5377" spans="1:15">
      <c r="A5377" t="s">
        <v>3762</v>
      </c>
      <c r="B5377" t="str">
        <f ca="1">IF(ISBLANK(OFFSET(B5377,0,'Field labels'!$Q$1)),C5377,OFFSET(B5377,0,'Field labels'!$Q$1))</f>
        <v>Stream</v>
      </c>
      <c r="C5377" t="s">
        <v>4541</v>
      </c>
      <c r="D5377" t="s">
        <v>4541</v>
      </c>
      <c r="E5377" t="s">
        <v>4541</v>
      </c>
      <c r="F5377" t="s">
        <v>4541</v>
      </c>
      <c r="G5377" t="s">
        <v>4541</v>
      </c>
      <c r="H5377" t="s">
        <v>4541</v>
      </c>
      <c r="I5377" t="s">
        <v>4541</v>
      </c>
      <c r="J5377" t="s">
        <v>4541</v>
      </c>
      <c r="K5377" t="s">
        <v>4541</v>
      </c>
      <c r="L5377" t="s">
        <v>4541</v>
      </c>
      <c r="M5377" t="s">
        <v>4541</v>
      </c>
      <c r="N5377" t="s">
        <v>4541</v>
      </c>
      <c r="O5377" t="s">
        <v>4541</v>
      </c>
    </row>
    <row r="5378" spans="1:15">
      <c r="A5378" t="s">
        <v>3762</v>
      </c>
      <c r="B5378" t="str">
        <f ca="1">IF(ISBLANK(OFFSET(B5378,0,'Field labels'!$Q$1)),C5378,OFFSET(B5378,0,'Field labels'!$Q$1))</f>
        <v>Stream</v>
      </c>
      <c r="C5378" t="s">
        <v>4541</v>
      </c>
      <c r="D5378" t="s">
        <v>4541</v>
      </c>
      <c r="E5378" t="s">
        <v>4541</v>
      </c>
      <c r="F5378" t="s">
        <v>4541</v>
      </c>
      <c r="G5378" t="s">
        <v>4541</v>
      </c>
      <c r="H5378" t="s">
        <v>4541</v>
      </c>
      <c r="I5378" t="s">
        <v>4541</v>
      </c>
      <c r="J5378" t="s">
        <v>4541</v>
      </c>
      <c r="K5378" t="s">
        <v>4541</v>
      </c>
      <c r="L5378" t="s">
        <v>4541</v>
      </c>
      <c r="M5378" t="s">
        <v>4541</v>
      </c>
      <c r="N5378" t="s">
        <v>4541</v>
      </c>
      <c r="O5378" t="s">
        <v>4541</v>
      </c>
    </row>
    <row r="5379" spans="1:15">
      <c r="A5379" t="s">
        <v>3762</v>
      </c>
      <c r="B5379" t="str">
        <f ca="1">IF(ISBLANK(OFFSET(B5379,0,'Field labels'!$Q$1)),C5379,OFFSET(B5379,0,'Field labels'!$Q$1))</f>
        <v>Street</v>
      </c>
      <c r="C5379" t="s">
        <v>1940</v>
      </c>
      <c r="D5379" t="s">
        <v>1940</v>
      </c>
      <c r="E5379" t="s">
        <v>1940</v>
      </c>
      <c r="F5379" t="s">
        <v>1940</v>
      </c>
      <c r="G5379" t="s">
        <v>1940</v>
      </c>
      <c r="H5379" t="s">
        <v>1940</v>
      </c>
      <c r="I5379" t="s">
        <v>1940</v>
      </c>
      <c r="J5379" t="s">
        <v>1940</v>
      </c>
      <c r="K5379" t="s">
        <v>1940</v>
      </c>
      <c r="L5379" t="s">
        <v>1940</v>
      </c>
      <c r="M5379" t="s">
        <v>1940</v>
      </c>
      <c r="N5379" t="s">
        <v>1940</v>
      </c>
      <c r="O5379" t="s">
        <v>1940</v>
      </c>
    </row>
    <row r="5380" spans="1:15">
      <c r="A5380" t="s">
        <v>3762</v>
      </c>
      <c r="B5380" t="str">
        <f ca="1">IF(ISBLANK(OFFSET(B5380,0,'Field labels'!$Q$1)),C5380,OFFSET(B5380,0,'Field labels'!$Q$1))</f>
        <v>Street</v>
      </c>
      <c r="C5380" t="s">
        <v>1940</v>
      </c>
      <c r="D5380" t="s">
        <v>1940</v>
      </c>
      <c r="E5380" t="s">
        <v>1940</v>
      </c>
      <c r="F5380" t="s">
        <v>1940</v>
      </c>
      <c r="G5380" t="s">
        <v>1940</v>
      </c>
      <c r="H5380" t="s">
        <v>1940</v>
      </c>
      <c r="I5380" t="s">
        <v>1940</v>
      </c>
      <c r="J5380" t="s">
        <v>1940</v>
      </c>
      <c r="K5380" t="s">
        <v>1940</v>
      </c>
      <c r="L5380" t="s">
        <v>1940</v>
      </c>
      <c r="M5380" t="s">
        <v>1940</v>
      </c>
      <c r="N5380" t="s">
        <v>1940</v>
      </c>
      <c r="O5380" t="s">
        <v>1940</v>
      </c>
    </row>
    <row r="5381" spans="1:15">
      <c r="A5381" t="s">
        <v>3762</v>
      </c>
      <c r="B5381" t="str">
        <f ca="1">IF(ISBLANK(OFFSET(B5381,0,'Field labels'!$Q$1)),C5381,OFFSET(B5381,0,'Field labels'!$Q$1))</f>
        <v>Street</v>
      </c>
      <c r="C5381" t="s">
        <v>1940</v>
      </c>
      <c r="D5381" t="s">
        <v>1940</v>
      </c>
      <c r="E5381" t="s">
        <v>1940</v>
      </c>
      <c r="F5381" t="s">
        <v>1940</v>
      </c>
      <c r="G5381" t="s">
        <v>1940</v>
      </c>
      <c r="H5381" t="s">
        <v>1940</v>
      </c>
      <c r="I5381" t="s">
        <v>1940</v>
      </c>
      <c r="J5381" t="s">
        <v>1940</v>
      </c>
      <c r="K5381" t="s">
        <v>1940</v>
      </c>
      <c r="L5381" t="s">
        <v>1940</v>
      </c>
      <c r="M5381" t="s">
        <v>1940</v>
      </c>
      <c r="N5381" t="s">
        <v>1940</v>
      </c>
      <c r="O5381" t="s">
        <v>1940</v>
      </c>
    </row>
    <row r="5382" spans="1:15">
      <c r="A5382" t="s">
        <v>3762</v>
      </c>
      <c r="B5382" t="str">
        <f ca="1">IF(ISBLANK(OFFSET(B5382,0,'Field labels'!$Q$1)),C5382,OFFSET(B5382,0,'Field labels'!$Q$1))</f>
        <v>Suburb</v>
      </c>
      <c r="C5382" t="s">
        <v>4542</v>
      </c>
      <c r="D5382" t="s">
        <v>4542</v>
      </c>
      <c r="E5382" t="s">
        <v>4542</v>
      </c>
      <c r="F5382" t="s">
        <v>4542</v>
      </c>
      <c r="G5382" t="s">
        <v>4542</v>
      </c>
      <c r="H5382" t="s">
        <v>4542</v>
      </c>
      <c r="I5382" t="s">
        <v>4542</v>
      </c>
      <c r="J5382" t="s">
        <v>4542</v>
      </c>
      <c r="K5382" t="s">
        <v>4542</v>
      </c>
      <c r="L5382" t="s">
        <v>4542</v>
      </c>
      <c r="M5382" t="s">
        <v>4542</v>
      </c>
      <c r="N5382" t="s">
        <v>4542</v>
      </c>
      <c r="O5382" t="s">
        <v>4542</v>
      </c>
    </row>
    <row r="5383" spans="1:15">
      <c r="A5383" t="s">
        <v>3762</v>
      </c>
      <c r="B5383" t="str">
        <f ca="1">IF(ISBLANK(OFFSET(B5383,0,'Field labels'!$Q$1)),C5383,OFFSET(B5383,0,'Field labels'!$Q$1))</f>
        <v>sugárút</v>
      </c>
      <c r="C5383" t="s">
        <v>4543</v>
      </c>
      <c r="D5383" t="s">
        <v>4543</v>
      </c>
      <c r="E5383" t="s">
        <v>4543</v>
      </c>
      <c r="F5383" t="s">
        <v>4543</v>
      </c>
      <c r="G5383" t="s">
        <v>4543</v>
      </c>
      <c r="H5383" t="s">
        <v>4543</v>
      </c>
      <c r="I5383" t="s">
        <v>4543</v>
      </c>
      <c r="J5383" t="s">
        <v>4543</v>
      </c>
      <c r="K5383" t="s">
        <v>4543</v>
      </c>
      <c r="L5383" t="s">
        <v>4543</v>
      </c>
      <c r="M5383" t="s">
        <v>4543</v>
      </c>
      <c r="N5383" t="s">
        <v>4543</v>
      </c>
      <c r="O5383" t="s">
        <v>4543</v>
      </c>
    </row>
    <row r="5384" spans="1:15">
      <c r="A5384" t="s">
        <v>3762</v>
      </c>
      <c r="B5384" t="str">
        <f ca="1">IF(ISBLANK(OFFSET(B5384,0,'Field labels'!$Q$1)),C5384,OFFSET(B5384,0,'Field labels'!$Q$1))</f>
        <v>szállás</v>
      </c>
      <c r="C5384" t="s">
        <v>4544</v>
      </c>
      <c r="D5384" t="s">
        <v>4544</v>
      </c>
      <c r="E5384" t="s">
        <v>4544</v>
      </c>
      <c r="F5384" t="s">
        <v>4544</v>
      </c>
      <c r="G5384" t="s">
        <v>4544</v>
      </c>
      <c r="H5384" t="s">
        <v>4544</v>
      </c>
      <c r="I5384" t="s">
        <v>4544</v>
      </c>
      <c r="J5384" t="s">
        <v>4544</v>
      </c>
      <c r="K5384" t="s">
        <v>4544</v>
      </c>
      <c r="L5384" t="s">
        <v>4544</v>
      </c>
      <c r="M5384" t="s">
        <v>4544</v>
      </c>
      <c r="N5384" t="s">
        <v>4544</v>
      </c>
      <c r="O5384" t="s">
        <v>4544</v>
      </c>
    </row>
    <row r="5385" spans="1:15">
      <c r="A5385" t="s">
        <v>3762</v>
      </c>
      <c r="B5385" t="str">
        <f ca="1">IF(ISBLANK(OFFSET(B5385,0,'Field labels'!$Q$1)),C5385,OFFSET(B5385,0,'Field labels'!$Q$1))</f>
        <v>szállások</v>
      </c>
      <c r="C5385" t="s">
        <v>4545</v>
      </c>
      <c r="D5385" t="s">
        <v>4545</v>
      </c>
      <c r="E5385" t="s">
        <v>4545</v>
      </c>
      <c r="F5385" t="s">
        <v>4545</v>
      </c>
      <c r="G5385" t="s">
        <v>4545</v>
      </c>
      <c r="H5385" t="s">
        <v>4545</v>
      </c>
      <c r="I5385" t="s">
        <v>4545</v>
      </c>
      <c r="J5385" t="s">
        <v>4545</v>
      </c>
      <c r="K5385" t="s">
        <v>4545</v>
      </c>
      <c r="L5385" t="s">
        <v>4545</v>
      </c>
      <c r="M5385" t="s">
        <v>4545</v>
      </c>
      <c r="N5385" t="s">
        <v>4545</v>
      </c>
      <c r="O5385" t="s">
        <v>4545</v>
      </c>
    </row>
    <row r="5386" spans="1:15">
      <c r="A5386" t="s">
        <v>3762</v>
      </c>
      <c r="B5386" t="str">
        <f ca="1">IF(ISBLANK(OFFSET(B5386,0,'Field labels'!$Q$1)),C5386,OFFSET(B5386,0,'Field labels'!$Q$1))</f>
        <v>szél</v>
      </c>
      <c r="C5386" t="s">
        <v>4546</v>
      </c>
      <c r="D5386" t="s">
        <v>4546</v>
      </c>
      <c r="E5386" t="s">
        <v>4546</v>
      </c>
      <c r="F5386" t="s">
        <v>4546</v>
      </c>
      <c r="G5386" t="s">
        <v>4546</v>
      </c>
      <c r="H5386" t="s">
        <v>4546</v>
      </c>
      <c r="I5386" t="s">
        <v>4546</v>
      </c>
      <c r="J5386" t="s">
        <v>4546</v>
      </c>
      <c r="K5386" t="s">
        <v>4546</v>
      </c>
      <c r="L5386" t="s">
        <v>4546</v>
      </c>
      <c r="M5386" t="s">
        <v>4546</v>
      </c>
      <c r="N5386" t="s">
        <v>4546</v>
      </c>
      <c r="O5386" t="s">
        <v>4546</v>
      </c>
    </row>
    <row r="5387" spans="1:15">
      <c r="A5387" t="s">
        <v>3762</v>
      </c>
      <c r="B5387" t="str">
        <f ca="1">IF(ISBLANK(OFFSET(B5387,0,'Field labels'!$Q$1)),C5387,OFFSET(B5387,0,'Field labels'!$Q$1))</f>
        <v>szer</v>
      </c>
      <c r="C5387" t="s">
        <v>4547</v>
      </c>
      <c r="D5387" t="s">
        <v>4547</v>
      </c>
      <c r="E5387" t="s">
        <v>4547</v>
      </c>
      <c r="F5387" t="s">
        <v>4547</v>
      </c>
      <c r="G5387" t="s">
        <v>4547</v>
      </c>
      <c r="H5387" t="s">
        <v>4547</v>
      </c>
      <c r="I5387" t="s">
        <v>4547</v>
      </c>
      <c r="J5387" t="s">
        <v>4547</v>
      </c>
      <c r="K5387" t="s">
        <v>4547</v>
      </c>
      <c r="L5387" t="s">
        <v>4547</v>
      </c>
      <c r="M5387" t="s">
        <v>4547</v>
      </c>
      <c r="N5387" t="s">
        <v>4547</v>
      </c>
      <c r="O5387" t="s">
        <v>4547</v>
      </c>
    </row>
    <row r="5388" spans="1:15">
      <c r="A5388" t="s">
        <v>3762</v>
      </c>
      <c r="B5388" t="str">
        <f ca="1">IF(ISBLANK(OFFSET(B5388,0,'Field labels'!$Q$1)),C5388,OFFSET(B5388,0,'Field labels'!$Q$1))</f>
        <v>sziget</v>
      </c>
      <c r="C5388" t="s">
        <v>4548</v>
      </c>
      <c r="D5388" t="s">
        <v>4548</v>
      </c>
      <c r="E5388" t="s">
        <v>4548</v>
      </c>
      <c r="F5388" t="s">
        <v>4548</v>
      </c>
      <c r="G5388" t="s">
        <v>4548</v>
      </c>
      <c r="H5388" t="s">
        <v>4548</v>
      </c>
      <c r="I5388" t="s">
        <v>4548</v>
      </c>
      <c r="J5388" t="s">
        <v>4548</v>
      </c>
      <c r="K5388" t="s">
        <v>4548</v>
      </c>
      <c r="L5388" t="s">
        <v>4548</v>
      </c>
      <c r="M5388" t="s">
        <v>4548</v>
      </c>
      <c r="N5388" t="s">
        <v>4548</v>
      </c>
      <c r="O5388" t="s">
        <v>4548</v>
      </c>
    </row>
    <row r="5389" spans="1:15">
      <c r="A5389" t="s">
        <v>3762</v>
      </c>
      <c r="B5389" t="str">
        <f ca="1">IF(ISBLANK(OFFSET(B5389,0,'Field labels'!$Q$1)),C5389,OFFSET(B5389,0,'Field labels'!$Q$1))</f>
        <v>szivattyútelep</v>
      </c>
      <c r="C5389" t="s">
        <v>4549</v>
      </c>
      <c r="D5389" t="s">
        <v>4549</v>
      </c>
      <c r="E5389" t="s">
        <v>4549</v>
      </c>
      <c r="F5389" t="s">
        <v>4549</v>
      </c>
      <c r="G5389" t="s">
        <v>4549</v>
      </c>
      <c r="H5389" t="s">
        <v>4549</v>
      </c>
      <c r="I5389" t="s">
        <v>4549</v>
      </c>
      <c r="J5389" t="s">
        <v>4549</v>
      </c>
      <c r="K5389" t="s">
        <v>4549</v>
      </c>
      <c r="L5389" t="s">
        <v>4549</v>
      </c>
      <c r="M5389" t="s">
        <v>4549</v>
      </c>
      <c r="N5389" t="s">
        <v>4549</v>
      </c>
      <c r="O5389" t="s">
        <v>4549</v>
      </c>
    </row>
    <row r="5390" spans="1:15">
      <c r="A5390" t="s">
        <v>3762</v>
      </c>
      <c r="B5390" t="str">
        <f ca="1">IF(ISBLANK(OFFSET(B5390,0,'Field labels'!$Q$1)),C5390,OFFSET(B5390,0,'Field labels'!$Q$1))</f>
        <v>szőlő</v>
      </c>
      <c r="C5390" t="s">
        <v>4550</v>
      </c>
      <c r="D5390" t="s">
        <v>4550</v>
      </c>
      <c r="E5390" t="s">
        <v>4550</v>
      </c>
      <c r="F5390" t="s">
        <v>4550</v>
      </c>
      <c r="G5390" t="s">
        <v>4550</v>
      </c>
      <c r="H5390" t="s">
        <v>4550</v>
      </c>
      <c r="I5390" t="s">
        <v>4550</v>
      </c>
      <c r="J5390" t="s">
        <v>4550</v>
      </c>
      <c r="K5390" t="s">
        <v>4550</v>
      </c>
      <c r="L5390" t="s">
        <v>4550</v>
      </c>
      <c r="M5390" t="s">
        <v>4550</v>
      </c>
      <c r="N5390" t="s">
        <v>4550</v>
      </c>
      <c r="O5390" t="s">
        <v>4550</v>
      </c>
    </row>
    <row r="5391" spans="1:15">
      <c r="A5391" t="s">
        <v>3762</v>
      </c>
      <c r="B5391" t="str">
        <f ca="1">IF(ISBLANK(OFFSET(B5391,0,'Field labels'!$Q$1)),C5391,OFFSET(B5391,0,'Field labels'!$Q$1))</f>
        <v>szőlőhegy</v>
      </c>
      <c r="C5391" t="s">
        <v>4551</v>
      </c>
      <c r="D5391" t="s">
        <v>4551</v>
      </c>
      <c r="E5391" t="s">
        <v>4551</v>
      </c>
      <c r="F5391" t="s">
        <v>4551</v>
      </c>
      <c r="G5391" t="s">
        <v>4551</v>
      </c>
      <c r="H5391" t="s">
        <v>4551</v>
      </c>
      <c r="I5391" t="s">
        <v>4551</v>
      </c>
      <c r="J5391" t="s">
        <v>4551</v>
      </c>
      <c r="K5391" t="s">
        <v>4551</v>
      </c>
      <c r="L5391" t="s">
        <v>4551</v>
      </c>
      <c r="M5391" t="s">
        <v>4551</v>
      </c>
      <c r="N5391" t="s">
        <v>4551</v>
      </c>
      <c r="O5391" t="s">
        <v>4551</v>
      </c>
    </row>
    <row r="5392" spans="1:15">
      <c r="A5392" t="s">
        <v>3762</v>
      </c>
      <c r="B5392" t="str">
        <f ca="1">IF(ISBLANK(OFFSET(B5392,0,'Field labels'!$Q$1)),C5392,OFFSET(B5392,0,'Field labels'!$Q$1))</f>
        <v>szőlők</v>
      </c>
      <c r="C5392" t="s">
        <v>4552</v>
      </c>
      <c r="D5392" t="s">
        <v>4552</v>
      </c>
      <c r="E5392" t="s">
        <v>4552</v>
      </c>
      <c r="F5392" t="s">
        <v>4552</v>
      </c>
      <c r="G5392" t="s">
        <v>4552</v>
      </c>
      <c r="H5392" t="s">
        <v>4552</v>
      </c>
      <c r="I5392" t="s">
        <v>4552</v>
      </c>
      <c r="J5392" t="s">
        <v>4552</v>
      </c>
      <c r="K5392" t="s">
        <v>4552</v>
      </c>
      <c r="L5392" t="s">
        <v>4552</v>
      </c>
      <c r="M5392" t="s">
        <v>4552</v>
      </c>
      <c r="N5392" t="s">
        <v>4552</v>
      </c>
      <c r="O5392" t="s">
        <v>4552</v>
      </c>
    </row>
    <row r="5393" spans="1:15">
      <c r="A5393" t="s">
        <v>3762</v>
      </c>
      <c r="B5393" t="str">
        <f ca="1">IF(ISBLANK(OFFSET(B5393,0,'Field labels'!$Q$1)),C5393,OFFSET(B5393,0,'Field labels'!$Q$1))</f>
        <v>tag</v>
      </c>
      <c r="C5393" t="s">
        <v>4553</v>
      </c>
      <c r="D5393" t="s">
        <v>4553</v>
      </c>
      <c r="E5393" t="s">
        <v>4553</v>
      </c>
      <c r="F5393" t="s">
        <v>4553</v>
      </c>
      <c r="G5393" t="s">
        <v>4553</v>
      </c>
      <c r="H5393" t="s">
        <v>4553</v>
      </c>
      <c r="I5393" t="s">
        <v>4553</v>
      </c>
      <c r="J5393" t="s">
        <v>4553</v>
      </c>
      <c r="K5393" t="s">
        <v>4553</v>
      </c>
      <c r="L5393" t="s">
        <v>4553</v>
      </c>
      <c r="M5393" t="s">
        <v>4553</v>
      </c>
      <c r="N5393" t="s">
        <v>4553</v>
      </c>
      <c r="O5393" t="s">
        <v>4553</v>
      </c>
    </row>
    <row r="5394" spans="1:15">
      <c r="A5394" t="s">
        <v>3762</v>
      </c>
      <c r="B5394" t="str">
        <f ca="1">IF(ISBLANK(OFFSET(B5394,0,'Field labels'!$Q$1)),C5394,OFFSET(B5394,0,'Field labels'!$Q$1))</f>
        <v>tanya</v>
      </c>
      <c r="C5394" t="s">
        <v>4554</v>
      </c>
      <c r="D5394" t="s">
        <v>4554</v>
      </c>
      <c r="E5394" t="s">
        <v>4554</v>
      </c>
      <c r="F5394" t="s">
        <v>4554</v>
      </c>
      <c r="G5394" t="s">
        <v>4554</v>
      </c>
      <c r="H5394" t="s">
        <v>4554</v>
      </c>
      <c r="I5394" t="s">
        <v>4554</v>
      </c>
      <c r="J5394" t="s">
        <v>4554</v>
      </c>
      <c r="K5394" t="s">
        <v>4554</v>
      </c>
      <c r="L5394" t="s">
        <v>4554</v>
      </c>
      <c r="M5394" t="s">
        <v>4554</v>
      </c>
      <c r="N5394" t="s">
        <v>4554</v>
      </c>
      <c r="O5394" t="s">
        <v>4554</v>
      </c>
    </row>
    <row r="5395" spans="1:15">
      <c r="A5395" t="s">
        <v>3762</v>
      </c>
      <c r="B5395" t="str">
        <f ca="1">IF(ISBLANK(OFFSET(B5395,0,'Field labels'!$Q$1)),C5395,OFFSET(B5395,0,'Field labels'!$Q$1))</f>
        <v>tanyák</v>
      </c>
      <c r="C5395" t="s">
        <v>4555</v>
      </c>
      <c r="D5395" t="s">
        <v>4555</v>
      </c>
      <c r="E5395" t="s">
        <v>4555</v>
      </c>
      <c r="F5395" t="s">
        <v>4555</v>
      </c>
      <c r="G5395" t="s">
        <v>4555</v>
      </c>
      <c r="H5395" t="s">
        <v>4555</v>
      </c>
      <c r="I5395" t="s">
        <v>4555</v>
      </c>
      <c r="J5395" t="s">
        <v>4555</v>
      </c>
      <c r="K5395" t="s">
        <v>4555</v>
      </c>
      <c r="L5395" t="s">
        <v>4555</v>
      </c>
      <c r="M5395" t="s">
        <v>4555</v>
      </c>
      <c r="N5395" t="s">
        <v>4555</v>
      </c>
      <c r="O5395" t="s">
        <v>4555</v>
      </c>
    </row>
    <row r="5396" spans="1:15">
      <c r="A5396" t="s">
        <v>3762</v>
      </c>
      <c r="B5396" t="str">
        <f ca="1">IF(ISBLANK(OFFSET(B5396,0,'Field labels'!$Q$1)),C5396,OFFSET(B5396,0,'Field labels'!$Q$1))</f>
        <v>telep</v>
      </c>
      <c r="C5396" t="s">
        <v>4556</v>
      </c>
      <c r="D5396" t="s">
        <v>4556</v>
      </c>
      <c r="E5396" t="s">
        <v>4556</v>
      </c>
      <c r="F5396" t="s">
        <v>4556</v>
      </c>
      <c r="G5396" t="s">
        <v>4556</v>
      </c>
      <c r="H5396" t="s">
        <v>4556</v>
      </c>
      <c r="I5396" t="s">
        <v>4556</v>
      </c>
      <c r="J5396" t="s">
        <v>4556</v>
      </c>
      <c r="K5396" t="s">
        <v>4556</v>
      </c>
      <c r="L5396" t="s">
        <v>4556</v>
      </c>
      <c r="M5396" t="s">
        <v>4556</v>
      </c>
      <c r="N5396" t="s">
        <v>4556</v>
      </c>
      <c r="O5396" t="s">
        <v>4556</v>
      </c>
    </row>
    <row r="5397" spans="1:15">
      <c r="A5397" t="s">
        <v>3762</v>
      </c>
      <c r="B5397" t="str">
        <f ca="1">IF(ISBLANK(OFFSET(B5397,0,'Field labels'!$Q$1)),C5397,OFFSET(B5397,0,'Field labels'!$Q$1))</f>
        <v>téli kikötő</v>
      </c>
      <c r="C5397" t="s">
        <v>4557</v>
      </c>
      <c r="D5397" t="s">
        <v>4557</v>
      </c>
      <c r="E5397" t="s">
        <v>4557</v>
      </c>
      <c r="F5397" t="s">
        <v>4557</v>
      </c>
      <c r="G5397" t="s">
        <v>4557</v>
      </c>
      <c r="H5397" t="s">
        <v>4557</v>
      </c>
      <c r="I5397" t="s">
        <v>4557</v>
      </c>
      <c r="J5397" t="s">
        <v>4557</v>
      </c>
      <c r="K5397" t="s">
        <v>4557</v>
      </c>
      <c r="L5397" t="s">
        <v>4557</v>
      </c>
      <c r="M5397" t="s">
        <v>4557</v>
      </c>
      <c r="N5397" t="s">
        <v>4557</v>
      </c>
      <c r="O5397" t="s">
        <v>4557</v>
      </c>
    </row>
    <row r="5398" spans="1:15">
      <c r="A5398" t="s">
        <v>3762</v>
      </c>
      <c r="B5398" t="str">
        <f ca="1">IF(ISBLANK(OFFSET(B5398,0,'Field labels'!$Q$1)),C5398,OFFSET(B5398,0,'Field labels'!$Q$1))</f>
        <v>temető</v>
      </c>
      <c r="C5398" t="s">
        <v>4558</v>
      </c>
      <c r="D5398" t="s">
        <v>4558</v>
      </c>
      <c r="E5398" t="s">
        <v>4558</v>
      </c>
      <c r="F5398" t="s">
        <v>4558</v>
      </c>
      <c r="G5398" t="s">
        <v>4558</v>
      </c>
      <c r="H5398" t="s">
        <v>4558</v>
      </c>
      <c r="I5398" t="s">
        <v>4558</v>
      </c>
      <c r="J5398" t="s">
        <v>4558</v>
      </c>
      <c r="K5398" t="s">
        <v>4558</v>
      </c>
      <c r="L5398" t="s">
        <v>4558</v>
      </c>
      <c r="M5398" t="s">
        <v>4558</v>
      </c>
      <c r="N5398" t="s">
        <v>4558</v>
      </c>
      <c r="O5398" t="s">
        <v>4558</v>
      </c>
    </row>
    <row r="5399" spans="1:15">
      <c r="A5399" t="s">
        <v>3762</v>
      </c>
      <c r="B5399" t="str">
        <f ca="1">IF(ISBLANK(OFFSET(B5399,0,'Field labels'!$Q$1)),C5399,OFFSET(B5399,0,'Field labels'!$Q$1))</f>
        <v>tér</v>
      </c>
      <c r="C5399" t="s">
        <v>4559</v>
      </c>
      <c r="D5399" t="s">
        <v>4559</v>
      </c>
      <c r="E5399" t="s">
        <v>4559</v>
      </c>
      <c r="F5399" t="s">
        <v>4559</v>
      </c>
      <c r="G5399" t="s">
        <v>4559</v>
      </c>
      <c r="H5399" t="s">
        <v>4559</v>
      </c>
      <c r="I5399" t="s">
        <v>4559</v>
      </c>
      <c r="J5399" t="s">
        <v>4559</v>
      </c>
      <c r="K5399" t="s">
        <v>4559</v>
      </c>
      <c r="L5399" t="s">
        <v>4559</v>
      </c>
      <c r="M5399" t="s">
        <v>4559</v>
      </c>
      <c r="N5399" t="s">
        <v>4559</v>
      </c>
      <c r="O5399" t="s">
        <v>4559</v>
      </c>
    </row>
    <row r="5400" spans="1:15">
      <c r="A5400" t="s">
        <v>3762</v>
      </c>
      <c r="B5400" t="str">
        <f ca="1">IF(ISBLANK(OFFSET(B5400,0,'Field labels'!$Q$1)),C5400,OFFSET(B5400,0,'Field labels'!$Q$1))</f>
        <v>tere</v>
      </c>
      <c r="C5400" t="s">
        <v>4560</v>
      </c>
      <c r="D5400" t="s">
        <v>4560</v>
      </c>
      <c r="E5400" t="s">
        <v>4560</v>
      </c>
      <c r="F5400" t="s">
        <v>4560</v>
      </c>
      <c r="G5400" t="s">
        <v>4560</v>
      </c>
      <c r="H5400" t="s">
        <v>4560</v>
      </c>
      <c r="I5400" t="s">
        <v>4560</v>
      </c>
      <c r="J5400" t="s">
        <v>4560</v>
      </c>
      <c r="K5400" t="s">
        <v>4560</v>
      </c>
      <c r="L5400" t="s">
        <v>4560</v>
      </c>
      <c r="M5400" t="s">
        <v>4560</v>
      </c>
      <c r="N5400" t="s">
        <v>4560</v>
      </c>
      <c r="O5400" t="s">
        <v>4560</v>
      </c>
    </row>
    <row r="5401" spans="1:15">
      <c r="A5401" t="s">
        <v>3762</v>
      </c>
      <c r="B5401" t="str">
        <f ca="1">IF(ISBLANK(OFFSET(B5401,0,'Field labels'!$Q$1)),C5401,OFFSET(B5401,0,'Field labels'!$Q$1))</f>
        <v>tető</v>
      </c>
      <c r="C5401" t="s">
        <v>4561</v>
      </c>
      <c r="D5401" t="s">
        <v>4561</v>
      </c>
      <c r="E5401" t="s">
        <v>4561</v>
      </c>
      <c r="F5401" t="s">
        <v>4561</v>
      </c>
      <c r="G5401" t="s">
        <v>4561</v>
      </c>
      <c r="H5401" t="s">
        <v>4561</v>
      </c>
      <c r="I5401" t="s">
        <v>4561</v>
      </c>
      <c r="J5401" t="s">
        <v>4561</v>
      </c>
      <c r="K5401" t="s">
        <v>4561</v>
      </c>
      <c r="L5401" t="s">
        <v>4561</v>
      </c>
      <c r="M5401" t="s">
        <v>4561</v>
      </c>
      <c r="N5401" t="s">
        <v>4561</v>
      </c>
      <c r="O5401" t="s">
        <v>4561</v>
      </c>
    </row>
    <row r="5402" spans="1:15">
      <c r="A5402" t="s">
        <v>3762</v>
      </c>
      <c r="B5402" t="str">
        <f ca="1">IF(ISBLANK(OFFSET(B5402,0,'Field labels'!$Q$1)),C5402,OFFSET(B5402,0,'Field labels'!$Q$1))</f>
        <v>tömb</v>
      </c>
      <c r="C5402" t="s">
        <v>4562</v>
      </c>
      <c r="D5402" t="s">
        <v>4562</v>
      </c>
      <c r="E5402" t="s">
        <v>4562</v>
      </c>
      <c r="F5402" t="s">
        <v>4562</v>
      </c>
      <c r="G5402" t="s">
        <v>4562</v>
      </c>
      <c r="H5402" t="s">
        <v>4562</v>
      </c>
      <c r="I5402" t="s">
        <v>4562</v>
      </c>
      <c r="J5402" t="s">
        <v>4562</v>
      </c>
      <c r="K5402" t="s">
        <v>4562</v>
      </c>
      <c r="L5402" t="s">
        <v>4562</v>
      </c>
      <c r="M5402" t="s">
        <v>4562</v>
      </c>
      <c r="N5402" t="s">
        <v>4562</v>
      </c>
      <c r="O5402" t="s">
        <v>4562</v>
      </c>
    </row>
    <row r="5403" spans="1:15">
      <c r="A5403" t="s">
        <v>3762</v>
      </c>
      <c r="B5403" t="str">
        <f ca="1">IF(ISBLANK(OFFSET(B5403,0,'Field labels'!$Q$1)),C5403,OFFSET(B5403,0,'Field labels'!$Q$1))</f>
        <v>Township</v>
      </c>
      <c r="C5403" t="s">
        <v>4563</v>
      </c>
      <c r="D5403" t="s">
        <v>4563</v>
      </c>
      <c r="E5403" t="s">
        <v>4563</v>
      </c>
      <c r="F5403" t="s">
        <v>4563</v>
      </c>
      <c r="G5403" t="s">
        <v>4563</v>
      </c>
      <c r="H5403" t="s">
        <v>4563</v>
      </c>
      <c r="I5403" t="s">
        <v>4563</v>
      </c>
      <c r="J5403" t="s">
        <v>4563</v>
      </c>
      <c r="K5403" t="s">
        <v>4563</v>
      </c>
      <c r="L5403" t="s">
        <v>4563</v>
      </c>
      <c r="M5403" t="s">
        <v>4563</v>
      </c>
      <c r="N5403" t="s">
        <v>4563</v>
      </c>
      <c r="O5403" t="s">
        <v>4563</v>
      </c>
    </row>
    <row r="5404" spans="1:15">
      <c r="A5404" t="s">
        <v>3762</v>
      </c>
      <c r="B5404" t="str">
        <f ca="1">IF(ISBLANK(OFFSET(B5404,0,'Field labels'!$Q$1)),C5404,OFFSET(B5404,0,'Field labels'!$Q$1))</f>
        <v>Track</v>
      </c>
      <c r="C5404" t="s">
        <v>4564</v>
      </c>
      <c r="D5404" t="s">
        <v>4564</v>
      </c>
      <c r="E5404" t="s">
        <v>4564</v>
      </c>
      <c r="F5404" t="s">
        <v>4564</v>
      </c>
      <c r="G5404" t="s">
        <v>4564</v>
      </c>
      <c r="H5404" t="s">
        <v>4564</v>
      </c>
      <c r="I5404" t="s">
        <v>4564</v>
      </c>
      <c r="J5404" t="s">
        <v>4564</v>
      </c>
      <c r="K5404" t="s">
        <v>4564</v>
      </c>
      <c r="L5404" t="s">
        <v>4564</v>
      </c>
      <c r="M5404" t="s">
        <v>4564</v>
      </c>
      <c r="N5404" t="s">
        <v>4564</v>
      </c>
      <c r="O5404" t="s">
        <v>4564</v>
      </c>
    </row>
    <row r="5405" spans="1:15">
      <c r="A5405" t="s">
        <v>3762</v>
      </c>
      <c r="B5405" t="str">
        <f ca="1">IF(ISBLANK(OFFSET(B5405,0,'Field labels'!$Q$1)),C5405,OFFSET(B5405,0,'Field labels'!$Q$1))</f>
        <v>Trail</v>
      </c>
      <c r="C5405" t="s">
        <v>4565</v>
      </c>
      <c r="D5405" t="s">
        <v>4565</v>
      </c>
      <c r="E5405" t="s">
        <v>4565</v>
      </c>
      <c r="F5405" t="s">
        <v>4565</v>
      </c>
      <c r="G5405" t="s">
        <v>4565</v>
      </c>
      <c r="H5405" t="s">
        <v>4565</v>
      </c>
      <c r="I5405" t="s">
        <v>4565</v>
      </c>
      <c r="J5405" t="s">
        <v>4565</v>
      </c>
      <c r="K5405" t="s">
        <v>4565</v>
      </c>
      <c r="L5405" t="s">
        <v>4565</v>
      </c>
      <c r="M5405" t="s">
        <v>4565</v>
      </c>
      <c r="N5405" t="s">
        <v>4565</v>
      </c>
      <c r="O5405" t="s">
        <v>4565</v>
      </c>
    </row>
    <row r="5406" spans="1:15">
      <c r="A5406" t="s">
        <v>3762</v>
      </c>
      <c r="B5406" t="str">
        <f ca="1">IF(ISBLANK(OFFSET(B5406,0,'Field labels'!$Q$1)),C5406,OFFSET(B5406,0,'Field labels'!$Q$1))</f>
        <v>Trail</v>
      </c>
      <c r="C5406" t="s">
        <v>4565</v>
      </c>
      <c r="D5406" t="s">
        <v>4565</v>
      </c>
      <c r="E5406" t="s">
        <v>4565</v>
      </c>
      <c r="F5406" t="s">
        <v>4565</v>
      </c>
      <c r="G5406" t="s">
        <v>4565</v>
      </c>
      <c r="H5406" t="s">
        <v>4565</v>
      </c>
      <c r="I5406" t="s">
        <v>4565</v>
      </c>
      <c r="J5406" t="s">
        <v>4565</v>
      </c>
      <c r="K5406" t="s">
        <v>4565</v>
      </c>
      <c r="L5406" t="s">
        <v>4565</v>
      </c>
      <c r="M5406" t="s">
        <v>4565</v>
      </c>
      <c r="N5406" t="s">
        <v>4565</v>
      </c>
      <c r="O5406" t="s">
        <v>4565</v>
      </c>
    </row>
    <row r="5407" spans="1:15">
      <c r="A5407" t="s">
        <v>3762</v>
      </c>
      <c r="B5407" t="str">
        <f ca="1">IF(ISBLANK(OFFSET(B5407,0,'Field labels'!$Q$1)),C5407,OFFSET(B5407,0,'Field labels'!$Q$1))</f>
        <v>Trail</v>
      </c>
      <c r="C5407" t="s">
        <v>4565</v>
      </c>
      <c r="D5407" t="s">
        <v>4565</v>
      </c>
      <c r="E5407" t="s">
        <v>4565</v>
      </c>
      <c r="F5407" t="s">
        <v>4565</v>
      </c>
      <c r="G5407" t="s">
        <v>4565</v>
      </c>
      <c r="H5407" t="s">
        <v>4565</v>
      </c>
      <c r="I5407" t="s">
        <v>4565</v>
      </c>
      <c r="J5407" t="s">
        <v>4565</v>
      </c>
      <c r="K5407" t="s">
        <v>4565</v>
      </c>
      <c r="L5407" t="s">
        <v>4565</v>
      </c>
      <c r="M5407" t="s">
        <v>4565</v>
      </c>
      <c r="N5407" t="s">
        <v>4565</v>
      </c>
      <c r="O5407" t="s">
        <v>4565</v>
      </c>
    </row>
    <row r="5408" spans="1:15">
      <c r="A5408" t="s">
        <v>3762</v>
      </c>
      <c r="B5408" t="str">
        <f ca="1">IF(ISBLANK(OFFSET(B5408,0,'Field labels'!$Q$1)),C5408,OFFSET(B5408,0,'Field labels'!$Q$1))</f>
        <v>Tree-Lined Avenue</v>
      </c>
      <c r="C5408" t="s">
        <v>3786</v>
      </c>
      <c r="D5408" t="s">
        <v>3786</v>
      </c>
      <c r="E5408" t="s">
        <v>3786</v>
      </c>
      <c r="F5408" t="s">
        <v>3786</v>
      </c>
      <c r="G5408" t="s">
        <v>3786</v>
      </c>
      <c r="H5408" t="s">
        <v>3786</v>
      </c>
      <c r="I5408" t="s">
        <v>3786</v>
      </c>
      <c r="J5408" t="s">
        <v>3786</v>
      </c>
      <c r="K5408" t="s">
        <v>3786</v>
      </c>
      <c r="L5408" t="s">
        <v>3786</v>
      </c>
      <c r="M5408" t="s">
        <v>3786</v>
      </c>
      <c r="N5408" t="s">
        <v>3786</v>
      </c>
      <c r="O5408" t="s">
        <v>3786</v>
      </c>
    </row>
    <row r="5409" spans="1:15">
      <c r="A5409" t="s">
        <v>3762</v>
      </c>
      <c r="B5409" t="str">
        <f ca="1">IF(ISBLANK(OFFSET(B5409,0,'Field labels'!$Q$1)),C5409,OFFSET(B5409,0,'Field labels'!$Q$1))</f>
        <v>turistaház</v>
      </c>
      <c r="C5409" t="s">
        <v>4566</v>
      </c>
      <c r="D5409" t="s">
        <v>4566</v>
      </c>
      <c r="E5409" t="s">
        <v>4566</v>
      </c>
      <c r="F5409" t="s">
        <v>4566</v>
      </c>
      <c r="G5409" t="s">
        <v>4566</v>
      </c>
      <c r="H5409" t="s">
        <v>4566</v>
      </c>
      <c r="I5409" t="s">
        <v>4566</v>
      </c>
      <c r="J5409" t="s">
        <v>4566</v>
      </c>
      <c r="K5409" t="s">
        <v>4566</v>
      </c>
      <c r="L5409" t="s">
        <v>4566</v>
      </c>
      <c r="M5409" t="s">
        <v>4566</v>
      </c>
      <c r="N5409" t="s">
        <v>4566</v>
      </c>
      <c r="O5409" t="s">
        <v>4566</v>
      </c>
    </row>
    <row r="5410" spans="1:15">
      <c r="A5410" t="s">
        <v>3762</v>
      </c>
      <c r="B5410" t="str">
        <f ca="1">IF(ISBLANK(OFFSET(B5410,0,'Field labels'!$Q$1)),C5410,OFFSET(B5410,0,'Field labels'!$Q$1))</f>
        <v>u</v>
      </c>
      <c r="C5410" t="s">
        <v>4567</v>
      </c>
      <c r="D5410" t="s">
        <v>4567</v>
      </c>
      <c r="E5410" t="s">
        <v>4567</v>
      </c>
      <c r="F5410" t="s">
        <v>4567</v>
      </c>
      <c r="G5410" t="s">
        <v>4567</v>
      </c>
      <c r="H5410" t="s">
        <v>4567</v>
      </c>
      <c r="I5410" t="s">
        <v>4567</v>
      </c>
      <c r="J5410" t="s">
        <v>4567</v>
      </c>
      <c r="K5410" t="s">
        <v>4567</v>
      </c>
      <c r="L5410" t="s">
        <v>4567</v>
      </c>
      <c r="M5410" t="s">
        <v>4567</v>
      </c>
      <c r="N5410" t="s">
        <v>4567</v>
      </c>
      <c r="O5410" t="s">
        <v>4567</v>
      </c>
    </row>
    <row r="5411" spans="1:15">
      <c r="A5411" t="s">
        <v>3762</v>
      </c>
      <c r="B5411" t="str">
        <f ca="1">IF(ISBLANK(OFFSET(B5411,0,'Field labels'!$Q$1)),C5411,OFFSET(B5411,0,'Field labels'!$Q$1))</f>
        <v>u.</v>
      </c>
      <c r="C5411" t="s">
        <v>4568</v>
      </c>
      <c r="D5411" t="s">
        <v>4568</v>
      </c>
      <c r="E5411" t="s">
        <v>4568</v>
      </c>
      <c r="F5411" t="s">
        <v>4568</v>
      </c>
      <c r="G5411" t="s">
        <v>4568</v>
      </c>
      <c r="H5411" t="s">
        <v>4568</v>
      </c>
      <c r="I5411" t="s">
        <v>4568</v>
      </c>
      <c r="J5411" t="s">
        <v>4568</v>
      </c>
      <c r="K5411" t="s">
        <v>4568</v>
      </c>
      <c r="L5411" t="s">
        <v>4568</v>
      </c>
      <c r="M5411" t="s">
        <v>4568</v>
      </c>
      <c r="N5411" t="s">
        <v>4568</v>
      </c>
      <c r="O5411" t="s">
        <v>4568</v>
      </c>
    </row>
    <row r="5412" spans="1:15">
      <c r="A5412" t="s">
        <v>3762</v>
      </c>
      <c r="B5412" t="str">
        <f ca="1">IF(ISBLANK(OFFSET(B5412,0,'Field labels'!$Q$1)),C5412,OFFSET(B5412,0,'Field labels'!$Q$1))</f>
        <v>üdülő</v>
      </c>
      <c r="C5412" t="s">
        <v>4569</v>
      </c>
      <c r="D5412" t="s">
        <v>4569</v>
      </c>
      <c r="E5412" t="s">
        <v>4569</v>
      </c>
      <c r="F5412" t="s">
        <v>4569</v>
      </c>
      <c r="G5412" t="s">
        <v>4569</v>
      </c>
      <c r="H5412" t="s">
        <v>4569</v>
      </c>
      <c r="I5412" t="s">
        <v>4569</v>
      </c>
      <c r="J5412" t="s">
        <v>4569</v>
      </c>
      <c r="K5412" t="s">
        <v>4569</v>
      </c>
      <c r="L5412" t="s">
        <v>4569</v>
      </c>
      <c r="M5412" t="s">
        <v>4569</v>
      </c>
      <c r="N5412" t="s">
        <v>4569</v>
      </c>
      <c r="O5412" t="s">
        <v>4569</v>
      </c>
    </row>
    <row r="5413" spans="1:15">
      <c r="A5413" t="s">
        <v>3762</v>
      </c>
      <c r="B5413" t="str">
        <f ca="1">IF(ISBLANK(OFFSET(B5413,0,'Field labels'!$Q$1)),C5413,OFFSET(B5413,0,'Field labels'!$Q$1))</f>
        <v>üdülő-part</v>
      </c>
      <c r="C5413" t="s">
        <v>4570</v>
      </c>
      <c r="D5413" t="s">
        <v>4570</v>
      </c>
      <c r="E5413" t="s">
        <v>4570</v>
      </c>
      <c r="F5413" t="s">
        <v>4570</v>
      </c>
      <c r="G5413" t="s">
        <v>4570</v>
      </c>
      <c r="H5413" t="s">
        <v>4570</v>
      </c>
      <c r="I5413" t="s">
        <v>4570</v>
      </c>
      <c r="J5413" t="s">
        <v>4570</v>
      </c>
      <c r="K5413" t="s">
        <v>4570</v>
      </c>
      <c r="L5413" t="s">
        <v>4570</v>
      </c>
      <c r="M5413" t="s">
        <v>4570</v>
      </c>
      <c r="N5413" t="s">
        <v>4570</v>
      </c>
      <c r="O5413" t="s">
        <v>4570</v>
      </c>
    </row>
    <row r="5414" spans="1:15">
      <c r="A5414" t="s">
        <v>3762</v>
      </c>
      <c r="B5414" t="str">
        <f ca="1">IF(ISBLANK(OFFSET(B5414,0,'Field labels'!$Q$1)),C5414,OFFSET(B5414,0,'Field labels'!$Q$1))</f>
        <v>üdülősétány</v>
      </c>
      <c r="C5414" t="s">
        <v>4571</v>
      </c>
      <c r="D5414" t="s">
        <v>4571</v>
      </c>
      <c r="E5414" t="s">
        <v>4571</v>
      </c>
      <c r="F5414" t="s">
        <v>4571</v>
      </c>
      <c r="G5414" t="s">
        <v>4571</v>
      </c>
      <c r="H5414" t="s">
        <v>4571</v>
      </c>
      <c r="I5414" t="s">
        <v>4571</v>
      </c>
      <c r="J5414" t="s">
        <v>4571</v>
      </c>
      <c r="K5414" t="s">
        <v>4571</v>
      </c>
      <c r="L5414" t="s">
        <v>4571</v>
      </c>
      <c r="M5414" t="s">
        <v>4571</v>
      </c>
      <c r="N5414" t="s">
        <v>4571</v>
      </c>
      <c r="O5414" t="s">
        <v>4571</v>
      </c>
    </row>
    <row r="5415" spans="1:15">
      <c r="A5415" t="s">
        <v>3762</v>
      </c>
      <c r="B5415" t="str">
        <f ca="1">IF(ISBLANK(OFFSET(B5415,0,'Field labels'!$Q$1)),C5415,OFFSET(B5415,0,'Field labels'!$Q$1))</f>
        <v>üdülő-sétány</v>
      </c>
      <c r="C5415" t="s">
        <v>4572</v>
      </c>
      <c r="D5415" t="s">
        <v>4572</v>
      </c>
      <c r="E5415" t="s">
        <v>4572</v>
      </c>
      <c r="F5415" t="s">
        <v>4572</v>
      </c>
      <c r="G5415" t="s">
        <v>4572</v>
      </c>
      <c r="H5415" t="s">
        <v>4572</v>
      </c>
      <c r="I5415" t="s">
        <v>4572</v>
      </c>
      <c r="J5415" t="s">
        <v>4572</v>
      </c>
      <c r="K5415" t="s">
        <v>4572</v>
      </c>
      <c r="L5415" t="s">
        <v>4572</v>
      </c>
      <c r="M5415" t="s">
        <v>4572</v>
      </c>
      <c r="N5415" t="s">
        <v>4572</v>
      </c>
      <c r="O5415" t="s">
        <v>4572</v>
      </c>
    </row>
    <row r="5416" spans="1:15">
      <c r="A5416" t="s">
        <v>3762</v>
      </c>
      <c r="B5416" t="str">
        <f ca="1">IF(ISBLANK(OFFSET(B5416,0,'Field labels'!$Q$1)),C5416,OFFSET(B5416,0,'Field labels'!$Q$1))</f>
        <v>üdülő-sor</v>
      </c>
      <c r="C5416" t="s">
        <v>4573</v>
      </c>
      <c r="D5416" t="s">
        <v>4573</v>
      </c>
      <c r="E5416" t="s">
        <v>4573</v>
      </c>
      <c r="F5416" t="s">
        <v>4573</v>
      </c>
      <c r="G5416" t="s">
        <v>4573</v>
      </c>
      <c r="H5416" t="s">
        <v>4573</v>
      </c>
      <c r="I5416" t="s">
        <v>4573</v>
      </c>
      <c r="J5416" t="s">
        <v>4573</v>
      </c>
      <c r="K5416" t="s">
        <v>4573</v>
      </c>
      <c r="L5416" t="s">
        <v>4573</v>
      </c>
      <c r="M5416" t="s">
        <v>4573</v>
      </c>
      <c r="N5416" t="s">
        <v>4573</v>
      </c>
      <c r="O5416" t="s">
        <v>4573</v>
      </c>
    </row>
    <row r="5417" spans="1:15">
      <c r="A5417" t="s">
        <v>3762</v>
      </c>
      <c r="B5417" t="str">
        <f ca="1">IF(ISBLANK(OFFSET(B5417,0,'Field labels'!$Q$1)),C5417,OFFSET(B5417,0,'Field labels'!$Q$1))</f>
        <v>udvar</v>
      </c>
      <c r="C5417" t="s">
        <v>4574</v>
      </c>
      <c r="D5417" t="s">
        <v>4574</v>
      </c>
      <c r="E5417" t="s">
        <v>4574</v>
      </c>
      <c r="F5417" t="s">
        <v>4574</v>
      </c>
      <c r="G5417" t="s">
        <v>4574</v>
      </c>
      <c r="H5417" t="s">
        <v>4574</v>
      </c>
      <c r="I5417" t="s">
        <v>4574</v>
      </c>
      <c r="J5417" t="s">
        <v>4574</v>
      </c>
      <c r="K5417" t="s">
        <v>4574</v>
      </c>
      <c r="L5417" t="s">
        <v>4574</v>
      </c>
      <c r="M5417" t="s">
        <v>4574</v>
      </c>
      <c r="N5417" t="s">
        <v>4574</v>
      </c>
      <c r="O5417" t="s">
        <v>4574</v>
      </c>
    </row>
    <row r="5418" spans="1:15">
      <c r="A5418" t="s">
        <v>3762</v>
      </c>
      <c r="B5418" t="str">
        <f ca="1">IF(ISBLANK(OFFSET(B5418,0,'Field labels'!$Q$1)),C5418,OFFSET(B5418,0,'Field labels'!$Q$1))</f>
        <v>út</v>
      </c>
      <c r="C5418" t="s">
        <v>4575</v>
      </c>
      <c r="D5418" t="s">
        <v>4575</v>
      </c>
      <c r="E5418" t="s">
        <v>4575</v>
      </c>
      <c r="F5418" t="s">
        <v>4575</v>
      </c>
      <c r="G5418" t="s">
        <v>4575</v>
      </c>
      <c r="H5418" t="s">
        <v>4575</v>
      </c>
      <c r="I5418" t="s">
        <v>4575</v>
      </c>
      <c r="J5418" t="s">
        <v>4575</v>
      </c>
      <c r="K5418" t="s">
        <v>4575</v>
      </c>
      <c r="L5418" t="s">
        <v>4575</v>
      </c>
      <c r="M5418" t="s">
        <v>4575</v>
      </c>
      <c r="N5418" t="s">
        <v>4575</v>
      </c>
      <c r="O5418" t="s">
        <v>4575</v>
      </c>
    </row>
    <row r="5419" spans="1:15">
      <c r="A5419" t="s">
        <v>3762</v>
      </c>
      <c r="B5419" t="str">
        <f ca="1">IF(ISBLANK(OFFSET(B5419,0,'Field labels'!$Q$1)),C5419,OFFSET(B5419,0,'Field labels'!$Q$1))</f>
        <v>utak</v>
      </c>
      <c r="C5419" t="s">
        <v>4576</v>
      </c>
      <c r="D5419" t="s">
        <v>4576</v>
      </c>
      <c r="E5419" t="s">
        <v>4576</v>
      </c>
      <c r="F5419" t="s">
        <v>4576</v>
      </c>
      <c r="G5419" t="s">
        <v>4576</v>
      </c>
      <c r="H5419" t="s">
        <v>4576</v>
      </c>
      <c r="I5419" t="s">
        <v>4576</v>
      </c>
      <c r="J5419" t="s">
        <v>4576</v>
      </c>
      <c r="K5419" t="s">
        <v>4576</v>
      </c>
      <c r="L5419" t="s">
        <v>4576</v>
      </c>
      <c r="M5419" t="s">
        <v>4576</v>
      </c>
      <c r="N5419" t="s">
        <v>4576</v>
      </c>
      <c r="O5419" t="s">
        <v>4576</v>
      </c>
    </row>
    <row r="5420" spans="1:15">
      <c r="A5420" t="s">
        <v>3762</v>
      </c>
      <c r="B5420" t="str">
        <f ca="1">IF(ISBLANK(OFFSET(B5420,0,'Field labels'!$Q$1)),C5420,OFFSET(B5420,0,'Field labels'!$Q$1))</f>
        <v>utca</v>
      </c>
      <c r="C5420" t="s">
        <v>4577</v>
      </c>
      <c r="D5420" t="s">
        <v>4577</v>
      </c>
      <c r="E5420" t="s">
        <v>4577</v>
      </c>
      <c r="F5420" t="s">
        <v>4577</v>
      </c>
      <c r="G5420" t="s">
        <v>4577</v>
      </c>
      <c r="H5420" t="s">
        <v>4577</v>
      </c>
      <c r="I5420" t="s">
        <v>4577</v>
      </c>
      <c r="J5420" t="s">
        <v>4577</v>
      </c>
      <c r="K5420" t="s">
        <v>4577</v>
      </c>
      <c r="L5420" t="s">
        <v>4577</v>
      </c>
      <c r="M5420" t="s">
        <v>4577</v>
      </c>
      <c r="N5420" t="s">
        <v>4577</v>
      </c>
      <c r="O5420" t="s">
        <v>4577</v>
      </c>
    </row>
    <row r="5421" spans="1:15">
      <c r="A5421" t="s">
        <v>3762</v>
      </c>
      <c r="B5421" t="str">
        <f ca="1">IF(ISBLANK(OFFSET(B5421,0,'Field labels'!$Q$1)),C5421,OFFSET(B5421,0,'Field labels'!$Q$1))</f>
        <v>utcája</v>
      </c>
      <c r="C5421" t="s">
        <v>4578</v>
      </c>
      <c r="D5421" t="s">
        <v>4578</v>
      </c>
      <c r="E5421" t="s">
        <v>4578</v>
      </c>
      <c r="F5421" t="s">
        <v>4578</v>
      </c>
      <c r="G5421" t="s">
        <v>4578</v>
      </c>
      <c r="H5421" t="s">
        <v>4578</v>
      </c>
      <c r="I5421" t="s">
        <v>4578</v>
      </c>
      <c r="J5421" t="s">
        <v>4578</v>
      </c>
      <c r="K5421" t="s">
        <v>4578</v>
      </c>
      <c r="L5421" t="s">
        <v>4578</v>
      </c>
      <c r="M5421" t="s">
        <v>4578</v>
      </c>
      <c r="N5421" t="s">
        <v>4578</v>
      </c>
      <c r="O5421" t="s">
        <v>4578</v>
      </c>
    </row>
    <row r="5422" spans="1:15">
      <c r="A5422" t="s">
        <v>3762</v>
      </c>
      <c r="B5422" t="str">
        <f ca="1">IF(ISBLANK(OFFSET(B5422,0,'Field labels'!$Q$1)),C5422,OFFSET(B5422,0,'Field labels'!$Q$1))</f>
        <v>útgyűrű</v>
      </c>
      <c r="C5422" t="s">
        <v>4579</v>
      </c>
      <c r="D5422" t="s">
        <v>4579</v>
      </c>
      <c r="E5422" t="s">
        <v>4579</v>
      </c>
      <c r="F5422" t="s">
        <v>4579</v>
      </c>
      <c r="G5422" t="s">
        <v>4579</v>
      </c>
      <c r="H5422" t="s">
        <v>4579</v>
      </c>
      <c r="I5422" t="s">
        <v>4579</v>
      </c>
      <c r="J5422" t="s">
        <v>4579</v>
      </c>
      <c r="K5422" t="s">
        <v>4579</v>
      </c>
      <c r="L5422" t="s">
        <v>4579</v>
      </c>
      <c r="M5422" t="s">
        <v>4579</v>
      </c>
      <c r="N5422" t="s">
        <v>4579</v>
      </c>
      <c r="O5422" t="s">
        <v>4579</v>
      </c>
    </row>
    <row r="5423" spans="1:15">
      <c r="A5423" t="s">
        <v>3762</v>
      </c>
      <c r="B5423" t="str">
        <f ca="1">IF(ISBLANK(OFFSET(B5423,0,'Field labels'!$Q$1)),C5423,OFFSET(B5423,0,'Field labels'!$Q$1))</f>
        <v>útja</v>
      </c>
      <c r="C5423" t="s">
        <v>4580</v>
      </c>
      <c r="D5423" t="s">
        <v>4580</v>
      </c>
      <c r="E5423" t="s">
        <v>4580</v>
      </c>
      <c r="F5423" t="s">
        <v>4580</v>
      </c>
      <c r="G5423" t="s">
        <v>4580</v>
      </c>
      <c r="H5423" t="s">
        <v>4580</v>
      </c>
      <c r="I5423" t="s">
        <v>4580</v>
      </c>
      <c r="J5423" t="s">
        <v>4580</v>
      </c>
      <c r="K5423" t="s">
        <v>4580</v>
      </c>
      <c r="L5423" t="s">
        <v>4580</v>
      </c>
      <c r="M5423" t="s">
        <v>4580</v>
      </c>
      <c r="N5423" t="s">
        <v>4580</v>
      </c>
      <c r="O5423" t="s">
        <v>4580</v>
      </c>
    </row>
    <row r="5424" spans="1:15">
      <c r="A5424" t="s">
        <v>3762</v>
      </c>
      <c r="B5424" t="str">
        <f ca="1">IF(ISBLANK(OFFSET(B5424,0,'Field labels'!$Q$1)),C5424,OFFSET(B5424,0,'Field labels'!$Q$1))</f>
        <v>útőrház</v>
      </c>
      <c r="C5424" t="s">
        <v>4581</v>
      </c>
      <c r="D5424" t="s">
        <v>4581</v>
      </c>
      <c r="E5424" t="s">
        <v>4581</v>
      </c>
      <c r="F5424" t="s">
        <v>4581</v>
      </c>
      <c r="G5424" t="s">
        <v>4581</v>
      </c>
      <c r="H5424" t="s">
        <v>4581</v>
      </c>
      <c r="I5424" t="s">
        <v>4581</v>
      </c>
      <c r="J5424" t="s">
        <v>4581</v>
      </c>
      <c r="K5424" t="s">
        <v>4581</v>
      </c>
      <c r="L5424" t="s">
        <v>4581</v>
      </c>
      <c r="M5424" t="s">
        <v>4581</v>
      </c>
      <c r="N5424" t="s">
        <v>4581</v>
      </c>
      <c r="O5424" t="s">
        <v>4581</v>
      </c>
    </row>
    <row r="5425" spans="1:15">
      <c r="A5425" t="s">
        <v>3762</v>
      </c>
      <c r="B5425" t="str">
        <f ca="1">IF(ISBLANK(OFFSET(B5425,0,'Field labels'!$Q$1)),C5425,OFFSET(B5425,0,'Field labels'!$Q$1))</f>
        <v>vadaskert</v>
      </c>
      <c r="C5425" t="s">
        <v>4582</v>
      </c>
      <c r="D5425" t="s">
        <v>4582</v>
      </c>
      <c r="E5425" t="s">
        <v>4582</v>
      </c>
      <c r="F5425" t="s">
        <v>4582</v>
      </c>
      <c r="G5425" t="s">
        <v>4582</v>
      </c>
      <c r="H5425" t="s">
        <v>4582</v>
      </c>
      <c r="I5425" t="s">
        <v>4582</v>
      </c>
      <c r="J5425" t="s">
        <v>4582</v>
      </c>
      <c r="K5425" t="s">
        <v>4582</v>
      </c>
      <c r="L5425" t="s">
        <v>4582</v>
      </c>
      <c r="M5425" t="s">
        <v>4582</v>
      </c>
      <c r="N5425" t="s">
        <v>4582</v>
      </c>
      <c r="O5425" t="s">
        <v>4582</v>
      </c>
    </row>
    <row r="5426" spans="1:15">
      <c r="A5426" t="s">
        <v>3762</v>
      </c>
      <c r="B5426" t="str">
        <f ca="1">IF(ISBLANK(OFFSET(B5426,0,'Field labels'!$Q$1)),C5426,OFFSET(B5426,0,'Field labels'!$Q$1))</f>
        <v>vadászház</v>
      </c>
      <c r="C5426" t="s">
        <v>4583</v>
      </c>
      <c r="D5426" t="s">
        <v>4583</v>
      </c>
      <c r="E5426" t="s">
        <v>4583</v>
      </c>
      <c r="F5426" t="s">
        <v>4583</v>
      </c>
      <c r="G5426" t="s">
        <v>4583</v>
      </c>
      <c r="H5426" t="s">
        <v>4583</v>
      </c>
      <c r="I5426" t="s">
        <v>4583</v>
      </c>
      <c r="J5426" t="s">
        <v>4583</v>
      </c>
      <c r="K5426" t="s">
        <v>4583</v>
      </c>
      <c r="L5426" t="s">
        <v>4583</v>
      </c>
      <c r="M5426" t="s">
        <v>4583</v>
      </c>
      <c r="N5426" t="s">
        <v>4583</v>
      </c>
      <c r="O5426" t="s">
        <v>4583</v>
      </c>
    </row>
    <row r="5427" spans="1:15">
      <c r="A5427" t="s">
        <v>3762</v>
      </c>
      <c r="B5427" t="str">
        <f ca="1">IF(ISBLANK(OFFSET(B5427,0,'Field labels'!$Q$1)),C5427,OFFSET(B5427,0,'Field labels'!$Q$1))</f>
        <v>vágóhíd</v>
      </c>
      <c r="C5427" t="s">
        <v>4584</v>
      </c>
      <c r="D5427" t="s">
        <v>4584</v>
      </c>
      <c r="E5427" t="s">
        <v>4584</v>
      </c>
      <c r="F5427" t="s">
        <v>4584</v>
      </c>
      <c r="G5427" t="s">
        <v>4584</v>
      </c>
      <c r="H5427" t="s">
        <v>4584</v>
      </c>
      <c r="I5427" t="s">
        <v>4584</v>
      </c>
      <c r="J5427" t="s">
        <v>4584</v>
      </c>
      <c r="K5427" t="s">
        <v>4584</v>
      </c>
      <c r="L5427" t="s">
        <v>4584</v>
      </c>
      <c r="M5427" t="s">
        <v>4584</v>
      </c>
      <c r="N5427" t="s">
        <v>4584</v>
      </c>
      <c r="O5427" t="s">
        <v>4584</v>
      </c>
    </row>
    <row r="5428" spans="1:15">
      <c r="A5428" t="s">
        <v>3762</v>
      </c>
      <c r="B5428" t="str">
        <f ca="1">IF(ISBLANK(OFFSET(B5428,0,'Field labels'!$Q$1)),C5428,OFFSET(B5428,0,'Field labels'!$Q$1))</f>
        <v>Valley</v>
      </c>
      <c r="C5428" t="s">
        <v>4585</v>
      </c>
      <c r="D5428" t="s">
        <v>4585</v>
      </c>
      <c r="E5428" t="s">
        <v>4585</v>
      </c>
      <c r="F5428" t="s">
        <v>4585</v>
      </c>
      <c r="G5428" t="s">
        <v>4585</v>
      </c>
      <c r="H5428" t="s">
        <v>4585</v>
      </c>
      <c r="I5428" t="s">
        <v>4585</v>
      </c>
      <c r="J5428" t="s">
        <v>4585</v>
      </c>
      <c r="K5428" t="s">
        <v>4585</v>
      </c>
      <c r="L5428" t="s">
        <v>4585</v>
      </c>
      <c r="M5428" t="s">
        <v>4585</v>
      </c>
      <c r="N5428" t="s">
        <v>4585</v>
      </c>
      <c r="O5428" t="s">
        <v>4585</v>
      </c>
    </row>
    <row r="5429" spans="1:15">
      <c r="A5429" t="s">
        <v>3762</v>
      </c>
      <c r="B5429" t="str">
        <f ca="1">IF(ISBLANK(OFFSET(B5429,0,'Field labels'!$Q$1)),C5429,OFFSET(B5429,0,'Field labels'!$Q$1))</f>
        <v>vár</v>
      </c>
      <c r="C5429" t="s">
        <v>4586</v>
      </c>
      <c r="D5429" t="s">
        <v>4586</v>
      </c>
      <c r="E5429" t="s">
        <v>4586</v>
      </c>
      <c r="F5429" t="s">
        <v>4586</v>
      </c>
      <c r="G5429" t="s">
        <v>4586</v>
      </c>
      <c r="H5429" t="s">
        <v>4586</v>
      </c>
      <c r="I5429" t="s">
        <v>4586</v>
      </c>
      <c r="J5429" t="s">
        <v>4586</v>
      </c>
      <c r="K5429" t="s">
        <v>4586</v>
      </c>
      <c r="L5429" t="s">
        <v>4586</v>
      </c>
      <c r="M5429" t="s">
        <v>4586</v>
      </c>
      <c r="N5429" t="s">
        <v>4586</v>
      </c>
      <c r="O5429" t="s">
        <v>4586</v>
      </c>
    </row>
    <row r="5430" spans="1:15">
      <c r="A5430" t="s">
        <v>3762</v>
      </c>
      <c r="B5430" t="str">
        <f ca="1">IF(ISBLANK(OFFSET(B5430,0,'Field labels'!$Q$1)),C5430,OFFSET(B5430,0,'Field labels'!$Q$1))</f>
        <v>várkerület</v>
      </c>
      <c r="C5430" t="s">
        <v>4587</v>
      </c>
      <c r="D5430" t="s">
        <v>4587</v>
      </c>
      <c r="E5430" t="s">
        <v>4587</v>
      </c>
      <c r="F5430" t="s">
        <v>4587</v>
      </c>
      <c r="G5430" t="s">
        <v>4587</v>
      </c>
      <c r="H5430" t="s">
        <v>4587</v>
      </c>
      <c r="I5430" t="s">
        <v>4587</v>
      </c>
      <c r="J5430" t="s">
        <v>4587</v>
      </c>
      <c r="K5430" t="s">
        <v>4587</v>
      </c>
      <c r="L5430" t="s">
        <v>4587</v>
      </c>
      <c r="M5430" t="s">
        <v>4587</v>
      </c>
      <c r="N5430" t="s">
        <v>4587</v>
      </c>
      <c r="O5430" t="s">
        <v>4587</v>
      </c>
    </row>
    <row r="5431" spans="1:15">
      <c r="A5431" t="s">
        <v>3762</v>
      </c>
      <c r="B5431" t="str">
        <f ca="1">IF(ISBLANK(OFFSET(B5431,0,'Field labels'!$Q$1)),C5431,OFFSET(B5431,0,'Field labels'!$Q$1))</f>
        <v>várköz</v>
      </c>
      <c r="C5431" t="s">
        <v>4588</v>
      </c>
      <c r="D5431" t="s">
        <v>4588</v>
      </c>
      <c r="E5431" t="s">
        <v>4588</v>
      </c>
      <c r="F5431" t="s">
        <v>4588</v>
      </c>
      <c r="G5431" t="s">
        <v>4588</v>
      </c>
      <c r="H5431" t="s">
        <v>4588</v>
      </c>
      <c r="I5431" t="s">
        <v>4588</v>
      </c>
      <c r="J5431" t="s">
        <v>4588</v>
      </c>
      <c r="K5431" t="s">
        <v>4588</v>
      </c>
      <c r="L5431" t="s">
        <v>4588</v>
      </c>
      <c r="M5431" t="s">
        <v>4588</v>
      </c>
      <c r="N5431" t="s">
        <v>4588</v>
      </c>
      <c r="O5431" t="s">
        <v>4588</v>
      </c>
    </row>
    <row r="5432" spans="1:15">
      <c r="A5432" t="s">
        <v>3762</v>
      </c>
      <c r="B5432" t="str">
        <f ca="1">IF(ISBLANK(OFFSET(B5432,0,'Field labels'!$Q$1)),C5432,OFFSET(B5432,0,'Field labels'!$Q$1))</f>
        <v>város</v>
      </c>
      <c r="C5432" t="s">
        <v>4589</v>
      </c>
      <c r="D5432" t="s">
        <v>4589</v>
      </c>
      <c r="E5432" t="s">
        <v>4589</v>
      </c>
      <c r="F5432" t="s">
        <v>4589</v>
      </c>
      <c r="G5432" t="s">
        <v>4589</v>
      </c>
      <c r="H5432" t="s">
        <v>4589</v>
      </c>
      <c r="I5432" t="s">
        <v>4589</v>
      </c>
      <c r="J5432" t="s">
        <v>4589</v>
      </c>
      <c r="K5432" t="s">
        <v>4589</v>
      </c>
      <c r="L5432" t="s">
        <v>4589</v>
      </c>
      <c r="M5432" t="s">
        <v>4589</v>
      </c>
      <c r="N5432" t="s">
        <v>4589</v>
      </c>
      <c r="O5432" t="s">
        <v>4589</v>
      </c>
    </row>
    <row r="5433" spans="1:15">
      <c r="A5433" t="s">
        <v>3762</v>
      </c>
      <c r="B5433" t="str">
        <f ca="1">IF(ISBLANK(OFFSET(B5433,0,'Field labels'!$Q$1)),C5433,OFFSET(B5433,0,'Field labels'!$Q$1))</f>
        <v>vasútállomás</v>
      </c>
      <c r="C5433" t="s">
        <v>4590</v>
      </c>
      <c r="D5433" t="s">
        <v>4590</v>
      </c>
      <c r="E5433" t="s">
        <v>4590</v>
      </c>
      <c r="F5433" t="s">
        <v>4590</v>
      </c>
      <c r="G5433" t="s">
        <v>4590</v>
      </c>
      <c r="H5433" t="s">
        <v>4590</v>
      </c>
      <c r="I5433" t="s">
        <v>4590</v>
      </c>
      <c r="J5433" t="s">
        <v>4590</v>
      </c>
      <c r="K5433" t="s">
        <v>4590</v>
      </c>
      <c r="L5433" t="s">
        <v>4590</v>
      </c>
      <c r="M5433" t="s">
        <v>4590</v>
      </c>
      <c r="N5433" t="s">
        <v>4590</v>
      </c>
      <c r="O5433" t="s">
        <v>4590</v>
      </c>
    </row>
    <row r="5434" spans="1:15">
      <c r="A5434" t="s">
        <v>3762</v>
      </c>
      <c r="B5434" t="str">
        <f ca="1">IF(ISBLANK(OFFSET(B5434,0,'Field labels'!$Q$1)),C5434,OFFSET(B5434,0,'Field labels'!$Q$1))</f>
        <v>vasúti megálló</v>
      </c>
      <c r="C5434" t="s">
        <v>4591</v>
      </c>
      <c r="D5434" t="s">
        <v>4591</v>
      </c>
      <c r="E5434" t="s">
        <v>4591</v>
      </c>
      <c r="F5434" t="s">
        <v>4591</v>
      </c>
      <c r="G5434" t="s">
        <v>4591</v>
      </c>
      <c r="H5434" t="s">
        <v>4591</v>
      </c>
      <c r="I5434" t="s">
        <v>4591</v>
      </c>
      <c r="J5434" t="s">
        <v>4591</v>
      </c>
      <c r="K5434" t="s">
        <v>4591</v>
      </c>
      <c r="L5434" t="s">
        <v>4591</v>
      </c>
      <c r="M5434" t="s">
        <v>4591</v>
      </c>
      <c r="N5434" t="s">
        <v>4591</v>
      </c>
      <c r="O5434" t="s">
        <v>4591</v>
      </c>
    </row>
    <row r="5435" spans="1:15">
      <c r="A5435" t="s">
        <v>3762</v>
      </c>
      <c r="B5435" t="str">
        <f ca="1">IF(ISBLANK(OFFSET(B5435,0,'Field labels'!$Q$1)),C5435,OFFSET(B5435,0,'Field labels'!$Q$1))</f>
        <v>vasúti őrház</v>
      </c>
      <c r="C5435" t="s">
        <v>4592</v>
      </c>
      <c r="D5435" t="s">
        <v>4592</v>
      </c>
      <c r="E5435" t="s">
        <v>4592</v>
      </c>
      <c r="F5435" t="s">
        <v>4592</v>
      </c>
      <c r="G5435" t="s">
        <v>4592</v>
      </c>
      <c r="H5435" t="s">
        <v>4592</v>
      </c>
      <c r="I5435" t="s">
        <v>4592</v>
      </c>
      <c r="J5435" t="s">
        <v>4592</v>
      </c>
      <c r="K5435" t="s">
        <v>4592</v>
      </c>
      <c r="L5435" t="s">
        <v>4592</v>
      </c>
      <c r="M5435" t="s">
        <v>4592</v>
      </c>
      <c r="N5435" t="s">
        <v>4592</v>
      </c>
      <c r="O5435" t="s">
        <v>4592</v>
      </c>
    </row>
    <row r="5436" spans="1:15">
      <c r="A5436" t="s">
        <v>3762</v>
      </c>
      <c r="B5436" t="str">
        <f ca="1">IF(ISBLANK(OFFSET(B5436,0,'Field labels'!$Q$1)),C5436,OFFSET(B5436,0,'Field labels'!$Q$1))</f>
        <v>vasútsor</v>
      </c>
      <c r="C5436" t="s">
        <v>4593</v>
      </c>
      <c r="D5436" t="s">
        <v>4593</v>
      </c>
      <c r="E5436" t="s">
        <v>4593</v>
      </c>
      <c r="F5436" t="s">
        <v>4593</v>
      </c>
      <c r="G5436" t="s">
        <v>4593</v>
      </c>
      <c r="H5436" t="s">
        <v>4593</v>
      </c>
      <c r="I5436" t="s">
        <v>4593</v>
      </c>
      <c r="J5436" t="s">
        <v>4593</v>
      </c>
      <c r="K5436" t="s">
        <v>4593</v>
      </c>
      <c r="L5436" t="s">
        <v>4593</v>
      </c>
      <c r="M5436" t="s">
        <v>4593</v>
      </c>
      <c r="N5436" t="s">
        <v>4593</v>
      </c>
      <c r="O5436" t="s">
        <v>4593</v>
      </c>
    </row>
    <row r="5437" spans="1:15">
      <c r="A5437" t="s">
        <v>3762</v>
      </c>
      <c r="B5437" t="str">
        <f ca="1">IF(ISBLANK(OFFSET(B5437,0,'Field labels'!$Q$1)),C5437,OFFSET(B5437,0,'Field labels'!$Q$1))</f>
        <v>vezetőút</v>
      </c>
      <c r="C5437" t="s">
        <v>4594</v>
      </c>
      <c r="D5437" t="s">
        <v>4594</v>
      </c>
      <c r="E5437" t="s">
        <v>4594</v>
      </c>
      <c r="F5437" t="s">
        <v>4594</v>
      </c>
      <c r="G5437" t="s">
        <v>4594</v>
      </c>
      <c r="H5437" t="s">
        <v>4594</v>
      </c>
      <c r="I5437" t="s">
        <v>4594</v>
      </c>
      <c r="J5437" t="s">
        <v>4594</v>
      </c>
      <c r="K5437" t="s">
        <v>4594</v>
      </c>
      <c r="L5437" t="s">
        <v>4594</v>
      </c>
      <c r="M5437" t="s">
        <v>4594</v>
      </c>
      <c r="N5437" t="s">
        <v>4594</v>
      </c>
      <c r="O5437" t="s">
        <v>4594</v>
      </c>
    </row>
    <row r="5438" spans="1:15">
      <c r="A5438" t="s">
        <v>3762</v>
      </c>
      <c r="B5438" t="str">
        <f ca="1">IF(ISBLANK(OFFSET(B5438,0,'Field labels'!$Q$1)),C5438,OFFSET(B5438,0,'Field labels'!$Q$1))</f>
        <v>Viaduct</v>
      </c>
      <c r="C5438" t="s">
        <v>4595</v>
      </c>
      <c r="D5438" t="s">
        <v>4595</v>
      </c>
      <c r="E5438" t="s">
        <v>4595</v>
      </c>
      <c r="F5438" t="s">
        <v>4595</v>
      </c>
      <c r="G5438" t="s">
        <v>4595</v>
      </c>
      <c r="H5438" t="s">
        <v>4595</v>
      </c>
      <c r="I5438" t="s">
        <v>4595</v>
      </c>
      <c r="J5438" t="s">
        <v>4595</v>
      </c>
      <c r="K5438" t="s">
        <v>4595</v>
      </c>
      <c r="L5438" t="s">
        <v>4595</v>
      </c>
      <c r="M5438" t="s">
        <v>4595</v>
      </c>
      <c r="N5438" t="s">
        <v>4595</v>
      </c>
      <c r="O5438" t="s">
        <v>4595</v>
      </c>
    </row>
    <row r="5439" spans="1:15">
      <c r="A5439" t="s">
        <v>3762</v>
      </c>
      <c r="B5439" t="str">
        <f ca="1">IF(ISBLANK(OFFSET(B5439,0,'Field labels'!$Q$1)),C5439,OFFSET(B5439,0,'Field labels'!$Q$1))</f>
        <v>Viewpoint</v>
      </c>
      <c r="C5439" t="s">
        <v>4596</v>
      </c>
      <c r="D5439" t="s">
        <v>4596</v>
      </c>
      <c r="E5439" t="s">
        <v>4596</v>
      </c>
      <c r="F5439" t="s">
        <v>4596</v>
      </c>
      <c r="G5439" t="s">
        <v>4596</v>
      </c>
      <c r="H5439" t="s">
        <v>4596</v>
      </c>
      <c r="I5439" t="s">
        <v>4596</v>
      </c>
      <c r="J5439" t="s">
        <v>4596</v>
      </c>
      <c r="K5439" t="s">
        <v>4596</v>
      </c>
      <c r="L5439" t="s">
        <v>4596</v>
      </c>
      <c r="M5439" t="s">
        <v>4596</v>
      </c>
      <c r="N5439" t="s">
        <v>4596</v>
      </c>
      <c r="O5439" t="s">
        <v>4596</v>
      </c>
    </row>
    <row r="5440" spans="1:15">
      <c r="A5440" t="s">
        <v>3762</v>
      </c>
      <c r="B5440" t="str">
        <f ca="1">IF(ISBLANK(OFFSET(B5440,0,'Field labels'!$Q$1)),C5440,OFFSET(B5440,0,'Field labels'!$Q$1))</f>
        <v>Villa</v>
      </c>
      <c r="C5440" t="s">
        <v>4597</v>
      </c>
      <c r="D5440" t="s">
        <v>4597</v>
      </c>
      <c r="E5440" t="s">
        <v>4597</v>
      </c>
      <c r="F5440" t="s">
        <v>4597</v>
      </c>
      <c r="G5440" t="s">
        <v>4597</v>
      </c>
      <c r="H5440" t="s">
        <v>4597</v>
      </c>
      <c r="I5440" t="s">
        <v>4597</v>
      </c>
      <c r="J5440" t="s">
        <v>4597</v>
      </c>
      <c r="K5440" t="s">
        <v>4597</v>
      </c>
      <c r="L5440" t="s">
        <v>4597</v>
      </c>
      <c r="M5440" t="s">
        <v>4597</v>
      </c>
      <c r="N5440" t="s">
        <v>4597</v>
      </c>
      <c r="O5440" t="s">
        <v>4597</v>
      </c>
    </row>
    <row r="5441" spans="1:15">
      <c r="A5441" t="s">
        <v>3762</v>
      </c>
      <c r="B5441" t="str">
        <f ca="1">IF(ISBLANK(OFFSET(B5441,0,'Field labels'!$Q$1)),C5441,OFFSET(B5441,0,'Field labels'!$Q$1))</f>
        <v>Village</v>
      </c>
      <c r="C5441" t="s">
        <v>3787</v>
      </c>
      <c r="D5441" t="s">
        <v>3787</v>
      </c>
      <c r="E5441" t="s">
        <v>3787</v>
      </c>
      <c r="F5441" t="s">
        <v>3787</v>
      </c>
      <c r="G5441" t="s">
        <v>3787</v>
      </c>
      <c r="H5441" t="s">
        <v>3787</v>
      </c>
      <c r="I5441" t="s">
        <v>3787</v>
      </c>
      <c r="J5441" t="s">
        <v>3787</v>
      </c>
      <c r="K5441" t="s">
        <v>3787</v>
      </c>
      <c r="L5441" t="s">
        <v>3787</v>
      </c>
      <c r="M5441" t="s">
        <v>3787</v>
      </c>
      <c r="N5441" t="s">
        <v>3787</v>
      </c>
      <c r="O5441" t="s">
        <v>3787</v>
      </c>
    </row>
    <row r="5442" spans="1:15">
      <c r="A5442" t="s">
        <v>3762</v>
      </c>
      <c r="B5442" t="str">
        <f ca="1">IF(ISBLANK(OFFSET(B5442,0,'Field labels'!$Q$1)),C5442,OFFSET(B5442,0,'Field labels'!$Q$1))</f>
        <v>Village</v>
      </c>
      <c r="C5442" t="s">
        <v>3787</v>
      </c>
      <c r="D5442" t="s">
        <v>3787</v>
      </c>
      <c r="E5442" t="s">
        <v>3787</v>
      </c>
      <c r="F5442" t="s">
        <v>3787</v>
      </c>
      <c r="G5442" t="s">
        <v>3787</v>
      </c>
      <c r="H5442" t="s">
        <v>3787</v>
      </c>
      <c r="I5442" t="s">
        <v>3787</v>
      </c>
      <c r="J5442" t="s">
        <v>3787</v>
      </c>
      <c r="K5442" t="s">
        <v>3787</v>
      </c>
      <c r="L5442" t="s">
        <v>3787</v>
      </c>
      <c r="M5442" t="s">
        <v>3787</v>
      </c>
      <c r="N5442" t="s">
        <v>3787</v>
      </c>
      <c r="O5442" t="s">
        <v>3787</v>
      </c>
    </row>
    <row r="5443" spans="1:15">
      <c r="A5443" t="s">
        <v>3762</v>
      </c>
      <c r="B5443" t="str">
        <f ca="1">IF(ISBLANK(OFFSET(B5443,0,'Field labels'!$Q$1)),C5443,OFFSET(B5443,0,'Field labels'!$Q$1))</f>
        <v>villasor</v>
      </c>
      <c r="C5443" t="s">
        <v>4598</v>
      </c>
      <c r="D5443" t="s">
        <v>4598</v>
      </c>
      <c r="E5443" t="s">
        <v>4598</v>
      </c>
      <c r="F5443" t="s">
        <v>4598</v>
      </c>
      <c r="G5443" t="s">
        <v>4598</v>
      </c>
      <c r="H5443" t="s">
        <v>4598</v>
      </c>
      <c r="I5443" t="s">
        <v>4598</v>
      </c>
      <c r="J5443" t="s">
        <v>4598</v>
      </c>
      <c r="K5443" t="s">
        <v>4598</v>
      </c>
      <c r="L5443" t="s">
        <v>4598</v>
      </c>
      <c r="M5443" t="s">
        <v>4598</v>
      </c>
      <c r="N5443" t="s">
        <v>4598</v>
      </c>
      <c r="O5443" t="s">
        <v>4598</v>
      </c>
    </row>
    <row r="5444" spans="1:15">
      <c r="A5444" t="s">
        <v>3762</v>
      </c>
      <c r="B5444" t="str">
        <f ca="1">IF(ISBLANK(OFFSET(B5444,0,'Field labels'!$Q$1)),C5444,OFFSET(B5444,0,'Field labels'!$Q$1))</f>
        <v>vitorláskikötő</v>
      </c>
      <c r="C5444" t="s">
        <v>4599</v>
      </c>
      <c r="D5444" t="s">
        <v>4599</v>
      </c>
      <c r="E5444" t="s">
        <v>4599</v>
      </c>
      <c r="F5444" t="s">
        <v>4599</v>
      </c>
      <c r="G5444" t="s">
        <v>4599</v>
      </c>
      <c r="H5444" t="s">
        <v>4599</v>
      </c>
      <c r="I5444" t="s">
        <v>4599</v>
      </c>
      <c r="J5444" t="s">
        <v>4599</v>
      </c>
      <c r="K5444" t="s">
        <v>4599</v>
      </c>
      <c r="L5444" t="s">
        <v>4599</v>
      </c>
      <c r="M5444" t="s">
        <v>4599</v>
      </c>
      <c r="N5444" t="s">
        <v>4599</v>
      </c>
      <c r="O5444" t="s">
        <v>4599</v>
      </c>
    </row>
    <row r="5445" spans="1:15">
      <c r="A5445" t="s">
        <v>3762</v>
      </c>
      <c r="B5445" t="str">
        <f ca="1">IF(ISBLANK(OFFSET(B5445,0,'Field labels'!$Q$1)),C5445,OFFSET(B5445,0,'Field labels'!$Q$1))</f>
        <v>vízmű</v>
      </c>
      <c r="C5445" t="s">
        <v>4600</v>
      </c>
      <c r="D5445" t="s">
        <v>4600</v>
      </c>
      <c r="E5445" t="s">
        <v>4600</v>
      </c>
      <c r="F5445" t="s">
        <v>4600</v>
      </c>
      <c r="G5445" t="s">
        <v>4600</v>
      </c>
      <c r="H5445" t="s">
        <v>4600</v>
      </c>
      <c r="I5445" t="s">
        <v>4600</v>
      </c>
      <c r="J5445" t="s">
        <v>4600</v>
      </c>
      <c r="K5445" t="s">
        <v>4600</v>
      </c>
      <c r="L5445" t="s">
        <v>4600</v>
      </c>
      <c r="M5445" t="s">
        <v>4600</v>
      </c>
      <c r="N5445" t="s">
        <v>4600</v>
      </c>
      <c r="O5445" t="s">
        <v>4600</v>
      </c>
    </row>
    <row r="5446" spans="1:15">
      <c r="A5446" t="s">
        <v>3762</v>
      </c>
      <c r="B5446" t="str">
        <f ca="1">IF(ISBLANK(OFFSET(B5446,0,'Field labels'!$Q$1)),C5446,OFFSET(B5446,0,'Field labels'!$Q$1))</f>
        <v>völgy</v>
      </c>
      <c r="C5446" t="s">
        <v>4601</v>
      </c>
      <c r="D5446" t="s">
        <v>4601</v>
      </c>
      <c r="E5446" t="s">
        <v>4601</v>
      </c>
      <c r="F5446" t="s">
        <v>4601</v>
      </c>
      <c r="G5446" t="s">
        <v>4601</v>
      </c>
      <c r="H5446" t="s">
        <v>4601</v>
      </c>
      <c r="I5446" t="s">
        <v>4601</v>
      </c>
      <c r="J5446" t="s">
        <v>4601</v>
      </c>
      <c r="K5446" t="s">
        <v>4601</v>
      </c>
      <c r="L5446" t="s">
        <v>4601</v>
      </c>
      <c r="M5446" t="s">
        <v>4601</v>
      </c>
      <c r="N5446" t="s">
        <v>4601</v>
      </c>
      <c r="O5446" t="s">
        <v>4601</v>
      </c>
    </row>
    <row r="5447" spans="1:15">
      <c r="A5447" t="s">
        <v>3762</v>
      </c>
      <c r="B5447" t="str">
        <f ca="1">IF(ISBLANK(OFFSET(B5447,0,'Field labels'!$Q$1)),C5447,OFFSET(B5447,0,'Field labels'!$Q$1))</f>
        <v>Walk</v>
      </c>
      <c r="C5447" t="s">
        <v>3788</v>
      </c>
      <c r="D5447" t="s">
        <v>3788</v>
      </c>
      <c r="E5447" t="s">
        <v>3788</v>
      </c>
      <c r="F5447" t="s">
        <v>3788</v>
      </c>
      <c r="G5447" t="s">
        <v>3788</v>
      </c>
      <c r="H5447" t="s">
        <v>3788</v>
      </c>
      <c r="I5447" t="s">
        <v>3788</v>
      </c>
      <c r="J5447" t="s">
        <v>3788</v>
      </c>
      <c r="K5447" t="s">
        <v>3788</v>
      </c>
      <c r="L5447" t="s">
        <v>3788</v>
      </c>
      <c r="M5447" t="s">
        <v>3788</v>
      </c>
      <c r="N5447" t="s">
        <v>3788</v>
      </c>
      <c r="O5447" t="s">
        <v>3788</v>
      </c>
    </row>
    <row r="5448" spans="1:15">
      <c r="A5448" t="s">
        <v>3762</v>
      </c>
      <c r="B5448" t="str">
        <f ca="1">IF(ISBLANK(OFFSET(B5448,0,'Field labels'!$Q$1)),C5448,OFFSET(B5448,0,'Field labels'!$Q$1))</f>
        <v>Walk</v>
      </c>
      <c r="C5448" t="s">
        <v>3788</v>
      </c>
      <c r="D5448" t="s">
        <v>3788</v>
      </c>
      <c r="E5448" t="s">
        <v>3788</v>
      </c>
      <c r="F5448" t="s">
        <v>3788</v>
      </c>
      <c r="G5448" t="s">
        <v>3788</v>
      </c>
      <c r="H5448" t="s">
        <v>3788</v>
      </c>
      <c r="I5448" t="s">
        <v>3788</v>
      </c>
      <c r="J5448" t="s">
        <v>3788</v>
      </c>
      <c r="K5448" t="s">
        <v>3788</v>
      </c>
      <c r="L5448" t="s">
        <v>3788</v>
      </c>
      <c r="M5448" t="s">
        <v>3788</v>
      </c>
      <c r="N5448" t="s">
        <v>3788</v>
      </c>
      <c r="O5448" t="s">
        <v>3788</v>
      </c>
    </row>
    <row r="5449" spans="1:15">
      <c r="A5449" t="s">
        <v>3762</v>
      </c>
      <c r="B5449" t="str">
        <f ca="1">IF(ISBLANK(OFFSET(B5449,0,'Field labels'!$Q$1)),C5449,OFFSET(B5449,0,'Field labels'!$Q$1))</f>
        <v>Walkway</v>
      </c>
      <c r="C5449" t="s">
        <v>4602</v>
      </c>
      <c r="D5449" t="s">
        <v>4602</v>
      </c>
      <c r="E5449" t="s">
        <v>4602</v>
      </c>
      <c r="F5449" t="s">
        <v>4602</v>
      </c>
      <c r="G5449" t="s">
        <v>4602</v>
      </c>
      <c r="H5449" t="s">
        <v>4602</v>
      </c>
      <c r="I5449" t="s">
        <v>4602</v>
      </c>
      <c r="J5449" t="s">
        <v>4602</v>
      </c>
      <c r="K5449" t="s">
        <v>4602</v>
      </c>
      <c r="L5449" t="s">
        <v>4602</v>
      </c>
      <c r="M5449" t="s">
        <v>4602</v>
      </c>
      <c r="N5449" t="s">
        <v>4602</v>
      </c>
      <c r="O5449" t="s">
        <v>4602</v>
      </c>
    </row>
    <row r="5450" spans="1:15">
      <c r="A5450" t="s">
        <v>3762</v>
      </c>
      <c r="B5450" t="str">
        <f ca="1">IF(ISBLANK(OFFSET(B5450,0,'Field labels'!$Q$1)),C5450,OFFSET(B5450,0,'Field labels'!$Q$1))</f>
        <v>Woodland</v>
      </c>
      <c r="C5450" t="s">
        <v>4603</v>
      </c>
      <c r="D5450" t="s">
        <v>4603</v>
      </c>
      <c r="E5450" t="s">
        <v>4603</v>
      </c>
      <c r="F5450" t="s">
        <v>4603</v>
      </c>
      <c r="G5450" t="s">
        <v>4603</v>
      </c>
      <c r="H5450" t="s">
        <v>4603</v>
      </c>
      <c r="I5450" t="s">
        <v>4603</v>
      </c>
      <c r="J5450" t="s">
        <v>4603</v>
      </c>
      <c r="K5450" t="s">
        <v>4603</v>
      </c>
      <c r="L5450" t="s">
        <v>4603</v>
      </c>
      <c r="M5450" t="s">
        <v>4603</v>
      </c>
      <c r="N5450" t="s">
        <v>4603</v>
      </c>
      <c r="O5450" t="s">
        <v>4603</v>
      </c>
    </row>
    <row r="5451" spans="1:15">
      <c r="A5451" t="s">
        <v>3762</v>
      </c>
      <c r="B5451" t="str">
        <f ca="1">IF(ISBLANK(OFFSET(B5451,0,'Field labels'!$Q$1)),C5451,OFFSET(B5451,0,'Field labels'!$Q$1))</f>
        <v>Zearkaleta</v>
      </c>
      <c r="C5451" t="s">
        <v>4604</v>
      </c>
      <c r="D5451" t="s">
        <v>4604</v>
      </c>
      <c r="E5451" t="s">
        <v>4604</v>
      </c>
      <c r="F5451" t="s">
        <v>4604</v>
      </c>
      <c r="G5451" t="s">
        <v>4604</v>
      </c>
      <c r="H5451" t="s">
        <v>4604</v>
      </c>
      <c r="I5451" t="s">
        <v>4604</v>
      </c>
      <c r="J5451" t="s">
        <v>4604</v>
      </c>
      <c r="K5451" t="s">
        <v>4604</v>
      </c>
      <c r="L5451" t="s">
        <v>4604</v>
      </c>
      <c r="M5451" t="s">
        <v>4604</v>
      </c>
      <c r="N5451" t="s">
        <v>4604</v>
      </c>
      <c r="O5451" t="s">
        <v>4604</v>
      </c>
    </row>
    <row r="5452" spans="1:15">
      <c r="A5452" t="s">
        <v>3762</v>
      </c>
      <c r="B5452" t="str">
        <f ca="1">IF(ISBLANK(OFFSET(B5452,0,'Field labels'!$Q$1)),C5452,OFFSET(B5452,0,'Field labels'!$Q$1))</f>
        <v>Zone</v>
      </c>
      <c r="C5452" t="s">
        <v>4605</v>
      </c>
      <c r="D5452" t="s">
        <v>4605</v>
      </c>
      <c r="E5452" t="s">
        <v>4605</v>
      </c>
      <c r="F5452" t="s">
        <v>4605</v>
      </c>
      <c r="G5452" t="s">
        <v>4605</v>
      </c>
      <c r="H5452" t="s">
        <v>4605</v>
      </c>
      <c r="I5452" t="s">
        <v>4605</v>
      </c>
      <c r="J5452" t="s">
        <v>4605</v>
      </c>
      <c r="K5452" t="s">
        <v>4605</v>
      </c>
      <c r="L5452" t="s">
        <v>4605</v>
      </c>
      <c r="M5452" t="s">
        <v>4605</v>
      </c>
      <c r="N5452" t="s">
        <v>4605</v>
      </c>
      <c r="O5452" t="s">
        <v>4605</v>
      </c>
    </row>
    <row r="5453" spans="1:15">
      <c r="A5453" t="s">
        <v>3762</v>
      </c>
      <c r="B5453" t="str">
        <f ca="1">IF(ISBLANK(OFFSET(B5453,0,'Field labels'!$Q$1)),C5453,OFFSET(B5453,0,'Field labels'!$Q$1))</f>
        <v>zsilip</v>
      </c>
      <c r="C5453" t="s">
        <v>4606</v>
      </c>
      <c r="D5453" t="s">
        <v>4606</v>
      </c>
      <c r="E5453" t="s">
        <v>4606</v>
      </c>
      <c r="F5453" t="s">
        <v>4606</v>
      </c>
      <c r="G5453" t="s">
        <v>4606</v>
      </c>
      <c r="H5453" t="s">
        <v>4606</v>
      </c>
      <c r="I5453" t="s">
        <v>4606</v>
      </c>
      <c r="J5453" t="s">
        <v>4606</v>
      </c>
      <c r="K5453" t="s">
        <v>4606</v>
      </c>
      <c r="L5453" t="s">
        <v>4606</v>
      </c>
      <c r="M5453" t="s">
        <v>4606</v>
      </c>
      <c r="N5453" t="s">
        <v>4606</v>
      </c>
      <c r="O5453" t="s">
        <v>4606</v>
      </c>
    </row>
    <row r="5454" spans="1:15">
      <c r="A5454" t="s">
        <v>3762</v>
      </c>
      <c r="B5454" t="str">
        <f ca="1">IF(ISBLANK(OFFSET(B5454,0,'Field labels'!$Q$1)),C5454,OFFSET(B5454,0,'Field labels'!$Q$1))</f>
        <v>zug</v>
      </c>
      <c r="C5454" t="s">
        <v>4607</v>
      </c>
      <c r="D5454" t="s">
        <v>4607</v>
      </c>
      <c r="E5454" t="s">
        <v>4607</v>
      </c>
      <c r="F5454" t="s">
        <v>4607</v>
      </c>
      <c r="G5454" t="s">
        <v>4607</v>
      </c>
      <c r="H5454" t="s">
        <v>4607</v>
      </c>
      <c r="I5454" t="s">
        <v>4607</v>
      </c>
      <c r="J5454" t="s">
        <v>4607</v>
      </c>
      <c r="K5454" t="s">
        <v>4607</v>
      </c>
      <c r="L5454" t="s">
        <v>4607</v>
      </c>
      <c r="M5454" t="s">
        <v>4607</v>
      </c>
      <c r="N5454" t="s">
        <v>4607</v>
      </c>
      <c r="O5454" t="s">
        <v>4607</v>
      </c>
    </row>
    <row r="5455" spans="1:15">
      <c r="A5455" t="s">
        <v>9037</v>
      </c>
      <c r="B5455" t="str">
        <f ca="1">IF(ISBLANK(OFFSET(B5455,0,'Field labels'!$Q$1)),C5455,OFFSET(B5455,0,'Field labels'!$Q$1))</f>
        <v>Busan</v>
      </c>
      <c r="C5455" t="s">
        <v>9021</v>
      </c>
    </row>
    <row r="5456" spans="1:15">
      <c r="A5456" t="s">
        <v>9037</v>
      </c>
      <c r="B5456" t="str">
        <f ca="1">IF(ISBLANK(OFFSET(B5456,0,'Field labels'!$Q$1)),C5456,OFFSET(B5456,0,'Field labels'!$Q$1))</f>
        <v>Chungcheongbuk-do</v>
      </c>
      <c r="C5456" t="s">
        <v>9022</v>
      </c>
    </row>
    <row r="5457" spans="1:3">
      <c r="A5457" t="s">
        <v>9037</v>
      </c>
      <c r="B5457" t="str">
        <f ca="1">IF(ISBLANK(OFFSET(B5457,0,'Field labels'!$Q$1)),C5457,OFFSET(B5457,0,'Field labels'!$Q$1))</f>
        <v>Chungcheongnam-do</v>
      </c>
      <c r="C5457" t="s">
        <v>9023</v>
      </c>
    </row>
    <row r="5458" spans="1:3">
      <c r="A5458" t="s">
        <v>9037</v>
      </c>
      <c r="B5458" t="str">
        <f ca="1">IF(ISBLANK(OFFSET(B5458,0,'Field labels'!$Q$1)),C5458,OFFSET(B5458,0,'Field labels'!$Q$1))</f>
        <v>Daegu</v>
      </c>
      <c r="C5458" t="s">
        <v>9024</v>
      </c>
    </row>
    <row r="5459" spans="1:3">
      <c r="A5459" t="s">
        <v>9037</v>
      </c>
      <c r="B5459" t="str">
        <f ca="1">IF(ISBLANK(OFFSET(B5459,0,'Field labels'!$Q$1)),C5459,OFFSET(B5459,0,'Field labels'!$Q$1))</f>
        <v>Daejeon</v>
      </c>
      <c r="C5459" t="s">
        <v>9025</v>
      </c>
    </row>
    <row r="5460" spans="1:3">
      <c r="A5460" t="s">
        <v>9037</v>
      </c>
      <c r="B5460" t="str">
        <f ca="1">IF(ISBLANK(OFFSET(B5460,0,'Field labels'!$Q$1)),C5460,OFFSET(B5460,0,'Field labels'!$Q$1))</f>
        <v>Gangwon-do</v>
      </c>
      <c r="C5460" t="s">
        <v>9026</v>
      </c>
    </row>
    <row r="5461" spans="1:3">
      <c r="A5461" t="s">
        <v>9037</v>
      </c>
      <c r="B5461" t="str">
        <f ca="1">IF(ISBLANK(OFFSET(B5461,0,'Field labels'!$Q$1)),C5461,OFFSET(B5461,0,'Field labels'!$Q$1))</f>
        <v>Gwangju</v>
      </c>
      <c r="C5461" t="s">
        <v>9027</v>
      </c>
    </row>
    <row r="5462" spans="1:3">
      <c r="A5462" t="s">
        <v>9037</v>
      </c>
      <c r="B5462" t="str">
        <f ca="1">IF(ISBLANK(OFFSET(B5462,0,'Field labels'!$Q$1)),C5462,OFFSET(B5462,0,'Field labels'!$Q$1))</f>
        <v>Gyeonggi-do</v>
      </c>
      <c r="C5462" t="s">
        <v>9028</v>
      </c>
    </row>
    <row r="5463" spans="1:3">
      <c r="A5463" t="s">
        <v>9037</v>
      </c>
      <c r="B5463" t="str">
        <f ca="1">IF(ISBLANK(OFFSET(B5463,0,'Field labels'!$Q$1)),C5463,OFFSET(B5463,0,'Field labels'!$Q$1))</f>
        <v>Gyeongsangbuk-do</v>
      </c>
      <c r="C5463" t="s">
        <v>9029</v>
      </c>
    </row>
    <row r="5464" spans="1:3">
      <c r="A5464" t="s">
        <v>9037</v>
      </c>
      <c r="B5464" t="str">
        <f ca="1">IF(ISBLANK(OFFSET(B5464,0,'Field labels'!$Q$1)),C5464,OFFSET(B5464,0,'Field labels'!$Q$1))</f>
        <v>Gyeongsangnam-do</v>
      </c>
      <c r="C5464" t="s">
        <v>9030</v>
      </c>
    </row>
    <row r="5465" spans="1:3">
      <c r="A5465" t="s">
        <v>9037</v>
      </c>
      <c r="B5465" t="str">
        <f ca="1">IF(ISBLANK(OFFSET(B5465,0,'Field labels'!$Q$1)),C5465,OFFSET(B5465,0,'Field labels'!$Q$1))</f>
        <v>Incheon</v>
      </c>
      <c r="C5465" t="s">
        <v>9031</v>
      </c>
    </row>
    <row r="5466" spans="1:3">
      <c r="A5466" t="s">
        <v>9037</v>
      </c>
      <c r="B5466" t="str">
        <f ca="1">IF(ISBLANK(OFFSET(B5466,0,'Field labels'!$Q$1)),C5466,OFFSET(B5466,0,'Field labels'!$Q$1))</f>
        <v>Jeju-do</v>
      </c>
      <c r="C5466" t="s">
        <v>9032</v>
      </c>
    </row>
    <row r="5467" spans="1:3">
      <c r="A5467" t="s">
        <v>9037</v>
      </c>
      <c r="B5467" t="str">
        <f ca="1">IF(ISBLANK(OFFSET(B5467,0,'Field labels'!$Q$1)),C5467,OFFSET(B5467,0,'Field labels'!$Q$1))</f>
        <v>Jeollabuk-do</v>
      </c>
      <c r="C5467" t="s">
        <v>9033</v>
      </c>
    </row>
    <row r="5468" spans="1:3">
      <c r="A5468" t="s">
        <v>9037</v>
      </c>
      <c r="B5468" t="str">
        <f ca="1">IF(ISBLANK(OFFSET(B5468,0,'Field labels'!$Q$1)),C5468,OFFSET(B5468,0,'Field labels'!$Q$1))</f>
        <v>Jeollanam-do</v>
      </c>
      <c r="C5468" t="s">
        <v>9034</v>
      </c>
    </row>
    <row r="5469" spans="1:3">
      <c r="A5469" t="s">
        <v>9037</v>
      </c>
      <c r="B5469" t="str">
        <f ca="1">IF(ISBLANK(OFFSET(B5469,0,'Field labels'!$Q$1)),C5469,OFFSET(B5469,0,'Field labels'!$Q$1))</f>
        <v>Seoul</v>
      </c>
      <c r="C5469" t="s">
        <v>9035</v>
      </c>
    </row>
    <row r="5470" spans="1:3">
      <c r="A5470" t="s">
        <v>9037</v>
      </c>
      <c r="B5470" t="str">
        <f ca="1">IF(ISBLANK(OFFSET(B5470,0,'Field labels'!$Q$1)),C5470,OFFSET(B5470,0,'Field labels'!$Q$1))</f>
        <v>Ulsan</v>
      </c>
      <c r="C5470" t="s">
        <v>9036</v>
      </c>
    </row>
    <row r="5471" spans="1:3">
      <c r="A5471" s="66" t="s">
        <v>5310</v>
      </c>
      <c r="B5471" t="str">
        <f ca="1">IF(ISBLANK(OFFSET(B5471,0,'Field labels'!$Q$1)),C5471,OFFSET(B5471,0,'Field labels'!$Q$1))</f>
        <v>Buddhist</v>
      </c>
      <c r="C5471" t="s">
        <v>5302</v>
      </c>
    </row>
    <row r="5472" spans="1:3">
      <c r="A5472" s="66" t="s">
        <v>5310</v>
      </c>
      <c r="B5472" t="str">
        <f ca="1">IF(ISBLANK(OFFSET(B5472,0,'Field labels'!$Q$1)),C5472,OFFSET(B5472,0,'Field labels'!$Q$1))</f>
        <v>Hindu</v>
      </c>
      <c r="C5472" t="s">
        <v>5303</v>
      </c>
    </row>
    <row r="5473" spans="1:3">
      <c r="A5473" s="66" t="s">
        <v>5310</v>
      </c>
      <c r="B5473" t="str">
        <f ca="1">IF(ISBLANK(OFFSET(B5473,0,'Field labels'!$Q$1)),C5473,OFFSET(B5473,0,'Field labels'!$Q$1))</f>
        <v>Islamic</v>
      </c>
      <c r="C5473" t="s">
        <v>5304</v>
      </c>
    </row>
    <row r="5474" spans="1:3">
      <c r="A5474" s="66" t="s">
        <v>5310</v>
      </c>
      <c r="B5474" t="str">
        <f ca="1">IF(ISBLANK(OFFSET(B5474,0,'Field labels'!$Q$1)),C5474,OFFSET(B5474,0,'Field labels'!$Q$1))</f>
        <v>No Religion</v>
      </c>
      <c r="C5474" t="s">
        <v>5314</v>
      </c>
    </row>
    <row r="5475" spans="1:3">
      <c r="A5475" s="66" t="s">
        <v>5310</v>
      </c>
      <c r="B5475" t="str">
        <f ca="1">IF(ISBLANK(OFFSET(B5475,0,'Field labels'!$Q$1)),C5475,OFFSET(B5475,0,'Field labels'!$Q$1))</f>
        <v>Other Religion</v>
      </c>
      <c r="C5475" t="s">
        <v>5315</v>
      </c>
    </row>
    <row r="5476" spans="1:3">
      <c r="A5476" s="66" t="s">
        <v>5310</v>
      </c>
      <c r="B5476" t="str">
        <f ca="1">IF(ISBLANK(OFFSET(B5476,0,'Field labels'!$Q$1)),C5476,OFFSET(B5476,0,'Field labels'!$Q$1))</f>
        <v>Protestant</v>
      </c>
      <c r="C5476" t="s">
        <v>5307</v>
      </c>
    </row>
    <row r="5477" spans="1:3">
      <c r="A5477" s="66" t="s">
        <v>5310</v>
      </c>
      <c r="B5477" t="str">
        <f ca="1">IF(ISBLANK(OFFSET(B5477,0,'Field labels'!$Q$1)),C5477,OFFSET(B5477,0,'Field labels'!$Q$1))</f>
        <v>Roman Catholic</v>
      </c>
      <c r="C5477" t="s">
        <v>5308</v>
      </c>
    </row>
    <row r="5478" spans="1:3">
      <c r="A5478" s="66" t="s">
        <v>5301</v>
      </c>
      <c r="B5478" t="str">
        <f ca="1">IF(ISBLANK(OFFSET(B5478,0,'Field labels'!$Q$1)),C5478,OFFSET(B5478,0,'Field labels'!$Q$1))</f>
        <v>Buddhist</v>
      </c>
      <c r="C5478" t="s">
        <v>5302</v>
      </c>
    </row>
    <row r="5479" spans="1:3">
      <c r="A5479" s="66" t="s">
        <v>5301</v>
      </c>
      <c r="B5479" t="str">
        <f ca="1">IF(ISBLANK(OFFSET(B5479,0,'Field labels'!$Q$1)),C5479,OFFSET(B5479,0,'Field labels'!$Q$1))</f>
        <v>Hindu</v>
      </c>
      <c r="C5479" t="s">
        <v>5303</v>
      </c>
    </row>
    <row r="5480" spans="1:3">
      <c r="A5480" s="66" t="s">
        <v>5301</v>
      </c>
      <c r="B5480" t="str">
        <f ca="1">IF(ISBLANK(OFFSET(B5480,0,'Field labels'!$Q$1)),C5480,OFFSET(B5480,0,'Field labels'!$Q$1))</f>
        <v>Islamic</v>
      </c>
      <c r="C5480" t="s">
        <v>5304</v>
      </c>
    </row>
    <row r="5481" spans="1:3">
      <c r="A5481" s="66" t="s">
        <v>5301</v>
      </c>
      <c r="B5481" t="str">
        <f ca="1">IF(ISBLANK(OFFSET(B5481,0,'Field labels'!$Q$1)),C5481,OFFSET(B5481,0,'Field labels'!$Q$1))</f>
        <v>Jainism</v>
      </c>
      <c r="C5481" t="s">
        <v>5305</v>
      </c>
    </row>
    <row r="5482" spans="1:3">
      <c r="A5482" s="66" t="s">
        <v>5301</v>
      </c>
      <c r="B5482" t="str">
        <f ca="1">IF(ISBLANK(OFFSET(B5482,0,'Field labels'!$Q$1)),C5482,OFFSET(B5482,0,'Field labels'!$Q$1))</f>
        <v>Judaism</v>
      </c>
      <c r="C5482" t="s">
        <v>5306</v>
      </c>
    </row>
    <row r="5483" spans="1:3">
      <c r="A5483" s="66" t="s">
        <v>5301</v>
      </c>
      <c r="B5483" t="str">
        <f ca="1">IF(ISBLANK(OFFSET(B5483,0,'Field labels'!$Q$1)),C5483,OFFSET(B5483,0,'Field labels'!$Q$1))</f>
        <v>Protestant</v>
      </c>
      <c r="C5483" t="s">
        <v>5307</v>
      </c>
    </row>
    <row r="5484" spans="1:3">
      <c r="A5484" s="66" t="s">
        <v>5301</v>
      </c>
      <c r="B5484" t="str">
        <f ca="1">IF(ISBLANK(OFFSET(B5484,0,'Field labels'!$Q$1)),C5484,OFFSET(B5484,0,'Field labels'!$Q$1))</f>
        <v>Roman Catholic</v>
      </c>
      <c r="C5484" t="s">
        <v>5308</v>
      </c>
    </row>
    <row r="5485" spans="1:3">
      <c r="A5485" s="66" t="s">
        <v>5301</v>
      </c>
      <c r="B5485" t="str">
        <f ca="1">IF(ISBLANK(OFFSET(B5485,0,'Field labels'!$Q$1)),C5485,OFFSET(B5485,0,'Field labels'!$Q$1))</f>
        <v>Sikh</v>
      </c>
      <c r="C5485" t="s">
        <v>5309</v>
      </c>
    </row>
    <row r="5486" spans="1:3">
      <c r="A5486" s="66" t="s">
        <v>5311</v>
      </c>
      <c r="B5486" t="str">
        <f ca="1">IF(ISBLANK(OFFSET(B5486,0,'Field labels'!$Q$1)),C5486,OFFSET(B5486,0,'Field labels'!$Q$1))</f>
        <v>Buddhist</v>
      </c>
      <c r="C5486" t="s">
        <v>5302</v>
      </c>
    </row>
    <row r="5487" spans="1:3">
      <c r="A5487" s="66" t="s">
        <v>5311</v>
      </c>
      <c r="B5487" t="str">
        <f ca="1">IF(ISBLANK(OFFSET(B5487,0,'Field labels'!$Q$1)),C5487,OFFSET(B5487,0,'Field labels'!$Q$1))</f>
        <v>Hindu</v>
      </c>
      <c r="C5487" t="s">
        <v>5303</v>
      </c>
    </row>
    <row r="5488" spans="1:3">
      <c r="A5488" s="66" t="s">
        <v>5311</v>
      </c>
      <c r="B5488" t="str">
        <f ca="1">IF(ISBLANK(OFFSET(B5488,0,'Field labels'!$Q$1)),C5488,OFFSET(B5488,0,'Field labels'!$Q$1))</f>
        <v>Islamic</v>
      </c>
      <c r="C5488" t="s">
        <v>5304</v>
      </c>
    </row>
    <row r="5489" spans="1:3">
      <c r="A5489" s="66" t="s">
        <v>5311</v>
      </c>
      <c r="B5489" t="str">
        <f ca="1">IF(ISBLANK(OFFSET(B5489,0,'Field labels'!$Q$1)),C5489,OFFSET(B5489,0,'Field labels'!$Q$1))</f>
        <v>No Religion</v>
      </c>
      <c r="C5489" t="s">
        <v>5314</v>
      </c>
    </row>
    <row r="5490" spans="1:3">
      <c r="A5490" s="66" t="s">
        <v>5311</v>
      </c>
      <c r="B5490" t="str">
        <f ca="1">IF(ISBLANK(OFFSET(B5490,0,'Field labels'!$Q$1)),C5490,OFFSET(B5490,0,'Field labels'!$Q$1))</f>
        <v>Other Religion</v>
      </c>
      <c r="C5490" t="s">
        <v>5315</v>
      </c>
    </row>
    <row r="5491" spans="1:3">
      <c r="A5491" s="66" t="s">
        <v>5311</v>
      </c>
      <c r="B5491" t="str">
        <f ca="1">IF(ISBLANK(OFFSET(B5491,0,'Field labels'!$Q$1)),C5491,OFFSET(B5491,0,'Field labels'!$Q$1))</f>
        <v>Roman Catholic</v>
      </c>
      <c r="C5491" t="s">
        <v>5308</v>
      </c>
    </row>
    <row r="5492" spans="1:3">
      <c r="A5492" s="66" t="s">
        <v>5311</v>
      </c>
      <c r="B5492" t="str">
        <f ca="1">IF(ISBLANK(OFFSET(B5492,0,'Field labels'!$Q$1)),C5492,OFFSET(B5492,0,'Field labels'!$Q$1))</f>
        <v>Taoism</v>
      </c>
      <c r="C5492" t="s">
        <v>5316</v>
      </c>
    </row>
    <row r="5493" spans="1:3">
      <c r="A5493" s="66" t="s">
        <v>5312</v>
      </c>
      <c r="B5493" t="str">
        <f ca="1">IF(ISBLANK(OFFSET(B5493,0,'Field labels'!$Q$1)),C5493,OFFSET(B5493,0,'Field labels'!$Q$1))</f>
        <v>Buddhist</v>
      </c>
      <c r="C5493" t="s">
        <v>5302</v>
      </c>
    </row>
    <row r="5494" spans="1:3">
      <c r="A5494" s="66" t="s">
        <v>5312</v>
      </c>
      <c r="B5494" t="str">
        <f ca="1">IF(ISBLANK(OFFSET(B5494,0,'Field labels'!$Q$1)),C5494,OFFSET(B5494,0,'Field labels'!$Q$1))</f>
        <v>Hindu</v>
      </c>
      <c r="C5494" t="s">
        <v>5303</v>
      </c>
    </row>
    <row r="5495" spans="1:3">
      <c r="A5495" s="66" t="s">
        <v>5312</v>
      </c>
      <c r="B5495" t="str">
        <f ca="1">IF(ISBLANK(OFFSET(B5495,0,'Field labels'!$Q$1)),C5495,OFFSET(B5495,0,'Field labels'!$Q$1))</f>
        <v>Islamic</v>
      </c>
      <c r="C5495" t="s">
        <v>5304</v>
      </c>
    </row>
    <row r="5496" spans="1:3">
      <c r="A5496" s="66" t="s">
        <v>5312</v>
      </c>
      <c r="B5496" t="str">
        <f ca="1">IF(ISBLANK(OFFSET(B5496,0,'Field labels'!$Q$1)),C5496,OFFSET(B5496,0,'Field labels'!$Q$1))</f>
        <v>Judaism</v>
      </c>
      <c r="C5496" t="s">
        <v>5306</v>
      </c>
    </row>
    <row r="5497" spans="1:3">
      <c r="A5497" s="66" t="s">
        <v>5312</v>
      </c>
      <c r="B5497" t="str">
        <f ca="1">IF(ISBLANK(OFFSET(B5497,0,'Field labels'!$Q$1)),C5497,OFFSET(B5497,0,'Field labels'!$Q$1))</f>
        <v>No Religion</v>
      </c>
      <c r="C5497" t="s">
        <v>5314</v>
      </c>
    </row>
    <row r="5498" spans="1:3">
      <c r="A5498" s="66" t="s">
        <v>5312</v>
      </c>
      <c r="B5498" t="str">
        <f ca="1">IF(ISBLANK(OFFSET(B5498,0,'Field labels'!$Q$1)),C5498,OFFSET(B5498,0,'Field labels'!$Q$1))</f>
        <v>Orthodox</v>
      </c>
      <c r="C5498" t="s">
        <v>5317</v>
      </c>
    </row>
    <row r="5499" spans="1:3">
      <c r="A5499" s="66" t="s">
        <v>5312</v>
      </c>
      <c r="B5499" t="str">
        <f ca="1">IF(ISBLANK(OFFSET(B5499,0,'Field labels'!$Q$1)),C5499,OFFSET(B5499,0,'Field labels'!$Q$1))</f>
        <v>Other Religion</v>
      </c>
      <c r="C5499" t="s">
        <v>5315</v>
      </c>
    </row>
    <row r="5500" spans="1:3">
      <c r="A5500" s="66" t="s">
        <v>5312</v>
      </c>
      <c r="B5500" t="str">
        <f ca="1">IF(ISBLANK(OFFSET(B5500,0,'Field labels'!$Q$1)),C5500,OFFSET(B5500,0,'Field labels'!$Q$1))</f>
        <v>Protestant</v>
      </c>
      <c r="C5500" t="s">
        <v>5307</v>
      </c>
    </row>
    <row r="5501" spans="1:3">
      <c r="A5501" s="66" t="s">
        <v>5312</v>
      </c>
      <c r="B5501" t="str">
        <f ca="1">IF(ISBLANK(OFFSET(B5501,0,'Field labels'!$Q$1)),C5501,OFFSET(B5501,0,'Field labels'!$Q$1))</f>
        <v>Roman Catholic</v>
      </c>
      <c r="C5501" t="s">
        <v>5308</v>
      </c>
    </row>
    <row r="5502" spans="1:3">
      <c r="A5502" s="66" t="s">
        <v>5313</v>
      </c>
      <c r="B5502" t="str">
        <f ca="1">IF(ISBLANK(OFFSET(B5502,0,'Field labels'!$Q$1)),C5502,OFFSET(B5502,0,'Field labels'!$Q$1))</f>
        <v>Buddhist</v>
      </c>
      <c r="C5502" t="s">
        <v>5302</v>
      </c>
    </row>
    <row r="5503" spans="1:3">
      <c r="A5503" s="66" t="s">
        <v>5313</v>
      </c>
      <c r="B5503" t="str">
        <f ca="1">IF(ISBLANK(OFFSET(B5503,0,'Field labels'!$Q$1)),C5503,OFFSET(B5503,0,'Field labels'!$Q$1))</f>
        <v>Hindu</v>
      </c>
      <c r="C5503" t="s">
        <v>5303</v>
      </c>
    </row>
    <row r="5504" spans="1:3">
      <c r="A5504" s="66" t="s">
        <v>5313</v>
      </c>
      <c r="B5504" t="str">
        <f ca="1">IF(ISBLANK(OFFSET(B5504,0,'Field labels'!$Q$1)),C5504,OFFSET(B5504,0,'Field labels'!$Q$1))</f>
        <v>Islamic</v>
      </c>
      <c r="C5504" t="s">
        <v>5304</v>
      </c>
    </row>
    <row r="5505" spans="1:3">
      <c r="A5505" s="66" t="s">
        <v>5313</v>
      </c>
      <c r="B5505" t="str">
        <f ca="1">IF(ISBLANK(OFFSET(B5505,0,'Field labels'!$Q$1)),C5505,OFFSET(B5505,0,'Field labels'!$Q$1))</f>
        <v>Judaism</v>
      </c>
      <c r="C5505" t="s">
        <v>5306</v>
      </c>
    </row>
    <row r="5506" spans="1:3">
      <c r="A5506" s="66" t="s">
        <v>5313</v>
      </c>
      <c r="B5506" t="str">
        <f ca="1">IF(ISBLANK(OFFSET(B5506,0,'Field labels'!$Q$1)),C5506,OFFSET(B5506,0,'Field labels'!$Q$1))</f>
        <v>No Religion</v>
      </c>
      <c r="C5506" t="s">
        <v>5314</v>
      </c>
    </row>
    <row r="5507" spans="1:3">
      <c r="A5507" s="66" t="s">
        <v>5313</v>
      </c>
      <c r="B5507" t="str">
        <f ca="1">IF(ISBLANK(OFFSET(B5507,0,'Field labels'!$Q$1)),C5507,OFFSET(B5507,0,'Field labels'!$Q$1))</f>
        <v>Other Religion</v>
      </c>
      <c r="C5507" t="s">
        <v>5315</v>
      </c>
    </row>
    <row r="5508" spans="1:3">
      <c r="A5508" s="66" t="s">
        <v>5313</v>
      </c>
      <c r="B5508" t="str">
        <f ca="1">IF(ISBLANK(OFFSET(B5508,0,'Field labels'!$Q$1)),C5508,OFFSET(B5508,0,'Field labels'!$Q$1))</f>
        <v>Protestant</v>
      </c>
      <c r="C5508" t="s">
        <v>5307</v>
      </c>
    </row>
    <row r="5509" spans="1:3">
      <c r="A5509" s="66" t="s">
        <v>5313</v>
      </c>
      <c r="B5509" t="str">
        <f ca="1">IF(ISBLANK(OFFSET(B5509,0,'Field labels'!$Q$1)),C5509,OFFSET(B5509,0,'Field labels'!$Q$1))</f>
        <v>Roman Catholic</v>
      </c>
      <c r="C5509" t="s">
        <v>5308</v>
      </c>
    </row>
    <row r="5510" spans="1:3">
      <c r="A5510" s="66" t="s">
        <v>5313</v>
      </c>
      <c r="B5510" t="str">
        <f ca="1">IF(ISBLANK(OFFSET(B5510,0,'Field labels'!$Q$1)),C5510,OFFSET(B5510,0,'Field labels'!$Q$1))</f>
        <v>Sikh</v>
      </c>
      <c r="C5510" t="s">
        <v>5309</v>
      </c>
    </row>
    <row r="5511" spans="1:3">
      <c r="A5511" s="66" t="s">
        <v>7902</v>
      </c>
      <c r="B5511" t="str">
        <f ca="1">IF(ISBLANK(OFFSET(B5511,0,'Field labels'!$Q$1)),C5511,OFFSET(B5511,0,'Field labels'!$Q$1))</f>
        <v>099</v>
      </c>
      <c r="C5511" s="27" t="s">
        <v>7903</v>
      </c>
    </row>
    <row r="5512" spans="1:3">
      <c r="A5512" s="66" t="s">
        <v>8506</v>
      </c>
      <c r="B5512" t="str">
        <f ca="1">IF(ISBLANK(OFFSET(B5512,0,'Field labels'!$Q$1)),C5512,OFFSET(B5512,0,'Field labels'!$Q$1))</f>
        <v>上海</v>
      </c>
      <c r="C5512" t="s">
        <v>8574</v>
      </c>
    </row>
    <row r="5513" spans="1:3">
      <c r="A5513" s="66" t="s">
        <v>8506</v>
      </c>
      <c r="B5513" t="str">
        <f ca="1">IF(ISBLANK(OFFSET(B5513,0,'Field labels'!$Q$1)),C5513,OFFSET(B5513,0,'Field labels'!$Q$1))</f>
        <v>上饶</v>
      </c>
      <c r="C5513" t="s">
        <v>8571</v>
      </c>
    </row>
    <row r="5514" spans="1:3">
      <c r="A5514" s="66" t="s">
        <v>8506</v>
      </c>
      <c r="B5514" t="str">
        <f ca="1">IF(ISBLANK(OFFSET(B5514,0,'Field labels'!$Q$1)),C5514,OFFSET(B5514,0,'Field labels'!$Q$1))</f>
        <v>东莞</v>
      </c>
      <c r="C5514" t="s">
        <v>8526</v>
      </c>
    </row>
    <row r="5515" spans="1:3">
      <c r="A5515" s="66" t="s">
        <v>8506</v>
      </c>
      <c r="B5515" t="str">
        <f ca="1">IF(ISBLANK(OFFSET(B5515,0,'Field labels'!$Q$1)),C5515,OFFSET(B5515,0,'Field labels'!$Q$1))</f>
        <v>中山</v>
      </c>
      <c r="C5515" t="s">
        <v>8613</v>
      </c>
    </row>
    <row r="5516" spans="1:3">
      <c r="A5516" s="66" t="s">
        <v>8506</v>
      </c>
      <c r="B5516" t="str">
        <f ca="1">IF(ISBLANK(OFFSET(B5516,0,'Field labels'!$Q$1)),C5516,OFFSET(B5516,0,'Field labels'!$Q$1))</f>
        <v>临沂</v>
      </c>
      <c r="C5516" t="s">
        <v>8559</v>
      </c>
    </row>
    <row r="5517" spans="1:3">
      <c r="A5517" s="66" t="s">
        <v>8506</v>
      </c>
      <c r="B5517" t="str">
        <f ca="1">IF(ISBLANK(OFFSET(B5517,0,'Field labels'!$Q$1)),C5517,OFFSET(B5517,0,'Field labels'!$Q$1))</f>
        <v>临颍</v>
      </c>
      <c r="C5517" t="s">
        <v>8554</v>
      </c>
    </row>
    <row r="5518" spans="1:3">
      <c r="A5518" s="66" t="s">
        <v>8506</v>
      </c>
      <c r="B5518" t="str">
        <f ca="1">IF(ISBLANK(OFFSET(B5518,0,'Field labels'!$Q$1)),C5518,OFFSET(B5518,0,'Field labels'!$Q$1))</f>
        <v>乌鲁木齐</v>
      </c>
      <c r="C5518" t="s">
        <v>8591</v>
      </c>
    </row>
    <row r="5519" spans="1:3">
      <c r="A5519" s="66" t="s">
        <v>8506</v>
      </c>
      <c r="B5519" t="str">
        <f ca="1">IF(ISBLANK(OFFSET(B5519,0,'Field labels'!$Q$1)),C5519,OFFSET(B5519,0,'Field labels'!$Q$1))</f>
        <v>云南</v>
      </c>
      <c r="C5519" t="s">
        <v>8605</v>
      </c>
    </row>
    <row r="5520" spans="1:3">
      <c r="A5520" s="66" t="s">
        <v>8506</v>
      </c>
      <c r="B5520" t="str">
        <f ca="1">IF(ISBLANK(OFFSET(B5520,0,'Field labels'!$Q$1)),C5520,OFFSET(B5520,0,'Field labels'!$Q$1))</f>
        <v>佛山</v>
      </c>
      <c r="C5520" t="s">
        <v>8528</v>
      </c>
    </row>
    <row r="5521" spans="1:3">
      <c r="A5521" s="66" t="s">
        <v>8506</v>
      </c>
      <c r="B5521" t="str">
        <f ca="1">IF(ISBLANK(OFFSET(B5521,0,'Field labels'!$Q$1)),C5521,OFFSET(B5521,0,'Field labels'!$Q$1))</f>
        <v>六安</v>
      </c>
      <c r="C5521" t="s">
        <v>8556</v>
      </c>
    </row>
    <row r="5522" spans="1:3">
      <c r="A5522" s="66" t="s">
        <v>8506</v>
      </c>
      <c r="B5522" t="str">
        <f ca="1">IF(ISBLANK(OFFSET(B5522,0,'Field labels'!$Q$1)),C5522,OFFSET(B5522,0,'Field labels'!$Q$1))</f>
        <v>包头</v>
      </c>
      <c r="C5522" t="s">
        <v>8510</v>
      </c>
    </row>
    <row r="5523" spans="1:3">
      <c r="A5523" s="66" t="s">
        <v>8506</v>
      </c>
      <c r="B5523" t="str">
        <f ca="1">IF(ISBLANK(OFFSET(B5523,0,'Field labels'!$Q$1)),C5523,OFFSET(B5523,0,'Field labels'!$Q$1))</f>
        <v>北京</v>
      </c>
      <c r="C5523" t="s">
        <v>8512</v>
      </c>
    </row>
    <row r="5524" spans="1:3">
      <c r="A5524" s="66" t="s">
        <v>8506</v>
      </c>
      <c r="B5524" t="str">
        <f ca="1">IF(ISBLANK(OFFSET(B5524,0,'Field labels'!$Q$1)),C5524,OFFSET(B5524,0,'Field labels'!$Q$1))</f>
        <v>南京</v>
      </c>
      <c r="C5524" t="s">
        <v>8562</v>
      </c>
    </row>
    <row r="5525" spans="1:3">
      <c r="A5525" s="66" t="s">
        <v>8506</v>
      </c>
      <c r="B5525" t="str">
        <f ca="1">IF(ISBLANK(OFFSET(B5525,0,'Field labels'!$Q$1)),C5525,OFFSET(B5525,0,'Field labels'!$Q$1))</f>
        <v>南宁</v>
      </c>
      <c r="C5525" t="s">
        <v>8565</v>
      </c>
    </row>
    <row r="5526" spans="1:3">
      <c r="A5526" s="66" t="s">
        <v>8506</v>
      </c>
      <c r="B5526" t="str">
        <f ca="1">IF(ISBLANK(OFFSET(B5526,0,'Field labels'!$Q$1)),C5526,OFFSET(B5526,0,'Field labels'!$Q$1))</f>
        <v>南昌</v>
      </c>
      <c r="C5526" t="s">
        <v>8563</v>
      </c>
    </row>
    <row r="5527" spans="1:3">
      <c r="A5527" s="66" t="s">
        <v>8506</v>
      </c>
      <c r="B5527" t="str">
        <f ca="1">IF(ISBLANK(OFFSET(B5527,0,'Field labels'!$Q$1)),C5527,OFFSET(B5527,0,'Field labels'!$Q$1))</f>
        <v>南通</v>
      </c>
      <c r="C5527" t="s">
        <v>8566</v>
      </c>
    </row>
    <row r="5528" spans="1:3">
      <c r="A5528" s="66" t="s">
        <v>8506</v>
      </c>
      <c r="B5528" t="str">
        <f ca="1">IF(ISBLANK(OFFSET(B5528,0,'Field labels'!$Q$1)),C5528,OFFSET(B5528,0,'Field labels'!$Q$1))</f>
        <v>厦门</v>
      </c>
      <c r="C5528" t="s">
        <v>8597</v>
      </c>
    </row>
    <row r="5529" spans="1:3">
      <c r="A5529" s="66" t="s">
        <v>8506</v>
      </c>
      <c r="B5529" t="str">
        <f ca="1">IF(ISBLANK(OFFSET(B5529,0,'Field labels'!$Q$1)),C5529,OFFSET(B5529,0,'Field labels'!$Q$1))</f>
        <v>合肥</v>
      </c>
      <c r="C5529" t="s">
        <v>8535</v>
      </c>
    </row>
    <row r="5530" spans="1:3">
      <c r="A5530" s="66" t="s">
        <v>8506</v>
      </c>
      <c r="B5530" t="str">
        <f ca="1">IF(ISBLANK(OFFSET(B5530,0,'Field labels'!$Q$1)),C5530,OFFSET(B5530,0,'Field labels'!$Q$1))</f>
        <v>吉林</v>
      </c>
      <c r="C5530" t="s">
        <v>8546</v>
      </c>
    </row>
    <row r="5531" spans="1:3">
      <c r="A5531" s="66" t="s">
        <v>8506</v>
      </c>
      <c r="B5531" t="str">
        <f ca="1">IF(ISBLANK(OFFSET(B5531,0,'Field labels'!$Q$1)),C5531,OFFSET(B5531,0,'Field labels'!$Q$1))</f>
        <v>哈尔滨</v>
      </c>
      <c r="C5531" t="s">
        <v>8534</v>
      </c>
    </row>
    <row r="5532" spans="1:3">
      <c r="A5532" s="66" t="s">
        <v>8506</v>
      </c>
      <c r="B5532" t="str">
        <f ca="1">IF(ISBLANK(OFFSET(B5532,0,'Field labels'!$Q$1)),C5532,OFFSET(B5532,0,'Field labels'!$Q$1))</f>
        <v>唐山</v>
      </c>
      <c r="C5532" t="s">
        <v>8585</v>
      </c>
    </row>
    <row r="5533" spans="1:3">
      <c r="A5533" s="66" t="s">
        <v>8506</v>
      </c>
      <c r="B5533" t="str">
        <f ca="1">IF(ISBLANK(OFFSET(B5533,0,'Field labels'!$Q$1)),C5533,OFFSET(B5533,0,'Field labels'!$Q$1))</f>
        <v>商丘</v>
      </c>
      <c r="C5533" t="s">
        <v>8573</v>
      </c>
    </row>
    <row r="5534" spans="1:3">
      <c r="A5534" s="66" t="s">
        <v>8506</v>
      </c>
      <c r="B5534" t="str">
        <f ca="1">IF(ISBLANK(OFFSET(B5534,0,'Field labels'!$Q$1)),C5534,OFFSET(B5534,0,'Field labels'!$Q$1))</f>
        <v>嘉兴</v>
      </c>
      <c r="C5534" t="s">
        <v>8545</v>
      </c>
    </row>
    <row r="5535" spans="1:3">
      <c r="A5535" s="66" t="s">
        <v>8506</v>
      </c>
      <c r="B5535" t="str">
        <f ca="1">IF(ISBLANK(OFFSET(B5535,0,'Field labels'!$Q$1)),C5535,OFFSET(B5535,0,'Field labels'!$Q$1))</f>
        <v>大连</v>
      </c>
      <c r="C5535" t="s">
        <v>8525</v>
      </c>
    </row>
    <row r="5536" spans="1:3">
      <c r="A5536" s="66" t="s">
        <v>8506</v>
      </c>
      <c r="B5536" t="str">
        <f ca="1">IF(ISBLANK(OFFSET(B5536,0,'Field labels'!$Q$1)),C5536,OFFSET(B5536,0,'Field labels'!$Q$1))</f>
        <v>天津</v>
      </c>
      <c r="C5536" t="s">
        <v>8584</v>
      </c>
    </row>
    <row r="5537" spans="1:3">
      <c r="A5537" s="66" t="s">
        <v>8506</v>
      </c>
      <c r="B5537" t="str">
        <f ca="1">IF(ISBLANK(OFFSET(B5537,0,'Field labels'!$Q$1)),C5537,OFFSET(B5537,0,'Field labels'!$Q$1))</f>
        <v>太原</v>
      </c>
      <c r="C5537" t="s">
        <v>8586</v>
      </c>
    </row>
    <row r="5538" spans="1:3">
      <c r="A5538" s="66" t="s">
        <v>8506</v>
      </c>
      <c r="B5538" t="str">
        <f ca="1">IF(ISBLANK(OFFSET(B5538,0,'Field labels'!$Q$1)),C5538,OFFSET(B5538,0,'Field labels'!$Q$1))</f>
        <v>威海</v>
      </c>
      <c r="C5538" t="s">
        <v>8588</v>
      </c>
    </row>
    <row r="5539" spans="1:3">
      <c r="A5539" s="66" t="s">
        <v>8506</v>
      </c>
      <c r="B5539" t="str">
        <f ca="1">IF(ISBLANK(OFFSET(B5539,0,'Field labels'!$Q$1)),C5539,OFFSET(B5539,0,'Field labels'!$Q$1))</f>
        <v>孝感</v>
      </c>
      <c r="C5539" t="s">
        <v>8596</v>
      </c>
    </row>
    <row r="5540" spans="1:3">
      <c r="A5540" s="66" t="s">
        <v>8506</v>
      </c>
      <c r="B5540" t="str">
        <f ca="1">IF(ISBLANK(OFFSET(B5540,0,'Field labels'!$Q$1)),C5540,OFFSET(B5540,0,'Field labels'!$Q$1))</f>
        <v>宁波</v>
      </c>
      <c r="C5540" t="s">
        <v>8564</v>
      </c>
    </row>
    <row r="5541" spans="1:3">
      <c r="A5541" s="66" t="s">
        <v>8506</v>
      </c>
      <c r="B5541" t="str">
        <f ca="1">IF(ISBLANK(OFFSET(B5541,0,'Field labels'!$Q$1)),C5541,OFFSET(B5541,0,'Field labels'!$Q$1))</f>
        <v>安庆</v>
      </c>
      <c r="C5541" t="s">
        <v>8507</v>
      </c>
    </row>
    <row r="5542" spans="1:3">
      <c r="A5542" s="66" t="s">
        <v>8506</v>
      </c>
      <c r="B5542" t="str">
        <f ca="1">IF(ISBLANK(OFFSET(B5542,0,'Field labels'!$Q$1)),C5542,OFFSET(B5542,0,'Field labels'!$Q$1))</f>
        <v>安阳</v>
      </c>
      <c r="C5542" t="s">
        <v>8509</v>
      </c>
    </row>
    <row r="5543" spans="1:3">
      <c r="A5543" s="66" t="s">
        <v>8506</v>
      </c>
      <c r="B5543" t="str">
        <f ca="1">IF(ISBLANK(OFFSET(B5543,0,'Field labels'!$Q$1)),C5543,OFFSET(B5543,0,'Field labels'!$Q$1))</f>
        <v>宜昌</v>
      </c>
      <c r="C5543" t="s">
        <v>8602</v>
      </c>
    </row>
    <row r="5544" spans="1:3">
      <c r="A5544" s="66" t="s">
        <v>8506</v>
      </c>
      <c r="B5544" t="str">
        <f ca="1">IF(ISBLANK(OFFSET(B5544,0,'Field labels'!$Q$1)),C5544,OFFSET(B5544,0,'Field labels'!$Q$1))</f>
        <v>宿州</v>
      </c>
      <c r="C5544" t="s">
        <v>8508</v>
      </c>
    </row>
    <row r="5545" spans="1:3">
      <c r="A5545" s="66" t="s">
        <v>8506</v>
      </c>
      <c r="B5545" t="str">
        <f ca="1">IF(ISBLANK(OFFSET(B5545,0,'Field labels'!$Q$1)),C5545,OFFSET(B5545,0,'Field labels'!$Q$1))</f>
        <v>宿迁</v>
      </c>
      <c r="C5545" t="s">
        <v>8580</v>
      </c>
    </row>
    <row r="5546" spans="1:3">
      <c r="A5546" s="66" t="s">
        <v>8506</v>
      </c>
      <c r="B5546" t="str">
        <f ca="1">IF(ISBLANK(OFFSET(B5546,0,'Field labels'!$Q$1)),C5546,OFFSET(B5546,0,'Field labels'!$Q$1))</f>
        <v>嵩明</v>
      </c>
      <c r="C5546" t="s">
        <v>8576</v>
      </c>
    </row>
    <row r="5547" spans="1:3">
      <c r="A5547" s="66" t="s">
        <v>8506</v>
      </c>
      <c r="B5547" t="str">
        <f ca="1">IF(ISBLANK(OFFSET(B5547,0,'Field labels'!$Q$1)),C5547,OFFSET(B5547,0,'Field labels'!$Q$1))</f>
        <v>平湖</v>
      </c>
      <c r="C5547" t="s">
        <v>8567</v>
      </c>
    </row>
    <row r="5548" spans="1:3">
      <c r="A5548" s="66" t="s">
        <v>8506</v>
      </c>
      <c r="B5548" t="str">
        <f ca="1">IF(ISBLANK(OFFSET(B5548,0,'Field labels'!$Q$1)),C5548,OFFSET(B5548,0,'Field labels'!$Q$1))</f>
        <v>广州</v>
      </c>
      <c r="C5548" t="s">
        <v>8533</v>
      </c>
    </row>
    <row r="5549" spans="1:3">
      <c r="A5549" s="66" t="s">
        <v>8506</v>
      </c>
      <c r="B5549" t="str">
        <f ca="1">IF(ISBLANK(OFFSET(B5549,0,'Field labels'!$Q$1)),C5549,OFFSET(B5549,0,'Field labels'!$Q$1))</f>
        <v>廊坊</v>
      </c>
      <c r="C5549" t="s">
        <v>8553</v>
      </c>
    </row>
    <row r="5550" spans="1:3">
      <c r="A5550" s="66" t="s">
        <v>8506</v>
      </c>
      <c r="B5550" t="str">
        <f ca="1">IF(ISBLANK(OFFSET(B5550,0,'Field labels'!$Q$1)),C5550,OFFSET(B5550,0,'Field labels'!$Q$1))</f>
        <v>开封</v>
      </c>
      <c r="C5550" t="s">
        <v>8549</v>
      </c>
    </row>
    <row r="5551" spans="1:3">
      <c r="A5551" s="66" t="s">
        <v>8506</v>
      </c>
      <c r="B5551" t="str">
        <f ca="1">IF(ISBLANK(OFFSET(B5551,0,'Field labels'!$Q$1)),C5551,OFFSET(B5551,0,'Field labels'!$Q$1))</f>
        <v>张家港</v>
      </c>
      <c r="C5551" t="s">
        <v>8609</v>
      </c>
    </row>
    <row r="5552" spans="1:3">
      <c r="A5552" s="66" t="s">
        <v>8506</v>
      </c>
      <c r="B5552" t="str">
        <f ca="1">IF(ISBLANK(OFFSET(B5552,0,'Field labels'!$Q$1)),C5552,OFFSET(B5552,0,'Field labels'!$Q$1))</f>
        <v>徐州</v>
      </c>
      <c r="C5552" t="s">
        <v>8598</v>
      </c>
    </row>
    <row r="5553" spans="1:3">
      <c r="A5553" s="66" t="s">
        <v>8506</v>
      </c>
      <c r="B5553" t="str">
        <f ca="1">IF(ISBLANK(OFFSET(B5553,0,'Field labels'!$Q$1)),C5553,OFFSET(B5553,0,'Field labels'!$Q$1))</f>
        <v>成都</v>
      </c>
      <c r="C5553" t="s">
        <v>8523</v>
      </c>
    </row>
    <row r="5554" spans="1:3">
      <c r="A5554" s="66" t="s">
        <v>8506</v>
      </c>
      <c r="B5554" t="str">
        <f ca="1">IF(ISBLANK(OFFSET(B5554,0,'Field labels'!$Q$1)),C5554,OFFSET(B5554,0,'Field labels'!$Q$1))</f>
        <v>扬州</v>
      </c>
      <c r="C5554" t="s">
        <v>8606</v>
      </c>
    </row>
    <row r="5555" spans="1:3">
      <c r="A5555" s="66" t="s">
        <v>8506</v>
      </c>
      <c r="B5555" t="str">
        <f ca="1">IF(ISBLANK(OFFSET(B5555,0,'Field labels'!$Q$1)),C5555,OFFSET(B5555,0,'Field labels'!$Q$1))</f>
        <v>承德</v>
      </c>
      <c r="C5555" t="s">
        <v>8515</v>
      </c>
    </row>
    <row r="5556" spans="1:3">
      <c r="A5556" s="66" t="s">
        <v>8506</v>
      </c>
      <c r="B5556" t="str">
        <f ca="1">IF(ISBLANK(OFFSET(B5556,0,'Field labels'!$Q$1)),C5556,OFFSET(B5556,0,'Field labels'!$Q$1))</f>
        <v>抚顺</v>
      </c>
      <c r="C5556" t="s">
        <v>8529</v>
      </c>
    </row>
    <row r="5557" spans="1:3">
      <c r="A5557" s="66" t="s">
        <v>8506</v>
      </c>
      <c r="B5557" t="str">
        <f ca="1">IF(ISBLANK(OFFSET(B5557,0,'Field labels'!$Q$1)),C5557,OFFSET(B5557,0,'Field labels'!$Q$1))</f>
        <v>无锡</v>
      </c>
      <c r="C5557" t="s">
        <v>8594</v>
      </c>
    </row>
    <row r="5558" spans="1:3">
      <c r="A5558" s="66" t="s">
        <v>8506</v>
      </c>
      <c r="B5558" t="str">
        <f ca="1">IF(ISBLANK(OFFSET(B5558,0,'Field labels'!$Q$1)),C5558,OFFSET(B5558,0,'Field labels'!$Q$1))</f>
        <v>昆山</v>
      </c>
      <c r="C5558" t="s">
        <v>8550</v>
      </c>
    </row>
    <row r="5559" spans="1:3">
      <c r="A5559" s="66" t="s">
        <v>8506</v>
      </c>
      <c r="B5559" t="str">
        <f ca="1">IF(ISBLANK(OFFSET(B5559,0,'Field labels'!$Q$1)),C5559,OFFSET(B5559,0,'Field labels'!$Q$1))</f>
        <v>昆明</v>
      </c>
      <c r="C5559" t="s">
        <v>8551</v>
      </c>
    </row>
    <row r="5560" spans="1:3">
      <c r="A5560" s="66" t="s">
        <v>8506</v>
      </c>
      <c r="B5560" t="str">
        <f ca="1">IF(ISBLANK(OFFSET(B5560,0,'Field labels'!$Q$1)),C5560,OFFSET(B5560,0,'Field labels'!$Q$1))</f>
        <v>昌吉</v>
      </c>
      <c r="C5560" t="s">
        <v>8521</v>
      </c>
    </row>
    <row r="5561" spans="1:3">
      <c r="A5561" s="66" t="s">
        <v>8506</v>
      </c>
      <c r="B5561" t="str">
        <f ca="1">IF(ISBLANK(OFFSET(B5561,0,'Field labels'!$Q$1)),C5561,OFFSET(B5561,0,'Field labels'!$Q$1))</f>
        <v>来安</v>
      </c>
      <c r="C5561" t="s">
        <v>8552</v>
      </c>
    </row>
    <row r="5562" spans="1:3">
      <c r="A5562" s="66" t="s">
        <v>8506</v>
      </c>
      <c r="B5562" t="str">
        <f ca="1">IF(ISBLANK(OFFSET(B5562,0,'Field labels'!$Q$1)),C5562,OFFSET(B5562,0,'Field labels'!$Q$1))</f>
        <v>杨陵</v>
      </c>
      <c r="C5562" t="s">
        <v>8601</v>
      </c>
    </row>
    <row r="5563" spans="1:3">
      <c r="A5563" s="66" t="s">
        <v>8506</v>
      </c>
      <c r="B5563" t="str">
        <f ca="1">IF(ISBLANK(OFFSET(B5563,0,'Field labels'!$Q$1)),C5563,OFFSET(B5563,0,'Field labels'!$Q$1))</f>
        <v>杭州</v>
      </c>
      <c r="C5563" t="s">
        <v>8541</v>
      </c>
    </row>
    <row r="5564" spans="1:3">
      <c r="A5564" s="66" t="s">
        <v>8506</v>
      </c>
      <c r="B5564" t="str">
        <f ca="1">IF(ISBLANK(OFFSET(B5564,0,'Field labels'!$Q$1)),C5564,OFFSET(B5564,0,'Field labels'!$Q$1))</f>
        <v>松原</v>
      </c>
      <c r="C5564" t="s">
        <v>8578</v>
      </c>
    </row>
    <row r="5565" spans="1:3">
      <c r="A5565" s="66" t="s">
        <v>8506</v>
      </c>
      <c r="B5565" t="str">
        <f ca="1">IF(ISBLANK(OFFSET(B5565,0,'Field labels'!$Q$1)),C5565,OFFSET(B5565,0,'Field labels'!$Q$1))</f>
        <v>武汉</v>
      </c>
      <c r="C5565" t="s">
        <v>8593</v>
      </c>
    </row>
    <row r="5566" spans="1:3">
      <c r="A5566" s="66" t="s">
        <v>8506</v>
      </c>
      <c r="B5566" t="str">
        <f ca="1">IF(ISBLANK(OFFSET(B5566,0,'Field labels'!$Q$1)),C5566,OFFSET(B5566,0,'Field labels'!$Q$1))</f>
        <v>武清</v>
      </c>
      <c r="C5566" t="s">
        <v>8592</v>
      </c>
    </row>
    <row r="5567" spans="1:3">
      <c r="A5567" s="66" t="s">
        <v>8506</v>
      </c>
      <c r="B5567" t="str">
        <f ca="1">IF(ISBLANK(OFFSET(B5567,0,'Field labels'!$Q$1)),C5567,OFFSET(B5567,0,'Field labels'!$Q$1))</f>
        <v>汉川</v>
      </c>
      <c r="C5567" t="s">
        <v>8616</v>
      </c>
    </row>
    <row r="5568" spans="1:3">
      <c r="A5568" s="66" t="s">
        <v>8506</v>
      </c>
      <c r="B5568" t="str">
        <f ca="1">IF(ISBLANK(OFFSET(B5568,0,'Field labels'!$Q$1)),C5568,OFFSET(B5568,0,'Field labels'!$Q$1))</f>
        <v>江阴</v>
      </c>
      <c r="C5568" t="s">
        <v>8542</v>
      </c>
    </row>
    <row r="5569" spans="1:3">
      <c r="A5569" s="66" t="s">
        <v>8506</v>
      </c>
      <c r="B5569" t="str">
        <f ca="1">IF(ISBLANK(OFFSET(B5569,0,'Field labels'!$Q$1)),C5569,OFFSET(B5569,0,'Field labels'!$Q$1))</f>
        <v>池州</v>
      </c>
      <c r="C5569" t="s">
        <v>8520</v>
      </c>
    </row>
    <row r="5570" spans="1:3">
      <c r="A5570" s="66" t="s">
        <v>8506</v>
      </c>
      <c r="B5570" t="str">
        <f ca="1">IF(ISBLANK(OFFSET(B5570,0,'Field labels'!$Q$1)),C5570,OFFSET(B5570,0,'Field labels'!$Q$1))</f>
        <v>沈阳</v>
      </c>
      <c r="C5570" t="s">
        <v>8581</v>
      </c>
    </row>
    <row r="5571" spans="1:3">
      <c r="A5571" s="66" t="s">
        <v>8506</v>
      </c>
      <c r="B5571" t="str">
        <f ca="1">IF(ISBLANK(OFFSET(B5571,0,'Field labels'!$Q$1)),C5571,OFFSET(B5571,0,'Field labels'!$Q$1))</f>
        <v>沧州</v>
      </c>
      <c r="C5571" t="s">
        <v>8524</v>
      </c>
    </row>
    <row r="5572" spans="1:3">
      <c r="A5572" s="66" t="s">
        <v>8506</v>
      </c>
      <c r="B5572" t="str">
        <f ca="1">IF(ISBLANK(OFFSET(B5572,0,'Field labels'!$Q$1)),C5572,OFFSET(B5572,0,'Field labels'!$Q$1))</f>
        <v>泰安</v>
      </c>
      <c r="C5572" t="s">
        <v>8583</v>
      </c>
    </row>
    <row r="5573" spans="1:3">
      <c r="A5573" s="66" t="s">
        <v>8506</v>
      </c>
      <c r="B5573" t="str">
        <f ca="1">IF(ISBLANK(OFFSET(B5573,0,'Field labels'!$Q$1)),C5573,OFFSET(B5573,0,'Field labels'!$Q$1))</f>
        <v>泰州</v>
      </c>
      <c r="C5573" t="s">
        <v>8587</v>
      </c>
    </row>
    <row r="5574" spans="1:3">
      <c r="A5574" s="66" t="s">
        <v>8506</v>
      </c>
      <c r="B5574" t="str">
        <f ca="1">IF(ISBLANK(OFFSET(B5574,0,'Field labels'!$Q$1)),C5574,OFFSET(B5574,0,'Field labels'!$Q$1))</f>
        <v>洛阳</v>
      </c>
      <c r="C5574" t="s">
        <v>8557</v>
      </c>
    </row>
    <row r="5575" spans="1:3">
      <c r="A5575" s="66" t="s">
        <v>8506</v>
      </c>
      <c r="B5575" t="str">
        <f ca="1">IF(ISBLANK(OFFSET(B5575,0,'Field labels'!$Q$1)),C5575,OFFSET(B5575,0,'Field labels'!$Q$1))</f>
        <v>济南</v>
      </c>
      <c r="C5575" t="s">
        <v>8547</v>
      </c>
    </row>
    <row r="5576" spans="1:3">
      <c r="A5576" s="66" t="s">
        <v>8506</v>
      </c>
      <c r="B5576" t="str">
        <f ca="1">IF(ISBLANK(OFFSET(B5576,0,'Field labels'!$Q$1)),C5576,OFFSET(B5576,0,'Field labels'!$Q$1))</f>
        <v>济宁</v>
      </c>
      <c r="C5576" t="s">
        <v>8543</v>
      </c>
    </row>
    <row r="5577" spans="1:3">
      <c r="A5577" s="66" t="s">
        <v>8506</v>
      </c>
      <c r="B5577" t="str">
        <f ca="1">IF(ISBLANK(OFFSET(B5577,0,'Field labels'!$Q$1)),C5577,OFFSET(B5577,0,'Field labels'!$Q$1))</f>
        <v>淄博</v>
      </c>
      <c r="C5577" t="s">
        <v>8611</v>
      </c>
    </row>
    <row r="5578" spans="1:3">
      <c r="A5578" s="66" t="s">
        <v>8506</v>
      </c>
      <c r="B5578" t="str">
        <f ca="1">IF(ISBLANK(OFFSET(B5578,0,'Field labels'!$Q$1)),C5578,OFFSET(B5578,0,'Field labels'!$Q$1))</f>
        <v>淮北</v>
      </c>
      <c r="C5578" t="s">
        <v>8540</v>
      </c>
    </row>
    <row r="5579" spans="1:3">
      <c r="A5579" s="66" t="s">
        <v>8506</v>
      </c>
      <c r="B5579" t="str">
        <f ca="1">IF(ISBLANK(OFFSET(B5579,0,'Field labels'!$Q$1)),C5579,OFFSET(B5579,0,'Field labels'!$Q$1))</f>
        <v>淮南</v>
      </c>
      <c r="C5579" t="s">
        <v>8539</v>
      </c>
    </row>
    <row r="5580" spans="1:3">
      <c r="A5580" s="66" t="s">
        <v>8506</v>
      </c>
      <c r="B5580" t="str">
        <f ca="1">IF(ISBLANK(OFFSET(B5580,0,'Field labels'!$Q$1)),C5580,OFFSET(B5580,0,'Field labels'!$Q$1))</f>
        <v>淮安</v>
      </c>
      <c r="C5580" t="s">
        <v>8538</v>
      </c>
    </row>
    <row r="5581" spans="1:3">
      <c r="A5581" s="66" t="s">
        <v>8506</v>
      </c>
      <c r="B5581" t="str">
        <f ca="1">IF(ISBLANK(OFFSET(B5581,0,'Field labels'!$Q$1)),C5581,OFFSET(B5581,0,'Field labels'!$Q$1))</f>
        <v>深圳</v>
      </c>
      <c r="C5581" t="s">
        <v>8572</v>
      </c>
    </row>
    <row r="5582" spans="1:3">
      <c r="A5582" s="66" t="s">
        <v>8506</v>
      </c>
      <c r="B5582" t="str">
        <f ca="1">IF(ISBLANK(OFFSET(B5582,0,'Field labels'!$Q$1)),C5582,OFFSET(B5582,0,'Field labels'!$Q$1))</f>
        <v>湖州</v>
      </c>
      <c r="C5582" t="s">
        <v>8537</v>
      </c>
    </row>
    <row r="5583" spans="1:3">
      <c r="A5583" s="66" t="s">
        <v>8506</v>
      </c>
      <c r="B5583" t="str">
        <f ca="1">IF(ISBLANK(OFFSET(B5583,0,'Field labels'!$Q$1)),C5583,OFFSET(B5583,0,'Field labels'!$Q$1))</f>
        <v>湛江</v>
      </c>
      <c r="C5583" t="s">
        <v>8612</v>
      </c>
    </row>
    <row r="5584" spans="1:3">
      <c r="A5584" s="66" t="s">
        <v>8506</v>
      </c>
      <c r="B5584" t="str">
        <f ca="1">IF(ISBLANK(OFFSET(B5584,0,'Field labels'!$Q$1)),C5584,OFFSET(B5584,0,'Field labels'!$Q$1))</f>
        <v>滁州</v>
      </c>
      <c r="C5584" t="s">
        <v>8519</v>
      </c>
    </row>
    <row r="5585" spans="1:3">
      <c r="A5585" s="66" t="s">
        <v>8506</v>
      </c>
      <c r="B5585" t="str">
        <f ca="1">IF(ISBLANK(OFFSET(B5585,0,'Field labels'!$Q$1)),C5585,OFFSET(B5585,0,'Field labels'!$Q$1))</f>
        <v>滨州</v>
      </c>
      <c r="C5585" t="s">
        <v>8513</v>
      </c>
    </row>
    <row r="5586" spans="1:3">
      <c r="A5586" s="66" t="s">
        <v>8506</v>
      </c>
      <c r="B5586" t="str">
        <f ca="1">IF(ISBLANK(OFFSET(B5586,0,'Field labels'!$Q$1)),C5586,OFFSET(B5586,0,'Field labels'!$Q$1))</f>
        <v>漯河</v>
      </c>
      <c r="C5586" t="s">
        <v>8558</v>
      </c>
    </row>
    <row r="5587" spans="1:3">
      <c r="A5587" s="66" t="s">
        <v>8506</v>
      </c>
      <c r="B5587" t="str">
        <f ca="1">IF(ISBLANK(OFFSET(B5587,0,'Field labels'!$Q$1)),C5587,OFFSET(B5587,0,'Field labels'!$Q$1))</f>
        <v>漳州</v>
      </c>
      <c r="C5587" t="s">
        <v>8607</v>
      </c>
    </row>
    <row r="5588" spans="1:3">
      <c r="A5588" s="66" t="s">
        <v>8506</v>
      </c>
      <c r="B5588" t="str">
        <f ca="1">IF(ISBLANK(OFFSET(B5588,0,'Field labels'!$Q$1)),C5588,OFFSET(B5588,0,'Field labels'!$Q$1))</f>
        <v>潍坊</v>
      </c>
      <c r="C5588" t="s">
        <v>8589</v>
      </c>
    </row>
    <row r="5589" spans="1:3">
      <c r="A5589" s="66" t="s">
        <v>8506</v>
      </c>
      <c r="B5589" t="str">
        <f ca="1">IF(ISBLANK(OFFSET(B5589,0,'Field labels'!$Q$1)),C5589,OFFSET(B5589,0,'Field labels'!$Q$1))</f>
        <v>烟台</v>
      </c>
      <c r="C5589" t="s">
        <v>8599</v>
      </c>
    </row>
    <row r="5590" spans="1:3">
      <c r="A5590" s="66" t="s">
        <v>8506</v>
      </c>
      <c r="B5590" t="str">
        <f ca="1">IF(ISBLANK(OFFSET(B5590,0,'Field labels'!$Q$1)),C5590,OFFSET(B5590,0,'Field labels'!$Q$1))</f>
        <v>珠海</v>
      </c>
      <c r="C5590" t="s">
        <v>8608</v>
      </c>
    </row>
    <row r="5591" spans="1:3">
      <c r="A5591" s="66" t="s">
        <v>8506</v>
      </c>
      <c r="B5591" t="str">
        <f ca="1">IF(ISBLANK(OFFSET(B5591,0,'Field labels'!$Q$1)),C5591,OFFSET(B5591,0,'Field labels'!$Q$1))</f>
        <v>盐城</v>
      </c>
      <c r="C5591" t="s">
        <v>8600</v>
      </c>
    </row>
    <row r="5592" spans="1:3">
      <c r="A5592" s="66" t="s">
        <v>8506</v>
      </c>
      <c r="B5592" t="str">
        <f ca="1">IF(ISBLANK(OFFSET(B5592,0,'Field labels'!$Q$1)),C5592,OFFSET(B5592,0,'Field labels'!$Q$1))</f>
        <v>石家庄</v>
      </c>
      <c r="C5592" t="s">
        <v>8575</v>
      </c>
    </row>
    <row r="5593" spans="1:3">
      <c r="A5593" s="66" t="s">
        <v>8506</v>
      </c>
      <c r="B5593" t="str">
        <f ca="1">IF(ISBLANK(OFFSET(B5593,0,'Field labels'!$Q$1)),C5593,OFFSET(B5593,0,'Field labels'!$Q$1))</f>
        <v>福州</v>
      </c>
      <c r="C5593" t="s">
        <v>8615</v>
      </c>
    </row>
    <row r="5594" spans="1:3">
      <c r="A5594" s="66" t="s">
        <v>8506</v>
      </c>
      <c r="B5594" t="str">
        <f ca="1">IF(ISBLANK(OFFSET(B5594,0,'Field labels'!$Q$1)),C5594,OFFSET(B5594,0,'Field labels'!$Q$1))</f>
        <v>福建</v>
      </c>
      <c r="C5594" t="s">
        <v>8527</v>
      </c>
    </row>
    <row r="5595" spans="1:3">
      <c r="A5595" s="66" t="s">
        <v>8506</v>
      </c>
      <c r="B5595" t="str">
        <f ca="1">IF(ISBLANK(OFFSET(B5595,0,'Field labels'!$Q$1)),C5595,OFFSET(B5595,0,'Field labels'!$Q$1))</f>
        <v>秦皇岛</v>
      </c>
      <c r="C5595" t="s">
        <v>8569</v>
      </c>
    </row>
    <row r="5596" spans="1:3">
      <c r="A5596" s="66" t="s">
        <v>8506</v>
      </c>
      <c r="B5596" t="str">
        <f ca="1">IF(ISBLANK(OFFSET(B5596,0,'Field labels'!$Q$1)),C5596,OFFSET(B5596,0,'Field labels'!$Q$1))</f>
        <v>芜湖</v>
      </c>
      <c r="C5596" t="s">
        <v>8590</v>
      </c>
    </row>
    <row r="5597" spans="1:3">
      <c r="A5597" s="66" t="s">
        <v>8506</v>
      </c>
      <c r="B5597" t="str">
        <f ca="1">IF(ISBLANK(OFFSET(B5597,0,'Field labels'!$Q$1)),C5597,OFFSET(B5597,0,'Field labels'!$Q$1))</f>
        <v>苏州园区</v>
      </c>
      <c r="C5597" t="s">
        <v>8582</v>
      </c>
    </row>
    <row r="5598" spans="1:3">
      <c r="A5598" s="66" t="s">
        <v>8506</v>
      </c>
      <c r="B5598" t="str">
        <f ca="1">IF(ISBLANK(OFFSET(B5598,0,'Field labels'!$Q$1)),C5598,OFFSET(B5598,0,'Field labels'!$Q$1))</f>
        <v>苏州市区</v>
      </c>
      <c r="C5598" t="s">
        <v>8579</v>
      </c>
    </row>
    <row r="5599" spans="1:3">
      <c r="A5599" s="66" t="s">
        <v>8506</v>
      </c>
      <c r="B5599" t="str">
        <f ca="1">IF(ISBLANK(OFFSET(B5599,0,'Field labels'!$Q$1)),C5599,OFFSET(B5599,0,'Field labels'!$Q$1))</f>
        <v>荣昌</v>
      </c>
      <c r="C5599" t="s">
        <v>8570</v>
      </c>
    </row>
    <row r="5600" spans="1:3">
      <c r="A5600" s="66" t="s">
        <v>8506</v>
      </c>
      <c r="B5600" t="str">
        <f ca="1">IF(ISBLANK(OFFSET(B5600,0,'Field labels'!$Q$1)),C5600,OFFSET(B5600,0,'Field labels'!$Q$1))</f>
        <v>营口</v>
      </c>
      <c r="C5600" t="s">
        <v>8604</v>
      </c>
    </row>
    <row r="5601" spans="1:3">
      <c r="A5601" s="66" t="s">
        <v>8506</v>
      </c>
      <c r="B5601" t="str">
        <f ca="1">IF(ISBLANK(OFFSET(B5601,0,'Field labels'!$Q$1)),C5601,OFFSET(B5601,0,'Field labels'!$Q$1))</f>
        <v>蚌埠</v>
      </c>
      <c r="C5601" t="s">
        <v>8511</v>
      </c>
    </row>
    <row r="5602" spans="1:3">
      <c r="A5602" s="66" t="s">
        <v>8506</v>
      </c>
      <c r="B5602" t="str">
        <f ca="1">IF(ISBLANK(OFFSET(B5602,0,'Field labels'!$Q$1)),C5602,OFFSET(B5602,0,'Field labels'!$Q$1))</f>
        <v>西安</v>
      </c>
      <c r="C5602" t="s">
        <v>8595</v>
      </c>
    </row>
    <row r="5603" spans="1:3">
      <c r="A5603" s="66" t="s">
        <v>8506</v>
      </c>
      <c r="B5603" t="str">
        <f ca="1">IF(ISBLANK(OFFSET(B5603,0,'Field labels'!$Q$1)),C5603,OFFSET(B5603,0,'Field labels'!$Q$1))</f>
        <v>赣州</v>
      </c>
      <c r="C5603" t="s">
        <v>8532</v>
      </c>
    </row>
    <row r="5604" spans="1:3">
      <c r="A5604" s="66" t="s">
        <v>8506</v>
      </c>
      <c r="B5604" t="str">
        <f ca="1">IF(ISBLANK(OFFSET(B5604,0,'Field labels'!$Q$1)),C5604,OFFSET(B5604,0,'Field labels'!$Q$1))</f>
        <v>赣榆</v>
      </c>
      <c r="C5604" t="s">
        <v>8531</v>
      </c>
    </row>
    <row r="5605" spans="1:3">
      <c r="A5605" s="66" t="s">
        <v>8506</v>
      </c>
      <c r="B5605" t="str">
        <f ca="1">IF(ISBLANK(OFFSET(B5605,0,'Field labels'!$Q$1)),C5605,OFFSET(B5605,0,'Field labels'!$Q$1))</f>
        <v>连云港</v>
      </c>
      <c r="C5605" t="s">
        <v>8555</v>
      </c>
    </row>
    <row r="5606" spans="1:3">
      <c r="A5606" s="66" t="s">
        <v>8506</v>
      </c>
      <c r="B5606" t="str">
        <f ca="1">IF(ISBLANK(OFFSET(B5606,0,'Field labels'!$Q$1)),C5606,OFFSET(B5606,0,'Field labels'!$Q$1))</f>
        <v>郑州</v>
      </c>
      <c r="C5606" t="s">
        <v>8614</v>
      </c>
    </row>
    <row r="5607" spans="1:3">
      <c r="A5607" s="66" t="s">
        <v>8506</v>
      </c>
      <c r="B5607" t="str">
        <f ca="1">IF(ISBLANK(OFFSET(B5607,0,'Field labels'!$Q$1)),C5607,OFFSET(B5607,0,'Field labels'!$Q$1))</f>
        <v>郴州</v>
      </c>
      <c r="C5607" t="s">
        <v>8516</v>
      </c>
    </row>
    <row r="5608" spans="1:3">
      <c r="A5608" s="66" t="s">
        <v>8506</v>
      </c>
      <c r="B5608" t="str">
        <f ca="1">IF(ISBLANK(OFFSET(B5608,0,'Field labels'!$Q$1)),C5608,OFFSET(B5608,0,'Field labels'!$Q$1))</f>
        <v>重庆</v>
      </c>
      <c r="C5608" t="s">
        <v>8522</v>
      </c>
    </row>
    <row r="5609" spans="1:3">
      <c r="A5609" s="66" t="s">
        <v>8506</v>
      </c>
      <c r="B5609" t="str">
        <f ca="1">IF(ISBLANK(OFFSET(B5609,0,'Field labels'!$Q$1)),C5609,OFFSET(B5609,0,'Field labels'!$Q$1))</f>
        <v>金华</v>
      </c>
      <c r="C5609" t="s">
        <v>8544</v>
      </c>
    </row>
    <row r="5610" spans="1:3">
      <c r="A5610" s="66" t="s">
        <v>8506</v>
      </c>
      <c r="B5610" t="str">
        <f ca="1">IF(ISBLANK(OFFSET(B5610,0,'Field labels'!$Q$1)),C5610,OFFSET(B5610,0,'Field labels'!$Q$1))</f>
        <v>锦州</v>
      </c>
      <c r="C5610" t="s">
        <v>8548</v>
      </c>
    </row>
    <row r="5611" spans="1:3">
      <c r="A5611" s="66" t="s">
        <v>8506</v>
      </c>
      <c r="B5611" t="str">
        <f ca="1">IF(ISBLANK(OFFSET(B5611,0,'Field labels'!$Q$1)),C5611,OFFSET(B5611,0,'Field labels'!$Q$1))</f>
        <v>镇江</v>
      </c>
      <c r="C5611" t="s">
        <v>8610</v>
      </c>
    </row>
    <row r="5612" spans="1:3">
      <c r="A5612" s="66" t="s">
        <v>8506</v>
      </c>
      <c r="B5612" t="str">
        <f ca="1">IF(ISBLANK(OFFSET(B5612,0,'Field labels'!$Q$1)),C5612,OFFSET(B5612,0,'Field labels'!$Q$1))</f>
        <v>长丰</v>
      </c>
      <c r="C5612" t="s">
        <v>8517</v>
      </c>
    </row>
    <row r="5613" spans="1:3">
      <c r="A5613" s="66" t="s">
        <v>8506</v>
      </c>
      <c r="B5613" t="str">
        <f ca="1">IF(ISBLANK(OFFSET(B5613,0,'Field labels'!$Q$1)),C5613,OFFSET(B5613,0,'Field labels'!$Q$1))</f>
        <v>长春</v>
      </c>
      <c r="C5613" t="s">
        <v>8514</v>
      </c>
    </row>
    <row r="5614" spans="1:3">
      <c r="A5614" s="66" t="s">
        <v>8506</v>
      </c>
      <c r="B5614" t="str">
        <f ca="1">IF(ISBLANK(OFFSET(B5614,0,'Field labels'!$Q$1)),C5614,OFFSET(B5614,0,'Field labels'!$Q$1))</f>
        <v>长沙</v>
      </c>
      <c r="C5614" t="s">
        <v>8518</v>
      </c>
    </row>
    <row r="5615" spans="1:3">
      <c r="A5615" s="66" t="s">
        <v>8506</v>
      </c>
      <c r="B5615" t="str">
        <f ca="1">IF(ISBLANK(OFFSET(B5615,0,'Field labels'!$Q$1)),C5615,OFFSET(B5615,0,'Field labels'!$Q$1))</f>
        <v>阜阳</v>
      </c>
      <c r="C5615" t="s">
        <v>8530</v>
      </c>
    </row>
    <row r="5616" spans="1:3">
      <c r="A5616" s="66" t="s">
        <v>8506</v>
      </c>
      <c r="B5616" t="str">
        <f ca="1">IF(ISBLANK(OFFSET(B5616,0,'Field labels'!$Q$1)),C5616,OFFSET(B5616,0,'Field labels'!$Q$1))</f>
        <v>阳江</v>
      </c>
      <c r="C5616" t="s">
        <v>8603</v>
      </c>
    </row>
    <row r="5617" spans="1:3">
      <c r="A5617" s="66" t="s">
        <v>8506</v>
      </c>
      <c r="B5617" t="str">
        <f ca="1">IF(ISBLANK(OFFSET(B5617,0,'Field labels'!$Q$1)),C5617,OFFSET(B5617,0,'Field labels'!$Q$1))</f>
        <v>陕西</v>
      </c>
      <c r="C5617" t="s">
        <v>8577</v>
      </c>
    </row>
    <row r="5618" spans="1:3">
      <c r="A5618" s="66" t="s">
        <v>8506</v>
      </c>
      <c r="B5618" t="str">
        <f ca="1">IF(ISBLANK(OFFSET(B5618,0,'Field labels'!$Q$1)),C5618,OFFSET(B5618,0,'Field labels'!$Q$1))</f>
        <v>青岛</v>
      </c>
      <c r="C5618" t="s">
        <v>8568</v>
      </c>
    </row>
    <row r="5619" spans="1:3">
      <c r="A5619" s="66" t="s">
        <v>8506</v>
      </c>
      <c r="B5619" t="str">
        <f ca="1">IF(ISBLANK(OFFSET(B5619,0,'Field labels'!$Q$1)),C5619,OFFSET(B5619,0,'Field labels'!$Q$1))</f>
        <v>马鞍山</v>
      </c>
      <c r="C5619" t="s">
        <v>8560</v>
      </c>
    </row>
    <row r="5620" spans="1:3">
      <c r="A5620" s="66" t="s">
        <v>8506</v>
      </c>
      <c r="B5620" t="str">
        <f ca="1">IF(ISBLANK(OFFSET(B5620,0,'Field labels'!$Q$1)),C5620,OFFSET(B5620,0,'Field labels'!$Q$1))</f>
        <v>麻涌</v>
      </c>
      <c r="C5620" t="s">
        <v>8561</v>
      </c>
    </row>
    <row r="5621" spans="1:3">
      <c r="A5621" s="66" t="s">
        <v>8506</v>
      </c>
      <c r="B5621" t="str">
        <f ca="1">IF(ISBLANK(OFFSET(B5621,0,'Field labels'!$Q$1)),C5621,OFFSET(B5621,0,'Field labels'!$Q$1))</f>
        <v>黄冈</v>
      </c>
      <c r="C5621" t="s">
        <v>8536</v>
      </c>
    </row>
    <row r="5622" spans="1:3">
      <c r="A5622" s="66" t="s">
        <v>8506</v>
      </c>
      <c r="B5622" t="str">
        <f ca="1">IF(ISBLANK(OFFSET(B5622,0,'Field labels'!$Q$1)),C5622,OFFSET(B5622,0,'Field labels'!$Q$1))</f>
        <v>黄骅</v>
      </c>
      <c r="C5622" t="s">
        <v>8617</v>
      </c>
    </row>
    <row r="5623" spans="1:3">
      <c r="A5623" s="66" t="s">
        <v>312</v>
      </c>
      <c r="B5623" t="str">
        <f ca="1">IF(ISBLANK(OFFSET(B5623,0,'Field labels'!$Q$1)),C5623,OFFSET(B5623,0,'Field labels'!$Q$1))</f>
        <v>ARE - Emirates ID</v>
      </c>
      <c r="C5623" t="s">
        <v>8661</v>
      </c>
    </row>
    <row r="5624" spans="1:3">
      <c r="A5624" s="66" t="s">
        <v>312</v>
      </c>
      <c r="B5624" t="str">
        <f ca="1">IF(ISBLANK(OFFSET(B5624,0,'Field labels'!$Q$1)),C5624,OFFSET(B5624,0,'Field labels'!$Q$1))</f>
        <v>ARE - Labour Card</v>
      </c>
      <c r="C5624" t="s">
        <v>8662</v>
      </c>
    </row>
    <row r="5625" spans="1:3">
      <c r="A5625" s="66" t="s">
        <v>312</v>
      </c>
      <c r="B5625" t="str">
        <f ca="1">IF(ISBLANK(OFFSET(B5625,0,'Field labels'!$Q$1)),C5625,OFFSET(B5625,0,'Field labels'!$Q$1))</f>
        <v>ARE - Resident Permit</v>
      </c>
      <c r="C5625" t="s">
        <v>8663</v>
      </c>
    </row>
    <row r="5626" spans="1:3">
      <c r="A5626" s="66" t="s">
        <v>312</v>
      </c>
      <c r="B5626" t="str">
        <f ca="1">IF(ISBLANK(OFFSET(B5626,0,'Field labels'!$Q$1)),C5626,OFFSET(B5626,0,'Field labels'!$Q$1))</f>
        <v>ARE - Work Visa</v>
      </c>
      <c r="C5626" t="s">
        <v>8664</v>
      </c>
    </row>
    <row r="5627" spans="1:3">
      <c r="A5627" s="66" t="s">
        <v>312</v>
      </c>
      <c r="B5627" t="str">
        <f ca="1">IF(ISBLANK(OFFSET(B5627,0,'Field labels'!$Q$1)),C5627,OFFSET(B5627,0,'Field labels'!$Q$1))</f>
        <v>ARG-24H Transitory Work Authorization</v>
      </c>
      <c r="C5627" t="s">
        <v>8665</v>
      </c>
    </row>
    <row r="5628" spans="1:3">
      <c r="A5628" s="66" t="s">
        <v>312</v>
      </c>
      <c r="B5628" t="str">
        <f ca="1">IF(ISBLANK(OFFSET(B5628,0,'Field labels'!$Q$1)),C5628,OFFSET(B5628,0,'Field labels'!$Q$1))</f>
        <v>ARG-Permanent Residence Visa</v>
      </c>
      <c r="C5628" t="s">
        <v>8666</v>
      </c>
    </row>
    <row r="5629" spans="1:3">
      <c r="A5629" s="66" t="s">
        <v>312</v>
      </c>
      <c r="B5629" t="str">
        <f ca="1">IF(ISBLANK(OFFSET(B5629,0,'Field labels'!$Q$1)),C5629,OFFSET(B5629,0,'Field labels'!$Q$1))</f>
        <v>ARG-Temporary Residence Visa - Article 23(a) (Local Hire)</v>
      </c>
      <c r="C5629" t="s">
        <v>8667</v>
      </c>
    </row>
    <row r="5630" spans="1:3">
      <c r="A5630" s="66" t="s">
        <v>312</v>
      </c>
      <c r="B5630" t="str">
        <f ca="1">IF(ISBLANK(OFFSET(B5630,0,'Field labels'!$Q$1)),C5630,OFFSET(B5630,0,'Field labels'!$Q$1))</f>
        <v>ARG-Temporary Residence Visa - Article 23(e) (Intracompany Transfer)</v>
      </c>
      <c r="C5630" t="s">
        <v>8668</v>
      </c>
    </row>
    <row r="5631" spans="1:3">
      <c r="A5631" s="66" t="s">
        <v>312</v>
      </c>
      <c r="B5631" t="str">
        <f ca="1">IF(ISBLANK(OFFSET(B5631,0,'Field labels'!$Q$1)),C5631,OFFSET(B5631,0,'Field labels'!$Q$1))</f>
        <v>AUS-Passport</v>
      </c>
      <c r="C5631" t="s">
        <v>8669</v>
      </c>
    </row>
    <row r="5632" spans="1:3">
      <c r="A5632" s="66" t="s">
        <v>312</v>
      </c>
      <c r="B5632" t="str">
        <f ca="1">IF(ISBLANK(OFFSET(B5632,0,'Field labels'!$Q$1)),C5632,OFFSET(B5632,0,'Field labels'!$Q$1))</f>
        <v>BEL - A Permit</v>
      </c>
      <c r="C5632" t="s">
        <v>8670</v>
      </c>
    </row>
    <row r="5633" spans="1:3">
      <c r="A5633" s="66" t="s">
        <v>312</v>
      </c>
      <c r="B5633" t="str">
        <f ca="1">IF(ISBLANK(OFFSET(B5633,0,'Field labels'!$Q$1)),C5633,OFFSET(B5633,0,'Field labels'!$Q$1))</f>
        <v>BEL - B Permit</v>
      </c>
      <c r="C5633" t="s">
        <v>8671</v>
      </c>
    </row>
    <row r="5634" spans="1:3">
      <c r="A5634" s="66" t="s">
        <v>312</v>
      </c>
      <c r="B5634" t="str">
        <f ca="1">IF(ISBLANK(OFFSET(B5634,0,'Field labels'!$Q$1)),C5634,OFFSET(B5634,0,'Field labels'!$Q$1))</f>
        <v>BEL - Belgian Identity Card</v>
      </c>
      <c r="C5634" t="s">
        <v>8672</v>
      </c>
    </row>
    <row r="5635" spans="1:3">
      <c r="A5635" s="66" t="s">
        <v>312</v>
      </c>
      <c r="B5635" t="str">
        <f ca="1">IF(ISBLANK(OFFSET(B5635,0,'Field labels'!$Q$1)),C5635,OFFSET(B5635,0,'Field labels'!$Q$1))</f>
        <v>BEL - C Permit</v>
      </c>
      <c r="C5635" t="s">
        <v>8673</v>
      </c>
    </row>
    <row r="5636" spans="1:3">
      <c r="A5636" s="66" t="s">
        <v>312</v>
      </c>
      <c r="B5636" t="str">
        <f ca="1">IF(ISBLANK(OFFSET(B5636,0,'Field labels'!$Q$1)),C5636,OFFSET(B5636,0,'Field labels'!$Q$1))</f>
        <v>BEL - Professional Card for Foreigners</v>
      </c>
      <c r="C5636" t="s">
        <v>8674</v>
      </c>
    </row>
    <row r="5637" spans="1:3">
      <c r="A5637" s="66" t="s">
        <v>312</v>
      </c>
      <c r="B5637" t="str">
        <f ca="1">IF(ISBLANK(OFFSET(B5637,0,'Field labels'!$Q$1)),C5637,OFFSET(B5637,0,'Field labels'!$Q$1))</f>
        <v>BEL-Work Permit</v>
      </c>
      <c r="C5637" t="s">
        <v>8675</v>
      </c>
    </row>
    <row r="5638" spans="1:3">
      <c r="A5638" s="66" t="s">
        <v>312</v>
      </c>
      <c r="B5638" t="str">
        <f ca="1">IF(ISBLANK(OFFSET(B5638,0,'Field labels'!$Q$1)),C5638,OFFSET(B5638,0,'Field labels'!$Q$1))</f>
        <v>BES-Tewerkstellingsvergunning</v>
      </c>
      <c r="C5638" t="s">
        <v>8676</v>
      </c>
    </row>
    <row r="5639" spans="1:3">
      <c r="A5639" s="66" t="s">
        <v>312</v>
      </c>
      <c r="B5639" t="str">
        <f ca="1">IF(ISBLANK(OFFSET(B5639,0,'Field labels'!$Q$1)),C5639,OFFSET(B5639,0,'Field labels'!$Q$1))</f>
        <v>BES-Verblijfsvergunning</v>
      </c>
      <c r="C5639" t="s">
        <v>8677</v>
      </c>
    </row>
    <row r="5640" spans="1:3">
      <c r="A5640" s="66" t="s">
        <v>312</v>
      </c>
      <c r="B5640" t="str">
        <f ca="1">IF(ISBLANK(OFFSET(B5640,0,'Field labels'!$Q$1)),C5640,OFFSET(B5640,0,'Field labels'!$Q$1))</f>
        <v>BGD - Birth Certificate</v>
      </c>
      <c r="C5640" t="s">
        <v>8678</v>
      </c>
    </row>
    <row r="5641" spans="1:3">
      <c r="A5641" s="66" t="s">
        <v>312</v>
      </c>
      <c r="B5641" t="str">
        <f ca="1">IF(ISBLANK(OFFSET(B5641,0,'Field labels'!$Q$1)),C5641,OFFSET(B5641,0,'Field labels'!$Q$1))</f>
        <v>BGD - Driver's Licence</v>
      </c>
      <c r="C5641" t="s">
        <v>8679</v>
      </c>
    </row>
    <row r="5642" spans="1:3">
      <c r="A5642" s="66" t="s">
        <v>312</v>
      </c>
      <c r="B5642" t="str">
        <f ca="1">IF(ISBLANK(OFFSET(B5642,0,'Field labels'!$Q$1)),C5642,OFFSET(B5642,0,'Field labels'!$Q$1))</f>
        <v>BGD - Passport Number</v>
      </c>
      <c r="C5642" t="s">
        <v>8680</v>
      </c>
    </row>
    <row r="5643" spans="1:3">
      <c r="A5643" s="66" t="s">
        <v>312</v>
      </c>
      <c r="B5643" t="str">
        <f ca="1">IF(ISBLANK(OFFSET(B5643,0,'Field labels'!$Q$1)),C5643,OFFSET(B5643,0,'Field labels'!$Q$1))</f>
        <v>BGD - Taxpayer Identification Number (TIN)</v>
      </c>
      <c r="C5643" t="s">
        <v>8681</v>
      </c>
    </row>
    <row r="5644" spans="1:3">
      <c r="A5644" s="66" t="s">
        <v>312</v>
      </c>
      <c r="B5644" t="str">
        <f ca="1">IF(ISBLANK(OFFSET(B5644,0,'Field labels'!$Q$1)),C5644,OFFSET(B5644,0,'Field labels'!$Q$1))</f>
        <v>BGD - Visa</v>
      </c>
      <c r="C5644" t="s">
        <v>8682</v>
      </c>
    </row>
    <row r="5645" spans="1:3">
      <c r="A5645" s="66" t="s">
        <v>312</v>
      </c>
      <c r="B5645" t="str">
        <f ca="1">IF(ISBLANK(OFFSET(B5645,0,'Field labels'!$Q$1)),C5645,OFFSET(B5645,0,'Field labels'!$Q$1))</f>
        <v>BGD - Work Permit</v>
      </c>
      <c r="C5645" t="s">
        <v>8683</v>
      </c>
    </row>
    <row r="5646" spans="1:3">
      <c r="A5646" s="66" t="s">
        <v>312</v>
      </c>
      <c r="B5646" t="str">
        <f ca="1">IF(ISBLANK(OFFSET(B5646,0,'Field labels'!$Q$1)),C5646,OFFSET(B5646,0,'Field labels'!$Q$1))</f>
        <v>BOL-Work Permit</v>
      </c>
      <c r="C5646" t="s">
        <v>8684</v>
      </c>
    </row>
    <row r="5647" spans="1:3">
      <c r="A5647" s="66" t="s">
        <v>312</v>
      </c>
      <c r="B5647" t="str">
        <f ca="1">IF(ISBLANK(OFFSET(B5647,0,'Field labels'!$Q$1)),C5647,OFFSET(B5647,0,'Field labels'!$Q$1))</f>
        <v>BRA - Civilian Identity Registry (RIC)</v>
      </c>
      <c r="C5647" t="s">
        <v>8685</v>
      </c>
    </row>
    <row r="5648" spans="1:3">
      <c r="A5648" s="66" t="s">
        <v>312</v>
      </c>
      <c r="B5648" t="str">
        <f ca="1">IF(ISBLANK(OFFSET(B5648,0,'Field labels'!$Q$1)),C5648,OFFSET(B5648,0,'Field labels'!$Q$1))</f>
        <v>BRA - Driving Licence</v>
      </c>
      <c r="C5648" t="s">
        <v>8686</v>
      </c>
    </row>
    <row r="5649" spans="1:3">
      <c r="A5649" s="66" t="s">
        <v>312</v>
      </c>
      <c r="B5649" t="str">
        <f ca="1">IF(ISBLANK(OFFSET(B5649,0,'Field labels'!$Q$1)),C5649,OFFSET(B5649,0,'Field labels'!$Q$1))</f>
        <v>BRA - Employment Registration Book (CTPS)</v>
      </c>
      <c r="C5649" t="s">
        <v>8687</v>
      </c>
    </row>
    <row r="5650" spans="1:3">
      <c r="A5650" s="66" t="s">
        <v>312</v>
      </c>
      <c r="B5650" t="str">
        <f ca="1">IF(ISBLANK(OFFSET(B5650,0,'Field labels'!$Q$1)),C5650,OFFSET(B5650,0,'Field labels'!$Q$1))</f>
        <v>BRA - Foreigner's Identity Card</v>
      </c>
      <c r="C5650" t="s">
        <v>8688</v>
      </c>
    </row>
    <row r="5651" spans="1:3">
      <c r="A5651" s="66" t="s">
        <v>312</v>
      </c>
      <c r="B5651" t="str">
        <f ca="1">IF(ISBLANK(OFFSET(B5651,0,'Field labels'!$Q$1)),C5651,OFFSET(B5651,0,'Field labels'!$Q$1))</f>
        <v>BRA - Military Reserve Certificate</v>
      </c>
      <c r="C5651" t="s">
        <v>8689</v>
      </c>
    </row>
    <row r="5652" spans="1:3">
      <c r="A5652" s="66" t="s">
        <v>312</v>
      </c>
      <c r="B5652" t="str">
        <f ca="1">IF(ISBLANK(OFFSET(B5652,0,'Field labels'!$Q$1)),C5652,OFFSET(B5652,0,'Field labels'!$Q$1))</f>
        <v>BRA - Registro Geral</v>
      </c>
      <c r="C5652" t="s">
        <v>8690</v>
      </c>
    </row>
    <row r="5653" spans="1:3">
      <c r="A5653" s="66" t="s">
        <v>312</v>
      </c>
      <c r="B5653" t="str">
        <f ca="1">IF(ISBLANK(OFFSET(B5653,0,'Field labels'!$Q$1)),C5653,OFFSET(B5653,0,'Field labels'!$Q$1))</f>
        <v>BRA - Social Integration Program (PIS)</v>
      </c>
      <c r="C5653" t="s">
        <v>8691</v>
      </c>
    </row>
    <row r="5654" spans="1:3">
      <c r="A5654" s="66" t="s">
        <v>312</v>
      </c>
      <c r="B5654" t="str">
        <f ca="1">IF(ISBLANK(OFFSET(B5654,0,'Field labels'!$Q$1)),C5654,OFFSET(B5654,0,'Field labels'!$Q$1))</f>
        <v>BRA - Voter Eligibility Document</v>
      </c>
      <c r="C5654" t="s">
        <v>8692</v>
      </c>
    </row>
    <row r="5655" spans="1:3">
      <c r="A5655" s="66" t="s">
        <v>312</v>
      </c>
      <c r="B5655" t="str">
        <f ca="1">IF(ISBLANK(OFFSET(B5655,0,'Field labels'!$Q$1)),C5655,OFFSET(B5655,0,'Field labels'!$Q$1))</f>
        <v>CAN-Employment Authorization</v>
      </c>
      <c r="C5655" t="s">
        <v>8693</v>
      </c>
    </row>
    <row r="5656" spans="1:3">
      <c r="A5656" s="66" t="s">
        <v>312</v>
      </c>
      <c r="B5656" t="str">
        <f ca="1">IF(ISBLANK(OFFSET(B5656,0,'Field labels'!$Q$1)),C5656,OFFSET(B5656,0,'Field labels'!$Q$1))</f>
        <v>CHE-B</v>
      </c>
      <c r="C5656" t="s">
        <v>8694</v>
      </c>
    </row>
    <row r="5657" spans="1:3">
      <c r="A5657" s="66" t="s">
        <v>312</v>
      </c>
      <c r="B5657" t="str">
        <f ca="1">IF(ISBLANK(OFFSET(B5657,0,'Field labels'!$Q$1)),C5657,OFFSET(B5657,0,'Field labels'!$Q$1))</f>
        <v>CHE-C</v>
      </c>
      <c r="C5657" t="s">
        <v>8695</v>
      </c>
    </row>
    <row r="5658" spans="1:3">
      <c r="A5658" s="66" t="s">
        <v>312</v>
      </c>
      <c r="B5658" t="str">
        <f ca="1">IF(ISBLANK(OFFSET(B5658,0,'Field labels'!$Q$1)),C5658,OFFSET(B5658,0,'Field labels'!$Q$1))</f>
        <v>CHE-G</v>
      </c>
      <c r="C5658" t="s">
        <v>8696</v>
      </c>
    </row>
    <row r="5659" spans="1:3">
      <c r="A5659" s="66" t="s">
        <v>312</v>
      </c>
      <c r="B5659" t="str">
        <f ca="1">IF(ISBLANK(OFFSET(B5659,0,'Field labels'!$Q$1)),C5659,OFFSET(B5659,0,'Field labels'!$Q$1))</f>
        <v>CHE-L</v>
      </c>
      <c r="C5659" t="s">
        <v>8697</v>
      </c>
    </row>
    <row r="5660" spans="1:3">
      <c r="A5660" s="66" t="s">
        <v>312</v>
      </c>
      <c r="B5660" t="str">
        <f ca="1">IF(ISBLANK(OFFSET(B5660,0,'Field labels'!$Q$1)),C5660,OFFSET(B5660,0,'Field labels'!$Q$1))</f>
        <v>CHL - Annual Working Visa</v>
      </c>
      <c r="C5660" t="s">
        <v>8698</v>
      </c>
    </row>
    <row r="5661" spans="1:3">
      <c r="A5661" s="66" t="s">
        <v>312</v>
      </c>
      <c r="B5661" t="str">
        <f ca="1">IF(ISBLANK(OFFSET(B5661,0,'Field labels'!$Q$1)),C5661,OFFSET(B5661,0,'Field labels'!$Q$1))</f>
        <v>CHL - Working Holiday Visa</v>
      </c>
      <c r="C5661" t="s">
        <v>8699</v>
      </c>
    </row>
    <row r="5662" spans="1:3">
      <c r="A5662" s="66" t="s">
        <v>312</v>
      </c>
      <c r="B5662" t="str">
        <f ca="1">IF(ISBLANK(OFFSET(B5662,0,'Field labels'!$Q$1)),C5662,OFFSET(B5662,0,'Field labels'!$Q$1))</f>
        <v>CHN-Passport</v>
      </c>
      <c r="C5662" t="s">
        <v>5318</v>
      </c>
    </row>
    <row r="5663" spans="1:3">
      <c r="A5663" s="66" t="s">
        <v>312</v>
      </c>
      <c r="B5663" t="str">
        <f ca="1">IF(ISBLANK(OFFSET(B5663,0,'Field labels'!$Q$1)),C5663,OFFSET(B5663,0,'Field labels'!$Q$1))</f>
        <v>CHN-Personal ID</v>
      </c>
      <c r="C5663" t="s">
        <v>5319</v>
      </c>
    </row>
    <row r="5664" spans="1:3">
      <c r="A5664" s="66" t="s">
        <v>312</v>
      </c>
      <c r="B5664" t="str">
        <f ca="1">IF(ISBLANK(OFFSET(B5664,0,'Field labels'!$Q$1)),C5664,OFFSET(B5664,0,'Field labels'!$Q$1))</f>
        <v>COL - Work Visa</v>
      </c>
      <c r="C5664" t="s">
        <v>8700</v>
      </c>
    </row>
    <row r="5665" spans="1:3">
      <c r="A5665" s="66" t="s">
        <v>312</v>
      </c>
      <c r="B5665" t="str">
        <f ca="1">IF(ISBLANK(OFFSET(B5665,0,'Field labels'!$Q$1)),C5665,OFFSET(B5665,0,'Field labels'!$Q$1))</f>
        <v>COL-Cedule de Extranjería</v>
      </c>
      <c r="C5665" t="s">
        <v>8701</v>
      </c>
    </row>
    <row r="5666" spans="1:3">
      <c r="A5666" s="66" t="s">
        <v>312</v>
      </c>
      <c r="B5666" t="str">
        <f ca="1">IF(ISBLANK(OFFSET(B5666,0,'Field labels'!$Q$1)),C5666,OFFSET(B5666,0,'Field labels'!$Q$1))</f>
        <v>COL-Work Visa</v>
      </c>
      <c r="C5666" t="s">
        <v>8702</v>
      </c>
    </row>
    <row r="5667" spans="1:3">
      <c r="A5667" s="66" t="s">
        <v>312</v>
      </c>
      <c r="B5667" t="str">
        <f ca="1">IF(ISBLANK(OFFSET(B5667,0,'Field labels'!$Q$1)),C5667,OFFSET(B5667,0,'Field labels'!$Q$1))</f>
        <v>CRI-CCSS ID</v>
      </c>
      <c r="C5667" t="s">
        <v>8703</v>
      </c>
    </row>
    <row r="5668" spans="1:3">
      <c r="A5668" s="66" t="s">
        <v>312</v>
      </c>
      <c r="B5668" t="str">
        <f ca="1">IF(ISBLANK(OFFSET(B5668,0,'Field labels'!$Q$1)),C5668,OFFSET(B5668,0,'Field labels'!$Q$1))</f>
        <v>CRI-Passport Number</v>
      </c>
      <c r="C5668" t="s">
        <v>8704</v>
      </c>
    </row>
    <row r="5669" spans="1:3">
      <c r="A5669" s="66" t="s">
        <v>312</v>
      </c>
      <c r="B5669" t="str">
        <f ca="1">IF(ISBLANK(OFFSET(B5669,0,'Field labels'!$Q$1)),C5669,OFFSET(B5669,0,'Field labels'!$Q$1))</f>
        <v>CRI-Resident ID</v>
      </c>
      <c r="C5669" t="s">
        <v>8705</v>
      </c>
    </row>
    <row r="5670" spans="1:3">
      <c r="A5670" s="66" t="s">
        <v>312</v>
      </c>
      <c r="B5670" t="str">
        <f ca="1">IF(ISBLANK(OFFSET(B5670,0,'Field labels'!$Q$1)),C5670,OFFSET(B5670,0,'Field labels'!$Q$1))</f>
        <v>CRI-Visa ID</v>
      </c>
      <c r="C5670" t="s">
        <v>8706</v>
      </c>
    </row>
    <row r="5671" spans="1:3">
      <c r="A5671" s="66" t="s">
        <v>312</v>
      </c>
      <c r="B5671" t="str">
        <f ca="1">IF(ISBLANK(OFFSET(B5671,0,'Field labels'!$Q$1)),C5671,OFFSET(B5671,0,'Field labels'!$Q$1))</f>
        <v>CRI-Work Permit Number</v>
      </c>
      <c r="C5671" t="s">
        <v>8707</v>
      </c>
    </row>
    <row r="5672" spans="1:3">
      <c r="A5672" s="66" t="s">
        <v>312</v>
      </c>
      <c r="B5672" t="str">
        <f ca="1">IF(ISBLANK(OFFSET(B5672,0,'Field labels'!$Q$1)),C5672,OFFSET(B5672,0,'Field labels'!$Q$1))</f>
        <v>CZE - CICN (?íslo ob?anského pr?kazu (?OP))</v>
      </c>
      <c r="C5672" t="s">
        <v>8708</v>
      </c>
    </row>
    <row r="5673" spans="1:3">
      <c r="A5673" s="66" t="s">
        <v>312</v>
      </c>
      <c r="B5673" t="str">
        <f ca="1">IF(ISBLANK(OFFSET(B5673,0,'Field labels'!$Q$1)),C5673,OFFSET(B5673,0,'Field labels'!$Q$1))</f>
        <v>CZE - Czech Republic Blue Card</v>
      </c>
      <c r="C5673" t="s">
        <v>8709</v>
      </c>
    </row>
    <row r="5674" spans="1:3">
      <c r="A5674" s="66" t="s">
        <v>312</v>
      </c>
      <c r="B5674" t="str">
        <f ca="1">IF(ISBLANK(OFFSET(B5674,0,'Field labels'!$Q$1)),C5674,OFFSET(B5674,0,'Field labels'!$Q$1))</f>
        <v>CZE - Czech Republic Green Card</v>
      </c>
      <c r="C5674" t="s">
        <v>8710</v>
      </c>
    </row>
    <row r="5675" spans="1:3">
      <c r="A5675" s="66" t="s">
        <v>312</v>
      </c>
      <c r="B5675" t="str">
        <f ca="1">IF(ISBLANK(OFFSET(B5675,0,'Field labels'!$Q$1)),C5675,OFFSET(B5675,0,'Field labels'!$Q$1))</f>
        <v>CZE - Long-Stay Visa (povolení k dlouhodobému pobytu)</v>
      </c>
      <c r="C5675" t="s">
        <v>8711</v>
      </c>
    </row>
    <row r="5676" spans="1:3">
      <c r="A5676" s="66" t="s">
        <v>312</v>
      </c>
      <c r="B5676" t="str">
        <f ca="1">IF(ISBLANK(OFFSET(B5676,0,'Field labels'!$Q$1)),C5676,OFFSET(B5676,0,'Field labels'!$Q$1))</f>
        <v>CZE - Work Visa</v>
      </c>
      <c r="C5676" t="s">
        <v>8712</v>
      </c>
    </row>
    <row r="5677" spans="1:3">
      <c r="A5677" s="66" t="s">
        <v>312</v>
      </c>
      <c r="B5677" t="str">
        <f ca="1">IF(ISBLANK(OFFSET(B5677,0,'Field labels'!$Q$1)),C5677,OFFSET(B5677,0,'Field labels'!$Q$1))</f>
        <v>DNK - Danish Green Card</v>
      </c>
      <c r="C5677" t="s">
        <v>8713</v>
      </c>
    </row>
    <row r="5678" spans="1:3">
      <c r="A5678" s="66" t="s">
        <v>312</v>
      </c>
      <c r="B5678" t="str">
        <f ca="1">IF(ISBLANK(OFFSET(B5678,0,'Field labels'!$Q$1)),C5678,OFFSET(B5678,0,'Field labels'!$Q$1))</f>
        <v>DOM-Driver's Licence - Category 02</v>
      </c>
      <c r="C5678" t="s">
        <v>8714</v>
      </c>
    </row>
    <row r="5679" spans="1:3">
      <c r="A5679" s="66" t="s">
        <v>312</v>
      </c>
      <c r="B5679" t="str">
        <f ca="1">IF(ISBLANK(OFFSET(B5679,0,'Field labels'!$Q$1)),C5679,OFFSET(B5679,0,'Field labels'!$Q$1))</f>
        <v>DOM-Driver's Licence - Category 03</v>
      </c>
      <c r="C5679" t="s">
        <v>8715</v>
      </c>
    </row>
    <row r="5680" spans="1:3">
      <c r="A5680" s="66" t="s">
        <v>312</v>
      </c>
      <c r="B5680" t="str">
        <f ca="1">IF(ISBLANK(OFFSET(B5680,0,'Field labels'!$Q$1)),C5680,OFFSET(B5680,0,'Field labels'!$Q$1))</f>
        <v>DOM-Passport</v>
      </c>
      <c r="C5680" t="s">
        <v>8716</v>
      </c>
    </row>
    <row r="5681" spans="1:3">
      <c r="A5681" s="66" t="s">
        <v>312</v>
      </c>
      <c r="B5681" t="str">
        <f ca="1">IF(ISBLANK(OFFSET(B5681,0,'Field labels'!$Q$1)),C5681,OFFSET(B5681,0,'Field labels'!$Q$1))</f>
        <v>DOM-Social Security Number</v>
      </c>
      <c r="C5681" t="s">
        <v>8717</v>
      </c>
    </row>
    <row r="5682" spans="1:3">
      <c r="A5682" s="66" t="s">
        <v>312</v>
      </c>
      <c r="B5682" t="str">
        <f ca="1">IF(ISBLANK(OFFSET(B5682,0,'Field labels'!$Q$1)),C5682,OFFSET(B5682,0,'Field labels'!$Q$1))</f>
        <v>DOM-Taxpayer Reference Number (RNC)</v>
      </c>
      <c r="C5682" t="s">
        <v>8718</v>
      </c>
    </row>
    <row r="5683" spans="1:3">
      <c r="A5683" s="66" t="s">
        <v>312</v>
      </c>
      <c r="B5683" t="str">
        <f ca="1">IF(ISBLANK(OFFSET(B5683,0,'Field labels'!$Q$1)),C5683,OFFSET(B5683,0,'Field labels'!$Q$1))</f>
        <v>DOM-Visa / Residence</v>
      </c>
      <c r="C5683" t="s">
        <v>8719</v>
      </c>
    </row>
    <row r="5684" spans="1:3">
      <c r="A5684" s="66" t="s">
        <v>312</v>
      </c>
      <c r="B5684" t="str">
        <f ca="1">IF(ISBLANK(OFFSET(B5684,0,'Field labels'!$Q$1)),C5684,OFFSET(B5684,0,'Field labels'!$Q$1))</f>
        <v>DOM-Work Permit</v>
      </c>
      <c r="C5684" t="s">
        <v>8720</v>
      </c>
    </row>
    <row r="5685" spans="1:3">
      <c r="A5685" s="66" t="s">
        <v>312</v>
      </c>
      <c r="B5685" t="str">
        <f ca="1">IF(ISBLANK(OFFSET(B5685,0,'Field labels'!$Q$1)),C5685,OFFSET(B5685,0,'Field labels'!$Q$1))</f>
        <v>ECU - 12 XI EMV</v>
      </c>
      <c r="C5685" t="s">
        <v>8721</v>
      </c>
    </row>
    <row r="5686" spans="1:3">
      <c r="A5686" s="66" t="s">
        <v>312</v>
      </c>
      <c r="B5686" t="str">
        <f ca="1">IF(ISBLANK(OFFSET(B5686,0,'Field labels'!$Q$1)),C5686,OFFSET(B5686,0,'Field labels'!$Q$1))</f>
        <v>ECU - 12 XI MERCOSUR</v>
      </c>
      <c r="C5686" t="s">
        <v>8722</v>
      </c>
    </row>
    <row r="5687" spans="1:3">
      <c r="A5687" s="66" t="s">
        <v>312</v>
      </c>
      <c r="B5687" t="str">
        <f ca="1">IF(ISBLANK(OFFSET(B5687,0,'Field labels'!$Q$1)),C5687,OFFSET(B5687,0,'Field labels'!$Q$1))</f>
        <v>ECU- 12 VI EC</v>
      </c>
      <c r="C5687" t="s">
        <v>8723</v>
      </c>
    </row>
    <row r="5688" spans="1:3">
      <c r="A5688" s="66" t="s">
        <v>312</v>
      </c>
      <c r="B5688" t="str">
        <f ca="1">IF(ISBLANK(OFFSET(B5688,0,'Field labels'!$Q$1)),C5688,OFFSET(B5688,0,'Field labels'!$Q$1))</f>
        <v>ECU-RUC Number</v>
      </c>
      <c r="C5688" t="s">
        <v>8724</v>
      </c>
    </row>
    <row r="5689" spans="1:3">
      <c r="A5689" s="66" t="s">
        <v>312</v>
      </c>
      <c r="B5689" t="str">
        <f ca="1">IF(ISBLANK(OFFSET(B5689,0,'Field labels'!$Q$1)),C5689,OFFSET(B5689,0,'Field labels'!$Q$1))</f>
        <v>EGY - Residence Permit - Ordinary (3 Years)</v>
      </c>
      <c r="C5689" t="s">
        <v>8725</v>
      </c>
    </row>
    <row r="5690" spans="1:3">
      <c r="A5690" s="66" t="s">
        <v>312</v>
      </c>
      <c r="B5690" t="str">
        <f ca="1">IF(ISBLANK(OFFSET(B5690,0,'Field labels'!$Q$1)),C5690,OFFSET(B5690,0,'Field labels'!$Q$1))</f>
        <v>EGY - Residence Permit - Ordinary (5 Years)</v>
      </c>
      <c r="C5690" t="s">
        <v>8726</v>
      </c>
    </row>
    <row r="5691" spans="1:3">
      <c r="A5691" s="66" t="s">
        <v>312</v>
      </c>
      <c r="B5691" t="str">
        <f ca="1">IF(ISBLANK(OFFSET(B5691,0,'Field labels'!$Q$1)),C5691,OFFSET(B5691,0,'Field labels'!$Q$1))</f>
        <v>EGY - Residence Permit - Special</v>
      </c>
      <c r="C5691" t="s">
        <v>8727</v>
      </c>
    </row>
    <row r="5692" spans="1:3">
      <c r="A5692" s="66" t="s">
        <v>312</v>
      </c>
      <c r="B5692" t="str">
        <f ca="1">IF(ISBLANK(OFFSET(B5692,0,'Field labels'!$Q$1)),C5692,OFFSET(B5692,0,'Field labels'!$Q$1))</f>
        <v>EGY - Work Permit</v>
      </c>
      <c r="C5692" t="s">
        <v>8728</v>
      </c>
    </row>
    <row r="5693" spans="1:3">
      <c r="A5693" s="66" t="s">
        <v>312</v>
      </c>
      <c r="B5693" t="str">
        <f ca="1">IF(ISBLANK(OFFSET(B5693,0,'Field labels'!$Q$1)),C5693,OFFSET(B5693,0,'Field labels'!$Q$1))</f>
        <v>EGY-Driving Licence</v>
      </c>
      <c r="C5693" t="s">
        <v>8729</v>
      </c>
    </row>
    <row r="5694" spans="1:3">
      <c r="A5694" s="66" t="s">
        <v>312</v>
      </c>
      <c r="B5694" t="str">
        <f ca="1">IF(ISBLANK(OFFSET(B5694,0,'Field labels'!$Q$1)),C5694,OFFSET(B5694,0,'Field labels'!$Q$1))</f>
        <v>EGY-Driving Licence - Forklift</v>
      </c>
      <c r="C5694" t="s">
        <v>8730</v>
      </c>
    </row>
    <row r="5695" spans="1:3">
      <c r="A5695" s="66" t="s">
        <v>312</v>
      </c>
      <c r="B5695" t="str">
        <f ca="1">IF(ISBLANK(OFFSET(B5695,0,'Field labels'!$Q$1)),C5695,OFFSET(B5695,0,'Field labels'!$Q$1))</f>
        <v>EGY-Driving Licence - Technical First Degree</v>
      </c>
      <c r="C5695" t="s">
        <v>8731</v>
      </c>
    </row>
    <row r="5696" spans="1:3">
      <c r="A5696" s="66" t="s">
        <v>312</v>
      </c>
      <c r="B5696" t="str">
        <f ca="1">IF(ISBLANK(OFFSET(B5696,0,'Field labels'!$Q$1)),C5696,OFFSET(B5696,0,'Field labels'!$Q$1))</f>
        <v>EGY-Driving Licence - Technical Second Degree</v>
      </c>
      <c r="C5696" t="s">
        <v>8732</v>
      </c>
    </row>
    <row r="5697" spans="1:3">
      <c r="A5697" s="66" t="s">
        <v>312</v>
      </c>
      <c r="B5697" t="str">
        <f ca="1">IF(ISBLANK(OFFSET(B5697,0,'Field labels'!$Q$1)),C5697,OFFSET(B5697,0,'Field labels'!$Q$1))</f>
        <v>EGY-Driving Licence - Technical Third Degree</v>
      </c>
      <c r="C5697" t="s">
        <v>8733</v>
      </c>
    </row>
    <row r="5698" spans="1:3">
      <c r="A5698" s="66" t="s">
        <v>312</v>
      </c>
      <c r="B5698" t="str">
        <f ca="1">IF(ISBLANK(OFFSET(B5698,0,'Field labels'!$Q$1)),C5698,OFFSET(B5698,0,'Field labels'!$Q$1))</f>
        <v>EGY-Entry Visa</v>
      </c>
      <c r="C5698" t="s">
        <v>8734</v>
      </c>
    </row>
    <row r="5699" spans="1:3">
      <c r="A5699" s="66" t="s">
        <v>312</v>
      </c>
      <c r="B5699" t="str">
        <f ca="1">IF(ISBLANK(OFFSET(B5699,0,'Field labels'!$Q$1)),C5699,OFFSET(B5699,0,'Field labels'!$Q$1))</f>
        <v>EGY-Family Book ID</v>
      </c>
      <c r="C5699" t="s">
        <v>8735</v>
      </c>
    </row>
    <row r="5700" spans="1:3">
      <c r="A5700" s="66" t="s">
        <v>312</v>
      </c>
      <c r="B5700" t="str">
        <f ca="1">IF(ISBLANK(OFFSET(B5700,0,'Field labels'!$Q$1)),C5700,OFFSET(B5700,0,'Field labels'!$Q$1))</f>
        <v>EGY-Health Certificate</v>
      </c>
      <c r="C5700" t="s">
        <v>8736</v>
      </c>
    </row>
    <row r="5701" spans="1:3">
      <c r="A5701" s="66" t="s">
        <v>312</v>
      </c>
      <c r="B5701" t="str">
        <f ca="1">IF(ISBLANK(OFFSET(B5701,0,'Field labels'!$Q$1)),C5701,OFFSET(B5701,0,'Field labels'!$Q$1))</f>
        <v>EGY-Social Insurance Number</v>
      </c>
      <c r="C5701" t="s">
        <v>8737</v>
      </c>
    </row>
    <row r="5702" spans="1:3">
      <c r="A5702" s="66" t="s">
        <v>312</v>
      </c>
      <c r="B5702" t="str">
        <f ca="1">IF(ISBLANK(OFFSET(B5702,0,'Field labels'!$Q$1)),C5702,OFFSET(B5702,0,'Field labels'!$Q$1))</f>
        <v>EGY-Spousal Visa</v>
      </c>
      <c r="C5702" t="s">
        <v>8738</v>
      </c>
    </row>
    <row r="5703" spans="1:3">
      <c r="A5703" s="66" t="s">
        <v>312</v>
      </c>
      <c r="B5703" t="str">
        <f ca="1">IF(ISBLANK(OFFSET(B5703,0,'Field labels'!$Q$1)),C5703,OFFSET(B5703,0,'Field labels'!$Q$1))</f>
        <v>EGY-Student Visa</v>
      </c>
      <c r="C5703" t="s">
        <v>8739</v>
      </c>
    </row>
    <row r="5704" spans="1:3">
      <c r="A5704" s="66" t="s">
        <v>312</v>
      </c>
      <c r="B5704" t="str">
        <f ca="1">IF(ISBLANK(OFFSET(B5704,0,'Field labels'!$Q$1)),C5704,OFFSET(B5704,0,'Field labels'!$Q$1))</f>
        <v>EGY-Tax ID</v>
      </c>
      <c r="C5704" t="s">
        <v>8740</v>
      </c>
    </row>
    <row r="5705" spans="1:3">
      <c r="A5705" s="66" t="s">
        <v>312</v>
      </c>
      <c r="B5705" t="str">
        <f ca="1">IF(ISBLANK(OFFSET(B5705,0,'Field labels'!$Q$1)),C5705,OFFSET(B5705,0,'Field labels'!$Q$1))</f>
        <v>EGY-Temporary Work Visa</v>
      </c>
      <c r="C5705" t="s">
        <v>8741</v>
      </c>
    </row>
    <row r="5706" spans="1:3">
      <c r="A5706" s="66" t="s">
        <v>312</v>
      </c>
      <c r="B5706" t="str">
        <f ca="1">IF(ISBLANK(OFFSET(B5706,0,'Field labels'!$Q$1)),C5706,OFFSET(B5706,0,'Field labels'!$Q$1))</f>
        <v>EGY-Work Permit</v>
      </c>
      <c r="C5706" t="s">
        <v>8742</v>
      </c>
    </row>
    <row r="5707" spans="1:3">
      <c r="A5707" s="66" t="s">
        <v>312</v>
      </c>
      <c r="B5707" t="str">
        <f ca="1">IF(ISBLANK(OFFSET(B5707,0,'Field labels'!$Q$1)),C5707,OFFSET(B5707,0,'Field labels'!$Q$1))</f>
        <v>EGY-Work Visa</v>
      </c>
      <c r="C5707" t="s">
        <v>8743</v>
      </c>
    </row>
    <row r="5708" spans="1:3">
      <c r="A5708" s="66" t="s">
        <v>312</v>
      </c>
      <c r="B5708" t="str">
        <f ca="1">IF(ISBLANK(OFFSET(B5708,0,'Field labels'!$Q$1)),C5708,OFFSET(B5708,0,'Field labels'!$Q$1))</f>
        <v>ESP-C</v>
      </c>
      <c r="C5708" t="s">
        <v>8744</v>
      </c>
    </row>
    <row r="5709" spans="1:3">
      <c r="A5709" s="66" t="s">
        <v>312</v>
      </c>
      <c r="B5709" t="str">
        <f ca="1">IF(ISBLANK(OFFSET(B5709,0,'Field labels'!$Q$1)),C5709,OFFSET(B5709,0,'Field labels'!$Q$1))</f>
        <v>FIN-Payee's ID in Home Country</v>
      </c>
      <c r="C5709" t="s">
        <v>8745</v>
      </c>
    </row>
    <row r="5710" spans="1:3">
      <c r="A5710" s="66" t="s">
        <v>312</v>
      </c>
      <c r="B5710" t="str">
        <f ca="1">IF(ISBLANK(OFFSET(B5710,0,'Field labels'!$Q$1)),C5710,OFFSET(B5710,0,'Field labels'!$Q$1))</f>
        <v>FRA-Autorisation de travail</v>
      </c>
      <c r="C5710" t="s">
        <v>8746</v>
      </c>
    </row>
    <row r="5711" spans="1:3">
      <c r="A5711" s="66" t="s">
        <v>312</v>
      </c>
      <c r="B5711" t="str">
        <f ca="1">IF(ISBLANK(OFFSET(B5711,0,'Field labels'!$Q$1)),C5711,OFFSET(B5711,0,'Field labels'!$Q$1))</f>
        <v>FRA-Carte de séjour</v>
      </c>
      <c r="C5711" t="s">
        <v>8747</v>
      </c>
    </row>
    <row r="5712" spans="1:3">
      <c r="A5712" s="66" t="s">
        <v>312</v>
      </c>
      <c r="B5712" t="str">
        <f ca="1">IF(ISBLANK(OFFSET(B5712,0,'Field labels'!$Q$1)),C5712,OFFSET(B5712,0,'Field labels'!$Q$1))</f>
        <v>FRA-Entertainment Leave Number</v>
      </c>
      <c r="C5712" t="s">
        <v>8748</v>
      </c>
    </row>
    <row r="5713" spans="1:3">
      <c r="A5713" s="66" t="s">
        <v>312</v>
      </c>
      <c r="B5713" t="str">
        <f ca="1">IF(ISBLANK(OFFSET(B5713,0,'Field labels'!$Q$1)),C5713,OFFSET(B5713,0,'Field labels'!$Q$1))</f>
        <v>FRA-VISA</v>
      </c>
      <c r="C5713" t="s">
        <v>8749</v>
      </c>
    </row>
    <row r="5714" spans="1:3">
      <c r="A5714" s="66" t="s">
        <v>312</v>
      </c>
      <c r="B5714" t="str">
        <f ca="1">IF(ISBLANK(OFFSET(B5714,0,'Field labels'!$Q$1)),C5714,OFFSET(B5714,0,'Field labels'!$Q$1))</f>
        <v>GBR-Accession Worker</v>
      </c>
      <c r="C5714" t="s">
        <v>8750</v>
      </c>
    </row>
    <row r="5715" spans="1:3">
      <c r="A5715" s="66" t="s">
        <v>312</v>
      </c>
      <c r="B5715" t="str">
        <f ca="1">IF(ISBLANK(OFFSET(B5715,0,'Field labels'!$Q$1)),C5715,OFFSET(B5715,0,'Field labels'!$Q$1))</f>
        <v>GBR-British Citizen</v>
      </c>
      <c r="C5715" t="s">
        <v>8751</v>
      </c>
    </row>
    <row r="5716" spans="1:3">
      <c r="A5716" s="66" t="s">
        <v>312</v>
      </c>
      <c r="B5716" t="str">
        <f ca="1">IF(ISBLANK(OFFSET(B5716,0,'Field labels'!$Q$1)),C5716,OFFSET(B5716,0,'Field labels'!$Q$1))</f>
        <v>GBR-Dependent</v>
      </c>
      <c r="C5716" t="s">
        <v>8752</v>
      </c>
    </row>
    <row r="5717" spans="1:3">
      <c r="A5717" s="66" t="s">
        <v>312</v>
      </c>
      <c r="B5717" t="str">
        <f ca="1">IF(ISBLANK(OFFSET(B5717,0,'Field labels'!$Q$1)),C5717,OFFSET(B5717,0,'Field labels'!$Q$1))</f>
        <v>GBR-Dependent Leave to Remain</v>
      </c>
      <c r="C5717" t="s">
        <v>8753</v>
      </c>
    </row>
    <row r="5718" spans="1:3">
      <c r="A5718" s="66" t="s">
        <v>312</v>
      </c>
      <c r="B5718" t="str">
        <f ca="1">IF(ISBLANK(OFFSET(B5718,0,'Field labels'!$Q$1)),C5718,OFFSET(B5718,0,'Field labels'!$Q$1))</f>
        <v>GBR-Indefinite Leave to Remain</v>
      </c>
      <c r="C5718" t="s">
        <v>8754</v>
      </c>
    </row>
    <row r="5719" spans="1:3">
      <c r="A5719" s="66" t="s">
        <v>312</v>
      </c>
      <c r="B5719" t="str">
        <f ca="1">IF(ISBLANK(OFFSET(B5719,0,'Field labels'!$Q$1)),C5719,OFFSET(B5719,0,'Field labels'!$Q$1))</f>
        <v>GBR-Residence Permit</v>
      </c>
      <c r="C5719" t="s">
        <v>8755</v>
      </c>
    </row>
    <row r="5720" spans="1:3">
      <c r="A5720" s="66" t="s">
        <v>312</v>
      </c>
      <c r="B5720" t="str">
        <f ca="1">IF(ISBLANK(OFFSET(B5720,0,'Field labels'!$Q$1)),C5720,OFFSET(B5720,0,'Field labels'!$Q$1))</f>
        <v>GBR-Spouse/Partner Leave to Remain</v>
      </c>
      <c r="C5720" t="s">
        <v>8756</v>
      </c>
    </row>
    <row r="5721" spans="1:3">
      <c r="A5721" s="66" t="s">
        <v>312</v>
      </c>
      <c r="B5721" t="str">
        <f ca="1">IF(ISBLANK(OFFSET(B5721,0,'Field labels'!$Q$1)),C5721,OFFSET(B5721,0,'Field labels'!$Q$1))</f>
        <v>GBR-T2 ICT Long Term</v>
      </c>
      <c r="C5721" t="s">
        <v>8757</v>
      </c>
    </row>
    <row r="5722" spans="1:3">
      <c r="A5722" s="66" t="s">
        <v>312</v>
      </c>
      <c r="B5722" t="str">
        <f ca="1">IF(ISBLANK(OFFSET(B5722,0,'Field labels'!$Q$1)),C5722,OFFSET(B5722,0,'Field labels'!$Q$1))</f>
        <v>GBR-T2 ICT LTS Partner</v>
      </c>
      <c r="C5722" t="s">
        <v>8758</v>
      </c>
    </row>
    <row r="5723" spans="1:3">
      <c r="A5723" s="66" t="s">
        <v>312</v>
      </c>
      <c r="B5723" t="str">
        <f ca="1">IF(ISBLANK(OFFSET(B5723,0,'Field labels'!$Q$1)),C5723,OFFSET(B5723,0,'Field labels'!$Q$1))</f>
        <v>GBR-Tier 1 General</v>
      </c>
      <c r="C5723" t="s">
        <v>8759</v>
      </c>
    </row>
    <row r="5724" spans="1:3">
      <c r="A5724" s="66" t="s">
        <v>312</v>
      </c>
      <c r="B5724" t="str">
        <f ca="1">IF(ISBLANK(OFFSET(B5724,0,'Field labels'!$Q$1)),C5724,OFFSET(B5724,0,'Field labels'!$Q$1))</f>
        <v>GBR-Tier 2 General</v>
      </c>
      <c r="C5724" t="s">
        <v>8760</v>
      </c>
    </row>
    <row r="5725" spans="1:3">
      <c r="A5725" s="66" t="s">
        <v>312</v>
      </c>
      <c r="B5725" t="str">
        <f ca="1">IF(ISBLANK(OFFSET(B5725,0,'Field labels'!$Q$1)),C5725,OFFSET(B5725,0,'Field labels'!$Q$1))</f>
        <v>GBR-Tier 4</v>
      </c>
      <c r="C5725" t="s">
        <v>8761</v>
      </c>
    </row>
    <row r="5726" spans="1:3">
      <c r="A5726" s="66" t="s">
        <v>312</v>
      </c>
      <c r="B5726" t="str">
        <f ca="1">IF(ISBLANK(OFFSET(B5726,0,'Field labels'!$Q$1)),C5726,OFFSET(B5726,0,'Field labels'!$Q$1))</f>
        <v>GBR-Work Permit</v>
      </c>
      <c r="C5726" t="s">
        <v>8762</v>
      </c>
    </row>
    <row r="5727" spans="1:3">
      <c r="A5727" s="66" t="s">
        <v>312</v>
      </c>
      <c r="B5727" t="str">
        <f ca="1">IF(ISBLANK(OFFSET(B5727,0,'Field labels'!$Q$1)),C5727,OFFSET(B5727,0,'Field labels'!$Q$1))</f>
        <v>GTM-IGSS ID</v>
      </c>
      <c r="C5727" t="s">
        <v>8763</v>
      </c>
    </row>
    <row r="5728" spans="1:3">
      <c r="A5728" s="66" t="s">
        <v>312</v>
      </c>
      <c r="B5728" t="str">
        <f ca="1">IF(ISBLANK(OFFSET(B5728,0,'Field labels'!$Q$1)),C5728,OFFSET(B5728,0,'Field labels'!$Q$1))</f>
        <v>GTM-NIT ID</v>
      </c>
      <c r="C5728" t="s">
        <v>8764</v>
      </c>
    </row>
    <row r="5729" spans="1:3">
      <c r="A5729" s="66" t="s">
        <v>312</v>
      </c>
      <c r="B5729" t="str">
        <f ca="1">IF(ISBLANK(OFFSET(B5729,0,'Field labels'!$Q$1)),C5729,OFFSET(B5729,0,'Field labels'!$Q$1))</f>
        <v>GTM-Resident Number</v>
      </c>
      <c r="C5729" t="s">
        <v>8765</v>
      </c>
    </row>
    <row r="5730" spans="1:3">
      <c r="A5730" s="66" t="s">
        <v>312</v>
      </c>
      <c r="B5730" t="str">
        <f ca="1">IF(ISBLANK(OFFSET(B5730,0,'Field labels'!$Q$1)),C5730,OFFSET(B5730,0,'Field labels'!$Q$1))</f>
        <v>GTM-Work Permit Number</v>
      </c>
      <c r="C5730" t="s">
        <v>8766</v>
      </c>
    </row>
    <row r="5731" spans="1:3">
      <c r="A5731" s="66" t="s">
        <v>312</v>
      </c>
      <c r="B5731" t="str">
        <f ca="1">IF(ISBLANK(OFFSET(B5731,0,'Field labels'!$Q$1)),C5731,OFFSET(B5731,0,'Field labels'!$Q$1))</f>
        <v>HKG-British National Overseas</v>
      </c>
      <c r="C5731" t="s">
        <v>8767</v>
      </c>
    </row>
    <row r="5732" spans="1:3">
      <c r="A5732" s="66" t="s">
        <v>312</v>
      </c>
      <c r="B5732" t="str">
        <f ca="1">IF(ISBLANK(OFFSET(B5732,0,'Field labels'!$Q$1)),C5732,OFFSET(B5732,0,'Field labels'!$Q$1))</f>
        <v>HKG-Certificate of Identity</v>
      </c>
      <c r="C5732" t="s">
        <v>8768</v>
      </c>
    </row>
    <row r="5733" spans="1:3">
      <c r="A5733" s="66" t="s">
        <v>312</v>
      </c>
      <c r="B5733" t="str">
        <f ca="1">IF(ISBLANK(OFFSET(B5733,0,'Field labels'!$Q$1)),C5733,OFFSET(B5733,0,'Field labels'!$Q$1))</f>
        <v>HKG-Foreign Passport</v>
      </c>
      <c r="C5733" t="s">
        <v>8769</v>
      </c>
    </row>
    <row r="5734" spans="1:3">
      <c r="A5734" s="66" t="s">
        <v>312</v>
      </c>
      <c r="B5734" t="str">
        <f ca="1">IF(ISBLANK(OFFSET(B5734,0,'Field labels'!$Q$1)),C5734,OFFSET(B5734,0,'Field labels'!$Q$1))</f>
        <v>HKG-Foreign Passport</v>
      </c>
      <c r="C5734" t="s">
        <v>8769</v>
      </c>
    </row>
    <row r="5735" spans="1:3">
      <c r="A5735" s="66" t="s">
        <v>312</v>
      </c>
      <c r="B5735" t="str">
        <f ca="1">IF(ISBLANK(OFFSET(B5735,0,'Field labels'!$Q$1)),C5735,OFFSET(B5735,0,'Field labels'!$Q$1))</f>
        <v>HKG-General Employment Visa</v>
      </c>
      <c r="C5735" t="s">
        <v>8770</v>
      </c>
    </row>
    <row r="5736" spans="1:3">
      <c r="A5736" s="66" t="s">
        <v>312</v>
      </c>
      <c r="B5736" t="str">
        <f ca="1">IF(ISBLANK(OFFSET(B5736,0,'Field labels'!$Q$1)),C5736,OFFSET(B5736,0,'Field labels'!$Q$1))</f>
        <v>HKG-Local Driver's Licence</v>
      </c>
      <c r="C5736" t="s">
        <v>8771</v>
      </c>
    </row>
    <row r="5737" spans="1:3">
      <c r="A5737" s="66" t="s">
        <v>312</v>
      </c>
      <c r="B5737" t="str">
        <f ca="1">IF(ISBLANK(OFFSET(B5737,0,'Field labels'!$Q$1)),C5737,OFFSET(B5737,0,'Field labels'!$Q$1))</f>
        <v>HKG-Passport</v>
      </c>
      <c r="C5737" t="s">
        <v>8772</v>
      </c>
    </row>
    <row r="5738" spans="1:3">
      <c r="A5738" s="66" t="s">
        <v>312</v>
      </c>
      <c r="B5738" t="str">
        <f ca="1">IF(ISBLANK(OFFSET(B5738,0,'Field labels'!$Q$1)),C5738,OFFSET(B5738,0,'Field labels'!$Q$1))</f>
        <v>HND-Driver's Licence - International Articulated Heavy Goods Vehicle</v>
      </c>
      <c r="C5738" t="s">
        <v>8773</v>
      </c>
    </row>
    <row r="5739" spans="1:3">
      <c r="A5739" s="66" t="s">
        <v>312</v>
      </c>
      <c r="B5739" t="str">
        <f ca="1">IF(ISBLANK(OFFSET(B5739,0,'Field labels'!$Q$1)),C5739,OFFSET(B5739,0,'Field labels'!$Q$1))</f>
        <v>HND-Driver's Licence - International Light Vehicle</v>
      </c>
      <c r="C5739" t="s">
        <v>8774</v>
      </c>
    </row>
    <row r="5740" spans="1:3">
      <c r="A5740" s="66" t="s">
        <v>312</v>
      </c>
      <c r="B5740" t="str">
        <f ca="1">IF(ISBLANK(OFFSET(B5740,0,'Field labels'!$Q$1)),C5740,OFFSET(B5740,0,'Field labels'!$Q$1))</f>
        <v>HND-Driver's Licence - International Rigid Heavy Goods Vehicle</v>
      </c>
      <c r="C5740" t="s">
        <v>8775</v>
      </c>
    </row>
    <row r="5741" spans="1:3">
      <c r="A5741" s="66" t="s">
        <v>312</v>
      </c>
      <c r="B5741" t="str">
        <f ca="1">IF(ISBLANK(OFFSET(B5741,0,'Field labels'!$Q$1)),C5741,OFFSET(B5741,0,'Field labels'!$Q$1))</f>
        <v>HND-Driver's Licence - National Articulated Heavy Goods Vehicle</v>
      </c>
      <c r="C5741" t="s">
        <v>8776</v>
      </c>
    </row>
    <row r="5742" spans="1:3">
      <c r="A5742" s="66" t="s">
        <v>312</v>
      </c>
      <c r="B5742" t="str">
        <f ca="1">IF(ISBLANK(OFFSET(B5742,0,'Field labels'!$Q$1)),C5742,OFFSET(B5742,0,'Field labels'!$Q$1))</f>
        <v>HND-Driver's Licence - National Light Vehicle</v>
      </c>
      <c r="C5742" t="s">
        <v>8777</v>
      </c>
    </row>
    <row r="5743" spans="1:3">
      <c r="A5743" s="66" t="s">
        <v>312</v>
      </c>
      <c r="B5743" t="str">
        <f ca="1">IF(ISBLANK(OFFSET(B5743,0,'Field labels'!$Q$1)),C5743,OFFSET(B5743,0,'Field labels'!$Q$1))</f>
        <v>HND-Driver's Licence - National Rigid Heavy Goods Vehicle</v>
      </c>
      <c r="C5743" t="s">
        <v>8778</v>
      </c>
    </row>
    <row r="5744" spans="1:3">
      <c r="A5744" s="66" t="s">
        <v>312</v>
      </c>
      <c r="B5744" t="str">
        <f ca="1">IF(ISBLANK(OFFSET(B5744,0,'Field labels'!$Q$1)),C5744,OFFSET(B5744,0,'Field labels'!$Q$1))</f>
        <v>HND-Driver's Licence - National Special</v>
      </c>
      <c r="C5744" t="s">
        <v>8779</v>
      </c>
    </row>
    <row r="5745" spans="1:3">
      <c r="A5745" s="66" t="s">
        <v>312</v>
      </c>
      <c r="B5745" t="str">
        <f ca="1">IF(ISBLANK(OFFSET(B5745,0,'Field labels'!$Q$1)),C5745,OFFSET(B5745,0,'Field labels'!$Q$1))</f>
        <v>HND-Passport</v>
      </c>
      <c r="C5745" t="s">
        <v>8780</v>
      </c>
    </row>
    <row r="5746" spans="1:3">
      <c r="A5746" s="66" t="s">
        <v>312</v>
      </c>
      <c r="B5746" t="str">
        <f ca="1">IF(ISBLANK(OFFSET(B5746,0,'Field labels'!$Q$1)),C5746,OFFSET(B5746,0,'Field labels'!$Q$1))</f>
        <v>HND-Visa / Residence</v>
      </c>
      <c r="C5746" t="s">
        <v>8781</v>
      </c>
    </row>
    <row r="5747" spans="1:3">
      <c r="A5747" s="66" t="s">
        <v>312</v>
      </c>
      <c r="B5747" t="str">
        <f ca="1">IF(ISBLANK(OFFSET(B5747,0,'Field labels'!$Q$1)),C5747,OFFSET(B5747,0,'Field labels'!$Q$1))</f>
        <v>HND-Work Permit</v>
      </c>
      <c r="C5747" t="s">
        <v>8782</v>
      </c>
    </row>
    <row r="5748" spans="1:3">
      <c r="A5748" s="66" t="s">
        <v>312</v>
      </c>
      <c r="B5748" t="str">
        <f ca="1">IF(ISBLANK(OFFSET(B5748,0,'Field labels'!$Q$1)),C5748,OFFSET(B5748,0,'Field labels'!$Q$1))</f>
        <v>HUN - EU Blue Card</v>
      </c>
      <c r="C5748" t="s">
        <v>8783</v>
      </c>
    </row>
    <row r="5749" spans="1:3">
      <c r="A5749" s="66" t="s">
        <v>312</v>
      </c>
      <c r="B5749" t="str">
        <f ca="1">IF(ISBLANK(OFFSET(B5749,0,'Field labels'!$Q$1)),C5749,OFFSET(B5749,0,'Field labels'!$Q$1))</f>
        <v>HUN - Work Permit</v>
      </c>
      <c r="C5749" t="s">
        <v>8784</v>
      </c>
    </row>
    <row r="5750" spans="1:3">
      <c r="A5750" s="66" t="s">
        <v>312</v>
      </c>
      <c r="B5750" t="str">
        <f ca="1">IF(ISBLANK(OFFSET(B5750,0,'Field labels'!$Q$1)),C5750,OFFSET(B5750,0,'Field labels'!$Q$1))</f>
        <v>HUN-Work Permit</v>
      </c>
      <c r="C5750" t="s">
        <v>8785</v>
      </c>
    </row>
    <row r="5751" spans="1:3">
      <c r="A5751" s="66" t="s">
        <v>312</v>
      </c>
      <c r="B5751" t="str">
        <f ca="1">IF(ISBLANK(OFFSET(B5751,0,'Field labels'!$Q$1)),C5751,OFFSET(B5751,0,'Field labels'!$Q$1))</f>
        <v>IDN - Work Permit/KITAS Visa</v>
      </c>
      <c r="C5751" t="s">
        <v>5320</v>
      </c>
    </row>
    <row r="5752" spans="1:3">
      <c r="A5752" s="66" t="s">
        <v>312</v>
      </c>
      <c r="B5752" t="str">
        <f ca="1">IF(ISBLANK(OFFSET(B5752,0,'Field labels'!$Q$1)),C5752,OFFSET(B5752,0,'Field labels'!$Q$1))</f>
        <v>IDN-Passport</v>
      </c>
      <c r="C5752" t="s">
        <v>5321</v>
      </c>
    </row>
    <row r="5753" spans="1:3">
      <c r="A5753" s="66" t="s">
        <v>312</v>
      </c>
      <c r="B5753" t="str">
        <f ca="1">IF(ISBLANK(OFFSET(B5753,0,'Field labels'!$Q$1)),C5753,OFFSET(B5753,0,'Field labels'!$Q$1))</f>
        <v>IND-Passport</v>
      </c>
      <c r="C5753" t="s">
        <v>5322</v>
      </c>
    </row>
    <row r="5754" spans="1:3">
      <c r="A5754" s="66" t="s">
        <v>312</v>
      </c>
      <c r="B5754" t="str">
        <f ca="1">IF(ISBLANK(OFFSET(B5754,0,'Field labels'!$Q$1)),C5754,OFFSET(B5754,0,'Field labels'!$Q$1))</f>
        <v>ISR - Residence Permit</v>
      </c>
      <c r="C5754" t="s">
        <v>8786</v>
      </c>
    </row>
    <row r="5755" spans="1:3">
      <c r="A5755" s="66" t="s">
        <v>312</v>
      </c>
      <c r="B5755" t="str">
        <f ca="1">IF(ISBLANK(OFFSET(B5755,0,'Field labels'!$Q$1)),C5755,OFFSET(B5755,0,'Field labels'!$Q$1))</f>
        <v>ISR - Temporary Residence Permit</v>
      </c>
      <c r="C5755" t="s">
        <v>8787</v>
      </c>
    </row>
    <row r="5756" spans="1:3">
      <c r="A5756" s="66" t="s">
        <v>312</v>
      </c>
      <c r="B5756" t="str">
        <f ca="1">IF(ISBLANK(OFFSET(B5756,0,'Field labels'!$Q$1)),C5756,OFFSET(B5756,0,'Field labels'!$Q$1))</f>
        <v>ISR - Temporary Work Permit</v>
      </c>
      <c r="C5756" t="s">
        <v>8788</v>
      </c>
    </row>
    <row r="5757" spans="1:3">
      <c r="A5757" s="66" t="s">
        <v>312</v>
      </c>
      <c r="B5757" t="str">
        <f ca="1">IF(ISBLANK(OFFSET(B5757,0,'Field labels'!$Q$1)),C5757,OFFSET(B5757,0,'Field labels'!$Q$1))</f>
        <v>ISR - Work Permit</v>
      </c>
      <c r="C5757" t="s">
        <v>8789</v>
      </c>
    </row>
    <row r="5758" spans="1:3">
      <c r="A5758" s="66" t="s">
        <v>312</v>
      </c>
      <c r="B5758" t="str">
        <f ca="1">IF(ISBLANK(OFFSET(B5758,0,'Field labels'!$Q$1)),C5758,OFFSET(B5758,0,'Field labels'!$Q$1))</f>
        <v>JOR - Residence Permit</v>
      </c>
      <c r="C5758" t="s">
        <v>8790</v>
      </c>
    </row>
    <row r="5759" spans="1:3">
      <c r="A5759" s="66" t="s">
        <v>312</v>
      </c>
      <c r="B5759" t="str">
        <f ca="1">IF(ISBLANK(OFFSET(B5759,0,'Field labels'!$Q$1)),C5759,OFFSET(B5759,0,'Field labels'!$Q$1))</f>
        <v>JOR - Work Permit</v>
      </c>
      <c r="C5759" t="s">
        <v>8791</v>
      </c>
    </row>
    <row r="5760" spans="1:3">
      <c r="A5760" s="66" t="s">
        <v>312</v>
      </c>
      <c r="B5760" t="str">
        <f ca="1">IF(ISBLANK(OFFSET(B5760,0,'Field labels'!$Q$1)),C5760,OFFSET(B5760,0,'Field labels'!$Q$1))</f>
        <v>JOR-Business Visa - Multiple Entries</v>
      </c>
      <c r="C5760" t="s">
        <v>8792</v>
      </c>
    </row>
    <row r="5761" spans="1:3">
      <c r="A5761" s="66" t="s">
        <v>312</v>
      </c>
      <c r="B5761" t="str">
        <f ca="1">IF(ISBLANK(OFFSET(B5761,0,'Field labels'!$Q$1)),C5761,OFFSET(B5761,0,'Field labels'!$Q$1))</f>
        <v>JOR-Business Visa - Single Entry</v>
      </c>
      <c r="C5761" t="s">
        <v>8793</v>
      </c>
    </row>
    <row r="5762" spans="1:3">
      <c r="A5762" s="66" t="s">
        <v>312</v>
      </c>
      <c r="B5762" t="str">
        <f ca="1">IF(ISBLANK(OFFSET(B5762,0,'Field labels'!$Q$1)),C5762,OFFSET(B5762,0,'Field labels'!$Q$1))</f>
        <v>JOR-Family Book ID</v>
      </c>
      <c r="C5762" t="s">
        <v>8794</v>
      </c>
    </row>
    <row r="5763" spans="1:3">
      <c r="A5763" s="66" t="s">
        <v>312</v>
      </c>
      <c r="B5763" t="str">
        <f ca="1">IF(ISBLANK(OFFSET(B5763,0,'Field labels'!$Q$1)),C5763,OFFSET(B5763,0,'Field labels'!$Q$1))</f>
        <v>JOR-Personal Card ID</v>
      </c>
      <c r="C5763" t="s">
        <v>8795</v>
      </c>
    </row>
    <row r="5764" spans="1:3">
      <c r="A5764" s="66" t="s">
        <v>312</v>
      </c>
      <c r="B5764" t="str">
        <f ca="1">IF(ISBLANK(OFFSET(B5764,0,'Field labels'!$Q$1)),C5764,OFFSET(B5764,0,'Field labels'!$Q$1))</f>
        <v>JOR-Social Security Number</v>
      </c>
      <c r="C5764" t="s">
        <v>8796</v>
      </c>
    </row>
    <row r="5765" spans="1:3">
      <c r="A5765" s="66" t="s">
        <v>312</v>
      </c>
      <c r="B5765" t="str">
        <f ca="1">IF(ISBLANK(OFFSET(B5765,0,'Field labels'!$Q$1)),C5765,OFFSET(B5765,0,'Field labels'!$Q$1))</f>
        <v>JOR-Tax ID</v>
      </c>
      <c r="C5765" t="s">
        <v>8797</v>
      </c>
    </row>
    <row r="5766" spans="1:3">
      <c r="A5766" s="66" t="s">
        <v>312</v>
      </c>
      <c r="B5766" t="str">
        <f ca="1">IF(ISBLANK(OFFSET(B5766,0,'Field labels'!$Q$1)),C5766,OFFSET(B5766,0,'Field labels'!$Q$1))</f>
        <v>JPN-Passport</v>
      </c>
      <c r="C5766" t="s">
        <v>8798</v>
      </c>
    </row>
    <row r="5767" spans="1:3">
      <c r="A5767" s="66" t="s">
        <v>312</v>
      </c>
      <c r="B5767" t="str">
        <f ca="1">IF(ISBLANK(OFFSET(B5767,0,'Field labels'!$Q$1)),C5767,OFFSET(B5767,0,'Field labels'!$Q$1))</f>
        <v>JPN-Resident Card and Others</v>
      </c>
      <c r="C5767" t="s">
        <v>8799</v>
      </c>
    </row>
    <row r="5768" spans="1:3">
      <c r="A5768" s="66" t="s">
        <v>312</v>
      </c>
      <c r="B5768" t="str">
        <f ca="1">IF(ISBLANK(OFFSET(B5768,0,'Field labels'!$Q$1)),C5768,OFFSET(B5768,0,'Field labels'!$Q$1))</f>
        <v>JPN-Resident Status</v>
      </c>
      <c r="C5768" t="s">
        <v>8800</v>
      </c>
    </row>
    <row r="5769" spans="1:3">
      <c r="A5769" s="66" t="s">
        <v>312</v>
      </c>
      <c r="B5769" t="str">
        <f ca="1">IF(ISBLANK(OFFSET(B5769,0,'Field labels'!$Q$1)),C5769,OFFSET(B5769,0,'Field labels'!$Q$1))</f>
        <v>JPN-Visa</v>
      </c>
      <c r="C5769" t="s">
        <v>8801</v>
      </c>
    </row>
    <row r="5770" spans="1:3">
      <c r="A5770" s="66" t="s">
        <v>312</v>
      </c>
      <c r="B5770" t="str">
        <f ca="1">IF(ISBLANK(OFFSET(B5770,0,'Field labels'!$Q$1)),C5770,OFFSET(B5770,0,'Field labels'!$Q$1))</f>
        <v>KAZ Identity Card</v>
      </c>
      <c r="C5770" t="s">
        <v>8802</v>
      </c>
    </row>
    <row r="5771" spans="1:3">
      <c r="A5771" s="66" t="s">
        <v>312</v>
      </c>
      <c r="B5771" t="str">
        <f ca="1">IF(ISBLANK(OFFSET(B5771,0,'Field labels'!$Q$1)),C5771,OFFSET(B5771,0,'Field labels'!$Q$1))</f>
        <v>KEN - Certificate of Challenge</v>
      </c>
      <c r="C5771" t="s">
        <v>8803</v>
      </c>
    </row>
    <row r="5772" spans="1:3">
      <c r="A5772" s="66" t="s">
        <v>312</v>
      </c>
      <c r="B5772" t="str">
        <f ca="1">IF(ISBLANK(OFFSET(B5772,0,'Field labels'!$Q$1)),C5772,OFFSET(B5772,0,'Field labels'!$Q$1))</f>
        <v>KEN - Corporate Work Permit</v>
      </c>
      <c r="C5772" t="s">
        <v>8804</v>
      </c>
    </row>
    <row r="5773" spans="1:3">
      <c r="A5773" s="66" t="s">
        <v>312</v>
      </c>
      <c r="B5773" t="str">
        <f ca="1">IF(ISBLANK(OFFSET(B5773,0,'Field labels'!$Q$1)),C5773,OFFSET(B5773,0,'Field labels'!$Q$1))</f>
        <v>KEN - Driver's Licence</v>
      </c>
      <c r="C5773" t="s">
        <v>8805</v>
      </c>
    </row>
    <row r="5774" spans="1:3">
      <c r="A5774" s="66" t="s">
        <v>312</v>
      </c>
      <c r="B5774" t="str">
        <f ca="1">IF(ISBLANK(OFFSET(B5774,0,'Field labels'!$Q$1)),C5774,OFFSET(B5774,0,'Field labels'!$Q$1))</f>
        <v>KEN - Exceptional Skills Work Permit</v>
      </c>
      <c r="C5774" t="s">
        <v>8806</v>
      </c>
    </row>
    <row r="5775" spans="1:3">
      <c r="A5775" s="66" t="s">
        <v>312</v>
      </c>
      <c r="B5775" t="str">
        <f ca="1">IF(ISBLANK(OFFSET(B5775,0,'Field labels'!$Q$1)),C5775,OFFSET(B5775,0,'Field labels'!$Q$1))</f>
        <v>KEN - External Medical Aid Scheme</v>
      </c>
      <c r="C5775" t="s">
        <v>8807</v>
      </c>
    </row>
    <row r="5776" spans="1:3">
      <c r="A5776" s="66" t="s">
        <v>312</v>
      </c>
      <c r="B5776" t="str">
        <f ca="1">IF(ISBLANK(OFFSET(B5776,0,'Field labels'!$Q$1)),C5776,OFFSET(B5776,0,'Field labels'!$Q$1))</f>
        <v>KEN - General Work Permit</v>
      </c>
      <c r="C5776" t="s">
        <v>8808</v>
      </c>
    </row>
    <row r="5777" spans="1:3">
      <c r="A5777" s="66" t="s">
        <v>312</v>
      </c>
      <c r="B5777" t="str">
        <f ca="1">IF(ISBLANK(OFFSET(B5777,0,'Field labels'!$Q$1)),C5777,OFFSET(B5777,0,'Field labels'!$Q$1))</f>
        <v>KEN - Intra-Company Transfer Work Permit</v>
      </c>
      <c r="C5777" t="s">
        <v>8809</v>
      </c>
    </row>
    <row r="5778" spans="1:3">
      <c r="A5778" s="66" t="s">
        <v>312</v>
      </c>
      <c r="B5778" t="str">
        <f ca="1">IF(ISBLANK(OFFSET(B5778,0,'Field labels'!$Q$1)),C5778,OFFSET(B5778,0,'Field labels'!$Q$1))</f>
        <v>KEN - National Hospital Insurance Fund (NHIF)</v>
      </c>
      <c r="C5778" t="s">
        <v>8810</v>
      </c>
    </row>
    <row r="5779" spans="1:3">
      <c r="A5779" s="66" t="s">
        <v>312</v>
      </c>
      <c r="B5779" t="str">
        <f ca="1">IF(ISBLANK(OFFSET(B5779,0,'Field labels'!$Q$1)),C5779,OFFSET(B5779,0,'Field labels'!$Q$1))</f>
        <v>KEN - National Identity Card</v>
      </c>
      <c r="C5779" t="s">
        <v>8811</v>
      </c>
    </row>
    <row r="5780" spans="1:3">
      <c r="A5780" s="66" t="s">
        <v>312</v>
      </c>
      <c r="B5780" t="str">
        <f ca="1">IF(ISBLANK(OFFSET(B5780,0,'Field labels'!$Q$1)),C5780,OFFSET(B5780,0,'Field labels'!$Q$1))</f>
        <v>KEN - National Social Security Fund ID</v>
      </c>
      <c r="C5780" t="s">
        <v>8812</v>
      </c>
    </row>
    <row r="5781" spans="1:3">
      <c r="A5781" s="66" t="s">
        <v>312</v>
      </c>
      <c r="B5781" t="str">
        <f ca="1">IF(ISBLANK(OFFSET(B5781,0,'Field labels'!$Q$1)),C5781,OFFSET(B5781,0,'Field labels'!$Q$1))</f>
        <v>KEN - Passport</v>
      </c>
      <c r="C5781" t="s">
        <v>8813</v>
      </c>
    </row>
    <row r="5782" spans="1:3">
      <c r="A5782" s="66" t="s">
        <v>312</v>
      </c>
      <c r="B5782" t="str">
        <f ca="1">IF(ISBLANK(OFFSET(B5782,0,'Field labels'!$Q$1)),C5782,OFFSET(B5782,0,'Field labels'!$Q$1))</f>
        <v>KEN - Personal Identification Number (PIN)</v>
      </c>
      <c r="C5782" t="s">
        <v>8814</v>
      </c>
    </row>
    <row r="5783" spans="1:3">
      <c r="A5783" s="66" t="s">
        <v>312</v>
      </c>
      <c r="B5783" t="str">
        <f ca="1">IF(ISBLANK(OFFSET(B5783,0,'Field labels'!$Q$1)),C5783,OFFSET(B5783,0,'Field labels'!$Q$1))</f>
        <v>KEN - Personal Identification Number Card</v>
      </c>
      <c r="C5783" t="s">
        <v>8815</v>
      </c>
    </row>
    <row r="5784" spans="1:3">
      <c r="A5784" s="66" t="s">
        <v>312</v>
      </c>
      <c r="B5784" t="str">
        <f ca="1">IF(ISBLANK(OFFSET(B5784,0,'Field labels'!$Q$1)),C5784,OFFSET(B5784,0,'Field labels'!$Q$1))</f>
        <v>KEN - Quota Work Permit</v>
      </c>
      <c r="C5784" t="s">
        <v>8816</v>
      </c>
    </row>
    <row r="5785" spans="1:3">
      <c r="A5785" s="66" t="s">
        <v>312</v>
      </c>
      <c r="B5785" t="str">
        <f ca="1">IF(ISBLANK(OFFSET(B5785,0,'Field labels'!$Q$1)),C5785,OFFSET(B5785,0,'Field labels'!$Q$1))</f>
        <v>KEN - Residence Permit Visa</v>
      </c>
      <c r="C5785" t="s">
        <v>8817</v>
      </c>
    </row>
    <row r="5786" spans="1:3">
      <c r="A5786" s="66" t="s">
        <v>312</v>
      </c>
      <c r="B5786" t="str">
        <f ca="1">IF(ISBLANK(OFFSET(B5786,0,'Field labels'!$Q$1)),C5786,OFFSET(B5786,0,'Field labels'!$Q$1))</f>
        <v>KEN - Staff ID Card</v>
      </c>
      <c r="C5786" t="s">
        <v>8818</v>
      </c>
    </row>
    <row r="5787" spans="1:3">
      <c r="A5787" s="66" t="s">
        <v>312</v>
      </c>
      <c r="B5787" t="str">
        <f ca="1">IF(ISBLANK(OFFSET(B5787,0,'Field labels'!$Q$1)),C5787,OFFSET(B5787,0,'Field labels'!$Q$1))</f>
        <v>KEN - Work Permit Visa</v>
      </c>
      <c r="C5787" t="s">
        <v>8819</v>
      </c>
    </row>
    <row r="5788" spans="1:3">
      <c r="A5788" s="66" t="s">
        <v>312</v>
      </c>
      <c r="B5788" t="str">
        <f ca="1">IF(ISBLANK(OFFSET(B5788,0,'Field labels'!$Q$1)),C5788,OFFSET(B5788,0,'Field labels'!$Q$1))</f>
        <v>KHM - Birth Certificate</v>
      </c>
      <c r="C5788" t="s">
        <v>8820</v>
      </c>
    </row>
    <row r="5789" spans="1:3">
      <c r="A5789" s="66" t="s">
        <v>312</v>
      </c>
      <c r="B5789" t="str">
        <f ca="1">IF(ISBLANK(OFFSET(B5789,0,'Field labels'!$Q$1)),C5789,OFFSET(B5789,0,'Field labels'!$Q$1))</f>
        <v>KHM - Driving Licence</v>
      </c>
      <c r="C5789" t="s">
        <v>8821</v>
      </c>
    </row>
    <row r="5790" spans="1:3">
      <c r="A5790" s="66" t="s">
        <v>312</v>
      </c>
      <c r="B5790" t="str">
        <f ca="1">IF(ISBLANK(OFFSET(B5790,0,'Field labels'!$Q$1)),C5790,OFFSET(B5790,0,'Field labels'!$Q$1))</f>
        <v>KHM - Family Record Identification</v>
      </c>
      <c r="C5790" t="s">
        <v>8822</v>
      </c>
    </row>
    <row r="5791" spans="1:3">
      <c r="A5791" s="66" t="s">
        <v>312</v>
      </c>
      <c r="B5791" t="str">
        <f ca="1">IF(ISBLANK(OFFSET(B5791,0,'Field labels'!$Q$1)),C5791,OFFSET(B5791,0,'Field labels'!$Q$1))</f>
        <v>KHM - Khmer Identity Card</v>
      </c>
      <c r="C5791" t="s">
        <v>8823</v>
      </c>
    </row>
    <row r="5792" spans="1:3">
      <c r="A5792" s="66" t="s">
        <v>312</v>
      </c>
      <c r="B5792" t="str">
        <f ca="1">IF(ISBLANK(OFFSET(B5792,0,'Field labels'!$Q$1)),C5792,OFFSET(B5792,0,'Field labels'!$Q$1))</f>
        <v>KHM - Passport Number</v>
      </c>
      <c r="C5792" t="s">
        <v>8824</v>
      </c>
    </row>
    <row r="5793" spans="1:3">
      <c r="A5793" s="66" t="s">
        <v>312</v>
      </c>
      <c r="B5793" t="str">
        <f ca="1">IF(ISBLANK(OFFSET(B5793,0,'Field labels'!$Q$1)),C5793,OFFSET(B5793,0,'Field labels'!$Q$1))</f>
        <v>KHM - Visa</v>
      </c>
      <c r="C5793" t="s">
        <v>8825</v>
      </c>
    </row>
    <row r="5794" spans="1:3">
      <c r="A5794" s="66" t="s">
        <v>312</v>
      </c>
      <c r="B5794" t="str">
        <f ca="1">IF(ISBLANK(OFFSET(B5794,0,'Field labels'!$Q$1)),C5794,OFFSET(B5794,0,'Field labels'!$Q$1))</f>
        <v>KHM - Work Permit</v>
      </c>
      <c r="C5794" t="s">
        <v>8826</v>
      </c>
    </row>
    <row r="5795" spans="1:3">
      <c r="A5795" s="66" t="s">
        <v>312</v>
      </c>
      <c r="B5795" t="str">
        <f ca="1">IF(ISBLANK(OFFSET(B5795,0,'Field labels'!$Q$1)),C5795,OFFSET(B5795,0,'Field labels'!$Q$1))</f>
        <v>KOR-Passport</v>
      </c>
      <c r="C5795" t="s">
        <v>8827</v>
      </c>
    </row>
    <row r="5796" spans="1:3">
      <c r="A5796" s="66" t="s">
        <v>312</v>
      </c>
      <c r="B5796" t="str">
        <f ca="1">IF(ISBLANK(OFFSET(B5796,0,'Field labels'!$Q$1)),C5796,OFFSET(B5796,0,'Field labels'!$Q$1))</f>
        <v>LBN-Business Visa - Multiple Entries</v>
      </c>
      <c r="C5796" t="s">
        <v>8828</v>
      </c>
    </row>
    <row r="5797" spans="1:3">
      <c r="A5797" s="66" t="s">
        <v>312</v>
      </c>
      <c r="B5797" t="str">
        <f ca="1">IF(ISBLANK(OFFSET(B5797,0,'Field labels'!$Q$1)),C5797,OFFSET(B5797,0,'Field labels'!$Q$1))</f>
        <v>LBN-Business Visa - Single Entry</v>
      </c>
      <c r="C5797" t="s">
        <v>8829</v>
      </c>
    </row>
    <row r="5798" spans="1:3">
      <c r="A5798" s="66" t="s">
        <v>312</v>
      </c>
      <c r="B5798" t="str">
        <f ca="1">IF(ISBLANK(OFFSET(B5798,0,'Field labels'!$Q$1)),C5798,OFFSET(B5798,0,'Field labels'!$Q$1))</f>
        <v>LBN-Family Book ID</v>
      </c>
      <c r="C5798" t="s">
        <v>8830</v>
      </c>
    </row>
    <row r="5799" spans="1:3">
      <c r="A5799" s="66" t="s">
        <v>312</v>
      </c>
      <c r="B5799" t="str">
        <f ca="1">IF(ISBLANK(OFFSET(B5799,0,'Field labels'!$Q$1)),C5799,OFFSET(B5799,0,'Field labels'!$Q$1))</f>
        <v>LBN-Official Visa - Multiple Entries</v>
      </c>
      <c r="C5799" t="s">
        <v>8831</v>
      </c>
    </row>
    <row r="5800" spans="1:3">
      <c r="A5800" s="66" t="s">
        <v>312</v>
      </c>
      <c r="B5800" t="str">
        <f ca="1">IF(ISBLANK(OFFSET(B5800,0,'Field labels'!$Q$1)),C5800,OFFSET(B5800,0,'Field labels'!$Q$1))</f>
        <v>LBN-Official Visa - Single Entry</v>
      </c>
      <c r="C5800" t="s">
        <v>8832</v>
      </c>
    </row>
    <row r="5801" spans="1:3">
      <c r="A5801" s="66" t="s">
        <v>312</v>
      </c>
      <c r="B5801" t="str">
        <f ca="1">IF(ISBLANK(OFFSET(B5801,0,'Field labels'!$Q$1)),C5801,OFFSET(B5801,0,'Field labels'!$Q$1))</f>
        <v>LBN-Passport Number</v>
      </c>
      <c r="C5801" t="s">
        <v>8833</v>
      </c>
    </row>
    <row r="5802" spans="1:3">
      <c r="A5802" s="66" t="s">
        <v>312</v>
      </c>
      <c r="B5802" t="str">
        <f ca="1">IF(ISBLANK(OFFSET(B5802,0,'Field labels'!$Q$1)),C5802,OFFSET(B5802,0,'Field labels'!$Q$1))</f>
        <v>LBN-Personal Book ID</v>
      </c>
      <c r="C5802" t="s">
        <v>8834</v>
      </c>
    </row>
    <row r="5803" spans="1:3">
      <c r="A5803" s="66" t="s">
        <v>312</v>
      </c>
      <c r="B5803" t="str">
        <f ca="1">IF(ISBLANK(OFFSET(B5803,0,'Field labels'!$Q$1)),C5803,OFFSET(B5803,0,'Field labels'!$Q$1))</f>
        <v>LBN-Personal Financial Number (MOF)</v>
      </c>
      <c r="C5803" t="s">
        <v>8835</v>
      </c>
    </row>
    <row r="5804" spans="1:3">
      <c r="A5804" s="66" t="s">
        <v>312</v>
      </c>
      <c r="B5804" t="str">
        <f ca="1">IF(ISBLANK(OFFSET(B5804,0,'Field labels'!$Q$1)),C5804,OFFSET(B5804,0,'Field labels'!$Q$1))</f>
        <v>LBN-Social Security Number</v>
      </c>
      <c r="C5804" t="s">
        <v>8836</v>
      </c>
    </row>
    <row r="5805" spans="1:3">
      <c r="A5805" s="66" t="s">
        <v>312</v>
      </c>
      <c r="B5805" t="str">
        <f ca="1">IF(ISBLANK(OFFSET(B5805,0,'Field labels'!$Q$1)),C5805,OFFSET(B5805,0,'Field labels'!$Q$1))</f>
        <v>LKA - Visa</v>
      </c>
      <c r="C5805" t="s">
        <v>8837</v>
      </c>
    </row>
    <row r="5806" spans="1:3">
      <c r="A5806" s="66" t="s">
        <v>312</v>
      </c>
      <c r="B5806" t="str">
        <f ca="1">IF(ISBLANK(OFFSET(B5806,0,'Field labels'!$Q$1)),C5806,OFFSET(B5806,0,'Field labels'!$Q$1))</f>
        <v>LKA - Work Permit</v>
      </c>
      <c r="C5806" t="s">
        <v>8838</v>
      </c>
    </row>
    <row r="5807" spans="1:3">
      <c r="A5807" s="66" t="s">
        <v>312</v>
      </c>
      <c r="B5807" t="str">
        <f ca="1">IF(ISBLANK(OFFSET(B5807,0,'Field labels'!$Q$1)),C5807,OFFSET(B5807,0,'Field labels'!$Q$1))</f>
        <v>MAR - Birth Certificate</v>
      </c>
      <c r="C5807" t="s">
        <v>8839</v>
      </c>
    </row>
    <row r="5808" spans="1:3">
      <c r="A5808" s="66" t="s">
        <v>312</v>
      </c>
      <c r="B5808" t="str">
        <f ca="1">IF(ISBLANK(OFFSET(B5808,0,'Field labels'!$Q$1)),C5808,OFFSET(B5808,0,'Field labels'!$Q$1))</f>
        <v>MAR - Certificate of Conduct</v>
      </c>
      <c r="C5808" t="s">
        <v>8840</v>
      </c>
    </row>
    <row r="5809" spans="1:3">
      <c r="A5809" s="66" t="s">
        <v>312</v>
      </c>
      <c r="B5809" t="str">
        <f ca="1">IF(ISBLANK(OFFSET(B5809,0,'Field labels'!$Q$1)),C5809,OFFSET(B5809,0,'Field labels'!$Q$1))</f>
        <v>MAR - Driving Licence</v>
      </c>
      <c r="C5809" t="s">
        <v>8841</v>
      </c>
    </row>
    <row r="5810" spans="1:3">
      <c r="A5810" s="66" t="s">
        <v>312</v>
      </c>
      <c r="B5810" t="str">
        <f ca="1">IF(ISBLANK(OFFSET(B5810,0,'Field labels'!$Q$1)),C5810,OFFSET(B5810,0,'Field labels'!$Q$1))</f>
        <v>MAR - National Identity Card Electronic (NIEC)</v>
      </c>
      <c r="C5810" t="s">
        <v>8842</v>
      </c>
    </row>
    <row r="5811" spans="1:3">
      <c r="A5811" s="66" t="s">
        <v>312</v>
      </c>
      <c r="B5811" t="str">
        <f ca="1">IF(ISBLANK(OFFSET(B5811,0,'Field labels'!$Q$1)),C5811,OFFSET(B5811,0,'Field labels'!$Q$1))</f>
        <v>MAR - Passport Number</v>
      </c>
      <c r="C5811" t="s">
        <v>8843</v>
      </c>
    </row>
    <row r="5812" spans="1:3">
      <c r="A5812" s="66" t="s">
        <v>312</v>
      </c>
      <c r="B5812" t="str">
        <f ca="1">IF(ISBLANK(OFFSET(B5812,0,'Field labels'!$Q$1)),C5812,OFFSET(B5812,0,'Field labels'!$Q$1))</f>
        <v>MAR - Residence Certificate</v>
      </c>
      <c r="C5812" t="s">
        <v>8844</v>
      </c>
    </row>
    <row r="5813" spans="1:3">
      <c r="A5813" s="66" t="s">
        <v>312</v>
      </c>
      <c r="B5813" t="str">
        <f ca="1">IF(ISBLANK(OFFSET(B5813,0,'Field labels'!$Q$1)),C5813,OFFSET(B5813,0,'Field labels'!$Q$1))</f>
        <v>MAR - Visa</v>
      </c>
      <c r="C5813" t="s">
        <v>8845</v>
      </c>
    </row>
    <row r="5814" spans="1:3">
      <c r="A5814" s="66" t="s">
        <v>312</v>
      </c>
      <c r="B5814" t="str">
        <f ca="1">IF(ISBLANK(OFFSET(B5814,0,'Field labels'!$Q$1)),C5814,OFFSET(B5814,0,'Field labels'!$Q$1))</f>
        <v>MAR - Work Permit</v>
      </c>
      <c r="C5814" t="s">
        <v>8846</v>
      </c>
    </row>
    <row r="5815" spans="1:3">
      <c r="A5815" s="66" t="s">
        <v>312</v>
      </c>
      <c r="B5815" t="str">
        <f ca="1">IF(ISBLANK(OFFSET(B5815,0,'Field labels'!$Q$1)),C5815,OFFSET(B5815,0,'Field labels'!$Q$1))</f>
        <v>MEX - AFORE</v>
      </c>
      <c r="C5815" t="s">
        <v>8847</v>
      </c>
    </row>
    <row r="5816" spans="1:3">
      <c r="A5816" s="66" t="s">
        <v>312</v>
      </c>
      <c r="B5816" t="str">
        <f ca="1">IF(ISBLANK(OFFSET(B5816,0,'Field labels'!$Q$1)),C5816,OFFSET(B5816,0,'Field labels'!$Q$1))</f>
        <v>MEX - Driving Licence</v>
      </c>
      <c r="C5816" t="s">
        <v>8848</v>
      </c>
    </row>
    <row r="5817" spans="1:3">
      <c r="A5817" s="66" t="s">
        <v>312</v>
      </c>
      <c r="B5817" t="str">
        <f ca="1">IF(ISBLANK(OFFSET(B5817,0,'Field labels'!$Q$1)),C5817,OFFSET(B5817,0,'Field labels'!$Q$1))</f>
        <v>MEX - Federal Taxpayer Registration</v>
      </c>
      <c r="C5817" t="s">
        <v>8849</v>
      </c>
    </row>
    <row r="5818" spans="1:3">
      <c r="A5818" s="66" t="s">
        <v>312</v>
      </c>
      <c r="B5818" t="str">
        <f ca="1">IF(ISBLANK(OFFSET(B5818,0,'Field labels'!$Q$1)),C5818,OFFSET(B5818,0,'Field labels'!$Q$1))</f>
        <v>MEX - ICEFA Internal Control Number</v>
      </c>
      <c r="C5818" t="s">
        <v>8850</v>
      </c>
    </row>
    <row r="5819" spans="1:3">
      <c r="A5819" s="66" t="s">
        <v>312</v>
      </c>
      <c r="B5819" t="str">
        <f ca="1">IF(ISBLANK(OFFSET(B5819,0,'Field labels'!$Q$1)),C5819,OFFSET(B5819,0,'Field labels'!$Q$1))</f>
        <v>MEX - IMSS Mexican Social Security Institute</v>
      </c>
      <c r="C5819" t="s">
        <v>8851</v>
      </c>
    </row>
    <row r="5820" spans="1:3">
      <c r="A5820" s="66" t="s">
        <v>312</v>
      </c>
      <c r="B5820" t="str">
        <f ca="1">IF(ISBLANK(OFFSET(B5820,0,'Field labels'!$Q$1)),C5820,OFFSET(B5820,0,'Field labels'!$Q$1))</f>
        <v>MEX - ISSSTE Number</v>
      </c>
      <c r="C5820" t="s">
        <v>8852</v>
      </c>
    </row>
    <row r="5821" spans="1:3">
      <c r="A5821" s="66" t="s">
        <v>312</v>
      </c>
      <c r="B5821" t="str">
        <f ca="1">IF(ISBLANK(OFFSET(B5821,0,'Field labels'!$Q$1)),C5821,OFFSET(B5821,0,'Field labels'!$Q$1))</f>
        <v>MEX - Migratory Grade: FM2</v>
      </c>
      <c r="C5821" t="s">
        <v>8853</v>
      </c>
    </row>
    <row r="5822" spans="1:3">
      <c r="A5822" s="66" t="s">
        <v>312</v>
      </c>
      <c r="B5822" t="str">
        <f ca="1">IF(ISBLANK(OFFSET(B5822,0,'Field labels'!$Q$1)),C5822,OFFSET(B5822,0,'Field labels'!$Q$1))</f>
        <v>MEX - Migratory Grade: FM3</v>
      </c>
      <c r="C5822" t="s">
        <v>8854</v>
      </c>
    </row>
    <row r="5823" spans="1:3">
      <c r="A5823" s="66" t="s">
        <v>312</v>
      </c>
      <c r="B5823" t="str">
        <f ca="1">IF(ISBLANK(OFFSET(B5823,0,'Field labels'!$Q$1)),C5823,OFFSET(B5823,0,'Field labels'!$Q$1))</f>
        <v>MEX - Migratory Grade: Immigrant</v>
      </c>
      <c r="C5823" t="s">
        <v>8855</v>
      </c>
    </row>
    <row r="5824" spans="1:3">
      <c r="A5824" s="66" t="s">
        <v>312</v>
      </c>
      <c r="B5824" t="str">
        <f ca="1">IF(ISBLANK(OFFSET(B5824,0,'Field labels'!$Q$1)),C5824,OFFSET(B5824,0,'Field labels'!$Q$1))</f>
        <v>MEX - Migratory Grade: Tourist</v>
      </c>
      <c r="C5824" t="s">
        <v>8856</v>
      </c>
    </row>
    <row r="5825" spans="1:3">
      <c r="A5825" s="66" t="s">
        <v>312</v>
      </c>
      <c r="B5825" t="str">
        <f ca="1">IF(ISBLANK(OFFSET(B5825,0,'Field labels'!$Q$1)),C5825,OFFSET(B5825,0,'Field labels'!$Q$1))</f>
        <v>MEX - Military Card</v>
      </c>
      <c r="C5825" t="s">
        <v>8857</v>
      </c>
    </row>
    <row r="5826" spans="1:3">
      <c r="A5826" s="66" t="s">
        <v>312</v>
      </c>
      <c r="B5826" t="str">
        <f ca="1">IF(ISBLANK(OFFSET(B5826,0,'Field labels'!$Q$1)),C5826,OFFSET(B5826,0,'Field labels'!$Q$1))</f>
        <v>MEX - Passport</v>
      </c>
      <c r="C5826" t="s">
        <v>8858</v>
      </c>
    </row>
    <row r="5827" spans="1:3">
      <c r="A5827" s="66" t="s">
        <v>312</v>
      </c>
      <c r="B5827" t="str">
        <f ca="1">IF(ISBLANK(OFFSET(B5827,0,'Field labels'!$Q$1)),C5827,OFFSET(B5827,0,'Field labels'!$Q$1))</f>
        <v>MEX - Voter Credential</v>
      </c>
      <c r="C5827" t="s">
        <v>8859</v>
      </c>
    </row>
    <row r="5828" spans="1:3">
      <c r="A5828" s="66" t="s">
        <v>312</v>
      </c>
      <c r="B5828" t="str">
        <f ca="1">IF(ISBLANK(OFFSET(B5828,0,'Field labels'!$Q$1)),C5828,OFFSET(B5828,0,'Field labels'!$Q$1))</f>
        <v>MLT - Driving Licence</v>
      </c>
      <c r="C5828" t="s">
        <v>8860</v>
      </c>
    </row>
    <row r="5829" spans="1:3">
      <c r="A5829" s="66" t="s">
        <v>312</v>
      </c>
      <c r="B5829" t="str">
        <f ca="1">IF(ISBLANK(OFFSET(B5829,0,'Field labels'!$Q$1)),C5829,OFFSET(B5829,0,'Field labels'!$Q$1))</f>
        <v>MLT - Identity Card</v>
      </c>
      <c r="C5829" t="s">
        <v>8861</v>
      </c>
    </row>
    <row r="5830" spans="1:3">
      <c r="A5830" s="66" t="s">
        <v>312</v>
      </c>
      <c r="B5830" t="str">
        <f ca="1">IF(ISBLANK(OFFSET(B5830,0,'Field labels'!$Q$1)),C5830,OFFSET(B5830,0,'Field labels'!$Q$1))</f>
        <v>MLT - Naturalisation Certificate Number</v>
      </c>
      <c r="C5830" t="s">
        <v>8862</v>
      </c>
    </row>
    <row r="5831" spans="1:3">
      <c r="A5831" s="66" t="s">
        <v>312</v>
      </c>
      <c r="B5831" t="str">
        <f ca="1">IF(ISBLANK(OFFSET(B5831,0,'Field labels'!$Q$1)),C5831,OFFSET(B5831,0,'Field labels'!$Q$1))</f>
        <v>MLT - Passport Number</v>
      </c>
      <c r="C5831" t="s">
        <v>8863</v>
      </c>
    </row>
    <row r="5832" spans="1:3">
      <c r="A5832" s="66" t="s">
        <v>312</v>
      </c>
      <c r="B5832" t="str">
        <f ca="1">IF(ISBLANK(OFFSET(B5832,0,'Field labels'!$Q$1)),C5832,OFFSET(B5832,0,'Field labels'!$Q$1))</f>
        <v>MLT - Residence Permit</v>
      </c>
      <c r="C5832" t="s">
        <v>8864</v>
      </c>
    </row>
    <row r="5833" spans="1:3">
      <c r="A5833" s="66" t="s">
        <v>312</v>
      </c>
      <c r="B5833" t="str">
        <f ca="1">IF(ISBLANK(OFFSET(B5833,0,'Field labels'!$Q$1)),C5833,OFFSET(B5833,0,'Field labels'!$Q$1))</f>
        <v>MLT - Taxpayer Reference Number</v>
      </c>
      <c r="C5833" t="s">
        <v>8865</v>
      </c>
    </row>
    <row r="5834" spans="1:3">
      <c r="A5834" s="66" t="s">
        <v>312</v>
      </c>
      <c r="B5834" t="str">
        <f ca="1">IF(ISBLANK(OFFSET(B5834,0,'Field labels'!$Q$1)),C5834,OFFSET(B5834,0,'Field labels'!$Q$1))</f>
        <v>MLT - Visa</v>
      </c>
      <c r="C5834" t="s">
        <v>8866</v>
      </c>
    </row>
    <row r="5835" spans="1:3">
      <c r="A5835" s="66" t="s">
        <v>312</v>
      </c>
      <c r="B5835" t="str">
        <f ca="1">IF(ISBLANK(OFFSET(B5835,0,'Field labels'!$Q$1)),C5835,OFFSET(B5835,0,'Field labels'!$Q$1))</f>
        <v>MLT - Work Permit</v>
      </c>
      <c r="C5835" t="s">
        <v>8867</v>
      </c>
    </row>
    <row r="5836" spans="1:3">
      <c r="A5836" s="66" t="s">
        <v>312</v>
      </c>
      <c r="B5836" t="str">
        <f ca="1">IF(ISBLANK(OFFSET(B5836,0,'Field labels'!$Q$1)),C5836,OFFSET(B5836,0,'Field labels'!$Q$1))</f>
        <v>MYS-Passport</v>
      </c>
      <c r="C5836" t="s">
        <v>5323</v>
      </c>
    </row>
    <row r="5837" spans="1:3">
      <c r="A5837" s="66" t="s">
        <v>312</v>
      </c>
      <c r="B5837" t="str">
        <f ca="1">IF(ISBLANK(OFFSET(B5837,0,'Field labels'!$Q$1)),C5837,OFFSET(B5837,0,'Field labels'!$Q$1))</f>
        <v>NGA - Birth Certificate</v>
      </c>
      <c r="C5837" t="s">
        <v>8868</v>
      </c>
    </row>
    <row r="5838" spans="1:3">
      <c r="A5838" s="66" t="s">
        <v>312</v>
      </c>
      <c r="B5838" t="str">
        <f ca="1">IF(ISBLANK(OFFSET(B5838,0,'Field labels'!$Q$1)),C5838,OFFSET(B5838,0,'Field labels'!$Q$1))</f>
        <v>NGA - International Passport</v>
      </c>
      <c r="C5838" t="s">
        <v>8869</v>
      </c>
    </row>
    <row r="5839" spans="1:3">
      <c r="A5839" s="66" t="s">
        <v>312</v>
      </c>
      <c r="B5839" t="str">
        <f ca="1">IF(ISBLANK(OFFSET(B5839,0,'Field labels'!$Q$1)),C5839,OFFSET(B5839,0,'Field labels'!$Q$1))</f>
        <v>NGA - Marriage Certificate</v>
      </c>
      <c r="C5839" t="s">
        <v>8870</v>
      </c>
    </row>
    <row r="5840" spans="1:3">
      <c r="A5840" s="66" t="s">
        <v>312</v>
      </c>
      <c r="B5840" t="str">
        <f ca="1">IF(ISBLANK(OFFSET(B5840,0,'Field labels'!$Q$1)),C5840,OFFSET(B5840,0,'Field labels'!$Q$1))</f>
        <v>NGA - National Housing Fund Number (NHF)</v>
      </c>
      <c r="C5840" t="s">
        <v>8871</v>
      </c>
    </row>
    <row r="5841" spans="1:3">
      <c r="A5841" s="66" t="s">
        <v>312</v>
      </c>
      <c r="B5841" t="str">
        <f ca="1">IF(ISBLANK(OFFSET(B5841,0,'Field labels'!$Q$1)),C5841,OFFSET(B5841,0,'Field labels'!$Q$1))</f>
        <v>NGA - National Youth Service Certificate</v>
      </c>
      <c r="C5841" t="s">
        <v>8872</v>
      </c>
    </row>
    <row r="5842" spans="1:3">
      <c r="A5842" s="66" t="s">
        <v>312</v>
      </c>
      <c r="B5842" t="str">
        <f ca="1">IF(ISBLANK(OFFSET(B5842,0,'Field labels'!$Q$1)),C5842,OFFSET(B5842,0,'Field labels'!$Q$1))</f>
        <v>NGA - Pension ID</v>
      </c>
      <c r="C5842" t="s">
        <v>8873</v>
      </c>
    </row>
    <row r="5843" spans="1:3">
      <c r="A5843" s="66" t="s">
        <v>312</v>
      </c>
      <c r="B5843" t="str">
        <f ca="1">IF(ISBLANK(OFFSET(B5843,0,'Field labels'!$Q$1)),C5843,OFFSET(B5843,0,'Field labels'!$Q$1))</f>
        <v>NGA - Proof of Change of Name</v>
      </c>
      <c r="C5843" t="s">
        <v>8874</v>
      </c>
    </row>
    <row r="5844" spans="1:3">
      <c r="A5844" s="66" t="s">
        <v>312</v>
      </c>
      <c r="B5844" t="str">
        <f ca="1">IF(ISBLANK(OFFSET(B5844,0,'Field labels'!$Q$1)),C5844,OFFSET(B5844,0,'Field labels'!$Q$1))</f>
        <v>NGA - Taxpayer Identification Number (TIN)</v>
      </c>
      <c r="C5844" t="s">
        <v>8875</v>
      </c>
    </row>
    <row r="5845" spans="1:3">
      <c r="A5845" s="66" t="s">
        <v>312</v>
      </c>
      <c r="B5845" t="str">
        <f ca="1">IF(ISBLANK(OFFSET(B5845,0,'Field labels'!$Q$1)),C5845,OFFSET(B5845,0,'Field labels'!$Q$1))</f>
        <v>NGA - Work Permit Visa</v>
      </c>
      <c r="C5845" t="s">
        <v>8876</v>
      </c>
    </row>
    <row r="5846" spans="1:3">
      <c r="A5846" s="66" t="s">
        <v>312</v>
      </c>
      <c r="B5846" t="str">
        <f ca="1">IF(ISBLANK(OFFSET(B5846,0,'Field labels'!$Q$1)),C5846,OFFSET(B5846,0,'Field labels'!$Q$1))</f>
        <v>NIC - Birth Certificate</v>
      </c>
      <c r="C5846" t="s">
        <v>8877</v>
      </c>
    </row>
    <row r="5847" spans="1:3">
      <c r="A5847" s="66" t="s">
        <v>312</v>
      </c>
      <c r="B5847" t="str">
        <f ca="1">IF(ISBLANK(OFFSET(B5847,0,'Field labels'!$Q$1)),C5847,OFFSET(B5847,0,'Field labels'!$Q$1))</f>
        <v>NIC - Driver's Licence</v>
      </c>
      <c r="C5847" t="s">
        <v>8878</v>
      </c>
    </row>
    <row r="5848" spans="1:3">
      <c r="A5848" s="66" t="s">
        <v>312</v>
      </c>
      <c r="B5848" t="str">
        <f ca="1">IF(ISBLANK(OFFSET(B5848,0,'Field labels'!$Q$1)),C5848,OFFSET(B5848,0,'Field labels'!$Q$1))</f>
        <v>NIC - Passport Number</v>
      </c>
      <c r="C5848" t="s">
        <v>8879</v>
      </c>
    </row>
    <row r="5849" spans="1:3">
      <c r="A5849" s="66" t="s">
        <v>312</v>
      </c>
      <c r="B5849" t="str">
        <f ca="1">IF(ISBLANK(OFFSET(B5849,0,'Field labels'!$Q$1)),C5849,OFFSET(B5849,0,'Field labels'!$Q$1))</f>
        <v>NIC - Residence Number</v>
      </c>
      <c r="C5849" t="s">
        <v>8880</v>
      </c>
    </row>
    <row r="5850" spans="1:3">
      <c r="A5850" s="66" t="s">
        <v>312</v>
      </c>
      <c r="B5850" t="str">
        <f ca="1">IF(ISBLANK(OFFSET(B5850,0,'Field labels'!$Q$1)),C5850,OFFSET(B5850,0,'Field labels'!$Q$1))</f>
        <v>NIC - Social Security Number</v>
      </c>
      <c r="C5850" t="s">
        <v>8881</v>
      </c>
    </row>
    <row r="5851" spans="1:3">
      <c r="A5851" s="66" t="s">
        <v>312</v>
      </c>
      <c r="B5851" t="str">
        <f ca="1">IF(ISBLANK(OFFSET(B5851,0,'Field labels'!$Q$1)),C5851,OFFSET(B5851,0,'Field labels'!$Q$1))</f>
        <v>NIC - Taxpayer Identification Number</v>
      </c>
      <c r="C5851" t="s">
        <v>8882</v>
      </c>
    </row>
    <row r="5852" spans="1:3">
      <c r="A5852" s="66" t="s">
        <v>312</v>
      </c>
      <c r="B5852" t="str">
        <f ca="1">IF(ISBLANK(OFFSET(B5852,0,'Field labels'!$Q$1)),C5852,OFFSET(B5852,0,'Field labels'!$Q$1))</f>
        <v>NLD-Residence Card</v>
      </c>
      <c r="C5852" t="s">
        <v>2774</v>
      </c>
    </row>
    <row r="5853" spans="1:3">
      <c r="A5853" s="66" t="s">
        <v>312</v>
      </c>
      <c r="B5853" t="str">
        <f ca="1">IF(ISBLANK(OFFSET(B5853,0,'Field labels'!$Q$1)),C5853,OFFSET(B5853,0,'Field labels'!$Q$1))</f>
        <v>NLD-Work Permit</v>
      </c>
      <c r="C5853" t="s">
        <v>2775</v>
      </c>
    </row>
    <row r="5854" spans="1:3">
      <c r="A5854" s="66" t="s">
        <v>312</v>
      </c>
      <c r="B5854" t="str">
        <f ca="1">IF(ISBLANK(OFFSET(B5854,0,'Field labels'!$Q$1)),C5854,OFFSET(B5854,0,'Field labels'!$Q$1))</f>
        <v>NOR - Entry Visa Type D</v>
      </c>
      <c r="C5854" t="s">
        <v>8883</v>
      </c>
    </row>
    <row r="5855" spans="1:3">
      <c r="A5855" s="66" t="s">
        <v>312</v>
      </c>
      <c r="B5855" t="str">
        <f ca="1">IF(ISBLANK(OFFSET(B5855,0,'Field labels'!$Q$1)),C5855,OFFSET(B5855,0,'Field labels'!$Q$1))</f>
        <v>NOR - Residence Permit</v>
      </c>
      <c r="C5855" t="s">
        <v>8884</v>
      </c>
    </row>
    <row r="5856" spans="1:3">
      <c r="A5856" s="66" t="s">
        <v>312</v>
      </c>
      <c r="B5856" t="str">
        <f ca="1">IF(ISBLANK(OFFSET(B5856,0,'Field labels'!$Q$1)),C5856,OFFSET(B5856,0,'Field labels'!$Q$1))</f>
        <v>NOR-Entry Visa Type D</v>
      </c>
      <c r="C5856" t="s">
        <v>280</v>
      </c>
    </row>
    <row r="5857" spans="1:3">
      <c r="A5857" s="66" t="s">
        <v>312</v>
      </c>
      <c r="B5857" t="str">
        <f ca="1">IF(ISBLANK(OFFSET(B5857,0,'Field labels'!$Q$1)),C5857,OFFSET(B5857,0,'Field labels'!$Q$1))</f>
        <v>NOR-Residence Permit</v>
      </c>
      <c r="C5857" t="s">
        <v>279</v>
      </c>
    </row>
    <row r="5858" spans="1:3">
      <c r="A5858" s="66" t="s">
        <v>312</v>
      </c>
      <c r="B5858" t="str">
        <f ca="1">IF(ISBLANK(OFFSET(B5858,0,'Field labels'!$Q$1)),C5858,OFFSET(B5858,0,'Field labels'!$Q$1))</f>
        <v>NZL-Passport</v>
      </c>
      <c r="C5858" t="s">
        <v>8885</v>
      </c>
    </row>
    <row r="5859" spans="1:3">
      <c r="A5859" s="66" t="s">
        <v>312</v>
      </c>
      <c r="B5859" t="str">
        <f ca="1">IF(ISBLANK(OFFSET(B5859,0,'Field labels'!$Q$1)),C5859,OFFSET(B5859,0,'Field labels'!$Q$1))</f>
        <v>OMN - Birth Certificate</v>
      </c>
      <c r="C5859" t="s">
        <v>8886</v>
      </c>
    </row>
    <row r="5860" spans="1:3">
      <c r="A5860" s="66" t="s">
        <v>312</v>
      </c>
      <c r="B5860" t="str">
        <f ca="1">IF(ISBLANK(OFFSET(B5860,0,'Field labels'!$Q$1)),C5860,OFFSET(B5860,0,'Field labels'!$Q$1))</f>
        <v>OMN - Driving Licence</v>
      </c>
      <c r="C5860" t="s">
        <v>8887</v>
      </c>
    </row>
    <row r="5861" spans="1:3">
      <c r="A5861" s="66" t="s">
        <v>312</v>
      </c>
      <c r="B5861" t="str">
        <f ca="1">IF(ISBLANK(OFFSET(B5861,0,'Field labels'!$Q$1)),C5861,OFFSET(B5861,0,'Field labels'!$Q$1))</f>
        <v>OMN - Identity Card</v>
      </c>
      <c r="C5861" t="s">
        <v>8888</v>
      </c>
    </row>
    <row r="5862" spans="1:3">
      <c r="A5862" s="66" t="s">
        <v>312</v>
      </c>
      <c r="B5862" t="str">
        <f ca="1">IF(ISBLANK(OFFSET(B5862,0,'Field labels'!$Q$1)),C5862,OFFSET(B5862,0,'Field labels'!$Q$1))</f>
        <v>OMN - Passport Number</v>
      </c>
      <c r="C5862" t="s">
        <v>8889</v>
      </c>
    </row>
    <row r="5863" spans="1:3">
      <c r="A5863" s="66" t="s">
        <v>312</v>
      </c>
      <c r="B5863" t="str">
        <f ca="1">IF(ISBLANK(OFFSET(B5863,0,'Field labels'!$Q$1)),C5863,OFFSET(B5863,0,'Field labels'!$Q$1))</f>
        <v>OMN - Residence Card</v>
      </c>
      <c r="C5863" t="s">
        <v>8890</v>
      </c>
    </row>
    <row r="5864" spans="1:3">
      <c r="A5864" s="66" t="s">
        <v>312</v>
      </c>
      <c r="B5864" t="str">
        <f ca="1">IF(ISBLANK(OFFSET(B5864,0,'Field labels'!$Q$1)),C5864,OFFSET(B5864,0,'Field labels'!$Q$1))</f>
        <v>OMN - Visa</v>
      </c>
      <c r="C5864" t="s">
        <v>8891</v>
      </c>
    </row>
    <row r="5865" spans="1:3">
      <c r="A5865" s="66" t="s">
        <v>312</v>
      </c>
      <c r="B5865" t="str">
        <f ca="1">IF(ISBLANK(OFFSET(B5865,0,'Field labels'!$Q$1)),C5865,OFFSET(B5865,0,'Field labels'!$Q$1))</f>
        <v>OMN - Work Permit</v>
      </c>
      <c r="C5865" t="s">
        <v>8892</v>
      </c>
    </row>
    <row r="5866" spans="1:3">
      <c r="A5866" s="66" t="s">
        <v>312</v>
      </c>
      <c r="B5866" t="str">
        <f ca="1">IF(ISBLANK(OFFSET(B5866,0,'Field labels'!$Q$1)),C5866,OFFSET(B5866,0,'Field labels'!$Q$1))</f>
        <v>PAK-Passport</v>
      </c>
      <c r="C5866" t="s">
        <v>8893</v>
      </c>
    </row>
    <row r="5867" spans="1:3">
      <c r="A5867" s="66" t="s">
        <v>312</v>
      </c>
      <c r="B5867" t="str">
        <f ca="1">IF(ISBLANK(OFFSET(B5867,0,'Field labels'!$Q$1)),C5867,OFFSET(B5867,0,'Field labels'!$Q$1))</f>
        <v>PAN-CSS ID</v>
      </c>
      <c r="C5867" t="s">
        <v>8894</v>
      </c>
    </row>
    <row r="5868" spans="1:3">
      <c r="A5868" s="66" t="s">
        <v>312</v>
      </c>
      <c r="B5868" t="str">
        <f ca="1">IF(ISBLANK(OFFSET(B5868,0,'Field labels'!$Q$1)),C5868,OFFSET(B5868,0,'Field labels'!$Q$1))</f>
        <v>PAN-Passport Number</v>
      </c>
      <c r="C5868" t="s">
        <v>8895</v>
      </c>
    </row>
    <row r="5869" spans="1:3">
      <c r="A5869" s="66" t="s">
        <v>312</v>
      </c>
      <c r="B5869" t="str">
        <f ca="1">IF(ISBLANK(OFFSET(B5869,0,'Field labels'!$Q$1)),C5869,OFFSET(B5869,0,'Field labels'!$Q$1))</f>
        <v>PAN-RUC Number</v>
      </c>
      <c r="C5869" t="s">
        <v>8896</v>
      </c>
    </row>
    <row r="5870" spans="1:3">
      <c r="A5870" s="66" t="s">
        <v>312</v>
      </c>
      <c r="B5870" t="str">
        <f ca="1">IF(ISBLANK(OFFSET(B5870,0,'Field labels'!$Q$1)),C5870,OFFSET(B5870,0,'Field labels'!$Q$1))</f>
        <v>PAN-Work Permit Number</v>
      </c>
      <c r="C5870" t="s">
        <v>8897</v>
      </c>
    </row>
    <row r="5871" spans="1:3">
      <c r="A5871" s="66" t="s">
        <v>312</v>
      </c>
      <c r="B5871" t="str">
        <f ca="1">IF(ISBLANK(OFFSET(B5871,0,'Field labels'!$Q$1)),C5871,OFFSET(B5871,0,'Field labels'!$Q$1))</f>
        <v>Passport</v>
      </c>
      <c r="C5871" t="s">
        <v>276</v>
      </c>
    </row>
    <row r="5872" spans="1:3">
      <c r="A5872" s="66" t="s">
        <v>312</v>
      </c>
      <c r="B5872" t="str">
        <f ca="1">IF(ISBLANK(OFFSET(B5872,0,'Field labels'!$Q$1)),C5872,OFFSET(B5872,0,'Field labels'!$Q$1))</f>
        <v>PER-Birth Certificate Number</v>
      </c>
      <c r="C5872" t="s">
        <v>8898</v>
      </c>
    </row>
    <row r="5873" spans="1:3">
      <c r="A5873" s="66" t="s">
        <v>312</v>
      </c>
      <c r="B5873" t="str">
        <f ca="1">IF(ISBLANK(OFFSET(B5873,0,'Field labels'!$Q$1)),C5873,OFFSET(B5873,0,'Field labels'!$Q$1))</f>
        <v>PER-ESSALUD ID</v>
      </c>
      <c r="C5873" t="s">
        <v>8899</v>
      </c>
    </row>
    <row r="5874" spans="1:3">
      <c r="A5874" s="66" t="s">
        <v>312</v>
      </c>
      <c r="B5874" t="str">
        <f ca="1">IF(ISBLANK(OFFSET(B5874,0,'Field labels'!$Q$1)),C5874,OFFSET(B5874,0,'Field labels'!$Q$1))</f>
        <v>PER-Foreign Resident Card Number</v>
      </c>
      <c r="C5874" t="s">
        <v>8900</v>
      </c>
    </row>
    <row r="5875" spans="1:3">
      <c r="A5875" s="66" t="s">
        <v>312</v>
      </c>
      <c r="B5875" t="str">
        <f ca="1">IF(ISBLANK(OFFSET(B5875,0,'Field labels'!$Q$1)),C5875,OFFSET(B5875,0,'Field labels'!$Q$1))</f>
        <v>PER-Passport Number</v>
      </c>
      <c r="C5875" t="s">
        <v>8901</v>
      </c>
    </row>
    <row r="5876" spans="1:3">
      <c r="A5876" s="66" t="s">
        <v>312</v>
      </c>
      <c r="B5876" t="str">
        <f ca="1">IF(ISBLANK(OFFSET(B5876,0,'Field labels'!$Q$1)),C5876,OFFSET(B5876,0,'Field labels'!$Q$1))</f>
        <v>PER-RUC Number</v>
      </c>
      <c r="C5876" t="s">
        <v>8902</v>
      </c>
    </row>
    <row r="5877" spans="1:3">
      <c r="A5877" s="66" t="s">
        <v>312</v>
      </c>
      <c r="B5877" t="str">
        <f ca="1">IF(ISBLANK(OFFSET(B5877,0,'Field labels'!$Q$1)),C5877,OFFSET(B5877,0,'Field labels'!$Q$1))</f>
        <v>PHL-Passport</v>
      </c>
      <c r="C5877" t="s">
        <v>5324</v>
      </c>
    </row>
    <row r="5878" spans="1:3">
      <c r="A5878" s="66" t="s">
        <v>312</v>
      </c>
      <c r="B5878" t="str">
        <f ca="1">IF(ISBLANK(OFFSET(B5878,0,'Field labels'!$Q$1)),C5878,OFFSET(B5878,0,'Field labels'!$Q$1))</f>
        <v>POL-ID Card</v>
      </c>
      <c r="C5878" t="s">
        <v>277</v>
      </c>
    </row>
    <row r="5879" spans="1:3">
      <c r="A5879" s="66" t="s">
        <v>312</v>
      </c>
      <c r="B5879" t="str">
        <f ca="1">IF(ISBLANK(OFFSET(B5879,0,'Field labels'!$Q$1)),C5879,OFFSET(B5879,0,'Field labels'!$Q$1))</f>
        <v>POL-Passport</v>
      </c>
      <c r="C5879" t="s">
        <v>278</v>
      </c>
    </row>
    <row r="5880" spans="1:3">
      <c r="A5880" s="66" t="s">
        <v>312</v>
      </c>
      <c r="B5880" t="str">
        <f ca="1">IF(ISBLANK(OFFSET(B5880,0,'Field labels'!$Q$1)),C5880,OFFSET(B5880,0,'Field labels'!$Q$1))</f>
        <v>POL-Work Visa</v>
      </c>
      <c r="C5880" t="s">
        <v>281</v>
      </c>
    </row>
    <row r="5881" spans="1:3">
      <c r="A5881" s="66" t="s">
        <v>312</v>
      </c>
      <c r="B5881" t="str">
        <f ca="1">IF(ISBLANK(OFFSET(B5881,0,'Field labels'!$Q$1)),C5881,OFFSET(B5881,0,'Field labels'!$Q$1))</f>
        <v>PRT - Birth Certificate</v>
      </c>
      <c r="C5881" t="s">
        <v>8903</v>
      </c>
    </row>
    <row r="5882" spans="1:3">
      <c r="A5882" s="66" t="s">
        <v>312</v>
      </c>
      <c r="B5882" t="str">
        <f ca="1">IF(ISBLANK(OFFSET(B5882,0,'Field labels'!$Q$1)),C5882,OFFSET(B5882,0,'Field labels'!$Q$1))</f>
        <v>PRT - Passport</v>
      </c>
      <c r="C5882" t="s">
        <v>8904</v>
      </c>
    </row>
    <row r="5883" spans="1:3">
      <c r="A5883" s="66" t="s">
        <v>312</v>
      </c>
      <c r="B5883" t="str">
        <f ca="1">IF(ISBLANK(OFFSET(B5883,0,'Field labels'!$Q$1)),C5883,OFFSET(B5883,0,'Field labels'!$Q$1))</f>
        <v>PRT - Residence Card (autorização de residência)</v>
      </c>
      <c r="C5883" t="s">
        <v>8905</v>
      </c>
    </row>
    <row r="5884" spans="1:3">
      <c r="A5884" s="66" t="s">
        <v>312</v>
      </c>
      <c r="B5884" t="str">
        <f ca="1">IF(ISBLANK(OFFSET(B5884,0,'Field labels'!$Q$1)),C5884,OFFSET(B5884,0,'Field labels'!$Q$1))</f>
        <v>PRT-VISA</v>
      </c>
      <c r="C5884" t="s">
        <v>2776</v>
      </c>
    </row>
    <row r="5885" spans="1:3">
      <c r="A5885" s="66" t="s">
        <v>312</v>
      </c>
      <c r="B5885" t="str">
        <f ca="1">IF(ISBLANK(OFFSET(B5885,0,'Field labels'!$Q$1)),C5885,OFFSET(B5885,0,'Field labels'!$Q$1))</f>
        <v>QAT - RP (Resident Permit)</v>
      </c>
      <c r="C5885" t="s">
        <v>8906</v>
      </c>
    </row>
    <row r="5886" spans="1:3">
      <c r="A5886" s="66" t="s">
        <v>312</v>
      </c>
      <c r="B5886" t="str">
        <f ca="1">IF(ISBLANK(OFFSET(B5886,0,'Field labels'!$Q$1)),C5886,OFFSET(B5886,0,'Field labels'!$Q$1))</f>
        <v>QAT - Visa</v>
      </c>
      <c r="C5886" t="s">
        <v>8907</v>
      </c>
    </row>
    <row r="5887" spans="1:3">
      <c r="A5887" s="66" t="s">
        <v>312</v>
      </c>
      <c r="B5887" t="str">
        <f ca="1">IF(ISBLANK(OFFSET(B5887,0,'Field labels'!$Q$1)),C5887,OFFSET(B5887,0,'Field labels'!$Q$1))</f>
        <v>ROU - Cross-Border Workers WA</v>
      </c>
      <c r="C5887" t="s">
        <v>8908</v>
      </c>
    </row>
    <row r="5888" spans="1:3">
      <c r="A5888" s="66" t="s">
        <v>312</v>
      </c>
      <c r="B5888" t="str">
        <f ca="1">IF(ISBLANK(OFFSET(B5888,0,'Field labels'!$Q$1)),C5888,OFFSET(B5888,0,'Field labels'!$Q$1))</f>
        <v>ROU - Driving Licence</v>
      </c>
      <c r="C5888" t="s">
        <v>8909</v>
      </c>
    </row>
    <row r="5889" spans="1:3">
      <c r="A5889" s="66" t="s">
        <v>312</v>
      </c>
      <c r="B5889" t="str">
        <f ca="1">IF(ISBLANK(OFFSET(B5889,0,'Field labels'!$Q$1)),C5889,OFFSET(B5889,0,'Field labels'!$Q$1))</f>
        <v>ROU - Exception WA</v>
      </c>
      <c r="C5889" t="s">
        <v>8910</v>
      </c>
    </row>
    <row r="5890" spans="1:3">
      <c r="A5890" s="66" t="s">
        <v>312</v>
      </c>
      <c r="B5890" t="str">
        <f ca="1">IF(ISBLANK(OFFSET(B5890,0,'Field labels'!$Q$1)),C5890,OFFSET(B5890,0,'Field labels'!$Q$1))</f>
        <v>ROU - Highly Qualified Workers WA</v>
      </c>
      <c r="C5890" t="s">
        <v>8911</v>
      </c>
    </row>
    <row r="5891" spans="1:3">
      <c r="A5891" s="66" t="s">
        <v>312</v>
      </c>
      <c r="B5891" t="str">
        <f ca="1">IF(ISBLANK(OFFSET(B5891,0,'Field labels'!$Q$1)),C5891,OFFSET(B5891,0,'Field labels'!$Q$1))</f>
        <v>ROU - Nominal WA</v>
      </c>
      <c r="C5891" t="s">
        <v>8912</v>
      </c>
    </row>
    <row r="5892" spans="1:3">
      <c r="A5892" s="66" t="s">
        <v>312</v>
      </c>
      <c r="B5892" t="str">
        <f ca="1">IF(ISBLANK(OFFSET(B5892,0,'Field labels'!$Q$1)),C5892,OFFSET(B5892,0,'Field labels'!$Q$1))</f>
        <v>ROU - Permanent Workers WA</v>
      </c>
      <c r="C5892" t="s">
        <v>8913</v>
      </c>
    </row>
    <row r="5893" spans="1:3">
      <c r="A5893" s="66" t="s">
        <v>312</v>
      </c>
      <c r="B5893" t="str">
        <f ca="1">IF(ISBLANK(OFFSET(B5893,0,'Field labels'!$Q$1)),C5893,OFFSET(B5893,0,'Field labels'!$Q$1))</f>
        <v>ROU - Probationary Workers WA</v>
      </c>
      <c r="C5893" t="s">
        <v>8914</v>
      </c>
    </row>
    <row r="5894" spans="1:3">
      <c r="A5894" s="66" t="s">
        <v>312</v>
      </c>
      <c r="B5894" t="str">
        <f ca="1">IF(ISBLANK(OFFSET(B5894,0,'Field labels'!$Q$1)),C5894,OFFSET(B5894,0,'Field labels'!$Q$1))</f>
        <v>ROU - Resident Permit</v>
      </c>
      <c r="C5894" t="s">
        <v>8915</v>
      </c>
    </row>
    <row r="5895" spans="1:3">
      <c r="A5895" s="66" t="s">
        <v>312</v>
      </c>
      <c r="B5895" t="str">
        <f ca="1">IF(ISBLANK(OFFSET(B5895,0,'Field labels'!$Q$1)),C5895,OFFSET(B5895,0,'Field labels'!$Q$1))</f>
        <v>ROU - Seasonal Workers WA</v>
      </c>
      <c r="C5895" t="s">
        <v>8916</v>
      </c>
    </row>
    <row r="5896" spans="1:3">
      <c r="A5896" s="66" t="s">
        <v>312</v>
      </c>
      <c r="B5896" t="str">
        <f ca="1">IF(ISBLANK(OFFSET(B5896,0,'Field labels'!$Q$1)),C5896,OFFSET(B5896,0,'Field labels'!$Q$1))</f>
        <v>ROU - Sportsmen WA</v>
      </c>
      <c r="C5896" t="s">
        <v>8917</v>
      </c>
    </row>
    <row r="5897" spans="1:3">
      <c r="A5897" s="66" t="s">
        <v>312</v>
      </c>
      <c r="B5897" t="str">
        <f ca="1">IF(ISBLANK(OFFSET(B5897,0,'Field labels'!$Q$1)),C5897,OFFSET(B5897,0,'Field labels'!$Q$1))</f>
        <v>ROU-Cross-border Workers WA</v>
      </c>
      <c r="C5897" t="s">
        <v>288</v>
      </c>
    </row>
    <row r="5898" spans="1:3">
      <c r="A5898" s="66" t="s">
        <v>312</v>
      </c>
      <c r="B5898" t="str">
        <f ca="1">IF(ISBLANK(OFFSET(B5898,0,'Field labels'!$Q$1)),C5898,OFFSET(B5898,0,'Field labels'!$Q$1))</f>
        <v>ROU-Exception WA</v>
      </c>
      <c r="C5898" t="s">
        <v>289</v>
      </c>
    </row>
    <row r="5899" spans="1:3">
      <c r="A5899" s="66" t="s">
        <v>312</v>
      </c>
      <c r="B5899" t="str">
        <f ca="1">IF(ISBLANK(OFFSET(B5899,0,'Field labels'!$Q$1)),C5899,OFFSET(B5899,0,'Field labels'!$Q$1))</f>
        <v>ROU-Highly Qualified Workers WA</v>
      </c>
      <c r="C5899" t="s">
        <v>283</v>
      </c>
    </row>
    <row r="5900" spans="1:3">
      <c r="A5900" s="66" t="s">
        <v>312</v>
      </c>
      <c r="B5900" t="str">
        <f ca="1">IF(ISBLANK(OFFSET(B5900,0,'Field labels'!$Q$1)),C5900,OFFSET(B5900,0,'Field labels'!$Q$1))</f>
        <v>ROU-Nominal WA</v>
      </c>
      <c r="C5900" t="s">
        <v>287</v>
      </c>
    </row>
    <row r="5901" spans="1:3">
      <c r="A5901" s="66" t="s">
        <v>312</v>
      </c>
      <c r="B5901" t="str">
        <f ca="1">IF(ISBLANK(OFFSET(B5901,0,'Field labels'!$Q$1)),C5901,OFFSET(B5901,0,'Field labels'!$Q$1))</f>
        <v>ROU-Permanent  Workers  WA</v>
      </c>
      <c r="C5901" t="s">
        <v>282</v>
      </c>
    </row>
    <row r="5902" spans="1:3">
      <c r="A5902" s="66" t="s">
        <v>312</v>
      </c>
      <c r="B5902" t="str">
        <f ca="1">IF(ISBLANK(OFFSET(B5902,0,'Field labels'!$Q$1)),C5902,OFFSET(B5902,0,'Field labels'!$Q$1))</f>
        <v>ROU-Probationary Workers WA</v>
      </c>
      <c r="C5902" t="s">
        <v>285</v>
      </c>
    </row>
    <row r="5903" spans="1:3">
      <c r="A5903" s="66" t="s">
        <v>312</v>
      </c>
      <c r="B5903" t="str">
        <f ca="1">IF(ISBLANK(OFFSET(B5903,0,'Field labels'!$Q$1)),C5903,OFFSET(B5903,0,'Field labels'!$Q$1))</f>
        <v>ROU-Seasonal Workers WA</v>
      </c>
      <c r="C5903" t="s">
        <v>284</v>
      </c>
    </row>
    <row r="5904" spans="1:3">
      <c r="A5904" s="66" t="s">
        <v>312</v>
      </c>
      <c r="B5904" t="str">
        <f ca="1">IF(ISBLANK(OFFSET(B5904,0,'Field labels'!$Q$1)),C5904,OFFSET(B5904,0,'Field labels'!$Q$1))</f>
        <v>ROU-Sportsmen WA</v>
      </c>
      <c r="C5904" t="s">
        <v>286</v>
      </c>
    </row>
    <row r="5905" spans="1:3">
      <c r="A5905" s="66" t="s">
        <v>312</v>
      </c>
      <c r="B5905" t="str">
        <f ca="1">IF(ISBLANK(OFFSET(B5905,0,'Field labels'!$Q$1)),C5905,OFFSET(B5905,0,'Field labels'!$Q$1))</f>
        <v>RUS - Domestic Passport</v>
      </c>
      <c r="C5905" t="s">
        <v>8918</v>
      </c>
    </row>
    <row r="5906" spans="1:3">
      <c r="A5906" s="66" t="s">
        <v>312</v>
      </c>
      <c r="B5906" t="str">
        <f ca="1">IF(ISBLANK(OFFSET(B5906,0,'Field labels'!$Q$1)),C5906,OFFSET(B5906,0,'Field labels'!$Q$1))</f>
        <v>RUS - International Passport</v>
      </c>
      <c r="C5906" t="s">
        <v>8919</v>
      </c>
    </row>
    <row r="5907" spans="1:3">
      <c r="A5907" s="66" t="s">
        <v>312</v>
      </c>
      <c r="B5907" t="str">
        <f ca="1">IF(ISBLANK(OFFSET(B5907,0,'Field labels'!$Q$1)),C5907,OFFSET(B5907,0,'Field labels'!$Q$1))</f>
        <v>RUS - Taxpayer Identification Number (INN)</v>
      </c>
      <c r="C5907" t="s">
        <v>8920</v>
      </c>
    </row>
    <row r="5908" spans="1:3">
      <c r="A5908" s="66" t="s">
        <v>312</v>
      </c>
      <c r="B5908" t="str">
        <f ca="1">IF(ISBLANK(OFFSET(B5908,0,'Field labels'!$Q$1)),C5908,OFFSET(B5908,0,'Field labels'!$Q$1))</f>
        <v>SAU - Exit - Re-Entry Visa</v>
      </c>
      <c r="C5908" t="s">
        <v>8921</v>
      </c>
    </row>
    <row r="5909" spans="1:3">
      <c r="A5909" s="66" t="s">
        <v>312</v>
      </c>
      <c r="B5909" t="str">
        <f ca="1">IF(ISBLANK(OFFSET(B5909,0,'Field labels'!$Q$1)),C5909,OFFSET(B5909,0,'Field labels'!$Q$1))</f>
        <v>SAU - Final Exit Visa</v>
      </c>
      <c r="C5909" t="s">
        <v>8922</v>
      </c>
    </row>
    <row r="5910" spans="1:3">
      <c r="A5910" s="66" t="s">
        <v>312</v>
      </c>
      <c r="B5910" t="str">
        <f ca="1">IF(ISBLANK(OFFSET(B5910,0,'Field labels'!$Q$1)),C5910,OFFSET(B5910,0,'Field labels'!$Q$1))</f>
        <v>SAU - Iqama</v>
      </c>
      <c r="C5910" t="s">
        <v>8923</v>
      </c>
    </row>
    <row r="5911" spans="1:3">
      <c r="A5911" s="66" t="s">
        <v>312</v>
      </c>
      <c r="B5911" t="str">
        <f ca="1">IF(ISBLANK(OFFSET(B5911,0,'Field labels'!$Q$1)),C5911,OFFSET(B5911,0,'Field labels'!$Q$1))</f>
        <v>SAU - Work Permit</v>
      </c>
      <c r="C5911" t="s">
        <v>8924</v>
      </c>
    </row>
    <row r="5912" spans="1:3">
      <c r="A5912" s="66" t="s">
        <v>312</v>
      </c>
      <c r="B5912" t="str">
        <f ca="1">IF(ISBLANK(OFFSET(B5912,0,'Field labels'!$Q$1)),C5912,OFFSET(B5912,0,'Field labels'!$Q$1))</f>
        <v>SAU - Work Visa</v>
      </c>
      <c r="C5912" t="s">
        <v>8925</v>
      </c>
    </row>
    <row r="5913" spans="1:3">
      <c r="A5913" s="66" t="s">
        <v>312</v>
      </c>
      <c r="B5913" t="str">
        <f ca="1">IF(ISBLANK(OFFSET(B5913,0,'Field labels'!$Q$1)),C5913,OFFSET(B5913,0,'Field labels'!$Q$1))</f>
        <v>SGP-Passport</v>
      </c>
      <c r="C5913" t="s">
        <v>8926</v>
      </c>
    </row>
    <row r="5914" spans="1:3">
      <c r="A5914" s="66" t="s">
        <v>312</v>
      </c>
      <c r="B5914" t="str">
        <f ca="1">IF(ISBLANK(OFFSET(B5914,0,'Field labels'!$Q$1)),C5914,OFFSET(B5914,0,'Field labels'!$Q$1))</f>
        <v>SLV - Passport</v>
      </c>
      <c r="C5914" t="s">
        <v>8927</v>
      </c>
    </row>
    <row r="5915" spans="1:3">
      <c r="A5915" s="66" t="s">
        <v>312</v>
      </c>
      <c r="B5915" t="str">
        <f ca="1">IF(ISBLANK(OFFSET(B5915,0,'Field labels'!$Q$1)),C5915,OFFSET(B5915,0,'Field labels'!$Q$1))</f>
        <v>SLV - Residence ID</v>
      </c>
      <c r="C5915" t="s">
        <v>8928</v>
      </c>
    </row>
    <row r="5916" spans="1:3">
      <c r="A5916" s="66" t="s">
        <v>312</v>
      </c>
      <c r="B5916" t="str">
        <f ca="1">IF(ISBLANK(OFFSET(B5916,0,'Field labels'!$Q$1)),C5916,OFFSET(B5916,0,'Field labels'!$Q$1))</f>
        <v>SLV - Visa</v>
      </c>
      <c r="C5916" t="s">
        <v>8929</v>
      </c>
    </row>
    <row r="5917" spans="1:3">
      <c r="A5917" s="66" t="s">
        <v>312</v>
      </c>
      <c r="B5917" t="str">
        <f ca="1">IF(ISBLANK(OFFSET(B5917,0,'Field labels'!$Q$1)),C5917,OFFSET(B5917,0,'Field labels'!$Q$1))</f>
        <v>THA - Passport</v>
      </c>
      <c r="C5917" t="s">
        <v>5325</v>
      </c>
    </row>
    <row r="5918" spans="1:3">
      <c r="A5918" s="66" t="s">
        <v>312</v>
      </c>
      <c r="B5918" t="str">
        <f ca="1">IF(ISBLANK(OFFSET(B5918,0,'Field labels'!$Q$1)),C5918,OFFSET(B5918,0,'Field labels'!$Q$1))</f>
        <v>TUR-Driver's Licence Category - A1</v>
      </c>
      <c r="C5918" t="s">
        <v>8930</v>
      </c>
    </row>
    <row r="5919" spans="1:3">
      <c r="A5919" s="66" t="s">
        <v>312</v>
      </c>
      <c r="B5919" t="str">
        <f ca="1">IF(ISBLANK(OFFSET(B5919,0,'Field labels'!$Q$1)),C5919,OFFSET(B5919,0,'Field labels'!$Q$1))</f>
        <v>TUR-Driver's Licence Category - A2</v>
      </c>
      <c r="C5919" t="s">
        <v>8931</v>
      </c>
    </row>
    <row r="5920" spans="1:3">
      <c r="A5920" s="66" t="s">
        <v>312</v>
      </c>
      <c r="B5920" t="str">
        <f ca="1">IF(ISBLANK(OFFSET(B5920,0,'Field labels'!$Q$1)),C5920,OFFSET(B5920,0,'Field labels'!$Q$1))</f>
        <v>TUR-Driver's Licence Category - G</v>
      </c>
      <c r="C5920" t="s">
        <v>8932</v>
      </c>
    </row>
    <row r="5921" spans="1:3">
      <c r="A5921" s="66" t="s">
        <v>312</v>
      </c>
      <c r="B5921" t="str">
        <f ca="1">IF(ISBLANK(OFFSET(B5921,0,'Field labels'!$Q$1)),C5921,OFFSET(B5921,0,'Field labels'!$Q$1))</f>
        <v>TUR-Driver's Licence Category - H</v>
      </c>
      <c r="C5921" t="s">
        <v>8933</v>
      </c>
    </row>
    <row r="5922" spans="1:3">
      <c r="A5922" s="66" t="s">
        <v>312</v>
      </c>
      <c r="B5922" t="str">
        <f ca="1">IF(ISBLANK(OFFSET(B5922,0,'Field labels'!$Q$1)),C5922,OFFSET(B5922,0,'Field labels'!$Q$1))</f>
        <v>TWN - Passport</v>
      </c>
      <c r="C5922" t="s">
        <v>8934</v>
      </c>
    </row>
    <row r="5923" spans="1:3">
      <c r="A5923" s="66" t="s">
        <v>312</v>
      </c>
      <c r="B5923" t="str">
        <f ca="1">IF(ISBLANK(OFFSET(B5923,0,'Field labels'!$Q$1)),C5923,OFFSET(B5923,0,'Field labels'!$Q$1))</f>
        <v>TZA - Birth Certificate</v>
      </c>
      <c r="C5923" t="s">
        <v>8935</v>
      </c>
    </row>
    <row r="5924" spans="1:3">
      <c r="A5924" s="66" t="s">
        <v>312</v>
      </c>
      <c r="B5924" t="str">
        <f ca="1">IF(ISBLANK(OFFSET(B5924,0,'Field labels'!$Q$1)),C5924,OFFSET(B5924,0,'Field labels'!$Q$1))</f>
        <v>TZA - Citizen Identity Card</v>
      </c>
      <c r="C5924" t="s">
        <v>8936</v>
      </c>
    </row>
    <row r="5925" spans="1:3">
      <c r="A5925" s="66" t="s">
        <v>312</v>
      </c>
      <c r="B5925" t="str">
        <f ca="1">IF(ISBLANK(OFFSET(B5925,0,'Field labels'!$Q$1)),C5925,OFFSET(B5925,0,'Field labels'!$Q$1))</f>
        <v>TZA - Passport Number</v>
      </c>
      <c r="C5925" t="s">
        <v>8937</v>
      </c>
    </row>
    <row r="5926" spans="1:3">
      <c r="A5926" s="66" t="s">
        <v>312</v>
      </c>
      <c r="B5926" t="str">
        <f ca="1">IF(ISBLANK(OFFSET(B5926,0,'Field labels'!$Q$1)),C5926,OFFSET(B5926,0,'Field labels'!$Q$1))</f>
        <v>TZA - Visa</v>
      </c>
      <c r="C5926" t="s">
        <v>8938</v>
      </c>
    </row>
    <row r="5927" spans="1:3">
      <c r="A5927" s="66" t="s">
        <v>312</v>
      </c>
      <c r="B5927" t="str">
        <f ca="1">IF(ISBLANK(OFFSET(B5927,0,'Field labels'!$Q$1)),C5927,OFFSET(B5927,0,'Field labels'!$Q$1))</f>
        <v>TZA - Work Permit</v>
      </c>
      <c r="C5927" t="s">
        <v>8939</v>
      </c>
    </row>
    <row r="5928" spans="1:3">
      <c r="A5928" s="66" t="s">
        <v>312</v>
      </c>
      <c r="B5928" t="str">
        <f ca="1">IF(ISBLANK(OFFSET(B5928,0,'Field labels'!$Q$1)),C5928,OFFSET(B5928,0,'Field labels'!$Q$1))</f>
        <v>URY-Visa / Residence</v>
      </c>
      <c r="C5928" t="s">
        <v>8940</v>
      </c>
    </row>
    <row r="5929" spans="1:3">
      <c r="A5929" s="66" t="s">
        <v>312</v>
      </c>
      <c r="B5929" t="str">
        <f ca="1">IF(ISBLANK(OFFSET(B5929,0,'Field labels'!$Q$1)),C5929,OFFSET(B5929,0,'Field labels'!$Q$1))</f>
        <v>URY-Work Permit</v>
      </c>
      <c r="C5929" t="s">
        <v>8941</v>
      </c>
    </row>
    <row r="5930" spans="1:3">
      <c r="A5930" s="66" t="s">
        <v>312</v>
      </c>
      <c r="B5930" t="str">
        <f ca="1">IF(ISBLANK(OFFSET(B5930,0,'Field labels'!$Q$1)),C5930,OFFSET(B5930,0,'Field labels'!$Q$1))</f>
        <v>VEN - Work Visa</v>
      </c>
      <c r="C5930" t="s">
        <v>8942</v>
      </c>
    </row>
    <row r="5931" spans="1:3">
      <c r="A5931" s="66" t="s">
        <v>312</v>
      </c>
      <c r="B5931" t="str">
        <f ca="1">IF(ISBLANK(OFFSET(B5931,0,'Field labels'!$Q$1)),C5931,OFFSET(B5931,0,'Field labels'!$Q$1))</f>
        <v>VNM-Passport</v>
      </c>
      <c r="C5931" t="s">
        <v>5326</v>
      </c>
    </row>
    <row r="5932" spans="1:3">
      <c r="A5932" s="66" t="s">
        <v>312</v>
      </c>
      <c r="B5932" t="str">
        <f ca="1">IF(ISBLANK(OFFSET(B5932,0,'Field labels'!$Q$1)),C5932,OFFSET(B5932,0,'Field labels'!$Q$1))</f>
        <v>ZAF - Corporate Work Permit</v>
      </c>
      <c r="C5932" t="s">
        <v>8943</v>
      </c>
    </row>
    <row r="5933" spans="1:3">
      <c r="A5933" s="66" t="s">
        <v>312</v>
      </c>
      <c r="B5933" t="str">
        <f ca="1">IF(ISBLANK(OFFSET(B5933,0,'Field labels'!$Q$1)),C5933,OFFSET(B5933,0,'Field labels'!$Q$1))</f>
        <v>ZAF - Exceptional Skills Work Permit</v>
      </c>
      <c r="C5933" t="s">
        <v>8944</v>
      </c>
    </row>
    <row r="5934" spans="1:3">
      <c r="A5934" s="66" t="s">
        <v>312</v>
      </c>
      <c r="B5934" t="str">
        <f ca="1">IF(ISBLANK(OFFSET(B5934,0,'Field labels'!$Q$1)),C5934,OFFSET(B5934,0,'Field labels'!$Q$1))</f>
        <v>ZAF - General Work Permit</v>
      </c>
      <c r="C5934" t="s">
        <v>8945</v>
      </c>
    </row>
    <row r="5935" spans="1:3">
      <c r="A5935" s="66" t="s">
        <v>312</v>
      </c>
      <c r="B5935" t="str">
        <f ca="1">IF(ISBLANK(OFFSET(B5935,0,'Field labels'!$Q$1)),C5935,OFFSET(B5935,0,'Field labels'!$Q$1))</f>
        <v>ZAF - Intra-Company Transfer Work Permit</v>
      </c>
      <c r="C5935" t="s">
        <v>8946</v>
      </c>
    </row>
    <row r="5936" spans="1:3">
      <c r="A5936" s="66" t="s">
        <v>312</v>
      </c>
      <c r="B5936" t="str">
        <f ca="1">IF(ISBLANK(OFFSET(B5936,0,'Field labels'!$Q$1)),C5936,OFFSET(B5936,0,'Field labels'!$Q$1))</f>
        <v>ZAF - Quota Work Permit</v>
      </c>
      <c r="C5936" t="s">
        <v>8947</v>
      </c>
    </row>
    <row r="5937" spans="1:3">
      <c r="A5937" s="66" t="s">
        <v>5124</v>
      </c>
      <c r="B5937" t="str">
        <f ca="1">IF(ISBLANK(OFFSET(B5937,0,'Field labels'!$Q$1)),C5937,OFFSET(B5937,0,'Field labels'!$Q$1))</f>
        <v>5D/week</v>
      </c>
      <c r="C5937" s="66" t="s">
        <v>5125</v>
      </c>
    </row>
    <row r="5938" spans="1:3">
      <c r="A5938" s="66" t="s">
        <v>5124</v>
      </c>
      <c r="B5938" t="str">
        <f ca="1">IF(ISBLANK(OFFSET(B5938,0,'Field labels'!$Q$1)),C5938,OFFSET(B5938,0,'Field labels'!$Q$1))</f>
        <v>6D/week</v>
      </c>
      <c r="C5938" s="66" t="s">
        <v>5126</v>
      </c>
    </row>
    <row r="5939" spans="1:3">
      <c r="A5939" s="66" t="s">
        <v>7735</v>
      </c>
      <c r="B5939" t="str">
        <f ca="1">IF(ISBLANK(OFFSET(B5939,0,'Field labels'!$Q$1)),C5939,OFFSET(B5939,0,'Field labels'!$Q$1))</f>
        <v>24x7 StreamLine</v>
      </c>
      <c r="C5939" t="s">
        <v>7626</v>
      </c>
    </row>
    <row r="5940" spans="1:3">
      <c r="A5940" s="66" t="s">
        <v>7621</v>
      </c>
      <c r="B5940" t="str">
        <f ca="1">IF(ISBLANK(OFFSET(B5940,0,'Field labels'!$Q$1)),C5940,OFFSET(B5940,0,'Field labels'!$Q$1))</f>
        <v>Standard 5d, 40 hrs</v>
      </c>
      <c r="C5940" t="s">
        <v>5128</v>
      </c>
    </row>
    <row r="5941" spans="1:3">
      <c r="A5941" s="66" t="s">
        <v>7894</v>
      </c>
      <c r="B5941" t="str">
        <f ca="1">IF(ISBLANK(OFFSET(B5941,0,'Field labels'!$Q$1)),C5941,OFFSET(B5941,0,'Field labels'!$Q$1))</f>
        <v>S540000 - Monday to Friday</v>
      </c>
      <c r="C5941" t="s">
        <v>7895</v>
      </c>
    </row>
    <row r="5942" spans="1:3">
      <c r="A5942" s="66" t="s">
        <v>7894</v>
      </c>
      <c r="B5942" t="str">
        <f ca="1">IF(ISBLANK(OFFSET(B5942,0,'Field labels'!$Q$1)),C5942,OFFSET(B5942,0,'Field labels'!$Q$1))</f>
        <v>S648000 - Monday to Saturday</v>
      </c>
      <c r="C5942" t="s">
        <v>7896</v>
      </c>
    </row>
    <row r="5943" spans="1:3">
      <c r="A5943" s="66" t="s">
        <v>5127</v>
      </c>
      <c r="B5943" t="str">
        <f ca="1">IF(ISBLANK(OFFSET(B5943,0,'Field labels'!$Q$1)),C5943,OFFSET(B5943,0,'Field labels'!$Q$1))</f>
        <v>Standard 5d, 40 hrs</v>
      </c>
      <c r="C5943" s="66" t="s">
        <v>5128</v>
      </c>
    </row>
    <row r="5944" spans="1:3">
      <c r="A5944" s="66" t="s">
        <v>7601</v>
      </c>
      <c r="B5944" t="str">
        <f ca="1">IF(ISBLANK(OFFSET(B5944,0,'Field labels'!$Q$1)),C5944,OFFSET(B5944,0,'Field labels'!$Q$1))</f>
        <v>40 Hour 5 Day Week</v>
      </c>
      <c r="C5944" t="s">
        <v>7602</v>
      </c>
    </row>
    <row r="5945" spans="1:3">
      <c r="A5945" s="66" t="s">
        <v>7627</v>
      </c>
      <c r="B5945" t="str">
        <f ca="1">IF(ISBLANK(OFFSET(B5945,0,'Field labels'!$Q$1)),C5945,OFFSET(B5945,0,'Field labels'!$Q$1))</f>
        <v>24x7 StreamLine</v>
      </c>
      <c r="C5945" t="s">
        <v>7626</v>
      </c>
    </row>
    <row r="5946" spans="1:3">
      <c r="A5946" s="66" t="s">
        <v>5129</v>
      </c>
      <c r="B5946" t="str">
        <f ca="1">IF(ISBLANK(OFFSET(B5946,0,'Field labels'!$Q$1)),C5946,OFFSET(B5946,0,'Field labels'!$Q$1))</f>
        <v>40 Hour Week</v>
      </c>
      <c r="C5946" s="66" t="s">
        <v>5130</v>
      </c>
    </row>
  </sheetData>
  <sortState ref="A2:O1048576">
    <sortCondition ref="A1:A1048576"/>
    <sortCondition ref="B1:B1048576"/>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ommandButton1">
              <controlPr defaultSize="0" print="0" autoFill="0" autoPict="0" macro="[0]!CommandButton1_Click">
                <anchor moveWithCells="1" sizeWithCells="1">
                  <from>
                    <xdr:col>15</xdr:col>
                    <xdr:colOff>238125</xdr:colOff>
                    <xdr:row>0</xdr:row>
                    <xdr:rowOff>28575</xdr:rowOff>
                  </from>
                  <to>
                    <xdr:col>17</xdr:col>
                    <xdr:colOff>66675</xdr:colOff>
                    <xdr:row>0</xdr:row>
                    <xdr:rowOff>285750</xdr:rowOff>
                  </to>
                </anchor>
              </controlPr>
            </control>
          </mc:Choice>
        </mc:AlternateContent>
        <mc:AlternateContent xmlns:mc="http://schemas.openxmlformats.org/markup-compatibility/2006">
          <mc:Choice Requires="x14">
            <control shapeId="5122" r:id="rId5" name="Button 2">
              <controlPr defaultSize="0" print="0" autoFill="0" autoPict="0" macro="[0]!CommandButton1_Click">
                <anchor moveWithCells="1" sizeWithCells="1">
                  <from>
                    <xdr:col>15</xdr:col>
                    <xdr:colOff>238125</xdr:colOff>
                    <xdr:row>0</xdr:row>
                    <xdr:rowOff>28575</xdr:rowOff>
                  </from>
                  <to>
                    <xdr:col>17</xdr:col>
                    <xdr:colOff>66675</xdr:colOff>
                    <xdr:row>0</xdr:row>
                    <xdr:rowOff>285750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A257"/>
  <sheetViews>
    <sheetView showGridLines="0" topLeftCell="BZ1" workbookViewId="0">
      <selection activeCell="CG2" sqref="CG2"/>
    </sheetView>
  </sheetViews>
  <sheetFormatPr defaultRowHeight="15"/>
  <cols>
    <col min="1" max="1" width="19.140625" bestFit="1" customWidth="1"/>
    <col min="2" max="2" width="38" bestFit="1" customWidth="1"/>
    <col min="3" max="3" width="44.42578125" bestFit="1" customWidth="1"/>
    <col min="4" max="4" width="41.28515625" bestFit="1" customWidth="1"/>
    <col min="5" max="5" width="32.85546875" bestFit="1" customWidth="1"/>
    <col min="7" max="7" width="28.7109375" bestFit="1" customWidth="1"/>
    <col min="8" max="8" width="9.140625" bestFit="1" customWidth="1"/>
    <col min="9" max="9" width="15.5703125" bestFit="1" customWidth="1"/>
    <col min="10" max="10" width="12.28515625" bestFit="1" customWidth="1"/>
    <col min="11" max="11" width="18" bestFit="1" customWidth="1"/>
    <col min="12" max="12" width="6.28515625" bestFit="1" customWidth="1"/>
    <col min="13" max="13" width="9.28515625" bestFit="1" customWidth="1"/>
    <col min="14" max="14" width="29.28515625" bestFit="1" customWidth="1"/>
    <col min="15" max="15" width="32.42578125" bestFit="1" customWidth="1"/>
    <col min="16" max="16" width="9.7109375" bestFit="1" customWidth="1"/>
    <col min="17" max="17" width="10.5703125" bestFit="1" customWidth="1"/>
    <col min="18" max="18" width="7.28515625" bestFit="1" customWidth="1"/>
    <col min="19" max="19" width="6.7109375" bestFit="1" customWidth="1"/>
    <col min="20" max="20" width="12.28515625" bestFit="1" customWidth="1"/>
    <col min="21" max="21" width="19.5703125" bestFit="1" customWidth="1"/>
    <col min="22" max="22" width="8.28515625" bestFit="1" customWidth="1"/>
    <col min="23" max="24" width="10.7109375" bestFit="1" customWidth="1"/>
    <col min="25" max="25" width="7" bestFit="1" customWidth="1"/>
    <col min="26" max="26" width="17.28515625" bestFit="1" customWidth="1"/>
    <col min="27" max="29" width="19.85546875" bestFit="1" customWidth="1"/>
    <col min="30" max="32" width="23.7109375" bestFit="1" customWidth="1"/>
    <col min="33" max="43" width="23.7109375" customWidth="1"/>
    <col min="44" max="44" width="14.5703125" bestFit="1" customWidth="1"/>
    <col min="48" max="48" width="27.7109375" customWidth="1"/>
    <col min="49" max="49" width="9.28515625" bestFit="1" customWidth="1"/>
    <col min="50" max="50" width="7.28515625" customWidth="1"/>
    <col min="51" max="51" width="7.7109375" customWidth="1"/>
    <col min="52" max="52" width="10.28515625" customWidth="1"/>
    <col min="53" max="53" width="12.28515625" customWidth="1"/>
    <col min="54" max="54" width="11.28515625" customWidth="1"/>
    <col min="55" max="55" width="10.28515625" customWidth="1"/>
    <col min="56" max="56" width="10.42578125" customWidth="1"/>
    <col min="57" max="57" width="11.28515625" customWidth="1"/>
    <col min="58" max="58" width="12.140625" customWidth="1"/>
    <col min="59" max="59" width="10.28515625" customWidth="1"/>
    <col min="60" max="60" width="13.28515625" customWidth="1"/>
    <col min="61" max="61" width="9.140625" customWidth="1"/>
    <col min="62" max="62" width="7.85546875" customWidth="1"/>
    <col min="63" max="63" width="10.5703125" customWidth="1"/>
    <col min="64" max="74" width="11" customWidth="1"/>
    <col min="75" max="75" width="8.7109375" customWidth="1"/>
    <col min="78" max="78" width="26" customWidth="1"/>
    <col min="79" max="79" width="16.7109375" bestFit="1" customWidth="1"/>
    <col min="80" max="80" width="7.28515625" customWidth="1"/>
    <col min="81" max="81" width="7.7109375" customWidth="1"/>
    <col min="82" max="82" width="10.28515625" customWidth="1"/>
    <col min="83" max="83" width="12.28515625" customWidth="1"/>
    <col min="84" max="84" width="11.28515625" customWidth="1"/>
    <col min="85" max="85" width="10.28515625" customWidth="1"/>
    <col min="86" max="86" width="10.42578125" customWidth="1"/>
    <col min="87" max="87" width="11.28515625" customWidth="1"/>
    <col min="88" max="88" width="12.140625" customWidth="1"/>
    <col min="89" max="89" width="10.28515625" customWidth="1"/>
    <col min="90" max="90" width="13.28515625" customWidth="1"/>
    <col min="91" max="91" width="9.140625" customWidth="1"/>
    <col min="92" max="92" width="7.85546875" customWidth="1"/>
    <col min="93" max="93" width="10.5703125" customWidth="1"/>
    <col min="94" max="94" width="8.85546875" customWidth="1"/>
    <col min="95" max="97" width="8.7109375" customWidth="1"/>
    <col min="98" max="98" width="16.7109375" customWidth="1"/>
    <col min="99" max="101" width="8.85546875" customWidth="1"/>
  </cols>
  <sheetData>
    <row r="1" spans="1:105">
      <c r="A1" s="22" t="s">
        <v>1918</v>
      </c>
      <c r="B1" s="22" t="s">
        <v>1896</v>
      </c>
      <c r="C1" s="22" t="s">
        <v>1897</v>
      </c>
      <c r="D1" s="22" t="s">
        <v>1898</v>
      </c>
      <c r="E1" s="22" t="s">
        <v>1899</v>
      </c>
      <c r="G1" t="s">
        <v>2842</v>
      </c>
      <c r="H1" t="s">
        <v>1944</v>
      </c>
      <c r="I1" t="s">
        <v>1941</v>
      </c>
      <c r="J1" t="s">
        <v>1946</v>
      </c>
      <c r="K1" t="s">
        <v>1942</v>
      </c>
      <c r="L1" t="s">
        <v>1943</v>
      </c>
      <c r="M1" t="s">
        <v>1945</v>
      </c>
      <c r="N1" t="s">
        <v>1971</v>
      </c>
      <c r="O1" t="s">
        <v>1952</v>
      </c>
      <c r="P1" t="s">
        <v>1947</v>
      </c>
      <c r="Q1" t="s">
        <v>1948</v>
      </c>
      <c r="R1" t="s">
        <v>1949</v>
      </c>
      <c r="S1" t="s">
        <v>1674</v>
      </c>
      <c r="T1" t="s">
        <v>1950</v>
      </c>
      <c r="U1" t="s">
        <v>1951</v>
      </c>
      <c r="V1" t="s">
        <v>1940</v>
      </c>
      <c r="W1" t="s">
        <v>5009</v>
      </c>
      <c r="X1" t="s">
        <v>5010</v>
      </c>
      <c r="Y1" t="s">
        <v>3763</v>
      </c>
      <c r="Z1" t="s">
        <v>7692</v>
      </c>
      <c r="AA1" t="s">
        <v>7729</v>
      </c>
      <c r="AB1" t="s">
        <v>7730</v>
      </c>
      <c r="AC1" t="s">
        <v>7731</v>
      </c>
      <c r="AD1" t="s">
        <v>7732</v>
      </c>
      <c r="AE1" t="s">
        <v>7733</v>
      </c>
      <c r="AF1" t="s">
        <v>7734</v>
      </c>
      <c r="AG1" t="s">
        <v>3777</v>
      </c>
      <c r="AH1" t="s">
        <v>7810</v>
      </c>
      <c r="AI1" t="s">
        <v>7819</v>
      </c>
      <c r="AJ1" t="s">
        <v>7905</v>
      </c>
      <c r="AK1" t="s">
        <v>7886</v>
      </c>
      <c r="AL1" t="s">
        <v>7913</v>
      </c>
      <c r="AM1" t="s">
        <v>7943</v>
      </c>
      <c r="AN1" t="s">
        <v>7944</v>
      </c>
      <c r="AO1" s="29" t="s">
        <v>8360</v>
      </c>
      <c r="AP1" s="29" t="s">
        <v>4344</v>
      </c>
      <c r="AQ1" s="29" t="s">
        <v>4367</v>
      </c>
      <c r="AR1" t="s">
        <v>1957</v>
      </c>
      <c r="AV1" t="s">
        <v>2844</v>
      </c>
      <c r="AW1" t="str">
        <f>IF(ISBLANK(country),"Default",country)</f>
        <v>Malaysia</v>
      </c>
      <c r="BZ1" t="s">
        <v>2845</v>
      </c>
      <c r="CA1" t="str">
        <f>Company_country2</f>
        <v>Default</v>
      </c>
    </row>
    <row r="2" spans="1:105">
      <c r="A2" s="26" t="str">
        <f ca="1">VLOOKUP(NationalID_Country,PickLists!B:C,2,0)</f>
        <v>Malaysia</v>
      </c>
      <c r="B2" s="26" t="str">
        <f ca="1">IFERROR(VLOOKUP(Table1[[#This Row],[Selected country]],$A$13:$E$38,2,0),"")</f>
        <v>IC (Identification Card Number)</v>
      </c>
      <c r="C2" s="26" t="str">
        <f ca="1">IFERROR(IF(VLOOKUP(Table1[[#This Row],[Selected country]],$A$13:$E$38,3,0)="","",VLOOKUP(Table1[[#This Row],[Selected country]],$A$13:$E$38,3,0)),"")</f>
        <v/>
      </c>
      <c r="D2" s="26" t="str">
        <f ca="1">IFERROR(IF(VLOOKUP(Table1[[#This Row],[Selected country]],$A$13:$E$38,4,0)="","",VLOOKUP(Table1[[#This Row],[Selected country]],$A$13:$E$38,4,0)),"")</f>
        <v/>
      </c>
      <c r="E2" s="26" t="str">
        <f ca="1">IFERROR(IF(VLOOKUP(Table1[[#This Row],[Selected country]],$A$13:$E$38,5,0)="","",VLOOKUP(Table1[[#This Row],[Selected country]],$A$13:$E$38,5,0)),"")</f>
        <v/>
      </c>
      <c r="G2" s="25" t="str">
        <f ca="1">VLOOKUP(Address_country,PickLists!B:C,2,0)</f>
        <v>Malaysia</v>
      </c>
      <c r="H2" s="25" t="str">
        <f ca="1">IFERROR(VLOOKUP($G$2,$G$3:$AQ$28,2,0),"True")</f>
        <v>True</v>
      </c>
      <c r="I2" s="25" t="str">
        <f ca="1">IFERROR(VLOOKUP($G$2,$G$3:$AQ$28,3,0),"True")</f>
        <v>True</v>
      </c>
      <c r="J2" s="25" t="str">
        <f ca="1">IFERROR(VLOOKUP($G$2,$G$3:$AQ$28,4,0),"True")</f>
        <v>True</v>
      </c>
      <c r="K2" s="25" t="str">
        <f ca="1">IFERROR(VLOOKUP($G$2,$G$3:$AQ$28,5,0),"True")</f>
        <v>False</v>
      </c>
      <c r="L2" s="25" t="str">
        <f ca="1">IFERROR(VLOOKUP($G$2,$G$3:$AQ$28,6,0),"True")</f>
        <v>False</v>
      </c>
      <c r="M2" s="25" t="str">
        <f ca="1">IFERROR(VLOOKUP($G$2,$G$3:$AQ$28,7,0),"True")</f>
        <v>True</v>
      </c>
      <c r="N2" s="25" t="str">
        <f ca="1">IFERROR(VLOOKUP($G$2,$G$3:$AQ$28,8,0),"True")</f>
        <v>True</v>
      </c>
      <c r="O2" s="25" t="str">
        <f ca="1">IFERROR(VLOOKUP($G$2,$G$3:$AQ$28,9,0),"True")</f>
        <v>False</v>
      </c>
      <c r="P2" s="25" t="str">
        <f ca="1">IFERROR(VLOOKUP($G$2,$G$3:$AQ$28,10,0),"True")</f>
        <v>True</v>
      </c>
      <c r="Q2" s="25" t="str">
        <f ca="1">IFERROR(VLOOKUP($G$2,$G$3:$AQ$28,11,0),"True")</f>
        <v>True</v>
      </c>
      <c r="R2" s="25" t="str">
        <f ca="1">IFERROR(VLOOKUP($G$2,$G$3:$AQ$28,12,0),"True")</f>
        <v>True</v>
      </c>
      <c r="S2" s="25" t="str">
        <f ca="1">IFERROR(VLOOKUP($G$2,$G$3:$AQ$28,13,0),"True")</f>
        <v>True</v>
      </c>
      <c r="T2" s="25" t="str">
        <f ca="1">IFERROR(VLOOKUP($G$2,$G$3:$AQ$28,14,0),"True")</f>
        <v>True</v>
      </c>
      <c r="U2" s="25" t="str">
        <f ca="1">IFERROR(VLOOKUP($G$2,$G$3:$AQ$28,15,0),"True")</f>
        <v>True</v>
      </c>
      <c r="V2" s="25" t="str">
        <f ca="1">IFERROR(VLOOKUP($G$2,$G$3:$AQ$28,16,0),"True")</f>
        <v>True</v>
      </c>
      <c r="W2" s="25" t="str">
        <f ca="1">IFERROR(VLOOKUP($G$2,$G$3:$AQ$28,17,0),"True")</f>
        <v>False</v>
      </c>
      <c r="X2" s="25" t="str">
        <f ca="1">IFERROR(VLOOKUP($G$2,$G$3:$AQ$28,18,0),"True")</f>
        <v>False</v>
      </c>
      <c r="Y2" s="25" t="str">
        <f ca="1">IFERROR(VLOOKUP($G$2,$G$3:$AQ$28,19,0),"True")</f>
        <v>True</v>
      </c>
      <c r="Z2" s="25" t="str">
        <f ca="1">IFERROR(VLOOKUP($G$2,$G$3:$AQ$28,20,0),"True")</f>
        <v>True</v>
      </c>
      <c r="AA2" s="25" t="str">
        <f ca="1">IFERROR(VLOOKUP($G$2,$G$3:$AQ$28,21,0),"True")</f>
        <v>True</v>
      </c>
      <c r="AB2" s="25" t="str">
        <f ca="1">IFERROR(VLOOKUP($G$2,$G$3:$AQ$28,22,0),"True")</f>
        <v>True</v>
      </c>
      <c r="AC2" s="25" t="str">
        <f ca="1">IFERROR(VLOOKUP($G$2,$G$3:$AQ$28,23,0),"True")</f>
        <v>True</v>
      </c>
      <c r="AD2" s="25" t="str">
        <f ca="1">IFERROR(VLOOKUP($G$2,$G$3:$AQ$28,24,0),"True")</f>
        <v>True</v>
      </c>
      <c r="AE2" s="25" t="str">
        <f ca="1">IFERROR(VLOOKUP($G$2,$G$3:$AQ$28,25,0),"True")</f>
        <v>True</v>
      </c>
      <c r="AF2" s="25" t="str">
        <f ca="1">IFERROR(VLOOKUP($G$2,$G$3:$AQ$28,26,0),"True")</f>
        <v>True</v>
      </c>
      <c r="AG2" s="25" t="str">
        <f ca="1">IFERROR(VLOOKUP($G$2,$G$3:$AQ$28,27,0),"True")</f>
        <v>True</v>
      </c>
      <c r="AH2" s="25" t="str">
        <f ca="1">IFERROR(VLOOKUP($G$2,$G$3:$AQ$28,28,0),"True")</f>
        <v>True</v>
      </c>
      <c r="AI2" s="25" t="str">
        <f ca="1">IFERROR(VLOOKUP($G$2,$G$3:$AQ$28,29,0),"True")</f>
        <v>True</v>
      </c>
      <c r="AJ2" s="25" t="str">
        <f ca="1">IFERROR(VLOOKUP($G$2,$G$3:$AQ$28,30,0),"True")</f>
        <v>True</v>
      </c>
      <c r="AK2" s="25" t="str">
        <f ca="1">IFERROR(VLOOKUP($G$2,$G$3:$AQ$28,31,0),"True")</f>
        <v>True</v>
      </c>
      <c r="AL2" s="25" t="str">
        <f ca="1">IFERROR(VLOOKUP($G$2,$G$3:$AQ$28,32,0),"True")</f>
        <v>True</v>
      </c>
      <c r="AM2" s="25" t="str">
        <f ca="1">IFERROR(VLOOKUP($G$2,$G$3:$AQ$28,33,0),"True")</f>
        <v>True</v>
      </c>
      <c r="AN2" s="25" t="str">
        <f ca="1">IFERROR(VLOOKUP($G$2,$G$3:$AQ$28,34,0),"True")</f>
        <v>True</v>
      </c>
      <c r="AO2" s="25" t="str">
        <f ca="1">IFERROR(VLOOKUP($G$2,$G$3:$AQ$28,35,0),"True")</f>
        <v>True</v>
      </c>
      <c r="AP2" s="25" t="str">
        <f ca="1">IFERROR(VLOOKUP($G$2,$G$3:$AQ$28,36,0),"True")</f>
        <v>True</v>
      </c>
      <c r="AQ2" s="25" t="str">
        <f ca="1">IFERROR(VLOOKUP($G$2,$G$3:$AQ$28,37,0),"True")</f>
        <v>True</v>
      </c>
      <c r="AR2" t="s">
        <v>1939</v>
      </c>
      <c r="AV2" t="s">
        <v>2843</v>
      </c>
      <c r="AW2" t="s">
        <v>2841</v>
      </c>
      <c r="AX2" t="s">
        <v>348</v>
      </c>
      <c r="AY2" t="s">
        <v>334</v>
      </c>
      <c r="AZ2" s="66" t="s">
        <v>371</v>
      </c>
      <c r="BA2" t="s">
        <v>361</v>
      </c>
      <c r="BB2" t="s">
        <v>349</v>
      </c>
      <c r="BC2" t="s">
        <v>5006</v>
      </c>
      <c r="BD2" t="s">
        <v>356</v>
      </c>
      <c r="BE2" t="s">
        <v>365</v>
      </c>
      <c r="BF2" t="s">
        <v>7719</v>
      </c>
      <c r="BG2" t="s">
        <v>141</v>
      </c>
      <c r="BH2" t="s">
        <v>99</v>
      </c>
      <c r="BI2" t="s">
        <v>370</v>
      </c>
      <c r="BJ2" t="s">
        <v>353</v>
      </c>
      <c r="BK2" t="s">
        <v>22</v>
      </c>
      <c r="BL2" t="s">
        <v>332</v>
      </c>
      <c r="BM2" t="s">
        <v>200</v>
      </c>
      <c r="BN2" t="s">
        <v>335</v>
      </c>
      <c r="BO2" t="s">
        <v>328</v>
      </c>
      <c r="BP2" t="s">
        <v>357</v>
      </c>
      <c r="BQ2" t="s">
        <v>134</v>
      </c>
      <c r="BR2" t="s">
        <v>147</v>
      </c>
      <c r="BS2" t="s">
        <v>342</v>
      </c>
      <c r="BT2" t="s">
        <v>86</v>
      </c>
      <c r="BU2" t="s">
        <v>78</v>
      </c>
      <c r="BV2" t="s">
        <v>336</v>
      </c>
      <c r="BW2" t="s">
        <v>341</v>
      </c>
      <c r="BZ2" t="s">
        <v>2843</v>
      </c>
      <c r="CA2" t="s">
        <v>2841</v>
      </c>
      <c r="CB2" t="s">
        <v>348</v>
      </c>
      <c r="CC2" t="s">
        <v>334</v>
      </c>
      <c r="CD2" t="s">
        <v>371</v>
      </c>
      <c r="CE2" t="s">
        <v>361</v>
      </c>
      <c r="CF2" t="s">
        <v>349</v>
      </c>
      <c r="CG2" t="s">
        <v>5006</v>
      </c>
      <c r="CH2" t="s">
        <v>356</v>
      </c>
      <c r="CI2" t="s">
        <v>365</v>
      </c>
      <c r="CJ2" t="s">
        <v>87</v>
      </c>
      <c r="CK2" t="s">
        <v>141</v>
      </c>
      <c r="CL2" t="s">
        <v>4667</v>
      </c>
      <c r="CM2" t="s">
        <v>370</v>
      </c>
      <c r="CN2" t="s">
        <v>353</v>
      </c>
      <c r="CO2" t="s">
        <v>22</v>
      </c>
      <c r="CP2" t="s">
        <v>332</v>
      </c>
      <c r="CQ2" t="s">
        <v>200</v>
      </c>
      <c r="CR2" t="s">
        <v>335</v>
      </c>
      <c r="CS2" t="s">
        <v>328</v>
      </c>
      <c r="CT2" t="s">
        <v>357</v>
      </c>
      <c r="CU2" t="s">
        <v>134</v>
      </c>
      <c r="CV2" t="s">
        <v>147</v>
      </c>
      <c r="CW2" t="s">
        <v>342</v>
      </c>
      <c r="CX2" t="s">
        <v>86</v>
      </c>
      <c r="CY2" t="s">
        <v>78</v>
      </c>
      <c r="CZ2" t="s">
        <v>336</v>
      </c>
      <c r="DA2" t="s">
        <v>341</v>
      </c>
    </row>
    <row r="3" spans="1:105">
      <c r="A3" s="26" t="e">
        <f ca="1">VLOOKUP(NationalID_Country2,PickLists!B:C,2,0)</f>
        <v>#N/A</v>
      </c>
      <c r="B3" s="26" t="str">
        <f ca="1">IFERROR(VLOOKUP(Table1[[#This Row],[Selected country]],$A$13:$E$38,2,0),"")</f>
        <v/>
      </c>
      <c r="C3" s="26" t="str">
        <f ca="1">IFERROR(IF(VLOOKUP(Table1[[#This Row],[Selected country]],$A$13:$E$38,3,0)="","",VLOOKUP(Table1[[#This Row],[Selected country]],$A$13:$E$38,3,0)),"")</f>
        <v/>
      </c>
      <c r="D3" s="26" t="str">
        <f ca="1">IFERROR(IF(VLOOKUP(Table1[[#This Row],[Selected country]],$A$13:$E$38,4,0)="","",VLOOKUP(Table1[[#This Row],[Selected country]],$A$13:$E$38,4,0)),"")</f>
        <v/>
      </c>
      <c r="E3" s="26" t="str">
        <f ca="1">IFERROR(IF(VLOOKUP(Table1[[#This Row],[Selected country]],$A$13:$E$38,5,0)="","",VLOOKUP(Table1[[#This Row],[Selected country]],$A$13:$E$38,5,0)),"")</f>
        <v/>
      </c>
      <c r="G3" s="88" t="s">
        <v>328</v>
      </c>
      <c r="H3" s="89" t="s">
        <v>1953</v>
      </c>
      <c r="I3" s="89" t="s">
        <v>1953</v>
      </c>
      <c r="J3" s="89" t="s">
        <v>1953</v>
      </c>
      <c r="K3" s="89" t="s">
        <v>1954</v>
      </c>
      <c r="L3" s="89" t="s">
        <v>1954</v>
      </c>
      <c r="M3" s="89" t="s">
        <v>1953</v>
      </c>
      <c r="N3" s="89" t="s">
        <v>1953</v>
      </c>
      <c r="O3" s="89" t="s">
        <v>1954</v>
      </c>
      <c r="P3" s="89" t="s">
        <v>1953</v>
      </c>
      <c r="Q3" s="89" t="s">
        <v>1953</v>
      </c>
      <c r="R3" s="89" t="s">
        <v>1953</v>
      </c>
      <c r="S3" s="89" t="s">
        <v>1953</v>
      </c>
      <c r="T3" s="89" t="s">
        <v>1953</v>
      </c>
      <c r="U3" s="89" t="s">
        <v>1953</v>
      </c>
      <c r="V3" s="89" t="s">
        <v>1953</v>
      </c>
      <c r="W3" s="89" t="s">
        <v>1953</v>
      </c>
      <c r="X3" s="89" t="s">
        <v>1953</v>
      </c>
      <c r="Y3" s="89" t="s">
        <v>1953</v>
      </c>
      <c r="Z3" s="89" t="s">
        <v>1953</v>
      </c>
      <c r="AA3" s="89" t="s">
        <v>1953</v>
      </c>
      <c r="AB3" s="89" t="s">
        <v>1953</v>
      </c>
      <c r="AC3" s="89" t="s">
        <v>1953</v>
      </c>
      <c r="AD3" s="89" t="s">
        <v>1953</v>
      </c>
      <c r="AE3" s="89" t="s">
        <v>1953</v>
      </c>
      <c r="AF3" s="89" t="s">
        <v>1953</v>
      </c>
      <c r="AG3" s="89" t="s">
        <v>1953</v>
      </c>
      <c r="AH3" s="89" t="s">
        <v>1953</v>
      </c>
      <c r="AI3" s="89" t="s">
        <v>1954</v>
      </c>
      <c r="AJ3" s="89" t="s">
        <v>1953</v>
      </c>
      <c r="AK3" s="89" t="s">
        <v>1953</v>
      </c>
      <c r="AL3" s="89" t="s">
        <v>1953</v>
      </c>
      <c r="AM3" s="89" t="s">
        <v>1953</v>
      </c>
      <c r="AN3" s="89" t="s">
        <v>1953</v>
      </c>
      <c r="AO3" s="89" t="s">
        <v>1953</v>
      </c>
      <c r="AP3" s="89" t="s">
        <v>1953</v>
      </c>
      <c r="AQ3" s="89" t="s">
        <v>1953</v>
      </c>
      <c r="AR3" s="97" t="s">
        <v>1939</v>
      </c>
      <c r="AV3" t="s">
        <v>2969</v>
      </c>
      <c r="AW3" t="str">
        <f>IFERROR(HLOOKUP($AW$1,Table3[[#All],[India]:[Dominican Republic]],ROW(Table3[[#This Row],[Default]])-1,0),"True")</f>
        <v>False</v>
      </c>
      <c r="AX3" s="65" t="s">
        <v>1954</v>
      </c>
      <c r="AY3" s="65" t="s">
        <v>1954</v>
      </c>
      <c r="AZ3" s="65" t="s">
        <v>1954</v>
      </c>
      <c r="BA3" s="65" t="s">
        <v>1954</v>
      </c>
      <c r="BB3" s="65" t="s">
        <v>1954</v>
      </c>
      <c r="BC3" s="65" t="s">
        <v>1954</v>
      </c>
      <c r="BD3" s="65" t="s">
        <v>1954</v>
      </c>
      <c r="BE3" s="65" t="s">
        <v>1954</v>
      </c>
      <c r="BF3" s="65" t="s">
        <v>1954</v>
      </c>
      <c r="BG3" s="65" t="s">
        <v>1954</v>
      </c>
      <c r="BH3" s="65" t="s">
        <v>1954</v>
      </c>
      <c r="BI3" s="65" t="s">
        <v>1954</v>
      </c>
      <c r="BJ3" s="65" t="s">
        <v>1954</v>
      </c>
      <c r="BK3" s="65" t="s">
        <v>1954</v>
      </c>
      <c r="BL3" s="65" t="s">
        <v>1954</v>
      </c>
      <c r="BM3" s="65" t="s">
        <v>1954</v>
      </c>
      <c r="BN3" s="65" t="s">
        <v>1954</v>
      </c>
      <c r="BO3" s="65" t="s">
        <v>1954</v>
      </c>
      <c r="BP3" s="65" t="s">
        <v>1954</v>
      </c>
      <c r="BQ3" s="65" t="s">
        <v>1954</v>
      </c>
      <c r="BR3" s="65" t="s">
        <v>1954</v>
      </c>
      <c r="BS3" s="65" t="s">
        <v>1954</v>
      </c>
      <c r="BT3" s="65" t="s">
        <v>1954</v>
      </c>
      <c r="BU3" s="65" t="s">
        <v>1954</v>
      </c>
      <c r="BV3" s="65" t="s">
        <v>1954</v>
      </c>
      <c r="BW3" s="65" t="s">
        <v>1954</v>
      </c>
      <c r="BZ3" t="s">
        <v>2856</v>
      </c>
      <c r="CA3" t="str">
        <f>IFERROR(HLOOKUP(CA1,Table4[[#All],[India]:[Dominican Republic]],ROW(Table4[[#This Row],[Default]])-1,0),"xlSheetVeryHidden")</f>
        <v>xlSheetVeryHidden</v>
      </c>
      <c r="CB3" s="65" t="s">
        <v>1953</v>
      </c>
      <c r="CC3" s="65" t="s">
        <v>1953</v>
      </c>
      <c r="CD3" s="65" t="s">
        <v>1953</v>
      </c>
      <c r="CE3" s="65" t="s">
        <v>1953</v>
      </c>
      <c r="CF3" s="65" t="s">
        <v>1953</v>
      </c>
      <c r="CG3" s="65" t="s">
        <v>1953</v>
      </c>
      <c r="CH3" s="65" t="s">
        <v>1953</v>
      </c>
      <c r="CI3" s="65" t="s">
        <v>1953</v>
      </c>
      <c r="CJ3" s="65" t="s">
        <v>1953</v>
      </c>
      <c r="CK3" s="65" t="s">
        <v>1953</v>
      </c>
      <c r="CL3" s="65" t="s">
        <v>1953</v>
      </c>
      <c r="CM3" s="65" t="s">
        <v>1953</v>
      </c>
      <c r="CN3" s="65" t="s">
        <v>1953</v>
      </c>
      <c r="CO3" s="65" t="s">
        <v>1953</v>
      </c>
      <c r="CP3" s="65" t="s">
        <v>1953</v>
      </c>
      <c r="CQ3" s="65" t="s">
        <v>1953</v>
      </c>
      <c r="CR3" s="65" t="s">
        <v>1953</v>
      </c>
      <c r="CS3" s="65" t="s">
        <v>1953</v>
      </c>
      <c r="CT3" s="65" t="s">
        <v>1953</v>
      </c>
      <c r="CU3" s="65" t="s">
        <v>1953</v>
      </c>
      <c r="CV3" s="65" t="s">
        <v>1953</v>
      </c>
      <c r="CW3" s="65" t="s">
        <v>1953</v>
      </c>
      <c r="CX3" s="65" t="s">
        <v>1953</v>
      </c>
      <c r="CY3" s="65" t="s">
        <v>1953</v>
      </c>
      <c r="CZ3" s="65" t="s">
        <v>1953</v>
      </c>
      <c r="DA3" s="65" t="s">
        <v>1953</v>
      </c>
    </row>
    <row r="4" spans="1:105">
      <c r="A4" s="26" t="e">
        <f ca="1">VLOOKUP(NationalID_Country3,PickLists!B:C,2,0)</f>
        <v>#N/A</v>
      </c>
      <c r="B4" s="26" t="str">
        <f ca="1">IFERROR(VLOOKUP(Table1[[#This Row],[Selected country]],$A$13:$E$38,2,0),"")</f>
        <v/>
      </c>
      <c r="C4" s="26" t="str">
        <f ca="1">IFERROR(IF(VLOOKUP(Table1[[#This Row],[Selected country]],$A$13:$E$38,3,0)="","",VLOOKUP(Table1[[#This Row],[Selected country]],$A$13:$E$38,3,0)),"")</f>
        <v/>
      </c>
      <c r="D4" s="26" t="str">
        <f ca="1">IFERROR(IF(VLOOKUP(Table1[[#This Row],[Selected country]],$A$13:$E$38,4,0)="","",VLOOKUP(Table1[[#This Row],[Selected country]],$A$13:$E$38,4,0)),"")</f>
        <v/>
      </c>
      <c r="E4" s="26" t="str">
        <f ca="1">IFERROR(IF(VLOOKUP(Table1[[#This Row],[Selected country]],$A$13:$E$38,5,0)="","",VLOOKUP(Table1[[#This Row],[Selected country]],$A$13:$E$38,5,0)),"")</f>
        <v/>
      </c>
      <c r="G4" t="s">
        <v>22</v>
      </c>
      <c r="H4" s="27" t="s">
        <v>1953</v>
      </c>
      <c r="I4" s="27" t="s">
        <v>1954</v>
      </c>
      <c r="J4" s="27" t="s">
        <v>1954</v>
      </c>
      <c r="K4" s="27" t="s">
        <v>1954</v>
      </c>
      <c r="L4" s="27" t="s">
        <v>1954</v>
      </c>
      <c r="M4" s="27" t="s">
        <v>1953</v>
      </c>
      <c r="N4" s="27" t="s">
        <v>1953</v>
      </c>
      <c r="O4" s="27" t="s">
        <v>1954</v>
      </c>
      <c r="P4" s="27" t="s">
        <v>1953</v>
      </c>
      <c r="Q4" s="27" t="s">
        <v>1953</v>
      </c>
      <c r="R4" s="27" t="s">
        <v>1953</v>
      </c>
      <c r="S4" s="27" t="s">
        <v>1953</v>
      </c>
      <c r="T4" s="27" t="s">
        <v>1953</v>
      </c>
      <c r="U4" s="27" t="s">
        <v>1953</v>
      </c>
      <c r="V4" s="27" t="s">
        <v>1954</v>
      </c>
      <c r="W4" s="27" t="s">
        <v>1953</v>
      </c>
      <c r="X4" s="27" t="s">
        <v>1953</v>
      </c>
      <c r="Y4" s="27" t="s">
        <v>1953</v>
      </c>
      <c r="Z4" s="27" t="s">
        <v>1953</v>
      </c>
      <c r="AA4" s="27" t="s">
        <v>1953</v>
      </c>
      <c r="AB4" s="27" t="s">
        <v>1953</v>
      </c>
      <c r="AC4" s="27" t="s">
        <v>1953</v>
      </c>
      <c r="AD4" s="27" t="s">
        <v>1953</v>
      </c>
      <c r="AE4" s="27" t="s">
        <v>1953</v>
      </c>
      <c r="AF4" s="27" t="s">
        <v>1953</v>
      </c>
      <c r="AG4" s="27" t="s">
        <v>1953</v>
      </c>
      <c r="AH4" s="27" t="s">
        <v>1953</v>
      </c>
      <c r="AI4" s="27" t="s">
        <v>1953</v>
      </c>
      <c r="AJ4" s="27" t="s">
        <v>1953</v>
      </c>
      <c r="AK4" s="89" t="s">
        <v>1953</v>
      </c>
      <c r="AL4" s="89" t="s">
        <v>1953</v>
      </c>
      <c r="AM4" s="89" t="s">
        <v>1953</v>
      </c>
      <c r="AN4" s="89" t="s">
        <v>1953</v>
      </c>
      <c r="AO4" s="89" t="s">
        <v>1953</v>
      </c>
      <c r="AP4" s="89" t="s">
        <v>1953</v>
      </c>
      <c r="AQ4" s="89" t="s">
        <v>1953</v>
      </c>
      <c r="AR4" t="s">
        <v>1939</v>
      </c>
      <c r="AV4" t="s">
        <v>2758</v>
      </c>
      <c r="AW4" t="str">
        <f>IFERROR(HLOOKUP($AW$1,Table3[[#All],[India]:[Dominican Republic]],ROW(Table3[[#This Row],[Default]])-1,0),"True")</f>
        <v>False</v>
      </c>
      <c r="AX4" s="65" t="s">
        <v>1954</v>
      </c>
      <c r="AY4" s="65" t="s">
        <v>1954</v>
      </c>
      <c r="AZ4" s="65" t="s">
        <v>1954</v>
      </c>
      <c r="BA4" s="65" t="s">
        <v>1954</v>
      </c>
      <c r="BB4" s="65" t="s">
        <v>1954</v>
      </c>
      <c r="BC4" s="65" t="s">
        <v>1954</v>
      </c>
      <c r="BD4" s="65" t="s">
        <v>1954</v>
      </c>
      <c r="BE4" s="65" t="s">
        <v>1954</v>
      </c>
      <c r="BF4" s="65" t="s">
        <v>1954</v>
      </c>
      <c r="BG4" s="65" t="s">
        <v>1954</v>
      </c>
      <c r="BH4" s="65" t="s">
        <v>1954</v>
      </c>
      <c r="BI4" s="65" t="s">
        <v>1954</v>
      </c>
      <c r="BJ4" s="65" t="s">
        <v>1954</v>
      </c>
      <c r="BK4" s="65" t="s">
        <v>1953</v>
      </c>
      <c r="BL4" s="65" t="s">
        <v>1954</v>
      </c>
      <c r="BM4" s="65" t="s">
        <v>1954</v>
      </c>
      <c r="BN4" s="65" t="s">
        <v>1954</v>
      </c>
      <c r="BO4" s="65" t="s">
        <v>1953</v>
      </c>
      <c r="BP4" s="65" t="s">
        <v>1954</v>
      </c>
      <c r="BQ4" s="65" t="s">
        <v>1954</v>
      </c>
      <c r="BR4" s="65" t="s">
        <v>1954</v>
      </c>
      <c r="BS4" s="65" t="s">
        <v>1954</v>
      </c>
      <c r="BT4" s="65" t="s">
        <v>1954</v>
      </c>
      <c r="BU4" s="65" t="s">
        <v>1953</v>
      </c>
      <c r="BV4" s="65" t="s">
        <v>1953</v>
      </c>
      <c r="BW4" s="65" t="s">
        <v>1953</v>
      </c>
      <c r="BZ4" t="s">
        <v>2078</v>
      </c>
      <c r="CA4" t="str">
        <f>IFERROR(HLOOKUP($CA$1,Table4[[#All],[India]:[Dominican Republic]],ROW(Table4[[#This Row],[Default]])-1,0),"True")</f>
        <v>True</v>
      </c>
      <c r="CB4" s="65" t="s">
        <v>1953</v>
      </c>
      <c r="CC4" s="65" t="s">
        <v>1953</v>
      </c>
      <c r="CD4" s="65" t="s">
        <v>1953</v>
      </c>
      <c r="CE4" s="65" t="s">
        <v>1953</v>
      </c>
      <c r="CF4" s="65" t="s">
        <v>1953</v>
      </c>
      <c r="CG4" s="65" t="s">
        <v>1953</v>
      </c>
      <c r="CH4" s="65" t="s">
        <v>1953</v>
      </c>
      <c r="CI4" s="65" t="s">
        <v>1953</v>
      </c>
      <c r="CJ4" s="65" t="s">
        <v>1953</v>
      </c>
      <c r="CK4" s="65" t="s">
        <v>1953</v>
      </c>
      <c r="CL4" s="65" t="s">
        <v>1953</v>
      </c>
      <c r="CM4" s="65" t="s">
        <v>1953</v>
      </c>
      <c r="CN4" s="65" t="s">
        <v>1953</v>
      </c>
      <c r="CO4" s="65" t="s">
        <v>1953</v>
      </c>
      <c r="CP4" s="65" t="s">
        <v>1953</v>
      </c>
      <c r="CQ4" s="65" t="s">
        <v>1953</v>
      </c>
      <c r="CR4" s="65" t="s">
        <v>1953</v>
      </c>
      <c r="CS4" s="65" t="s">
        <v>1953</v>
      </c>
      <c r="CT4" s="65" t="s">
        <v>1953</v>
      </c>
      <c r="CU4" s="65" t="s">
        <v>1953</v>
      </c>
      <c r="CV4" s="65" t="s">
        <v>1953</v>
      </c>
      <c r="CW4" s="65" t="s">
        <v>1953</v>
      </c>
      <c r="CX4" s="65" t="s">
        <v>1953</v>
      </c>
      <c r="CY4" s="65" t="s">
        <v>1953</v>
      </c>
      <c r="CZ4" s="65" t="s">
        <v>1953</v>
      </c>
      <c r="DA4" s="65" t="s">
        <v>1953</v>
      </c>
    </row>
    <row r="5" spans="1:105">
      <c r="A5" s="26" t="e">
        <f ca="1">VLOOKUP(dep_ID_cn,PickLists!B:C,2,0)</f>
        <v>#N/A</v>
      </c>
      <c r="B5" s="26" t="str">
        <f ca="1">IFERROR(VLOOKUP(Table1[[#This Row],[Selected country]],$A$13:$E$38,2,0),"")</f>
        <v/>
      </c>
      <c r="C5" s="26" t="str">
        <f ca="1">IFERROR(IF(VLOOKUP(Table1[[#This Row],[Selected country]],$A$13:$E$38,3,0)="","",VLOOKUP(Table1[[#This Row],[Selected country]],$A$13:$E$38,3,0)),"")</f>
        <v/>
      </c>
      <c r="D5" s="26" t="str">
        <f ca="1">IFERROR(IF(VLOOKUP(Table1[[#This Row],[Selected country]],$A$13:$E$38,4,0)="","",VLOOKUP(Table1[[#This Row],[Selected country]],$A$13:$E$38,4,0)),"")</f>
        <v/>
      </c>
      <c r="E5" s="26" t="str">
        <f ca="1">IFERROR(IF(VLOOKUP(Table1[[#This Row],[Selected country]],$A$13:$E$38,5,0)="","",VLOOKUP(Table1[[#This Row],[Selected country]],$A$13:$E$38,5,0)),"")</f>
        <v/>
      </c>
      <c r="G5" t="s">
        <v>332</v>
      </c>
      <c r="H5" s="27" t="s">
        <v>1953</v>
      </c>
      <c r="I5" s="27" t="s">
        <v>1954</v>
      </c>
      <c r="J5" s="27" t="s">
        <v>1953</v>
      </c>
      <c r="K5" s="27" t="s">
        <v>1954</v>
      </c>
      <c r="L5" s="27" t="s">
        <v>1954</v>
      </c>
      <c r="M5" s="27" t="s">
        <v>1953</v>
      </c>
      <c r="N5" s="27" t="s">
        <v>1953</v>
      </c>
      <c r="O5" s="27" t="s">
        <v>1954</v>
      </c>
      <c r="P5" s="27" t="s">
        <v>1953</v>
      </c>
      <c r="Q5" s="27" t="s">
        <v>1953</v>
      </c>
      <c r="R5" s="27" t="s">
        <v>1953</v>
      </c>
      <c r="S5" s="27" t="s">
        <v>1953</v>
      </c>
      <c r="T5" s="27" t="s">
        <v>1953</v>
      </c>
      <c r="U5" s="27" t="s">
        <v>1953</v>
      </c>
      <c r="V5" s="27" t="s">
        <v>1954</v>
      </c>
      <c r="W5" s="27" t="s">
        <v>1953</v>
      </c>
      <c r="X5" s="27" t="s">
        <v>1953</v>
      </c>
      <c r="Y5" s="27" t="s">
        <v>1953</v>
      </c>
      <c r="Z5" s="27" t="s">
        <v>1953</v>
      </c>
      <c r="AA5" s="27" t="s">
        <v>1953</v>
      </c>
      <c r="AB5" s="27" t="s">
        <v>1953</v>
      </c>
      <c r="AC5" s="27" t="s">
        <v>1953</v>
      </c>
      <c r="AD5" s="27" t="s">
        <v>1953</v>
      </c>
      <c r="AE5" s="27" t="s">
        <v>1953</v>
      </c>
      <c r="AF5" s="27" t="s">
        <v>1953</v>
      </c>
      <c r="AG5" s="27" t="s">
        <v>1954</v>
      </c>
      <c r="AH5" s="27" t="s">
        <v>1954</v>
      </c>
      <c r="AI5" s="27" t="s">
        <v>1953</v>
      </c>
      <c r="AJ5" s="27" t="s">
        <v>1953</v>
      </c>
      <c r="AK5" s="89" t="s">
        <v>1953</v>
      </c>
      <c r="AL5" s="89" t="s">
        <v>1953</v>
      </c>
      <c r="AM5" s="89" t="s">
        <v>1953</v>
      </c>
      <c r="AN5" s="89" t="s">
        <v>1953</v>
      </c>
      <c r="AO5" s="89" t="s">
        <v>1953</v>
      </c>
      <c r="AP5" s="89" t="s">
        <v>1953</v>
      </c>
      <c r="AQ5" s="89" t="s">
        <v>1953</v>
      </c>
      <c r="AR5" t="s">
        <v>1939</v>
      </c>
      <c r="AV5" t="s">
        <v>1968</v>
      </c>
      <c r="AW5" t="str">
        <f>IFERROR(HLOOKUP($AW$1,Table3[[#All],[India]:[Dominican Republic]],ROW(Table3[[#This Row],[Default]])-1,0),"True")</f>
        <v>True</v>
      </c>
      <c r="AX5" s="65" t="s">
        <v>1953</v>
      </c>
      <c r="AY5" s="27" t="s">
        <v>1953</v>
      </c>
      <c r="AZ5" s="65" t="s">
        <v>1953</v>
      </c>
      <c r="BA5" s="65" t="s">
        <v>1953</v>
      </c>
      <c r="BB5" s="65" t="s">
        <v>1953</v>
      </c>
      <c r="BC5" s="65" t="s">
        <v>1953</v>
      </c>
      <c r="BD5" s="65" t="s">
        <v>1953</v>
      </c>
      <c r="BE5" s="65" t="s">
        <v>1953</v>
      </c>
      <c r="BF5" s="65" t="s">
        <v>1953</v>
      </c>
      <c r="BG5" s="65" t="s">
        <v>1953</v>
      </c>
      <c r="BH5" s="65" t="s">
        <v>1953</v>
      </c>
      <c r="BI5" s="65" t="s">
        <v>1953</v>
      </c>
      <c r="BJ5" s="65" t="s">
        <v>1953</v>
      </c>
      <c r="BK5" s="65" t="s">
        <v>1953</v>
      </c>
      <c r="BL5" s="65" t="s">
        <v>1953</v>
      </c>
      <c r="BM5" s="65" t="s">
        <v>1953</v>
      </c>
      <c r="BN5" s="65" t="s">
        <v>1953</v>
      </c>
      <c r="BO5" s="65" t="s">
        <v>1953</v>
      </c>
      <c r="BP5" s="65" t="s">
        <v>1953</v>
      </c>
      <c r="BQ5" s="65" t="s">
        <v>1953</v>
      </c>
      <c r="BR5" s="65" t="s">
        <v>1953</v>
      </c>
      <c r="BS5" s="65" t="s">
        <v>1953</v>
      </c>
      <c r="BT5" s="65" t="s">
        <v>1953</v>
      </c>
      <c r="BU5" s="65" t="s">
        <v>1953</v>
      </c>
      <c r="BV5" s="65" t="s">
        <v>1953</v>
      </c>
      <c r="BW5" s="65" t="s">
        <v>1953</v>
      </c>
      <c r="BZ5" t="s">
        <v>2079</v>
      </c>
      <c r="CA5" t="str">
        <f>IFERROR(HLOOKUP($CA$1,Table4[[#All],[India]:[Dominican Republic]],ROW(Table4[[#This Row],[Default]])-1,0),"True")</f>
        <v>True</v>
      </c>
      <c r="CB5" s="65" t="s">
        <v>1953</v>
      </c>
      <c r="CC5" s="65" t="s">
        <v>1953</v>
      </c>
      <c r="CD5" s="65" t="s">
        <v>1953</v>
      </c>
      <c r="CE5" s="65" t="s">
        <v>1953</v>
      </c>
      <c r="CF5" s="65" t="s">
        <v>1953</v>
      </c>
      <c r="CG5" s="65" t="s">
        <v>1953</v>
      </c>
      <c r="CH5" s="65" t="s">
        <v>1953</v>
      </c>
      <c r="CI5" s="65" t="s">
        <v>1953</v>
      </c>
      <c r="CJ5" s="65" t="s">
        <v>1953</v>
      </c>
      <c r="CK5" s="65" t="s">
        <v>1953</v>
      </c>
      <c r="CL5" s="65" t="s">
        <v>1953</v>
      </c>
      <c r="CM5" s="65" t="s">
        <v>1953</v>
      </c>
      <c r="CN5" s="65" t="s">
        <v>1953</v>
      </c>
      <c r="CO5" s="65" t="s">
        <v>1953</v>
      </c>
      <c r="CP5" s="65" t="s">
        <v>1953</v>
      </c>
      <c r="CQ5" s="65" t="s">
        <v>1953</v>
      </c>
      <c r="CR5" s="65" t="s">
        <v>1953</v>
      </c>
      <c r="CS5" s="65" t="s">
        <v>1953</v>
      </c>
      <c r="CT5" s="65" t="s">
        <v>1954</v>
      </c>
      <c r="CU5" s="65" t="s">
        <v>1953</v>
      </c>
      <c r="CV5" s="65" t="s">
        <v>1953</v>
      </c>
      <c r="CW5" s="65" t="s">
        <v>1953</v>
      </c>
      <c r="CX5" s="65" t="s">
        <v>1953</v>
      </c>
      <c r="CY5" s="65" t="s">
        <v>1953</v>
      </c>
      <c r="CZ5" s="65" t="s">
        <v>1953</v>
      </c>
      <c r="DA5" s="65" t="s">
        <v>1953</v>
      </c>
    </row>
    <row r="6" spans="1:105">
      <c r="A6" s="26" t="e">
        <f ca="1">VLOOKUP(dep_ID_cn2,PickLists!B:C,2,0)</f>
        <v>#N/A</v>
      </c>
      <c r="B6" s="26" t="str">
        <f ca="1">IFERROR(VLOOKUP(Table1[[#This Row],[Selected country]],$A$13:$E$38,2,0),"")</f>
        <v/>
      </c>
      <c r="C6" s="26" t="str">
        <f ca="1">IFERROR(IF(VLOOKUP(Table1[[#This Row],[Selected country]],$A$13:$E$38,3,0)="","",VLOOKUP(Table1[[#This Row],[Selected country]],$A$13:$E$38,3,0)),"")</f>
        <v/>
      </c>
      <c r="D6" s="26" t="str">
        <f ca="1">IFERROR(IF(VLOOKUP(Table1[[#This Row],[Selected country]],$A$13:$E$38,4,0)="","",VLOOKUP(Table1[[#This Row],[Selected country]],$A$13:$E$38,4,0)),"")</f>
        <v/>
      </c>
      <c r="E6" s="26" t="str">
        <f ca="1">IFERROR(IF(VLOOKUP(Table1[[#This Row],[Selected country]],$A$13:$E$38,5,0)="","",VLOOKUP(Table1[[#This Row],[Selected country]],$A$13:$E$38,5,0)),"")</f>
        <v/>
      </c>
      <c r="G6" s="88" t="s">
        <v>334</v>
      </c>
      <c r="H6" s="89" t="s">
        <v>1953</v>
      </c>
      <c r="I6" s="89" t="s">
        <v>1953</v>
      </c>
      <c r="J6" s="89" t="s">
        <v>1953</v>
      </c>
      <c r="K6" s="89" t="s">
        <v>1953</v>
      </c>
      <c r="L6" s="89" t="s">
        <v>1953</v>
      </c>
      <c r="M6" s="89" t="s">
        <v>1953</v>
      </c>
      <c r="N6" s="89" t="s">
        <v>1953</v>
      </c>
      <c r="O6" s="89" t="s">
        <v>1953</v>
      </c>
      <c r="P6" s="89" t="s">
        <v>1953</v>
      </c>
      <c r="Q6" s="89" t="s">
        <v>1953</v>
      </c>
      <c r="R6" s="89" t="s">
        <v>1953</v>
      </c>
      <c r="S6" s="89" t="s">
        <v>1953</v>
      </c>
      <c r="T6" s="89" t="s">
        <v>1953</v>
      </c>
      <c r="U6" s="89" t="s">
        <v>1953</v>
      </c>
      <c r="V6" s="89" t="s">
        <v>1953</v>
      </c>
      <c r="W6" s="89" t="s">
        <v>1953</v>
      </c>
      <c r="X6" s="89" t="s">
        <v>1953</v>
      </c>
      <c r="Y6" s="89" t="s">
        <v>1953</v>
      </c>
      <c r="Z6" s="89" t="s">
        <v>1954</v>
      </c>
      <c r="AA6" s="27" t="s">
        <v>1953</v>
      </c>
      <c r="AB6" s="27" t="s">
        <v>1953</v>
      </c>
      <c r="AC6" s="27" t="s">
        <v>1953</v>
      </c>
      <c r="AD6" s="27" t="s">
        <v>1953</v>
      </c>
      <c r="AE6" s="27" t="s">
        <v>1953</v>
      </c>
      <c r="AF6" s="27" t="s">
        <v>1953</v>
      </c>
      <c r="AG6" s="27" t="s">
        <v>1953</v>
      </c>
      <c r="AH6" s="27" t="s">
        <v>1953</v>
      </c>
      <c r="AI6" s="27" t="s">
        <v>1953</v>
      </c>
      <c r="AJ6" s="27" t="s">
        <v>1953</v>
      </c>
      <c r="AK6" s="89" t="s">
        <v>1953</v>
      </c>
      <c r="AL6" s="89" t="s">
        <v>1953</v>
      </c>
      <c r="AM6" s="89" t="s">
        <v>1953</v>
      </c>
      <c r="AN6" s="89" t="s">
        <v>1953</v>
      </c>
      <c r="AO6" s="89" t="s">
        <v>1953</v>
      </c>
      <c r="AP6" s="89" t="s">
        <v>1953</v>
      </c>
      <c r="AQ6" s="89" t="s">
        <v>1953</v>
      </c>
      <c r="AR6" s="88" t="s">
        <v>1939</v>
      </c>
      <c r="AV6" t="s">
        <v>1969</v>
      </c>
      <c r="AW6" t="str">
        <f>IFERROR(HLOOKUP($AW$1,Table3[[#All],[India]:[Dominican Republic]],ROW(Table3[[#This Row],[Default]])-1,0),"True")</f>
        <v>True</v>
      </c>
      <c r="AX6" s="65" t="s">
        <v>1953</v>
      </c>
      <c r="AY6" s="27" t="s">
        <v>1953</v>
      </c>
      <c r="AZ6" s="65" t="s">
        <v>1953</v>
      </c>
      <c r="BA6" s="65" t="s">
        <v>1953</v>
      </c>
      <c r="BB6" s="65" t="s">
        <v>1953</v>
      </c>
      <c r="BC6" s="65" t="s">
        <v>1953</v>
      </c>
      <c r="BD6" s="65" t="s">
        <v>1953</v>
      </c>
      <c r="BE6" s="65" t="s">
        <v>1953</v>
      </c>
      <c r="BF6" s="65" t="s">
        <v>1953</v>
      </c>
      <c r="BG6" s="65" t="s">
        <v>1953</v>
      </c>
      <c r="BH6" s="65" t="s">
        <v>1953</v>
      </c>
      <c r="BI6" s="65" t="s">
        <v>1953</v>
      </c>
      <c r="BJ6" s="65" t="s">
        <v>1953</v>
      </c>
      <c r="BK6" s="65" t="s">
        <v>1953</v>
      </c>
      <c r="BL6" s="65" t="s">
        <v>1953</v>
      </c>
      <c r="BM6" s="65" t="s">
        <v>1953</v>
      </c>
      <c r="BN6" s="65" t="s">
        <v>1953</v>
      </c>
      <c r="BO6" s="65" t="s">
        <v>1953</v>
      </c>
      <c r="BP6" s="65" t="s">
        <v>1953</v>
      </c>
      <c r="BQ6" s="65" t="s">
        <v>1953</v>
      </c>
      <c r="BR6" s="65" t="s">
        <v>1953</v>
      </c>
      <c r="BS6" s="65" t="s">
        <v>1953</v>
      </c>
      <c r="BT6" s="65" t="s">
        <v>1953</v>
      </c>
      <c r="BU6" s="65" t="s">
        <v>1953</v>
      </c>
      <c r="BV6" s="65" t="s">
        <v>1953</v>
      </c>
      <c r="BW6" s="65" t="s">
        <v>1953</v>
      </c>
      <c r="BZ6" t="s">
        <v>1972</v>
      </c>
      <c r="CA6" t="str">
        <f>IFERROR(HLOOKUP($CA$1,Table4[[#All],[India]:[Dominican Republic]],ROW(Table4[[#This Row],[Default]])-1,0),"True")</f>
        <v>True</v>
      </c>
      <c r="CB6" s="65" t="s">
        <v>1953</v>
      </c>
      <c r="CC6" s="65" t="s">
        <v>1953</v>
      </c>
      <c r="CD6" s="65" t="s">
        <v>1954</v>
      </c>
      <c r="CE6" s="65" t="s">
        <v>1954</v>
      </c>
      <c r="CF6" s="65" t="s">
        <v>1954</v>
      </c>
      <c r="CG6" s="65" t="s">
        <v>1954</v>
      </c>
      <c r="CH6" s="65" t="s">
        <v>1954</v>
      </c>
      <c r="CI6" s="65" t="s">
        <v>1954</v>
      </c>
      <c r="CJ6" s="65" t="s">
        <v>1953</v>
      </c>
      <c r="CK6" s="65" t="s">
        <v>1953</v>
      </c>
      <c r="CL6" s="65" t="s">
        <v>1954</v>
      </c>
      <c r="CM6" s="65" t="s">
        <v>1954</v>
      </c>
      <c r="CN6" s="65" t="s">
        <v>1954</v>
      </c>
      <c r="CO6" s="65" t="s">
        <v>1954</v>
      </c>
      <c r="CP6" s="65" t="s">
        <v>1953</v>
      </c>
      <c r="CQ6" s="65" t="s">
        <v>1953</v>
      </c>
      <c r="CR6" s="65" t="s">
        <v>1953</v>
      </c>
      <c r="CS6" s="65" t="s">
        <v>1954</v>
      </c>
      <c r="CT6" s="65" t="s">
        <v>1954</v>
      </c>
      <c r="CU6" s="65" t="s">
        <v>1953</v>
      </c>
      <c r="CV6" s="65" t="s">
        <v>1953</v>
      </c>
      <c r="CW6" s="65" t="s">
        <v>1953</v>
      </c>
      <c r="CX6" s="65" t="s">
        <v>1953</v>
      </c>
      <c r="CY6" s="65" t="s">
        <v>1953</v>
      </c>
      <c r="CZ6" s="65" t="s">
        <v>1953</v>
      </c>
      <c r="DA6" s="65" t="s">
        <v>1953</v>
      </c>
    </row>
    <row r="7" spans="1:105">
      <c r="A7" s="26" t="e">
        <f ca="1">VLOOKUP(dep_ID_cn3,PickLists!B:C,2,0)</f>
        <v>#N/A</v>
      </c>
      <c r="B7" s="26" t="str">
        <f ca="1">IFERROR(VLOOKUP(Table1[[#This Row],[Selected country]],$A$13:$E$38,2,0),"")</f>
        <v/>
      </c>
      <c r="C7" s="26" t="str">
        <f ca="1">IFERROR(IF(VLOOKUP(Table1[[#This Row],[Selected country]],$A$13:$E$38,3,0)="","",VLOOKUP(Table1[[#This Row],[Selected country]],$A$13:$E$38,3,0)),"")</f>
        <v/>
      </c>
      <c r="D7" s="26" t="str">
        <f ca="1">IFERROR(IF(VLOOKUP(Table1[[#This Row],[Selected country]],$A$13:$E$38,4,0)="","",VLOOKUP(Table1[[#This Row],[Selected country]],$A$13:$E$38,4,0)),"")</f>
        <v/>
      </c>
      <c r="E7" s="26" t="str">
        <f ca="1">IFERROR(IF(VLOOKUP(Table1[[#This Row],[Selected country]],$A$13:$E$38,5,0)="","",VLOOKUP(Table1[[#This Row],[Selected country]],$A$13:$E$38,5,0)),"")</f>
        <v/>
      </c>
      <c r="G7" s="88" t="s">
        <v>335</v>
      </c>
      <c r="H7" s="89" t="s">
        <v>1953</v>
      </c>
      <c r="I7" s="89" t="s">
        <v>1953</v>
      </c>
      <c r="J7" s="89" t="s">
        <v>1953</v>
      </c>
      <c r="K7" s="89" t="s">
        <v>1953</v>
      </c>
      <c r="L7" s="89" t="s">
        <v>1953</v>
      </c>
      <c r="M7" s="89" t="s">
        <v>1953</v>
      </c>
      <c r="N7" s="89" t="s">
        <v>1953</v>
      </c>
      <c r="O7" s="89" t="s">
        <v>1954</v>
      </c>
      <c r="P7" s="89" t="s">
        <v>1953</v>
      </c>
      <c r="Q7" s="89" t="s">
        <v>1953</v>
      </c>
      <c r="R7" s="89" t="s">
        <v>1953</v>
      </c>
      <c r="S7" s="89" t="s">
        <v>1953</v>
      </c>
      <c r="T7" s="89" t="s">
        <v>1953</v>
      </c>
      <c r="U7" s="89" t="s">
        <v>1953</v>
      </c>
      <c r="V7" s="89" t="s">
        <v>1954</v>
      </c>
      <c r="W7" s="89" t="s">
        <v>1953</v>
      </c>
      <c r="X7" s="89" t="s">
        <v>1953</v>
      </c>
      <c r="Y7" s="89" t="s">
        <v>1953</v>
      </c>
      <c r="Z7" s="89" t="s">
        <v>1953</v>
      </c>
      <c r="AA7" s="89" t="s">
        <v>1953</v>
      </c>
      <c r="AB7" s="89" t="s">
        <v>1953</v>
      </c>
      <c r="AC7" s="89" t="s">
        <v>1953</v>
      </c>
      <c r="AD7" s="89" t="s">
        <v>1953</v>
      </c>
      <c r="AE7" s="89" t="s">
        <v>1953</v>
      </c>
      <c r="AF7" s="89" t="s">
        <v>1953</v>
      </c>
      <c r="AG7" s="89" t="s">
        <v>1953</v>
      </c>
      <c r="AH7" s="89" t="s">
        <v>1953</v>
      </c>
      <c r="AI7" s="89" t="s">
        <v>1953</v>
      </c>
      <c r="AJ7" s="89" t="s">
        <v>1954</v>
      </c>
      <c r="AK7" s="89" t="s">
        <v>1953</v>
      </c>
      <c r="AL7" s="89" t="s">
        <v>1953</v>
      </c>
      <c r="AM7" s="89" t="s">
        <v>1953</v>
      </c>
      <c r="AN7" s="89" t="s">
        <v>1953</v>
      </c>
      <c r="AO7" s="89" t="s">
        <v>1953</v>
      </c>
      <c r="AP7" s="89" t="s">
        <v>1953</v>
      </c>
      <c r="AQ7" s="89" t="s">
        <v>1953</v>
      </c>
      <c r="AR7" s="88" t="s">
        <v>1939</v>
      </c>
      <c r="AV7" t="s">
        <v>3074</v>
      </c>
      <c r="AW7" t="str">
        <f>IFERROR(HLOOKUP($AW$1,Table3[[#All],[India]:[Dominican Republic]],ROW(Table3[[#This Row],[Default]])-1,0),"True")</f>
        <v>False</v>
      </c>
      <c r="AX7" s="65" t="s">
        <v>1954</v>
      </c>
      <c r="AY7" s="65" t="s">
        <v>1954</v>
      </c>
      <c r="AZ7" s="65" t="s">
        <v>1954</v>
      </c>
      <c r="BA7" s="65" t="s">
        <v>1954</v>
      </c>
      <c r="BB7" s="65" t="s">
        <v>1954</v>
      </c>
      <c r="BC7" s="65" t="s">
        <v>1954</v>
      </c>
      <c r="BD7" s="65" t="s">
        <v>1954</v>
      </c>
      <c r="BE7" s="65" t="s">
        <v>1954</v>
      </c>
      <c r="BF7" s="65" t="s">
        <v>1954</v>
      </c>
      <c r="BG7" s="65" t="s">
        <v>1954</v>
      </c>
      <c r="BH7" s="65" t="s">
        <v>1954</v>
      </c>
      <c r="BI7" s="65" t="s">
        <v>1954</v>
      </c>
      <c r="BJ7" s="65" t="s">
        <v>1954</v>
      </c>
      <c r="BK7" s="65" t="s">
        <v>1954</v>
      </c>
      <c r="BL7" s="65" t="s">
        <v>1954</v>
      </c>
      <c r="BM7" s="65" t="s">
        <v>1954</v>
      </c>
      <c r="BN7" s="65" t="s">
        <v>1954</v>
      </c>
      <c r="BO7" s="65" t="s">
        <v>1954</v>
      </c>
      <c r="BP7" s="65" t="s">
        <v>1954</v>
      </c>
      <c r="BQ7" s="65" t="s">
        <v>1954</v>
      </c>
      <c r="BR7" s="65" t="s">
        <v>1954</v>
      </c>
      <c r="BS7" s="65" t="s">
        <v>1954</v>
      </c>
      <c r="BT7" s="65" t="s">
        <v>1954</v>
      </c>
      <c r="BU7" s="65" t="s">
        <v>1954</v>
      </c>
      <c r="BV7" s="65" t="s">
        <v>1954</v>
      </c>
      <c r="BW7" s="65" t="s">
        <v>1954</v>
      </c>
      <c r="BZ7" t="s">
        <v>840</v>
      </c>
      <c r="CA7" t="str">
        <f>IFERROR(HLOOKUP($CA$1,Table4[[#All],[India]:[Dominican Republic]],ROW(Table4[[#This Row],[Default]])-1,0),"True")</f>
        <v>True</v>
      </c>
      <c r="CB7" s="65" t="s">
        <v>1953</v>
      </c>
      <c r="CC7" s="65" t="s">
        <v>1953</v>
      </c>
      <c r="CD7" s="65" t="s">
        <v>1953</v>
      </c>
      <c r="CE7" s="65" t="s">
        <v>1954</v>
      </c>
      <c r="CF7" s="65" t="s">
        <v>1954</v>
      </c>
      <c r="CG7" s="65" t="s">
        <v>1954</v>
      </c>
      <c r="CH7" s="65" t="s">
        <v>1953</v>
      </c>
      <c r="CI7" s="65" t="s">
        <v>1954</v>
      </c>
      <c r="CJ7" s="65" t="s">
        <v>1953</v>
      </c>
      <c r="CK7" s="65" t="s">
        <v>1953</v>
      </c>
      <c r="CL7" s="65" t="s">
        <v>1954</v>
      </c>
      <c r="CM7" s="65" t="s">
        <v>1954</v>
      </c>
      <c r="CN7" s="65" t="s">
        <v>1954</v>
      </c>
      <c r="CO7" s="65" t="s">
        <v>1953</v>
      </c>
      <c r="CP7" s="65" t="s">
        <v>1953</v>
      </c>
      <c r="CQ7" s="65" t="s">
        <v>1953</v>
      </c>
      <c r="CR7" s="65" t="s">
        <v>1953</v>
      </c>
      <c r="CS7" s="65" t="s">
        <v>1954</v>
      </c>
      <c r="CT7" s="65" t="s">
        <v>1954</v>
      </c>
      <c r="CU7" s="65" t="s">
        <v>1953</v>
      </c>
      <c r="CV7" s="65" t="s">
        <v>1953</v>
      </c>
      <c r="CW7" s="65" t="s">
        <v>1953</v>
      </c>
      <c r="CX7" s="65" t="s">
        <v>1953</v>
      </c>
      <c r="CY7" s="65" t="s">
        <v>1953</v>
      </c>
      <c r="CZ7" s="65" t="s">
        <v>1953</v>
      </c>
      <c r="DA7" s="65" t="s">
        <v>1953</v>
      </c>
    </row>
    <row r="8" spans="1:105">
      <c r="A8" s="26" t="e">
        <f ca="1">VLOOKUP(dep_ID_cn4,PickLists!B:C,2,0)</f>
        <v>#N/A</v>
      </c>
      <c r="B8" s="26" t="str">
        <f ca="1">IFERROR(VLOOKUP(Table1[[#This Row],[Selected country]],$A$13:$E$38,2,0),"")</f>
        <v/>
      </c>
      <c r="C8" s="26" t="str">
        <f ca="1">IFERROR(IF(VLOOKUP(Table1[[#This Row],[Selected country]],$A$13:$E$38,3,0)="","",VLOOKUP(Table1[[#This Row],[Selected country]],$A$13:$E$38,3,0)),"")</f>
        <v/>
      </c>
      <c r="D8" s="26" t="str">
        <f ca="1">IFERROR(IF(VLOOKUP(Table1[[#This Row],[Selected country]],$A$13:$E$38,4,0)="","",VLOOKUP(Table1[[#This Row],[Selected country]],$A$13:$E$38,4,0)),"")</f>
        <v/>
      </c>
      <c r="E8" s="26" t="str">
        <f ca="1">IFERROR(IF(VLOOKUP(Table1[[#This Row],[Selected country]],$A$13:$E$38,5,0)="","",VLOOKUP(Table1[[#This Row],[Selected country]],$A$13:$E$38,5,0)),"")</f>
        <v/>
      </c>
      <c r="G8" s="88" t="s">
        <v>336</v>
      </c>
      <c r="H8" s="89" t="s">
        <v>1953</v>
      </c>
      <c r="I8" s="89" t="s">
        <v>1953</v>
      </c>
      <c r="J8" s="89" t="s">
        <v>1953</v>
      </c>
      <c r="K8" s="89" t="s">
        <v>1953</v>
      </c>
      <c r="L8" s="89" t="s">
        <v>1953</v>
      </c>
      <c r="M8" s="89" t="s">
        <v>1953</v>
      </c>
      <c r="N8" s="89" t="s">
        <v>1953</v>
      </c>
      <c r="O8" s="89" t="s">
        <v>1953</v>
      </c>
      <c r="P8" s="89" t="s">
        <v>1953</v>
      </c>
      <c r="Q8" s="89" t="s">
        <v>1953</v>
      </c>
      <c r="R8" s="89" t="s">
        <v>1953</v>
      </c>
      <c r="S8" s="89" t="s">
        <v>1953</v>
      </c>
      <c r="T8" s="89" t="s">
        <v>1953</v>
      </c>
      <c r="U8" s="89" t="s">
        <v>1953</v>
      </c>
      <c r="V8" s="89" t="s">
        <v>1953</v>
      </c>
      <c r="W8" s="89" t="s">
        <v>1953</v>
      </c>
      <c r="X8" s="89" t="s">
        <v>1953</v>
      </c>
      <c r="Y8" s="89" t="s">
        <v>1953</v>
      </c>
      <c r="Z8" s="89" t="s">
        <v>1953</v>
      </c>
      <c r="AA8" s="89" t="s">
        <v>1953</v>
      </c>
      <c r="AB8" s="89" t="s">
        <v>1953</v>
      </c>
      <c r="AC8" s="89" t="s">
        <v>1953</v>
      </c>
      <c r="AD8" s="89" t="s">
        <v>1953</v>
      </c>
      <c r="AE8" s="89" t="s">
        <v>1953</v>
      </c>
      <c r="AF8" s="89" t="s">
        <v>1953</v>
      </c>
      <c r="AG8" s="89" t="s">
        <v>1953</v>
      </c>
      <c r="AH8" s="89" t="s">
        <v>1953</v>
      </c>
      <c r="AI8" s="89" t="s">
        <v>1954</v>
      </c>
      <c r="AJ8" s="89" t="s">
        <v>1953</v>
      </c>
      <c r="AK8" s="89" t="s">
        <v>1953</v>
      </c>
      <c r="AL8" s="89" t="s">
        <v>1953</v>
      </c>
      <c r="AM8" s="89" t="s">
        <v>1953</v>
      </c>
      <c r="AN8" s="89" t="s">
        <v>1953</v>
      </c>
      <c r="AO8" s="89" t="s">
        <v>1954</v>
      </c>
      <c r="AP8" s="89" t="s">
        <v>1954</v>
      </c>
      <c r="AQ8" s="89" t="s">
        <v>1953</v>
      </c>
      <c r="AR8" s="88" t="s">
        <v>1939</v>
      </c>
      <c r="AV8" t="s">
        <v>3075</v>
      </c>
      <c r="AW8" t="str">
        <f>IFERROR(HLOOKUP($AW$1,Table3[[#All],[India]:[Dominican Republic]],ROW(Table3[[#This Row],[Default]])-1,0),"True")</f>
        <v>False</v>
      </c>
      <c r="AX8" s="65" t="s">
        <v>1954</v>
      </c>
      <c r="AY8" s="65" t="s">
        <v>1954</v>
      </c>
      <c r="AZ8" s="65" t="s">
        <v>1954</v>
      </c>
      <c r="BA8" s="65" t="s">
        <v>1954</v>
      </c>
      <c r="BB8" s="65" t="s">
        <v>1954</v>
      </c>
      <c r="BC8" s="65" t="s">
        <v>1954</v>
      </c>
      <c r="BD8" s="65" t="s">
        <v>1954</v>
      </c>
      <c r="BE8" s="65" t="s">
        <v>1954</v>
      </c>
      <c r="BF8" s="65" t="s">
        <v>1954</v>
      </c>
      <c r="BG8" s="65" t="s">
        <v>1954</v>
      </c>
      <c r="BH8" s="65" t="s">
        <v>1954</v>
      </c>
      <c r="BI8" s="65" t="s">
        <v>1954</v>
      </c>
      <c r="BJ8" s="65" t="s">
        <v>1954</v>
      </c>
      <c r="BK8" s="65" t="s">
        <v>1954</v>
      </c>
      <c r="BL8" s="65" t="s">
        <v>1954</v>
      </c>
      <c r="BM8" s="65" t="s">
        <v>1954</v>
      </c>
      <c r="BN8" s="65" t="s">
        <v>1954</v>
      </c>
      <c r="BO8" s="65" t="s">
        <v>1954</v>
      </c>
      <c r="BP8" s="65" t="s">
        <v>1954</v>
      </c>
      <c r="BQ8" s="65" t="s">
        <v>1954</v>
      </c>
      <c r="BR8" s="65" t="s">
        <v>1954</v>
      </c>
      <c r="BS8" s="65" t="s">
        <v>1954</v>
      </c>
      <c r="BT8" s="65" t="s">
        <v>1954</v>
      </c>
      <c r="BU8" s="65" t="s">
        <v>1954</v>
      </c>
      <c r="BV8" s="65" t="s">
        <v>1954</v>
      </c>
      <c r="BW8" s="65" t="s">
        <v>1954</v>
      </c>
      <c r="BZ8" t="s">
        <v>2972</v>
      </c>
      <c r="CA8" t="str">
        <f>IFERROR(HLOOKUP($CA$1,Table4[[#All],[India]:[Dominican Republic]],ROW(Table4[[#This Row],[Default]])-1,0),"True")</f>
        <v>True</v>
      </c>
      <c r="CB8" s="65" t="s">
        <v>1953</v>
      </c>
      <c r="CC8" s="65" t="s">
        <v>1953</v>
      </c>
      <c r="CD8" s="65" t="s">
        <v>1953</v>
      </c>
      <c r="CE8" s="65" t="s">
        <v>1953</v>
      </c>
      <c r="CF8" s="65" t="s">
        <v>1953</v>
      </c>
      <c r="CG8" s="65" t="s">
        <v>1953</v>
      </c>
      <c r="CH8" s="65" t="s">
        <v>1953</v>
      </c>
      <c r="CI8" s="65" t="s">
        <v>1953</v>
      </c>
      <c r="CJ8" s="65" t="s">
        <v>1953</v>
      </c>
      <c r="CK8" s="65" t="s">
        <v>1953</v>
      </c>
      <c r="CL8" s="65" t="s">
        <v>1953</v>
      </c>
      <c r="CM8" s="65" t="s">
        <v>1953</v>
      </c>
      <c r="CN8" s="65" t="s">
        <v>1953</v>
      </c>
      <c r="CO8" s="65" t="s">
        <v>1953</v>
      </c>
      <c r="CP8" s="65" t="s">
        <v>1953</v>
      </c>
      <c r="CQ8" s="65" t="s">
        <v>1953</v>
      </c>
      <c r="CR8" s="65" t="s">
        <v>1953</v>
      </c>
      <c r="CS8" s="65" t="s">
        <v>1953</v>
      </c>
      <c r="CT8" s="65" t="s">
        <v>1953</v>
      </c>
      <c r="CU8" s="65" t="s">
        <v>1953</v>
      </c>
      <c r="CV8" s="65" t="s">
        <v>1953</v>
      </c>
      <c r="CW8" s="65" t="s">
        <v>1953</v>
      </c>
      <c r="CX8" s="65" t="s">
        <v>1953</v>
      </c>
      <c r="CY8" s="65" t="s">
        <v>1953</v>
      </c>
      <c r="CZ8" s="65" t="s">
        <v>1953</v>
      </c>
      <c r="DA8" s="65" t="s">
        <v>1953</v>
      </c>
    </row>
    <row r="9" spans="1:105">
      <c r="A9" s="26" t="e">
        <f ca="1">VLOOKUP(dep_ID_cn5,PickLists!B:C,2,0)</f>
        <v>#N/A</v>
      </c>
      <c r="B9" s="26" t="str">
        <f ca="1">IFERROR(VLOOKUP(Table1[[#This Row],[Selected country]],$A$13:$E$38,2,0),"")</f>
        <v/>
      </c>
      <c r="C9" s="26" t="str">
        <f ca="1">IFERROR(IF(VLOOKUP(Table1[[#This Row],[Selected country]],$A$13:$E$38,3,0)="","",VLOOKUP(Table1[[#This Row],[Selected country]],$A$13:$E$38,3,0)),"")</f>
        <v/>
      </c>
      <c r="D9" s="26" t="str">
        <f ca="1">IFERROR(IF(VLOOKUP(Table1[[#This Row],[Selected country]],$A$13:$E$38,4,0)="","",VLOOKUP(Table1[[#This Row],[Selected country]],$A$13:$E$38,4,0)),"")</f>
        <v/>
      </c>
      <c r="E9" s="26" t="str">
        <f ca="1">IFERROR(IF(VLOOKUP(Table1[[#This Row],[Selected country]],$A$13:$E$38,5,0)="","",VLOOKUP(Table1[[#This Row],[Selected country]],$A$13:$E$38,5,0)),"")</f>
        <v/>
      </c>
      <c r="G9" s="88" t="s">
        <v>341</v>
      </c>
      <c r="H9" s="89" t="s">
        <v>1953</v>
      </c>
      <c r="I9" s="89" t="s">
        <v>1953</v>
      </c>
      <c r="J9" s="89" t="s">
        <v>1954</v>
      </c>
      <c r="K9" s="89" t="s">
        <v>1953</v>
      </c>
      <c r="L9" s="89" t="s">
        <v>1953</v>
      </c>
      <c r="M9" s="89" t="s">
        <v>1954</v>
      </c>
      <c r="N9" s="89" t="s">
        <v>1954</v>
      </c>
      <c r="O9" s="89" t="s">
        <v>1953</v>
      </c>
      <c r="P9" s="89" t="s">
        <v>1953</v>
      </c>
      <c r="Q9" s="89" t="s">
        <v>1953</v>
      </c>
      <c r="R9" s="89" t="s">
        <v>1953</v>
      </c>
      <c r="S9" s="89" t="s">
        <v>1953</v>
      </c>
      <c r="T9" s="89" t="s">
        <v>1953</v>
      </c>
      <c r="U9" s="89" t="s">
        <v>1953</v>
      </c>
      <c r="V9" s="89" t="s">
        <v>1953</v>
      </c>
      <c r="W9" s="89" t="s">
        <v>1953</v>
      </c>
      <c r="X9" s="89" t="s">
        <v>1953</v>
      </c>
      <c r="Y9" s="89" t="s">
        <v>1953</v>
      </c>
      <c r="Z9" s="89" t="s">
        <v>1953</v>
      </c>
      <c r="AA9" s="89" t="s">
        <v>1953</v>
      </c>
      <c r="AB9" s="89" t="s">
        <v>1953</v>
      </c>
      <c r="AC9" s="89" t="s">
        <v>1953</v>
      </c>
      <c r="AD9" s="89" t="s">
        <v>1953</v>
      </c>
      <c r="AE9" s="89" t="s">
        <v>1953</v>
      </c>
      <c r="AF9" s="89" t="s">
        <v>1953</v>
      </c>
      <c r="AG9" s="89" t="s">
        <v>1953</v>
      </c>
      <c r="AH9" s="89" t="s">
        <v>1953</v>
      </c>
      <c r="AI9" s="89" t="s">
        <v>1954</v>
      </c>
      <c r="AJ9" s="89" t="s">
        <v>1953</v>
      </c>
      <c r="AK9" s="89" t="s">
        <v>1953</v>
      </c>
      <c r="AL9" s="89" t="s">
        <v>1953</v>
      </c>
      <c r="AM9" s="89" t="s">
        <v>1953</v>
      </c>
      <c r="AN9" s="89" t="s">
        <v>1953</v>
      </c>
      <c r="AO9" s="89" t="s">
        <v>1953</v>
      </c>
      <c r="AP9" s="89" t="s">
        <v>1953</v>
      </c>
      <c r="AQ9" s="89" t="s">
        <v>1953</v>
      </c>
      <c r="AR9" s="88" t="s">
        <v>1939</v>
      </c>
      <c r="AV9" t="s">
        <v>3076</v>
      </c>
      <c r="AW9" t="str">
        <f>IFERROR(HLOOKUP($AW$1,Table3[[#All],[India]:[Dominican Republic]],ROW(Table3[[#This Row],[Default]])-1,0),"True")</f>
        <v>False</v>
      </c>
      <c r="AX9" s="65" t="s">
        <v>1954</v>
      </c>
      <c r="AY9" s="65" t="s">
        <v>1954</v>
      </c>
      <c r="AZ9" s="65" t="s">
        <v>1954</v>
      </c>
      <c r="BA9" s="65" t="s">
        <v>1954</v>
      </c>
      <c r="BB9" s="65" t="s">
        <v>1954</v>
      </c>
      <c r="BC9" s="65" t="s">
        <v>1954</v>
      </c>
      <c r="BD9" s="65" t="s">
        <v>1954</v>
      </c>
      <c r="BE9" s="65" t="s">
        <v>1954</v>
      </c>
      <c r="BF9" s="65" t="s">
        <v>1954</v>
      </c>
      <c r="BG9" s="65" t="s">
        <v>1954</v>
      </c>
      <c r="BH9" s="65" t="s">
        <v>1954</v>
      </c>
      <c r="BI9" s="65" t="s">
        <v>1954</v>
      </c>
      <c r="BJ9" s="65" t="s">
        <v>1954</v>
      </c>
      <c r="BK9" s="65" t="s">
        <v>1954</v>
      </c>
      <c r="BL9" s="65" t="s">
        <v>1954</v>
      </c>
      <c r="BM9" s="65" t="s">
        <v>1954</v>
      </c>
      <c r="BN9" s="65" t="s">
        <v>1954</v>
      </c>
      <c r="BO9" s="65" t="s">
        <v>1954</v>
      </c>
      <c r="BP9" s="65" t="s">
        <v>1954</v>
      </c>
      <c r="BQ9" s="65" t="s">
        <v>1954</v>
      </c>
      <c r="BR9" s="65" t="s">
        <v>1954</v>
      </c>
      <c r="BS9" s="65" t="s">
        <v>1954</v>
      </c>
      <c r="BT9" s="65" t="s">
        <v>1954</v>
      </c>
      <c r="BU9" s="65" t="s">
        <v>1954</v>
      </c>
      <c r="BV9" s="65" t="s">
        <v>1954</v>
      </c>
      <c r="BW9" s="65" t="s">
        <v>1954</v>
      </c>
      <c r="BZ9" t="s">
        <v>841</v>
      </c>
      <c r="CA9" t="str">
        <f>IFERROR(HLOOKUP($CA$1,Table4[[#All],[India]:[Dominican Republic]],ROW(Table4[[#This Row],[Default]])-1,0),"True")</f>
        <v>True</v>
      </c>
      <c r="CB9" s="65" t="s">
        <v>1953</v>
      </c>
      <c r="CC9" s="65" t="s">
        <v>1953</v>
      </c>
      <c r="CD9" s="65" t="s">
        <v>1953</v>
      </c>
      <c r="CE9" s="65" t="s">
        <v>1954</v>
      </c>
      <c r="CF9" s="65" t="s">
        <v>1953</v>
      </c>
      <c r="CG9" s="65" t="s">
        <v>1954</v>
      </c>
      <c r="CH9" s="65" t="s">
        <v>1953</v>
      </c>
      <c r="CI9" s="65" t="s">
        <v>1953</v>
      </c>
      <c r="CJ9" s="65" t="s">
        <v>1953</v>
      </c>
      <c r="CK9" s="65" t="s">
        <v>1953</v>
      </c>
      <c r="CL9" s="65" t="s">
        <v>1953</v>
      </c>
      <c r="CM9" s="65" t="s">
        <v>1953</v>
      </c>
      <c r="CN9" s="65" t="s">
        <v>1953</v>
      </c>
      <c r="CO9" s="65" t="s">
        <v>1953</v>
      </c>
      <c r="CP9" s="65" t="s">
        <v>1953</v>
      </c>
      <c r="CQ9" s="65" t="s">
        <v>1953</v>
      </c>
      <c r="CR9" s="65" t="s">
        <v>1953</v>
      </c>
      <c r="CS9" s="65" t="s">
        <v>1953</v>
      </c>
      <c r="CT9" s="65" t="s">
        <v>1953</v>
      </c>
      <c r="CU9" s="65" t="s">
        <v>1953</v>
      </c>
      <c r="CV9" s="65" t="s">
        <v>1953</v>
      </c>
      <c r="CW9" s="65" t="s">
        <v>1953</v>
      </c>
      <c r="CX9" s="65" t="s">
        <v>1953</v>
      </c>
      <c r="CY9" s="65" t="s">
        <v>1953</v>
      </c>
      <c r="CZ9" s="65" t="s">
        <v>1953</v>
      </c>
      <c r="DA9" s="65" t="s">
        <v>1953</v>
      </c>
    </row>
    <row r="10" spans="1:105">
      <c r="A10" s="26" t="e">
        <f ca="1">VLOOKUP(dep_ID_cn6,PickLists!B:C,2,0)</f>
        <v>#N/A</v>
      </c>
      <c r="B10" s="26" t="str">
        <f ca="1">IFERROR(VLOOKUP(Table1[[#This Row],[Selected country]],$A$13:$E$38,2,0),"")</f>
        <v/>
      </c>
      <c r="C10" s="26" t="str">
        <f ca="1">IFERROR(IF(VLOOKUP(Table1[[#This Row],[Selected country]],$A$13:$E$38,3,0)="","",VLOOKUP(Table1[[#This Row],[Selected country]],$A$13:$E$38,3,0)),"")</f>
        <v/>
      </c>
      <c r="D10" s="26" t="str">
        <f ca="1">IFERROR(IF(VLOOKUP(Table1[[#This Row],[Selected country]],$A$13:$E$38,4,0)="","",VLOOKUP(Table1[[#This Row],[Selected country]],$A$13:$E$38,4,0)),"")</f>
        <v/>
      </c>
      <c r="E10" s="26" t="str">
        <f ca="1">IFERROR(IF(VLOOKUP(Table1[[#This Row],[Selected country]],$A$13:$E$38,5,0)="","",VLOOKUP(Table1[[#This Row],[Selected country]],$A$13:$E$38,5,0)),"")</f>
        <v/>
      </c>
      <c r="G10" t="s">
        <v>342</v>
      </c>
      <c r="H10" s="27" t="s">
        <v>1953</v>
      </c>
      <c r="I10" s="27" t="s">
        <v>1953</v>
      </c>
      <c r="J10" s="27" t="s">
        <v>1953</v>
      </c>
      <c r="K10" s="27" t="s">
        <v>1953</v>
      </c>
      <c r="L10" s="27" t="s">
        <v>1954</v>
      </c>
      <c r="M10" s="27" t="s">
        <v>1953</v>
      </c>
      <c r="N10" s="27" t="s">
        <v>1953</v>
      </c>
      <c r="O10" s="27" t="s">
        <v>1954</v>
      </c>
      <c r="P10" s="27" t="s">
        <v>1953</v>
      </c>
      <c r="Q10" s="27" t="s">
        <v>1953</v>
      </c>
      <c r="R10" s="27" t="s">
        <v>1953</v>
      </c>
      <c r="S10" s="27" t="s">
        <v>1953</v>
      </c>
      <c r="T10" s="27" t="s">
        <v>1953</v>
      </c>
      <c r="U10" s="27" t="s">
        <v>1953</v>
      </c>
      <c r="V10" s="27" t="s">
        <v>1954</v>
      </c>
      <c r="W10" s="27" t="s">
        <v>1953</v>
      </c>
      <c r="X10" s="27" t="s">
        <v>1953</v>
      </c>
      <c r="Y10" s="27" t="s">
        <v>1953</v>
      </c>
      <c r="Z10" s="27" t="s">
        <v>1953</v>
      </c>
      <c r="AA10" s="27" t="s">
        <v>1953</v>
      </c>
      <c r="AB10" s="27" t="s">
        <v>1953</v>
      </c>
      <c r="AC10" s="27" t="s">
        <v>1953</v>
      </c>
      <c r="AD10" s="27" t="s">
        <v>1953</v>
      </c>
      <c r="AE10" s="27" t="s">
        <v>1953</v>
      </c>
      <c r="AF10" s="27" t="s">
        <v>1953</v>
      </c>
      <c r="AG10" s="27" t="s">
        <v>1953</v>
      </c>
      <c r="AH10" s="27" t="s">
        <v>1953</v>
      </c>
      <c r="AI10" s="27" t="s">
        <v>1953</v>
      </c>
      <c r="AJ10" s="27" t="s">
        <v>1953</v>
      </c>
      <c r="AK10" s="27" t="s">
        <v>1953</v>
      </c>
      <c r="AL10" s="27" t="s">
        <v>1953</v>
      </c>
      <c r="AM10" s="27" t="s">
        <v>1953</v>
      </c>
      <c r="AN10" s="27" t="s">
        <v>1953</v>
      </c>
      <c r="AO10" s="89" t="s">
        <v>1953</v>
      </c>
      <c r="AP10" s="89" t="s">
        <v>1953</v>
      </c>
      <c r="AQ10" s="89" t="s">
        <v>1953</v>
      </c>
      <c r="AR10" t="s">
        <v>1939</v>
      </c>
      <c r="AV10" t="s">
        <v>2983</v>
      </c>
      <c r="AW10" t="str">
        <f>IFERROR(HLOOKUP($AW$1,Table3[[#All],[India]:[Dominican Republic]],ROW(Table3[[#This Row],[Default]])-1,0),"True")</f>
        <v>False</v>
      </c>
      <c r="AX10" s="65" t="s">
        <v>1954</v>
      </c>
      <c r="AY10" s="65" t="s">
        <v>1954</v>
      </c>
      <c r="AZ10" s="65" t="s">
        <v>1954</v>
      </c>
      <c r="BA10" s="65" t="s">
        <v>1954</v>
      </c>
      <c r="BB10" s="65" t="s">
        <v>1954</v>
      </c>
      <c r="BC10" s="65" t="s">
        <v>1954</v>
      </c>
      <c r="BD10" s="65" t="s">
        <v>1954</v>
      </c>
      <c r="BE10" s="65" t="s">
        <v>1954</v>
      </c>
      <c r="BF10" s="65" t="s">
        <v>1954</v>
      </c>
      <c r="BG10" s="65" t="s">
        <v>1954</v>
      </c>
      <c r="BH10" s="65" t="s">
        <v>1954</v>
      </c>
      <c r="BI10" s="65" t="s">
        <v>1954</v>
      </c>
      <c r="BJ10" s="65" t="s">
        <v>1954</v>
      </c>
      <c r="BK10" s="65" t="s">
        <v>1954</v>
      </c>
      <c r="BL10" s="65" t="s">
        <v>1954</v>
      </c>
      <c r="BM10" s="65" t="s">
        <v>1954</v>
      </c>
      <c r="BN10" s="65" t="s">
        <v>1954</v>
      </c>
      <c r="BO10" s="65" t="s">
        <v>1954</v>
      </c>
      <c r="BP10" s="65" t="s">
        <v>1954</v>
      </c>
      <c r="BQ10" s="65" t="s">
        <v>1954</v>
      </c>
      <c r="BR10" s="65" t="s">
        <v>1954</v>
      </c>
      <c r="BS10" s="65" t="s">
        <v>1954</v>
      </c>
      <c r="BT10" s="65" t="s">
        <v>1954</v>
      </c>
      <c r="BU10" s="65" t="s">
        <v>1954</v>
      </c>
      <c r="BV10" s="65" t="s">
        <v>1954</v>
      </c>
      <c r="BW10" s="65" t="s">
        <v>1954</v>
      </c>
      <c r="BZ10" t="s">
        <v>2012</v>
      </c>
      <c r="CA10" t="str">
        <f>IFERROR(HLOOKUP($CA$1,Table4[[#All],[India]:[Dominican Republic]],ROW(Table4[[#This Row],[Default]])-1,0),"True")</f>
        <v>True</v>
      </c>
      <c r="CB10" s="65" t="s">
        <v>1954</v>
      </c>
      <c r="CC10" s="65" t="s">
        <v>1954</v>
      </c>
      <c r="CD10" s="65" t="s">
        <v>1953</v>
      </c>
      <c r="CE10" s="65" t="s">
        <v>1953</v>
      </c>
      <c r="CF10" s="65" t="s">
        <v>1953</v>
      </c>
      <c r="CG10" s="65" t="s">
        <v>1953</v>
      </c>
      <c r="CH10" s="65" t="s">
        <v>1953</v>
      </c>
      <c r="CI10" s="65" t="s">
        <v>1953</v>
      </c>
      <c r="CJ10" s="65" t="s">
        <v>1954</v>
      </c>
      <c r="CK10" s="65" t="s">
        <v>1954</v>
      </c>
      <c r="CL10" s="65" t="s">
        <v>1953</v>
      </c>
      <c r="CM10" s="65" t="s">
        <v>1954</v>
      </c>
      <c r="CN10" s="65" t="s">
        <v>1954</v>
      </c>
      <c r="CO10" s="65" t="s">
        <v>1953</v>
      </c>
      <c r="CP10" s="65" t="s">
        <v>1954</v>
      </c>
      <c r="CQ10" s="65" t="s">
        <v>1954</v>
      </c>
      <c r="CR10" s="65" t="s">
        <v>1954</v>
      </c>
      <c r="CS10" s="65" t="s">
        <v>1954</v>
      </c>
      <c r="CT10" s="65" t="s">
        <v>1954</v>
      </c>
      <c r="CU10" s="65" t="s">
        <v>1954</v>
      </c>
      <c r="CV10" s="65" t="s">
        <v>1954</v>
      </c>
      <c r="CW10" s="65" t="s">
        <v>1954</v>
      </c>
      <c r="CX10" s="65" t="s">
        <v>1954</v>
      </c>
      <c r="CY10" s="65" t="s">
        <v>1954</v>
      </c>
      <c r="CZ10" s="65" t="s">
        <v>1954</v>
      </c>
      <c r="DA10" s="65" t="s">
        <v>1954</v>
      </c>
    </row>
    <row r="11" spans="1:105">
      <c r="A11" s="26" t="e">
        <f ca="1">VLOOKUP(dep_ID_cn7,PickLists!B:C,2,0)</f>
        <v>#N/A</v>
      </c>
      <c r="B11" s="26" t="str">
        <f ca="1">IFERROR(VLOOKUP(Table1[[#This Row],[Selected country]],$A$13:$E$38,2,0),"")</f>
        <v/>
      </c>
      <c r="C11" s="26" t="str">
        <f ca="1">IFERROR(IF(VLOOKUP(Table1[[#This Row],[Selected country]],$A$13:$E$38,3,0)="","",VLOOKUP(Table1[[#This Row],[Selected country]],$A$13:$E$38,3,0)),"")</f>
        <v/>
      </c>
      <c r="D11" s="26" t="str">
        <f ca="1">IFERROR(IF(VLOOKUP(Table1[[#This Row],[Selected country]],$A$13:$E$38,4,0)="","",VLOOKUP(Table1[[#This Row],[Selected country]],$A$13:$E$38,4,0)),"")</f>
        <v/>
      </c>
      <c r="E11" s="26" t="str">
        <f ca="1">IFERROR(IF(VLOOKUP(Table1[[#This Row],[Selected country]],$A$13:$E$38,5,0)="","",VLOOKUP(Table1[[#This Row],[Selected country]],$A$13:$E$38,5,0)),"")</f>
        <v/>
      </c>
      <c r="G11" s="88" t="s">
        <v>78</v>
      </c>
      <c r="H11" s="89" t="s">
        <v>1953</v>
      </c>
      <c r="I11" s="89" t="s">
        <v>1953</v>
      </c>
      <c r="J11" s="89" t="s">
        <v>1953</v>
      </c>
      <c r="K11" s="89" t="s">
        <v>1953</v>
      </c>
      <c r="L11" s="89" t="s">
        <v>1953</v>
      </c>
      <c r="M11" s="89" t="s">
        <v>1953</v>
      </c>
      <c r="N11" s="89" t="s">
        <v>1953</v>
      </c>
      <c r="O11" s="89" t="s">
        <v>1953</v>
      </c>
      <c r="P11" s="89" t="s">
        <v>1953</v>
      </c>
      <c r="Q11" s="89" t="s">
        <v>1953</v>
      </c>
      <c r="R11" s="89" t="s">
        <v>1953</v>
      </c>
      <c r="S11" s="89" t="s">
        <v>1953</v>
      </c>
      <c r="T11" s="89" t="s">
        <v>1953</v>
      </c>
      <c r="U11" s="89" t="s">
        <v>1953</v>
      </c>
      <c r="V11" s="89" t="s">
        <v>1953</v>
      </c>
      <c r="W11" s="89" t="s">
        <v>1953</v>
      </c>
      <c r="X11" s="89" t="s">
        <v>1953</v>
      </c>
      <c r="Y11" s="89" t="s">
        <v>1953</v>
      </c>
      <c r="Z11" s="89" t="s">
        <v>1953</v>
      </c>
      <c r="AA11" s="89" t="s">
        <v>1953</v>
      </c>
      <c r="AB11" s="89" t="s">
        <v>1953</v>
      </c>
      <c r="AC11" s="89" t="s">
        <v>1953</v>
      </c>
      <c r="AD11" s="89" t="s">
        <v>1953</v>
      </c>
      <c r="AE11" s="89" t="s">
        <v>1953</v>
      </c>
      <c r="AF11" s="89" t="s">
        <v>1953</v>
      </c>
      <c r="AG11" s="89" t="s">
        <v>1953</v>
      </c>
      <c r="AH11" s="89" t="s">
        <v>1953</v>
      </c>
      <c r="AI11" s="89" t="s">
        <v>1954</v>
      </c>
      <c r="AJ11" s="89" t="s">
        <v>1954</v>
      </c>
      <c r="AK11" s="89" t="s">
        <v>1954</v>
      </c>
      <c r="AL11" s="89" t="s">
        <v>1953</v>
      </c>
      <c r="AM11" s="89" t="s">
        <v>1954</v>
      </c>
      <c r="AN11" s="89" t="s">
        <v>1954</v>
      </c>
      <c r="AO11" s="89" t="s">
        <v>1953</v>
      </c>
      <c r="AP11" s="89" t="s">
        <v>1953</v>
      </c>
      <c r="AQ11" s="89" t="s">
        <v>1953</v>
      </c>
      <c r="AR11" s="88" t="s">
        <v>1939</v>
      </c>
      <c r="AV11" t="s">
        <v>2759</v>
      </c>
      <c r="AW11" t="str">
        <f>IFERROR(HLOOKUP($AW$1,Table3[[#All],[India]:[Dominican Republic]],ROW(Table3[[#This Row],[Default]])-1,0),"True")</f>
        <v>False</v>
      </c>
      <c r="AX11" s="65" t="s">
        <v>1954</v>
      </c>
      <c r="AY11" s="65" t="s">
        <v>1954</v>
      </c>
      <c r="AZ11" s="65" t="s">
        <v>1954</v>
      </c>
      <c r="BA11" s="65" t="s">
        <v>1954</v>
      </c>
      <c r="BB11" s="65" t="s">
        <v>1954</v>
      </c>
      <c r="BC11" s="65" t="s">
        <v>1954</v>
      </c>
      <c r="BD11" s="65" t="s">
        <v>1954</v>
      </c>
      <c r="BE11" s="65" t="s">
        <v>1954</v>
      </c>
      <c r="BF11" s="65" t="s">
        <v>1954</v>
      </c>
      <c r="BG11" s="65" t="s">
        <v>1954</v>
      </c>
      <c r="BH11" s="65" t="s">
        <v>1954</v>
      </c>
      <c r="BI11" s="65" t="s">
        <v>1954</v>
      </c>
      <c r="BJ11" s="65" t="s">
        <v>1954</v>
      </c>
      <c r="BK11" s="65" t="s">
        <v>1954</v>
      </c>
      <c r="BL11" s="65" t="s">
        <v>1954</v>
      </c>
      <c r="BM11" s="65" t="s">
        <v>1954</v>
      </c>
      <c r="BN11" s="65" t="s">
        <v>1954</v>
      </c>
      <c r="BO11" s="65" t="s">
        <v>1954</v>
      </c>
      <c r="BP11" s="65" t="s">
        <v>1954</v>
      </c>
      <c r="BQ11" s="65" t="s">
        <v>1954</v>
      </c>
      <c r="BR11" s="65" t="s">
        <v>1954</v>
      </c>
      <c r="BS11" s="65" t="s">
        <v>1954</v>
      </c>
      <c r="BT11" s="65" t="s">
        <v>1954</v>
      </c>
      <c r="BU11" s="65" t="s">
        <v>1954</v>
      </c>
      <c r="BV11" s="65" t="s">
        <v>1954</v>
      </c>
      <c r="BW11" s="65" t="s">
        <v>1954</v>
      </c>
      <c r="BZ11" t="s">
        <v>2848</v>
      </c>
      <c r="CA11" t="str">
        <f>IFERROR(HLOOKUP($CA$1,Table4[[#All],[India]:[Dominican Republic]],ROW(Table4[[#This Row],[Default]])-1,0),"True")</f>
        <v>True</v>
      </c>
      <c r="CB11" s="65" t="s">
        <v>1954</v>
      </c>
      <c r="CC11" s="65" t="s">
        <v>1954</v>
      </c>
      <c r="CD11" s="65" t="s">
        <v>1954</v>
      </c>
      <c r="CE11" s="65" t="s">
        <v>1954</v>
      </c>
      <c r="CF11" s="65" t="s">
        <v>1954</v>
      </c>
      <c r="CG11" s="65" t="s">
        <v>1954</v>
      </c>
      <c r="CH11" s="65" t="s">
        <v>1954</v>
      </c>
      <c r="CI11" s="65" t="s">
        <v>1954</v>
      </c>
      <c r="CJ11" s="65" t="s">
        <v>1954</v>
      </c>
      <c r="CK11" s="65" t="s">
        <v>1954</v>
      </c>
      <c r="CL11" s="65" t="s">
        <v>1954</v>
      </c>
      <c r="CM11" s="65" t="s">
        <v>1954</v>
      </c>
      <c r="CN11" s="65" t="s">
        <v>1954</v>
      </c>
      <c r="CO11" s="65" t="s">
        <v>1954</v>
      </c>
      <c r="CP11" s="65" t="s">
        <v>1954</v>
      </c>
      <c r="CQ11" s="65" t="s">
        <v>1954</v>
      </c>
      <c r="CR11" s="65" t="s">
        <v>1954</v>
      </c>
      <c r="CS11" s="65" t="s">
        <v>1954</v>
      </c>
      <c r="CT11" s="65" t="s">
        <v>1954</v>
      </c>
      <c r="CU11" s="65" t="s">
        <v>1954</v>
      </c>
      <c r="CV11" s="65" t="s">
        <v>1954</v>
      </c>
      <c r="CW11" s="65" t="s">
        <v>1954</v>
      </c>
      <c r="CX11" s="65" t="s">
        <v>1954</v>
      </c>
      <c r="CY11" s="65" t="s">
        <v>1954</v>
      </c>
      <c r="CZ11" s="65" t="s">
        <v>1954</v>
      </c>
      <c r="DA11" s="65" t="s">
        <v>1954</v>
      </c>
    </row>
    <row r="12" spans="1:105">
      <c r="A12" s="26" t="e">
        <f ca="1">VLOOKUP(dep_ID_cn8,PickLists!B:C,2,0)</f>
        <v>#N/A</v>
      </c>
      <c r="B12" s="26" t="str">
        <f ca="1">IFERROR(VLOOKUP(Table1[[#This Row],[Selected country]],$A$13:$E$38,2,0),"")</f>
        <v/>
      </c>
      <c r="C12" s="26" t="str">
        <f ca="1">IFERROR(IF(VLOOKUP(Table1[[#This Row],[Selected country]],$A$13:$E$38,3,0)="","",VLOOKUP(Table1[[#This Row],[Selected country]],$A$13:$E$38,3,0)),"")</f>
        <v/>
      </c>
      <c r="D12" s="26" t="str">
        <f ca="1">IFERROR(IF(VLOOKUP(Table1[[#This Row],[Selected country]],$A$13:$E$38,4,0)="","",VLOOKUP(Table1[[#This Row],[Selected country]],$A$13:$E$38,4,0)),"")</f>
        <v/>
      </c>
      <c r="E12" s="26" t="str">
        <f ca="1">IFERROR(IF(VLOOKUP(Table1[[#This Row],[Selected country]],$A$13:$E$38,5,0)="","",VLOOKUP(Table1[[#This Row],[Selected country]],$A$13:$E$38,5,0)),"")</f>
        <v/>
      </c>
      <c r="G12" t="s">
        <v>86</v>
      </c>
      <c r="H12" s="27" t="s">
        <v>1953</v>
      </c>
      <c r="I12" s="27" t="s">
        <v>1953</v>
      </c>
      <c r="J12" s="27" t="s">
        <v>1953</v>
      </c>
      <c r="K12" s="27" t="s">
        <v>1953</v>
      </c>
      <c r="L12" s="27" t="s">
        <v>1954</v>
      </c>
      <c r="M12" s="27" t="s">
        <v>1953</v>
      </c>
      <c r="N12" s="27" t="s">
        <v>1954</v>
      </c>
      <c r="O12" s="27" t="s">
        <v>1953</v>
      </c>
      <c r="P12" s="27" t="s">
        <v>1953</v>
      </c>
      <c r="Q12" s="27" t="s">
        <v>1953</v>
      </c>
      <c r="R12" s="27" t="s">
        <v>1953</v>
      </c>
      <c r="S12" s="27" t="s">
        <v>1953</v>
      </c>
      <c r="T12" s="27" t="s">
        <v>1953</v>
      </c>
      <c r="U12" s="27" t="s">
        <v>1954</v>
      </c>
      <c r="V12" s="27" t="s">
        <v>1954</v>
      </c>
      <c r="W12" s="27" t="s">
        <v>1953</v>
      </c>
      <c r="X12" s="27" t="s">
        <v>1953</v>
      </c>
      <c r="Y12" s="27" t="s">
        <v>1953</v>
      </c>
      <c r="Z12" s="27" t="s">
        <v>1953</v>
      </c>
      <c r="AA12" s="27" t="s">
        <v>1953</v>
      </c>
      <c r="AB12" s="27" t="s">
        <v>1953</v>
      </c>
      <c r="AC12" s="27" t="s">
        <v>1953</v>
      </c>
      <c r="AD12" s="27" t="s">
        <v>1953</v>
      </c>
      <c r="AE12" s="27" t="s">
        <v>1953</v>
      </c>
      <c r="AF12" s="27" t="s">
        <v>1953</v>
      </c>
      <c r="AG12" s="27" t="s">
        <v>1953</v>
      </c>
      <c r="AH12" s="27" t="s">
        <v>1953</v>
      </c>
      <c r="AI12" s="27" t="s">
        <v>1953</v>
      </c>
      <c r="AJ12" s="27" t="s">
        <v>1954</v>
      </c>
      <c r="AK12" s="27" t="s">
        <v>1954</v>
      </c>
      <c r="AL12" s="27" t="s">
        <v>1953</v>
      </c>
      <c r="AM12" s="27" t="s">
        <v>1953</v>
      </c>
      <c r="AN12" s="27" t="s">
        <v>1953</v>
      </c>
      <c r="AO12" s="89" t="s">
        <v>1953</v>
      </c>
      <c r="AP12" s="89" t="s">
        <v>1953</v>
      </c>
      <c r="AQ12" s="89" t="s">
        <v>1953</v>
      </c>
      <c r="AR12" t="s">
        <v>1939</v>
      </c>
      <c r="AV12" t="s">
        <v>1970</v>
      </c>
      <c r="AW12" t="str">
        <f>IFERROR(HLOOKUP($AW$1,Table3[[#All],[India]:[Dominican Republic]],ROW(Table3[[#This Row],[Default]])-1,0),"True")</f>
        <v>True</v>
      </c>
      <c r="AX12" s="65" t="s">
        <v>1953</v>
      </c>
      <c r="AY12" s="65" t="s">
        <v>1953</v>
      </c>
      <c r="AZ12" s="65" t="s">
        <v>1953</v>
      </c>
      <c r="BA12" s="65" t="s">
        <v>1953</v>
      </c>
      <c r="BB12" s="65" t="s">
        <v>1953</v>
      </c>
      <c r="BC12" s="65" t="s">
        <v>1953</v>
      </c>
      <c r="BD12" s="65" t="s">
        <v>1953</v>
      </c>
      <c r="BE12" s="65" t="s">
        <v>1953</v>
      </c>
      <c r="BF12" s="65" t="s">
        <v>1953</v>
      </c>
      <c r="BG12" s="65" t="s">
        <v>1953</v>
      </c>
      <c r="BH12" s="65" t="s">
        <v>1953</v>
      </c>
      <c r="BI12" s="65" t="s">
        <v>1953</v>
      </c>
      <c r="BJ12" s="65" t="s">
        <v>1953</v>
      </c>
      <c r="BK12" s="65" t="s">
        <v>1953</v>
      </c>
      <c r="BL12" s="65" t="s">
        <v>1953</v>
      </c>
      <c r="BM12" s="65" t="s">
        <v>1953</v>
      </c>
      <c r="BN12" s="65" t="s">
        <v>1953</v>
      </c>
      <c r="BO12" s="65" t="s">
        <v>1953</v>
      </c>
      <c r="BP12" s="65" t="s">
        <v>1953</v>
      </c>
      <c r="BQ12" s="65" t="s">
        <v>1953</v>
      </c>
      <c r="BR12" s="65" t="s">
        <v>1953</v>
      </c>
      <c r="BS12" s="65" t="s">
        <v>1953</v>
      </c>
      <c r="BT12" s="65" t="s">
        <v>1953</v>
      </c>
      <c r="BU12" s="65" t="s">
        <v>1953</v>
      </c>
      <c r="BV12" s="65" t="s">
        <v>1953</v>
      </c>
      <c r="BW12" s="65" t="s">
        <v>1953</v>
      </c>
      <c r="BZ12" t="s">
        <v>842</v>
      </c>
      <c r="CA12" t="str">
        <f>IFERROR(HLOOKUP($CA$1,Table4[[#All],[India]:[Dominican Republic]],ROW(Table4[[#This Row],[Default]])-1,0),"True")</f>
        <v>True</v>
      </c>
      <c r="CB12" s="65" t="s">
        <v>1953</v>
      </c>
      <c r="CC12" s="65" t="s">
        <v>1953</v>
      </c>
      <c r="CD12" s="65" t="s">
        <v>1954</v>
      </c>
      <c r="CE12" s="65" t="s">
        <v>1954</v>
      </c>
      <c r="CF12" s="65" t="s">
        <v>1954</v>
      </c>
      <c r="CG12" s="65" t="s">
        <v>1954</v>
      </c>
      <c r="CH12" s="65" t="s">
        <v>1954</v>
      </c>
      <c r="CI12" s="65" t="s">
        <v>1954</v>
      </c>
      <c r="CJ12" s="65" t="s">
        <v>1953</v>
      </c>
      <c r="CK12" s="65" t="s">
        <v>1953</v>
      </c>
      <c r="CL12" s="65" t="s">
        <v>1954</v>
      </c>
      <c r="CM12" s="65" t="s">
        <v>1954</v>
      </c>
      <c r="CN12" s="65" t="s">
        <v>1954</v>
      </c>
      <c r="CO12" s="65" t="s">
        <v>1954</v>
      </c>
      <c r="CP12" s="65" t="s">
        <v>1953</v>
      </c>
      <c r="CQ12" s="65" t="s">
        <v>1953</v>
      </c>
      <c r="CR12" s="65" t="s">
        <v>1953</v>
      </c>
      <c r="CS12" s="65" t="s">
        <v>1954</v>
      </c>
      <c r="CT12" s="65" t="s">
        <v>1954</v>
      </c>
      <c r="CU12" s="65" t="s">
        <v>1953</v>
      </c>
      <c r="CV12" s="65" t="s">
        <v>1953</v>
      </c>
      <c r="CW12" s="65" t="s">
        <v>1953</v>
      </c>
      <c r="CX12" s="65" t="s">
        <v>1953</v>
      </c>
      <c r="CY12" s="65" t="s">
        <v>1953</v>
      </c>
      <c r="CZ12" s="65" t="s">
        <v>1953</v>
      </c>
      <c r="DA12" s="65" t="s">
        <v>1953</v>
      </c>
    </row>
    <row r="13" spans="1:105">
      <c r="A13" s="22" t="s">
        <v>22</v>
      </c>
      <c r="B13" s="22" t="s">
        <v>1900</v>
      </c>
      <c r="C13" s="22"/>
      <c r="D13" s="26"/>
      <c r="E13" s="22"/>
      <c r="G13" t="s">
        <v>7719</v>
      </c>
      <c r="H13" s="27" t="s">
        <v>1953</v>
      </c>
      <c r="I13" s="27" t="s">
        <v>1953</v>
      </c>
      <c r="J13" s="27" t="s">
        <v>1953</v>
      </c>
      <c r="K13" s="27" t="s">
        <v>1954</v>
      </c>
      <c r="L13" s="27" t="s">
        <v>1953</v>
      </c>
      <c r="M13" s="27" t="s">
        <v>1953</v>
      </c>
      <c r="N13" s="27" t="s">
        <v>1954</v>
      </c>
      <c r="O13" s="27" t="s">
        <v>1953</v>
      </c>
      <c r="P13" s="27" t="s">
        <v>1953</v>
      </c>
      <c r="Q13" s="27" t="s">
        <v>1953</v>
      </c>
      <c r="R13" s="27" t="s">
        <v>1953</v>
      </c>
      <c r="S13" s="27" t="s">
        <v>1953</v>
      </c>
      <c r="T13" s="27" t="s">
        <v>1953</v>
      </c>
      <c r="U13" s="27" t="s">
        <v>1953</v>
      </c>
      <c r="V13" s="27" t="s">
        <v>1954</v>
      </c>
      <c r="W13" s="27" t="s">
        <v>1953</v>
      </c>
      <c r="X13" s="27" t="s">
        <v>1953</v>
      </c>
      <c r="Y13" s="27" t="s">
        <v>1954</v>
      </c>
      <c r="Z13" s="27" t="s">
        <v>1953</v>
      </c>
      <c r="AA13" s="27" t="s">
        <v>1953</v>
      </c>
      <c r="AB13" s="27" t="s">
        <v>1953</v>
      </c>
      <c r="AC13" s="27" t="s">
        <v>1953</v>
      </c>
      <c r="AD13" s="27" t="s">
        <v>1953</v>
      </c>
      <c r="AE13" s="27" t="s">
        <v>1953</v>
      </c>
      <c r="AF13" s="27" t="s">
        <v>1953</v>
      </c>
      <c r="AG13" s="27" t="s">
        <v>1953</v>
      </c>
      <c r="AH13" s="27" t="s">
        <v>1953</v>
      </c>
      <c r="AI13" s="27" t="s">
        <v>1953</v>
      </c>
      <c r="AJ13" s="27" t="s">
        <v>1953</v>
      </c>
      <c r="AK13" s="89" t="s">
        <v>1953</v>
      </c>
      <c r="AL13" s="89" t="s">
        <v>1953</v>
      </c>
      <c r="AM13" s="89" t="s">
        <v>1953</v>
      </c>
      <c r="AN13" s="89" t="s">
        <v>1953</v>
      </c>
      <c r="AO13" s="89" t="s">
        <v>1953</v>
      </c>
      <c r="AP13" s="89" t="s">
        <v>1953</v>
      </c>
      <c r="AQ13" s="89" t="s">
        <v>1953</v>
      </c>
      <c r="AR13" t="s">
        <v>1939</v>
      </c>
      <c r="AV13" t="s">
        <v>3073</v>
      </c>
      <c r="AW13" t="str">
        <f>IFERROR(HLOOKUP($AW$1,Table3[[#All],[India]:[Dominican Republic]],ROW(Table3[[#This Row],[Default]])-1,0),"True")</f>
        <v>True</v>
      </c>
      <c r="AX13" s="65" t="s">
        <v>1953</v>
      </c>
      <c r="AY13" s="65" t="s">
        <v>1953</v>
      </c>
      <c r="AZ13" s="65" t="s">
        <v>1953</v>
      </c>
      <c r="BA13" s="65" t="s">
        <v>1953</v>
      </c>
      <c r="BB13" s="65" t="s">
        <v>1953</v>
      </c>
      <c r="BC13" s="65" t="s">
        <v>1953</v>
      </c>
      <c r="BD13" s="65" t="s">
        <v>1953</v>
      </c>
      <c r="BE13" s="65" t="s">
        <v>1953</v>
      </c>
      <c r="BF13" s="65" t="s">
        <v>1953</v>
      </c>
      <c r="BG13" s="65" t="s">
        <v>1953</v>
      </c>
      <c r="BH13" s="65" t="s">
        <v>1953</v>
      </c>
      <c r="BI13" s="65" t="s">
        <v>1953</v>
      </c>
      <c r="BJ13" s="65" t="s">
        <v>1953</v>
      </c>
      <c r="BK13" s="65" t="s">
        <v>1953</v>
      </c>
      <c r="BL13" s="65" t="s">
        <v>1953</v>
      </c>
      <c r="BM13" s="65" t="s">
        <v>1953</v>
      </c>
      <c r="BN13" s="65" t="s">
        <v>1953</v>
      </c>
      <c r="BO13" s="65" t="s">
        <v>1953</v>
      </c>
      <c r="BP13" s="65" t="s">
        <v>1953</v>
      </c>
      <c r="BQ13" s="65" t="s">
        <v>1953</v>
      </c>
      <c r="BR13" s="65" t="s">
        <v>1953</v>
      </c>
      <c r="BS13" s="65" t="s">
        <v>1953</v>
      </c>
      <c r="BT13" s="65" t="s">
        <v>1953</v>
      </c>
      <c r="BU13" s="65" t="s">
        <v>1953</v>
      </c>
      <c r="BV13" s="65" t="s">
        <v>1953</v>
      </c>
      <c r="BW13" s="65" t="s">
        <v>1953</v>
      </c>
      <c r="BZ13" t="s">
        <v>843</v>
      </c>
      <c r="CA13" t="str">
        <f>IFERROR(HLOOKUP($CA$1,Table4[[#All],[India]:[Dominican Republic]],ROW(Table4[[#This Row],[Default]])-1,0),"True")</f>
        <v>True</v>
      </c>
      <c r="CB13" s="65" t="s">
        <v>1953</v>
      </c>
      <c r="CC13" s="65" t="s">
        <v>1953</v>
      </c>
      <c r="CD13" s="65" t="s">
        <v>1954</v>
      </c>
      <c r="CE13" s="65" t="s">
        <v>1954</v>
      </c>
      <c r="CF13" s="65" t="s">
        <v>1954</v>
      </c>
      <c r="CG13" s="65" t="s">
        <v>1954</v>
      </c>
      <c r="CH13" s="65" t="s">
        <v>1954</v>
      </c>
      <c r="CI13" s="65" t="s">
        <v>1954</v>
      </c>
      <c r="CJ13" s="65" t="s">
        <v>1953</v>
      </c>
      <c r="CK13" s="65" t="s">
        <v>1953</v>
      </c>
      <c r="CL13" s="65" t="s">
        <v>1954</v>
      </c>
      <c r="CM13" s="65" t="s">
        <v>1954</v>
      </c>
      <c r="CN13" s="65" t="s">
        <v>1954</v>
      </c>
      <c r="CO13" s="65" t="s">
        <v>1954</v>
      </c>
      <c r="CP13" s="65" t="s">
        <v>1953</v>
      </c>
      <c r="CQ13" s="65" t="s">
        <v>1953</v>
      </c>
      <c r="CR13" s="65" t="s">
        <v>1953</v>
      </c>
      <c r="CS13" s="65" t="s">
        <v>1954</v>
      </c>
      <c r="CT13" s="65" t="s">
        <v>1954</v>
      </c>
      <c r="CU13" s="65" t="s">
        <v>1953</v>
      </c>
      <c r="CV13" s="65" t="s">
        <v>1953</v>
      </c>
      <c r="CW13" s="65" t="s">
        <v>1953</v>
      </c>
      <c r="CX13" s="65" t="s">
        <v>1953</v>
      </c>
      <c r="CY13" s="65" t="s">
        <v>1953</v>
      </c>
      <c r="CZ13" s="65" t="s">
        <v>1953</v>
      </c>
      <c r="DA13" s="65" t="s">
        <v>1953</v>
      </c>
    </row>
    <row r="14" spans="1:105">
      <c r="A14" s="22" t="s">
        <v>332</v>
      </c>
      <c r="B14" s="22" t="s">
        <v>1917</v>
      </c>
      <c r="C14" s="22"/>
      <c r="D14" s="22"/>
      <c r="E14" s="22"/>
      <c r="G14" t="s">
        <v>348</v>
      </c>
      <c r="H14" s="27" t="s">
        <v>1953</v>
      </c>
      <c r="I14" s="27" t="s">
        <v>1954</v>
      </c>
      <c r="J14" s="27" t="s">
        <v>1953</v>
      </c>
      <c r="K14" s="27" t="s">
        <v>1954</v>
      </c>
      <c r="L14" s="27" t="s">
        <v>1954</v>
      </c>
      <c r="M14" s="27" t="s">
        <v>1953</v>
      </c>
      <c r="N14" s="27" t="s">
        <v>1954</v>
      </c>
      <c r="O14" s="27" t="s">
        <v>1954</v>
      </c>
      <c r="P14" s="27" t="s">
        <v>1953</v>
      </c>
      <c r="Q14" s="27" t="s">
        <v>1953</v>
      </c>
      <c r="R14" s="27" t="s">
        <v>1953</v>
      </c>
      <c r="S14" s="27" t="s">
        <v>1953</v>
      </c>
      <c r="T14" s="27" t="s">
        <v>1953</v>
      </c>
      <c r="U14" s="27" t="s">
        <v>1953</v>
      </c>
      <c r="V14" s="27" t="s">
        <v>1953</v>
      </c>
      <c r="W14" s="27" t="s">
        <v>1953</v>
      </c>
      <c r="X14" s="27" t="s">
        <v>1953</v>
      </c>
      <c r="Y14" s="27" t="s">
        <v>1953</v>
      </c>
      <c r="Z14" s="27" t="s">
        <v>1953</v>
      </c>
      <c r="AA14" s="27" t="s">
        <v>1953</v>
      </c>
      <c r="AB14" s="27" t="s">
        <v>1953</v>
      </c>
      <c r="AC14" s="27" t="s">
        <v>1953</v>
      </c>
      <c r="AD14" s="27" t="s">
        <v>1953</v>
      </c>
      <c r="AE14" s="27" t="s">
        <v>1953</v>
      </c>
      <c r="AF14" s="27" t="s">
        <v>1953</v>
      </c>
      <c r="AG14" s="27" t="s">
        <v>1953</v>
      </c>
      <c r="AH14" s="27" t="s">
        <v>1953</v>
      </c>
      <c r="AI14" s="27" t="s">
        <v>1953</v>
      </c>
      <c r="AJ14" s="27" t="s">
        <v>1953</v>
      </c>
      <c r="AK14" s="89" t="s">
        <v>1953</v>
      </c>
      <c r="AL14" s="89" t="s">
        <v>1953</v>
      </c>
      <c r="AM14" s="89" t="s">
        <v>1953</v>
      </c>
      <c r="AN14" s="89" t="s">
        <v>1953</v>
      </c>
      <c r="AO14" s="89" t="s">
        <v>1953</v>
      </c>
      <c r="AP14" s="89" t="s">
        <v>1953</v>
      </c>
      <c r="AQ14" s="89" t="s">
        <v>1953</v>
      </c>
      <c r="AR14" t="s">
        <v>1939</v>
      </c>
      <c r="AV14" t="s">
        <v>834</v>
      </c>
      <c r="AW14" t="str">
        <f>IFERROR(HLOOKUP($AW$1,Table3[[#All],[India]:[Dominican Republic]],ROW(Table3[[#This Row],[Default]])-1,0),"True")</f>
        <v>False</v>
      </c>
      <c r="AX14" s="65" t="s">
        <v>1954</v>
      </c>
      <c r="AY14" s="27" t="s">
        <v>1954</v>
      </c>
      <c r="AZ14" s="65" t="s">
        <v>1954</v>
      </c>
      <c r="BA14" s="65" t="s">
        <v>1954</v>
      </c>
      <c r="BB14" s="65" t="s">
        <v>1954</v>
      </c>
      <c r="BC14" s="65" t="s">
        <v>1954</v>
      </c>
      <c r="BD14" s="65" t="s">
        <v>1954</v>
      </c>
      <c r="BE14" s="65" t="s">
        <v>1954</v>
      </c>
      <c r="BF14" s="65" t="s">
        <v>1954</v>
      </c>
      <c r="BG14" s="65" t="s">
        <v>1954</v>
      </c>
      <c r="BH14" s="65" t="s">
        <v>1954</v>
      </c>
      <c r="BI14" s="65" t="s">
        <v>1954</v>
      </c>
      <c r="BJ14" s="65" t="s">
        <v>1954</v>
      </c>
      <c r="BK14" s="65" t="s">
        <v>1954</v>
      </c>
      <c r="BL14" s="65" t="s">
        <v>1954</v>
      </c>
      <c r="BM14" s="65" t="s">
        <v>1954</v>
      </c>
      <c r="BN14" s="65" t="s">
        <v>1954</v>
      </c>
      <c r="BO14" s="65" t="s">
        <v>1954</v>
      </c>
      <c r="BP14" s="65" t="s">
        <v>1954</v>
      </c>
      <c r="BQ14" s="65" t="s">
        <v>1954</v>
      </c>
      <c r="BR14" s="65" t="s">
        <v>1954</v>
      </c>
      <c r="BS14" s="65" t="s">
        <v>1954</v>
      </c>
      <c r="BT14" s="65" t="s">
        <v>1954</v>
      </c>
      <c r="BU14" s="65" t="s">
        <v>1954</v>
      </c>
      <c r="BV14" s="65" t="s">
        <v>1954</v>
      </c>
      <c r="BW14" s="65" t="s">
        <v>1954</v>
      </c>
      <c r="BZ14" t="s">
        <v>4</v>
      </c>
      <c r="CA14" t="str">
        <f>IFERROR(HLOOKUP($CA$1,Table4[[#All],[India]:[Dominican Republic]],ROW(Table4[[#This Row],[Default]])-1,0),"True")</f>
        <v>True</v>
      </c>
      <c r="CB14" s="65" t="s">
        <v>1953</v>
      </c>
      <c r="CC14" s="65" t="s">
        <v>1953</v>
      </c>
      <c r="CD14" s="65" t="s">
        <v>1954</v>
      </c>
      <c r="CE14" s="65" t="s">
        <v>1954</v>
      </c>
      <c r="CF14" s="65" t="s">
        <v>1954</v>
      </c>
      <c r="CG14" s="65" t="s">
        <v>1954</v>
      </c>
      <c r="CH14" s="65" t="s">
        <v>1954</v>
      </c>
      <c r="CI14" s="65" t="s">
        <v>1953</v>
      </c>
      <c r="CJ14" s="65" t="s">
        <v>1953</v>
      </c>
      <c r="CK14" s="65" t="s">
        <v>1953</v>
      </c>
      <c r="CL14" s="65" t="s">
        <v>1954</v>
      </c>
      <c r="CM14" s="65" t="s">
        <v>1954</v>
      </c>
      <c r="CN14" s="65" t="s">
        <v>1954</v>
      </c>
      <c r="CO14" s="65" t="s">
        <v>1954</v>
      </c>
      <c r="CP14" s="65" t="s">
        <v>1953</v>
      </c>
      <c r="CQ14" s="65" t="s">
        <v>1953</v>
      </c>
      <c r="CR14" s="65" t="s">
        <v>1953</v>
      </c>
      <c r="CS14" s="65" t="s">
        <v>1954</v>
      </c>
      <c r="CT14" s="65" t="s">
        <v>1954</v>
      </c>
      <c r="CU14" s="65" t="s">
        <v>1953</v>
      </c>
      <c r="CV14" s="65" t="s">
        <v>1953</v>
      </c>
      <c r="CW14" s="65" t="s">
        <v>1953</v>
      </c>
      <c r="CX14" s="65" t="s">
        <v>1953</v>
      </c>
      <c r="CY14" s="65" t="s">
        <v>1953</v>
      </c>
      <c r="CZ14" s="65" t="s">
        <v>1953</v>
      </c>
      <c r="DA14" s="65" t="s">
        <v>1953</v>
      </c>
    </row>
    <row r="15" spans="1:105">
      <c r="A15" s="22" t="s">
        <v>334</v>
      </c>
      <c r="B15" s="22" t="s">
        <v>1901</v>
      </c>
      <c r="C15" s="22"/>
      <c r="D15" s="22"/>
      <c r="E15" s="22"/>
      <c r="G15" t="s">
        <v>349</v>
      </c>
      <c r="H15" s="27" t="s">
        <v>1953</v>
      </c>
      <c r="I15" s="27" t="s">
        <v>1954</v>
      </c>
      <c r="J15" s="27" t="s">
        <v>1953</v>
      </c>
      <c r="K15" s="27" t="s">
        <v>1954</v>
      </c>
      <c r="L15" s="27" t="s">
        <v>1954</v>
      </c>
      <c r="M15" s="27" t="s">
        <v>1953</v>
      </c>
      <c r="N15" s="27" t="s">
        <v>1953</v>
      </c>
      <c r="O15" s="27" t="s">
        <v>1954</v>
      </c>
      <c r="P15" s="27" t="s">
        <v>1953</v>
      </c>
      <c r="Q15" s="27" t="s">
        <v>1953</v>
      </c>
      <c r="R15" s="27" t="s">
        <v>1953</v>
      </c>
      <c r="S15" s="27" t="s">
        <v>1953</v>
      </c>
      <c r="T15" s="27" t="s">
        <v>1953</v>
      </c>
      <c r="U15" s="27" t="s">
        <v>1953</v>
      </c>
      <c r="V15" s="27" t="s">
        <v>1954</v>
      </c>
      <c r="W15" s="27" t="s">
        <v>1953</v>
      </c>
      <c r="X15" s="27" t="s">
        <v>1953</v>
      </c>
      <c r="Y15" s="27" t="s">
        <v>1953</v>
      </c>
      <c r="Z15" s="27" t="s">
        <v>1953</v>
      </c>
      <c r="AA15" s="27" t="s">
        <v>1953</v>
      </c>
      <c r="AB15" s="27" t="s">
        <v>1953</v>
      </c>
      <c r="AC15" s="27" t="s">
        <v>1953</v>
      </c>
      <c r="AD15" s="27" t="s">
        <v>1953</v>
      </c>
      <c r="AE15" s="27" t="s">
        <v>1953</v>
      </c>
      <c r="AF15" s="27" t="s">
        <v>1953</v>
      </c>
      <c r="AG15" s="27" t="s">
        <v>1953</v>
      </c>
      <c r="AH15" s="27" t="s">
        <v>1953</v>
      </c>
      <c r="AI15" s="27" t="s">
        <v>1953</v>
      </c>
      <c r="AJ15" s="27" t="s">
        <v>1953</v>
      </c>
      <c r="AK15" s="89" t="s">
        <v>1953</v>
      </c>
      <c r="AL15" s="89" t="s">
        <v>1953</v>
      </c>
      <c r="AM15" s="89" t="s">
        <v>1953</v>
      </c>
      <c r="AN15" s="89" t="s">
        <v>1953</v>
      </c>
      <c r="AO15" s="89" t="s">
        <v>1953</v>
      </c>
      <c r="AP15" s="89" t="s">
        <v>1953</v>
      </c>
      <c r="AQ15" s="89" t="s">
        <v>1953</v>
      </c>
      <c r="AR15" t="s">
        <v>1939</v>
      </c>
      <c r="AV15" t="s">
        <v>2761</v>
      </c>
      <c r="AW15" t="str">
        <f>IFERROR(HLOOKUP($AW$1,Table3[[#All],[India]:[Dominican Republic]],ROW(Table3[[#This Row],[Default]])-1,0),"True")</f>
        <v>False</v>
      </c>
      <c r="AX15" s="65" t="s">
        <v>1954</v>
      </c>
      <c r="AY15" s="27" t="s">
        <v>1954</v>
      </c>
      <c r="AZ15" s="65" t="s">
        <v>1954</v>
      </c>
      <c r="BA15" s="65" t="s">
        <v>1954</v>
      </c>
      <c r="BB15" s="65" t="s">
        <v>1954</v>
      </c>
      <c r="BC15" s="65" t="s">
        <v>1954</v>
      </c>
      <c r="BD15" s="65" t="s">
        <v>1954</v>
      </c>
      <c r="BE15" s="65" t="s">
        <v>1954</v>
      </c>
      <c r="BF15" s="65" t="s">
        <v>1954</v>
      </c>
      <c r="BG15" s="65" t="s">
        <v>1954</v>
      </c>
      <c r="BH15" s="65" t="s">
        <v>1954</v>
      </c>
      <c r="BI15" s="65" t="s">
        <v>1954</v>
      </c>
      <c r="BJ15" s="65" t="s">
        <v>1954</v>
      </c>
      <c r="BK15" s="65" t="s">
        <v>1954</v>
      </c>
      <c r="BL15" s="65" t="s">
        <v>1954</v>
      </c>
      <c r="BM15" s="65" t="s">
        <v>1954</v>
      </c>
      <c r="BN15" s="65" t="s">
        <v>1954</v>
      </c>
      <c r="BO15" s="65" t="s">
        <v>1954</v>
      </c>
      <c r="BP15" s="65" t="s">
        <v>1954</v>
      </c>
      <c r="BQ15" s="65" t="s">
        <v>1954</v>
      </c>
      <c r="BR15" s="65" t="s">
        <v>1954</v>
      </c>
      <c r="BS15" s="65" t="s">
        <v>1954</v>
      </c>
      <c r="BT15" s="65" t="s">
        <v>1954</v>
      </c>
      <c r="BU15" s="65" t="s">
        <v>1954</v>
      </c>
      <c r="BV15" s="65" t="s">
        <v>1954</v>
      </c>
      <c r="BW15" s="65" t="s">
        <v>1954</v>
      </c>
      <c r="BZ15" t="s">
        <v>3</v>
      </c>
      <c r="CA15" t="str">
        <f>IFERROR(HLOOKUP($CA$1,Table4[[#All],[India]:[Dominican Republic]],ROW(Table4[[#This Row],[Default]])-1,0),"True")</f>
        <v>True</v>
      </c>
      <c r="CB15" s="65" t="s">
        <v>1953</v>
      </c>
      <c r="CC15" s="65" t="s">
        <v>1953</v>
      </c>
      <c r="CD15" s="65" t="s">
        <v>1954</v>
      </c>
      <c r="CE15" s="65" t="s">
        <v>1954</v>
      </c>
      <c r="CF15" s="65" t="s">
        <v>1954</v>
      </c>
      <c r="CG15" s="65" t="s">
        <v>1954</v>
      </c>
      <c r="CH15" s="65" t="s">
        <v>1954</v>
      </c>
      <c r="CI15" s="65" t="s">
        <v>1954</v>
      </c>
      <c r="CJ15" s="65" t="s">
        <v>1953</v>
      </c>
      <c r="CK15" s="65" t="s">
        <v>1953</v>
      </c>
      <c r="CL15" s="65" t="s">
        <v>1954</v>
      </c>
      <c r="CM15" s="65" t="s">
        <v>1954</v>
      </c>
      <c r="CN15" s="65" t="s">
        <v>1954</v>
      </c>
      <c r="CO15" s="65" t="s">
        <v>1954</v>
      </c>
      <c r="CP15" s="65" t="s">
        <v>1953</v>
      </c>
      <c r="CQ15" s="65" t="s">
        <v>1953</v>
      </c>
      <c r="CR15" s="65" t="s">
        <v>1953</v>
      </c>
      <c r="CS15" s="65" t="s">
        <v>1954</v>
      </c>
      <c r="CT15" s="65" t="s">
        <v>1954</v>
      </c>
      <c r="CU15" s="65" t="s">
        <v>1953</v>
      </c>
      <c r="CV15" s="65" t="s">
        <v>1953</v>
      </c>
      <c r="CW15" s="65" t="s">
        <v>1953</v>
      </c>
      <c r="CX15" s="65" t="s">
        <v>1953</v>
      </c>
      <c r="CY15" s="65" t="s">
        <v>1953</v>
      </c>
      <c r="CZ15" s="65" t="s">
        <v>1953</v>
      </c>
      <c r="DA15" s="65" t="s">
        <v>1953</v>
      </c>
    </row>
    <row r="16" spans="1:105">
      <c r="A16" s="22" t="s">
        <v>335</v>
      </c>
      <c r="B16" s="22" t="s">
        <v>7863</v>
      </c>
      <c r="C16" s="22"/>
      <c r="D16" s="22"/>
      <c r="E16" s="22"/>
      <c r="G16" s="88" t="s">
        <v>353</v>
      </c>
      <c r="H16" s="89" t="s">
        <v>1953</v>
      </c>
      <c r="I16" s="89" t="s">
        <v>1953</v>
      </c>
      <c r="J16" s="89" t="s">
        <v>1953</v>
      </c>
      <c r="K16" s="89" t="s">
        <v>1953</v>
      </c>
      <c r="L16" s="89" t="s">
        <v>1953</v>
      </c>
      <c r="M16" s="89" t="s">
        <v>1953</v>
      </c>
      <c r="N16" s="89" t="s">
        <v>1953</v>
      </c>
      <c r="O16" s="89" t="s">
        <v>1954</v>
      </c>
      <c r="P16" s="89" t="s">
        <v>1953</v>
      </c>
      <c r="Q16" s="89" t="s">
        <v>1953</v>
      </c>
      <c r="R16" s="89" t="s">
        <v>1953</v>
      </c>
      <c r="S16" s="89" t="s">
        <v>1953</v>
      </c>
      <c r="T16" s="89" t="s">
        <v>1953</v>
      </c>
      <c r="U16" s="89" t="s">
        <v>1953</v>
      </c>
      <c r="V16" s="89" t="s">
        <v>1953</v>
      </c>
      <c r="W16" s="89" t="s">
        <v>1953</v>
      </c>
      <c r="X16" s="89" t="s">
        <v>1953</v>
      </c>
      <c r="Y16" s="89" t="s">
        <v>1953</v>
      </c>
      <c r="Z16" s="89" t="s">
        <v>1953</v>
      </c>
      <c r="AA16" s="89" t="s">
        <v>1954</v>
      </c>
      <c r="AB16" s="89" t="s">
        <v>1954</v>
      </c>
      <c r="AC16" s="89" t="s">
        <v>1954</v>
      </c>
      <c r="AD16" s="89" t="s">
        <v>1954</v>
      </c>
      <c r="AE16" s="89" t="s">
        <v>1954</v>
      </c>
      <c r="AF16" s="89" t="s">
        <v>1954</v>
      </c>
      <c r="AG16" s="89" t="s">
        <v>1953</v>
      </c>
      <c r="AH16" s="89" t="s">
        <v>1953</v>
      </c>
      <c r="AI16" s="27" t="s">
        <v>1953</v>
      </c>
      <c r="AJ16" s="27" t="s">
        <v>1953</v>
      </c>
      <c r="AK16" s="89" t="s">
        <v>1953</v>
      </c>
      <c r="AL16" s="89" t="s">
        <v>1953</v>
      </c>
      <c r="AM16" s="89" t="s">
        <v>1953</v>
      </c>
      <c r="AN16" s="89" t="s">
        <v>1953</v>
      </c>
      <c r="AO16" s="89" t="s">
        <v>1953</v>
      </c>
      <c r="AP16" s="89" t="s">
        <v>1953</v>
      </c>
      <c r="AQ16" s="89" t="s">
        <v>1953</v>
      </c>
      <c r="AR16" s="88" t="s">
        <v>1939</v>
      </c>
      <c r="AV16" t="s">
        <v>2988</v>
      </c>
      <c r="AW16" t="str">
        <f>IFERROR(HLOOKUP($AW$1,Table3[[#All],[India]:[Dominican Republic]],ROW(Table3[[#This Row],[Default]])-1,0),"True")</f>
        <v>True</v>
      </c>
      <c r="AX16" s="65" t="s">
        <v>1953</v>
      </c>
      <c r="AY16" s="65" t="s">
        <v>1953</v>
      </c>
      <c r="AZ16" s="65" t="s">
        <v>1953</v>
      </c>
      <c r="BA16" s="65" t="s">
        <v>1953</v>
      </c>
      <c r="BB16" s="65" t="s">
        <v>1953</v>
      </c>
      <c r="BC16" s="65" t="s">
        <v>1953</v>
      </c>
      <c r="BD16" s="65" t="s">
        <v>1953</v>
      </c>
      <c r="BE16" s="65" t="s">
        <v>1953</v>
      </c>
      <c r="BF16" s="65" t="s">
        <v>1953</v>
      </c>
      <c r="BG16" s="65" t="s">
        <v>1953</v>
      </c>
      <c r="BH16" s="65" t="s">
        <v>1953</v>
      </c>
      <c r="BI16" s="65" t="s">
        <v>1953</v>
      </c>
      <c r="BJ16" s="65" t="s">
        <v>1953</v>
      </c>
      <c r="BK16" s="65" t="s">
        <v>1953</v>
      </c>
      <c r="BL16" s="65" t="s">
        <v>1953</v>
      </c>
      <c r="BM16" s="65" t="s">
        <v>1953</v>
      </c>
      <c r="BN16" s="65" t="s">
        <v>1953</v>
      </c>
      <c r="BO16" s="65" t="s">
        <v>1953</v>
      </c>
      <c r="BP16" s="65" t="s">
        <v>1953</v>
      </c>
      <c r="BQ16" s="65" t="s">
        <v>1953</v>
      </c>
      <c r="BR16" s="65" t="s">
        <v>1953</v>
      </c>
      <c r="BS16" s="65" t="s">
        <v>1953</v>
      </c>
      <c r="BT16" s="65" t="s">
        <v>1953</v>
      </c>
      <c r="BU16" s="65" t="s">
        <v>1953</v>
      </c>
      <c r="BV16" s="65" t="s">
        <v>1953</v>
      </c>
      <c r="BW16" s="65" t="s">
        <v>1953</v>
      </c>
      <c r="BZ16" t="s">
        <v>2022</v>
      </c>
      <c r="CA16" t="str">
        <f>IFERROR(HLOOKUP($CA$1,Table4[[#All],[India]:[Dominican Republic]],ROW(Table4[[#This Row],[Default]])-1,0),"True")</f>
        <v>True</v>
      </c>
      <c r="CB16" s="65" t="s">
        <v>1953</v>
      </c>
      <c r="CC16" s="65" t="s">
        <v>1953</v>
      </c>
      <c r="CD16" s="65" t="s">
        <v>1953</v>
      </c>
      <c r="CE16" s="65" t="s">
        <v>1953</v>
      </c>
      <c r="CF16" s="65" t="s">
        <v>1953</v>
      </c>
      <c r="CG16" s="65" t="s">
        <v>1953</v>
      </c>
      <c r="CH16" s="65" t="s">
        <v>1953</v>
      </c>
      <c r="CI16" s="65" t="s">
        <v>1953</v>
      </c>
      <c r="CJ16" s="65" t="s">
        <v>1953</v>
      </c>
      <c r="CK16" s="65" t="s">
        <v>1953</v>
      </c>
      <c r="CL16" s="65" t="s">
        <v>1953</v>
      </c>
      <c r="CM16" s="65" t="s">
        <v>1953</v>
      </c>
      <c r="CN16" s="65" t="s">
        <v>1953</v>
      </c>
      <c r="CO16" s="65" t="s">
        <v>1953</v>
      </c>
      <c r="CP16" s="65" t="s">
        <v>1953</v>
      </c>
      <c r="CQ16" s="65" t="s">
        <v>1953</v>
      </c>
      <c r="CR16" s="65" t="s">
        <v>1953</v>
      </c>
      <c r="CS16" s="65" t="s">
        <v>1953</v>
      </c>
      <c r="CT16" s="65" t="s">
        <v>1953</v>
      </c>
      <c r="CU16" s="65" t="s">
        <v>1953</v>
      </c>
      <c r="CV16" s="65" t="s">
        <v>1953</v>
      </c>
      <c r="CW16" s="65" t="s">
        <v>1953</v>
      </c>
      <c r="CX16" s="65" t="s">
        <v>1953</v>
      </c>
      <c r="CY16" s="65" t="s">
        <v>1953</v>
      </c>
      <c r="CZ16" s="65" t="s">
        <v>1953</v>
      </c>
      <c r="DA16" s="65" t="s">
        <v>1953</v>
      </c>
    </row>
    <row r="17" spans="1:105">
      <c r="A17" s="22" t="s">
        <v>336</v>
      </c>
      <c r="B17" s="22" t="s">
        <v>1903</v>
      </c>
      <c r="C17" s="22" t="s">
        <v>8358</v>
      </c>
      <c r="D17" s="22" t="s">
        <v>8359</v>
      </c>
      <c r="E17" s="22"/>
      <c r="G17" t="s">
        <v>356</v>
      </c>
      <c r="H17" s="27" t="s">
        <v>1953</v>
      </c>
      <c r="I17" s="27" t="s">
        <v>1953</v>
      </c>
      <c r="J17" s="27" t="s">
        <v>1953</v>
      </c>
      <c r="K17" s="27" t="s">
        <v>1954</v>
      </c>
      <c r="L17" s="27" t="s">
        <v>1954</v>
      </c>
      <c r="M17" s="27" t="s">
        <v>1953</v>
      </c>
      <c r="N17" s="27" t="s">
        <v>1953</v>
      </c>
      <c r="O17" s="27" t="s">
        <v>1954</v>
      </c>
      <c r="P17" s="27" t="s">
        <v>1953</v>
      </c>
      <c r="Q17" s="27" t="s">
        <v>1953</v>
      </c>
      <c r="R17" s="27" t="s">
        <v>1953</v>
      </c>
      <c r="S17" s="27" t="s">
        <v>1953</v>
      </c>
      <c r="T17" s="27" t="s">
        <v>1953</v>
      </c>
      <c r="U17" s="27" t="s">
        <v>1953</v>
      </c>
      <c r="V17" s="27" t="s">
        <v>1953</v>
      </c>
      <c r="W17" s="27" t="s">
        <v>1954</v>
      </c>
      <c r="X17" s="27" t="s">
        <v>1954</v>
      </c>
      <c r="Y17" s="27" t="s">
        <v>1953</v>
      </c>
      <c r="Z17" s="27" t="s">
        <v>1953</v>
      </c>
      <c r="AA17" s="27" t="s">
        <v>1953</v>
      </c>
      <c r="AB17" s="27" t="s">
        <v>1953</v>
      </c>
      <c r="AC17" s="27" t="s">
        <v>1953</v>
      </c>
      <c r="AD17" s="27" t="s">
        <v>1953</v>
      </c>
      <c r="AE17" s="27" t="s">
        <v>1953</v>
      </c>
      <c r="AF17" s="27" t="s">
        <v>1953</v>
      </c>
      <c r="AG17" s="27" t="s">
        <v>1953</v>
      </c>
      <c r="AH17" s="27" t="s">
        <v>1953</v>
      </c>
      <c r="AI17" s="27" t="s">
        <v>1953</v>
      </c>
      <c r="AJ17" s="27" t="s">
        <v>1953</v>
      </c>
      <c r="AK17" s="89" t="s">
        <v>1953</v>
      </c>
      <c r="AL17" s="89" t="s">
        <v>1953</v>
      </c>
      <c r="AM17" s="89" t="s">
        <v>1953</v>
      </c>
      <c r="AN17" s="89" t="s">
        <v>1953</v>
      </c>
      <c r="AO17" s="89" t="s">
        <v>1953</v>
      </c>
      <c r="AP17" s="89" t="s">
        <v>1953</v>
      </c>
      <c r="AQ17" s="89" t="s">
        <v>1953</v>
      </c>
      <c r="AR17" t="s">
        <v>1939</v>
      </c>
      <c r="AV17" t="s">
        <v>835</v>
      </c>
      <c r="AW17" t="str">
        <f>IFERROR(HLOOKUP($AW$1,Table3[[#All],[India]:[Dominican Republic]],ROW(Table3[[#This Row],[Default]])-1,0),"True")</f>
        <v>False</v>
      </c>
      <c r="AX17" s="65" t="s">
        <v>1954</v>
      </c>
      <c r="AY17" s="65" t="s">
        <v>1954</v>
      </c>
      <c r="AZ17" s="65" t="s">
        <v>1954</v>
      </c>
      <c r="BA17" s="65" t="s">
        <v>1954</v>
      </c>
      <c r="BB17" s="65" t="s">
        <v>1954</v>
      </c>
      <c r="BC17" s="65" t="s">
        <v>1954</v>
      </c>
      <c r="BD17" s="65" t="s">
        <v>1954</v>
      </c>
      <c r="BE17" s="65" t="s">
        <v>1954</v>
      </c>
      <c r="BF17" s="65" t="s">
        <v>1954</v>
      </c>
      <c r="BG17" s="65" t="s">
        <v>1954</v>
      </c>
      <c r="BH17" s="65" t="s">
        <v>1954</v>
      </c>
      <c r="BI17" s="65" t="s">
        <v>1954</v>
      </c>
      <c r="BJ17" s="65" t="s">
        <v>1954</v>
      </c>
      <c r="BK17" s="65" t="s">
        <v>1954</v>
      </c>
      <c r="BL17" s="65" t="s">
        <v>1954</v>
      </c>
      <c r="BM17" s="65" t="s">
        <v>1954</v>
      </c>
      <c r="BN17" s="65" t="s">
        <v>1954</v>
      </c>
      <c r="BO17" s="65" t="s">
        <v>1954</v>
      </c>
      <c r="BP17" s="65" t="s">
        <v>1954</v>
      </c>
      <c r="BQ17" s="65" t="s">
        <v>1954</v>
      </c>
      <c r="BR17" s="65" t="s">
        <v>1954</v>
      </c>
      <c r="BS17" s="65" t="s">
        <v>1954</v>
      </c>
      <c r="BT17" s="65" t="s">
        <v>1954</v>
      </c>
      <c r="BU17" s="65" t="s">
        <v>1954</v>
      </c>
      <c r="BV17" s="65" t="s">
        <v>1954</v>
      </c>
      <c r="BW17" s="65" t="s">
        <v>1954</v>
      </c>
      <c r="BZ17" t="s">
        <v>2023</v>
      </c>
      <c r="CA17" t="str">
        <f>IFERROR(HLOOKUP($CA$1,Table4[[#All],[India]:[Dominican Republic]],ROW(Table4[[#This Row],[Default]])-1,0),"True")</f>
        <v>True</v>
      </c>
      <c r="CB17" s="65" t="s">
        <v>1953</v>
      </c>
      <c r="CC17" s="65" t="s">
        <v>1953</v>
      </c>
      <c r="CD17" s="65" t="s">
        <v>1953</v>
      </c>
      <c r="CE17" s="65" t="s">
        <v>1953</v>
      </c>
      <c r="CF17" s="65" t="s">
        <v>1953</v>
      </c>
      <c r="CG17" s="65" t="s">
        <v>1953</v>
      </c>
      <c r="CH17" s="65" t="s">
        <v>1953</v>
      </c>
      <c r="CI17" s="65" t="s">
        <v>1953</v>
      </c>
      <c r="CJ17" s="65" t="s">
        <v>1953</v>
      </c>
      <c r="CK17" s="65" t="s">
        <v>1953</v>
      </c>
      <c r="CL17" s="65" t="s">
        <v>1953</v>
      </c>
      <c r="CM17" s="65" t="s">
        <v>1953</v>
      </c>
      <c r="CN17" s="65" t="s">
        <v>1953</v>
      </c>
      <c r="CO17" s="65" t="s">
        <v>1953</v>
      </c>
      <c r="CP17" s="65" t="s">
        <v>1953</v>
      </c>
      <c r="CQ17" s="65" t="s">
        <v>1953</v>
      </c>
      <c r="CR17" s="65" t="s">
        <v>1953</v>
      </c>
      <c r="CS17" s="65" t="s">
        <v>1953</v>
      </c>
      <c r="CT17" s="65" t="s">
        <v>1953</v>
      </c>
      <c r="CU17" s="65" t="s">
        <v>1953</v>
      </c>
      <c r="CV17" s="65" t="s">
        <v>1953</v>
      </c>
      <c r="CW17" s="65" t="s">
        <v>1953</v>
      </c>
      <c r="CX17" s="65" t="s">
        <v>1953</v>
      </c>
      <c r="CY17" s="65" t="s">
        <v>1953</v>
      </c>
      <c r="CZ17" s="65" t="s">
        <v>1953</v>
      </c>
      <c r="DA17" s="65" t="s">
        <v>1953</v>
      </c>
    </row>
    <row r="18" spans="1:105">
      <c r="A18" s="22" t="s">
        <v>341</v>
      </c>
      <c r="B18" s="22" t="s">
        <v>1904</v>
      </c>
      <c r="C18" s="22"/>
      <c r="D18" s="22"/>
      <c r="E18" s="22"/>
      <c r="G18" t="s">
        <v>357</v>
      </c>
      <c r="H18" s="27" t="s">
        <v>1953</v>
      </c>
      <c r="I18" s="27" t="s">
        <v>1954</v>
      </c>
      <c r="J18" s="27" t="s">
        <v>1953</v>
      </c>
      <c r="K18" s="27" t="s">
        <v>1953</v>
      </c>
      <c r="L18" s="27" t="s">
        <v>1954</v>
      </c>
      <c r="M18" s="27" t="s">
        <v>1953</v>
      </c>
      <c r="N18" s="27" t="s">
        <v>1953</v>
      </c>
      <c r="O18" s="27" t="s">
        <v>1954</v>
      </c>
      <c r="P18" s="27" t="s">
        <v>1953</v>
      </c>
      <c r="Q18" s="27" t="s">
        <v>1953</v>
      </c>
      <c r="R18" s="27" t="s">
        <v>1953</v>
      </c>
      <c r="S18" s="27" t="s">
        <v>1953</v>
      </c>
      <c r="T18" s="27" t="s">
        <v>1953</v>
      </c>
      <c r="U18" s="27" t="s">
        <v>1953</v>
      </c>
      <c r="V18" s="27" t="s">
        <v>1954</v>
      </c>
      <c r="W18" s="27" t="s">
        <v>1953</v>
      </c>
      <c r="X18" s="27" t="s">
        <v>1953</v>
      </c>
      <c r="Y18" s="27" t="s">
        <v>1953</v>
      </c>
      <c r="Z18" s="27" t="s">
        <v>1953</v>
      </c>
      <c r="AA18" s="27" t="s">
        <v>1953</v>
      </c>
      <c r="AB18" s="27" t="s">
        <v>1953</v>
      </c>
      <c r="AC18" s="27" t="s">
        <v>1953</v>
      </c>
      <c r="AD18" s="27" t="s">
        <v>1953</v>
      </c>
      <c r="AE18" s="27" t="s">
        <v>1953</v>
      </c>
      <c r="AF18" s="27" t="s">
        <v>1953</v>
      </c>
      <c r="AG18" s="27" t="s">
        <v>1953</v>
      </c>
      <c r="AH18" s="27" t="s">
        <v>1953</v>
      </c>
      <c r="AI18" s="27" t="s">
        <v>1953</v>
      </c>
      <c r="AJ18" s="27" t="s">
        <v>1954</v>
      </c>
      <c r="AK18" s="89" t="s">
        <v>1953</v>
      </c>
      <c r="AL18" s="89" t="s">
        <v>1953</v>
      </c>
      <c r="AM18" s="89" t="s">
        <v>1953</v>
      </c>
      <c r="AN18" s="89" t="s">
        <v>1953</v>
      </c>
      <c r="AO18" s="89" t="s">
        <v>1953</v>
      </c>
      <c r="AP18" s="89" t="s">
        <v>1953</v>
      </c>
      <c r="AQ18" s="89" t="s">
        <v>1953</v>
      </c>
      <c r="AR18" t="s">
        <v>1939</v>
      </c>
      <c r="AV18" t="s">
        <v>2762</v>
      </c>
      <c r="AW18" t="str">
        <f>IFERROR(HLOOKUP($AW$1,Table3[[#All],[India]:[Dominican Republic]],ROW(Table3[[#This Row],[Default]])-1,0),"True")</f>
        <v>False</v>
      </c>
      <c r="AX18" s="65" t="s">
        <v>1954</v>
      </c>
      <c r="AY18" s="65" t="s">
        <v>1954</v>
      </c>
      <c r="AZ18" s="65" t="s">
        <v>1954</v>
      </c>
      <c r="BA18" s="65" t="s">
        <v>1954</v>
      </c>
      <c r="BB18" s="65" t="s">
        <v>1954</v>
      </c>
      <c r="BC18" s="65" t="s">
        <v>1954</v>
      </c>
      <c r="BD18" s="65" t="s">
        <v>1954</v>
      </c>
      <c r="BE18" s="65" t="s">
        <v>1954</v>
      </c>
      <c r="BF18" s="65" t="s">
        <v>1954</v>
      </c>
      <c r="BG18" s="65" t="s">
        <v>1954</v>
      </c>
      <c r="BH18" s="65" t="s">
        <v>1954</v>
      </c>
      <c r="BI18" s="65" t="s">
        <v>1954</v>
      </c>
      <c r="BJ18" s="65" t="s">
        <v>1954</v>
      </c>
      <c r="BK18" s="65" t="s">
        <v>1954</v>
      </c>
      <c r="BL18" s="65" t="s">
        <v>1954</v>
      </c>
      <c r="BM18" s="65" t="s">
        <v>1954</v>
      </c>
      <c r="BN18" s="65" t="s">
        <v>1954</v>
      </c>
      <c r="BO18" s="65" t="s">
        <v>1954</v>
      </c>
      <c r="BP18" s="65" t="s">
        <v>1954</v>
      </c>
      <c r="BQ18" s="65" t="s">
        <v>1954</v>
      </c>
      <c r="BR18" s="65" t="s">
        <v>1954</v>
      </c>
      <c r="BS18" s="65" t="s">
        <v>1954</v>
      </c>
      <c r="BT18" s="65" t="s">
        <v>1954</v>
      </c>
      <c r="BU18" s="65" t="s">
        <v>1954</v>
      </c>
      <c r="BV18" s="65" t="s">
        <v>1954</v>
      </c>
      <c r="BW18" s="65" t="s">
        <v>1954</v>
      </c>
      <c r="BZ18" t="s">
        <v>2676</v>
      </c>
      <c r="CA18" t="str">
        <f>IFERROR(HLOOKUP($CA$1,Table4[[#All],[India]:[Dominican Republic]],ROW(Table4[[#This Row],[Default]])-1,0),"True")</f>
        <v>True</v>
      </c>
      <c r="CB18" s="65" t="s">
        <v>1953</v>
      </c>
      <c r="CC18" s="65" t="s">
        <v>1953</v>
      </c>
      <c r="CD18" s="65" t="s">
        <v>1953</v>
      </c>
      <c r="CE18" s="65" t="s">
        <v>1953</v>
      </c>
      <c r="CF18" s="65" t="s">
        <v>1953</v>
      </c>
      <c r="CG18" s="65" t="s">
        <v>1953</v>
      </c>
      <c r="CH18" s="65" t="s">
        <v>1953</v>
      </c>
      <c r="CI18" s="65" t="s">
        <v>1953</v>
      </c>
      <c r="CJ18" s="65" t="s">
        <v>1953</v>
      </c>
      <c r="CK18" s="65" t="s">
        <v>1953</v>
      </c>
      <c r="CL18" s="65" t="s">
        <v>1953</v>
      </c>
      <c r="CM18" s="65" t="s">
        <v>1953</v>
      </c>
      <c r="CN18" s="65" t="s">
        <v>1953</v>
      </c>
      <c r="CO18" s="65" t="s">
        <v>1953</v>
      </c>
      <c r="CP18" s="65" t="s">
        <v>1953</v>
      </c>
      <c r="CQ18" s="65" t="s">
        <v>1953</v>
      </c>
      <c r="CR18" s="65" t="s">
        <v>1953</v>
      </c>
      <c r="CS18" s="65" t="s">
        <v>1953</v>
      </c>
      <c r="CT18" s="65" t="s">
        <v>1953</v>
      </c>
      <c r="CU18" s="65" t="s">
        <v>1953</v>
      </c>
      <c r="CV18" s="65" t="s">
        <v>1953</v>
      </c>
      <c r="CW18" s="65" t="s">
        <v>1953</v>
      </c>
      <c r="CX18" s="65" t="s">
        <v>1953</v>
      </c>
      <c r="CY18" s="65" t="s">
        <v>1953</v>
      </c>
      <c r="CZ18" s="65" t="s">
        <v>1953</v>
      </c>
      <c r="DA18" s="65" t="s">
        <v>1953</v>
      </c>
    </row>
    <row r="19" spans="1:105">
      <c r="A19" s="22" t="s">
        <v>342</v>
      </c>
      <c r="B19" s="22" t="s">
        <v>1905</v>
      </c>
      <c r="C19" s="22"/>
      <c r="D19" s="22"/>
      <c r="E19" s="22"/>
      <c r="G19" t="s">
        <v>134</v>
      </c>
      <c r="H19" s="27" t="s">
        <v>1953</v>
      </c>
      <c r="I19" s="27" t="s">
        <v>1953</v>
      </c>
      <c r="J19" s="27" t="s">
        <v>1953</v>
      </c>
      <c r="K19" s="27" t="s">
        <v>1953</v>
      </c>
      <c r="L19" s="27" t="s">
        <v>1953</v>
      </c>
      <c r="M19" s="27" t="s">
        <v>1953</v>
      </c>
      <c r="N19" s="27" t="s">
        <v>1954</v>
      </c>
      <c r="O19" s="27" t="s">
        <v>1953</v>
      </c>
      <c r="P19" s="27" t="s">
        <v>1953</v>
      </c>
      <c r="Q19" s="27" t="s">
        <v>1953</v>
      </c>
      <c r="R19" s="27" t="s">
        <v>1953</v>
      </c>
      <c r="S19" s="27" t="s">
        <v>1953</v>
      </c>
      <c r="T19" s="27" t="s">
        <v>1953</v>
      </c>
      <c r="U19" s="27" t="s">
        <v>1953</v>
      </c>
      <c r="V19" s="27" t="s">
        <v>1953</v>
      </c>
      <c r="W19" s="27" t="s">
        <v>1954</v>
      </c>
      <c r="X19" s="27" t="s">
        <v>1954</v>
      </c>
      <c r="Y19" s="27" t="s">
        <v>1953</v>
      </c>
      <c r="Z19" s="27" t="s">
        <v>1953</v>
      </c>
      <c r="AA19" s="27" t="s">
        <v>1953</v>
      </c>
      <c r="AB19" s="27" t="s">
        <v>1953</v>
      </c>
      <c r="AC19" s="27" t="s">
        <v>1953</v>
      </c>
      <c r="AD19" s="27" t="s">
        <v>1953</v>
      </c>
      <c r="AE19" s="27" t="s">
        <v>1953</v>
      </c>
      <c r="AF19" s="27" t="s">
        <v>1953</v>
      </c>
      <c r="AG19" s="27" t="s">
        <v>1953</v>
      </c>
      <c r="AH19" s="27" t="s">
        <v>1953</v>
      </c>
      <c r="AI19" s="27" t="s">
        <v>1953</v>
      </c>
      <c r="AJ19" s="27" t="s">
        <v>1954</v>
      </c>
      <c r="AK19" s="89" t="s">
        <v>1954</v>
      </c>
      <c r="AL19" s="89" t="s">
        <v>1953</v>
      </c>
      <c r="AM19" s="89" t="s">
        <v>1953</v>
      </c>
      <c r="AN19" s="89" t="s">
        <v>1953</v>
      </c>
      <c r="AO19" s="89" t="s">
        <v>1953</v>
      </c>
      <c r="AP19" s="89" t="s">
        <v>1953</v>
      </c>
      <c r="AQ19" s="89" t="s">
        <v>1953</v>
      </c>
      <c r="AR19" t="s">
        <v>1939</v>
      </c>
      <c r="AV19" t="s">
        <v>2668</v>
      </c>
      <c r="AW19" t="str">
        <f>IFERROR(HLOOKUP($AW$1,Table3[[#All],[India]:[Dominican Republic]],ROW(Table3[[#This Row],[Default]])-1,0),"True")</f>
        <v>True</v>
      </c>
      <c r="AX19" s="65" t="s">
        <v>1953</v>
      </c>
      <c r="AY19" s="65" t="s">
        <v>1953</v>
      </c>
      <c r="AZ19" s="65" t="s">
        <v>1953</v>
      </c>
      <c r="BA19" s="65" t="s">
        <v>1953</v>
      </c>
      <c r="BB19" s="65" t="s">
        <v>1953</v>
      </c>
      <c r="BC19" s="65" t="s">
        <v>1953</v>
      </c>
      <c r="BD19" s="65" t="s">
        <v>1953</v>
      </c>
      <c r="BE19" s="65" t="s">
        <v>1953</v>
      </c>
      <c r="BF19" s="65" t="s">
        <v>1953</v>
      </c>
      <c r="BG19" s="65" t="s">
        <v>1953</v>
      </c>
      <c r="BH19" s="65" t="s">
        <v>1953</v>
      </c>
      <c r="BI19" s="65" t="s">
        <v>1953</v>
      </c>
      <c r="BJ19" s="65" t="s">
        <v>1953</v>
      </c>
      <c r="BK19" s="65" t="s">
        <v>1953</v>
      </c>
      <c r="BL19" s="65" t="s">
        <v>1953</v>
      </c>
      <c r="BM19" s="65" t="s">
        <v>1953</v>
      </c>
      <c r="BN19" s="65" t="s">
        <v>1953</v>
      </c>
      <c r="BO19" s="65" t="s">
        <v>1953</v>
      </c>
      <c r="BP19" s="65" t="s">
        <v>1953</v>
      </c>
      <c r="BQ19" s="65" t="s">
        <v>1953</v>
      </c>
      <c r="BR19" s="65" t="s">
        <v>1953</v>
      </c>
      <c r="BS19" s="65" t="s">
        <v>1953</v>
      </c>
      <c r="BT19" s="65" t="s">
        <v>1953</v>
      </c>
      <c r="BU19" s="65" t="s">
        <v>1953</v>
      </c>
      <c r="BV19" s="65" t="s">
        <v>1953</v>
      </c>
      <c r="BW19" s="65" t="s">
        <v>1953</v>
      </c>
      <c r="BZ19" t="s">
        <v>2677</v>
      </c>
      <c r="CA19" t="str">
        <f>IFERROR(HLOOKUP($CA$1,Table4[[#All],[India]:[Dominican Republic]],ROW(Table4[[#This Row],[Default]])-1,0),"True")</f>
        <v>True</v>
      </c>
      <c r="CB19" s="65" t="s">
        <v>1953</v>
      </c>
      <c r="CC19" s="65" t="s">
        <v>1953</v>
      </c>
      <c r="CD19" s="65" t="s">
        <v>1953</v>
      </c>
      <c r="CE19" s="65" t="s">
        <v>1953</v>
      </c>
      <c r="CF19" s="65" t="s">
        <v>1953</v>
      </c>
      <c r="CG19" s="65" t="s">
        <v>1953</v>
      </c>
      <c r="CH19" s="65" t="s">
        <v>1953</v>
      </c>
      <c r="CI19" s="65" t="s">
        <v>1953</v>
      </c>
      <c r="CJ19" s="65" t="s">
        <v>1953</v>
      </c>
      <c r="CK19" s="65" t="s">
        <v>1953</v>
      </c>
      <c r="CL19" s="65" t="s">
        <v>1953</v>
      </c>
      <c r="CM19" s="65" t="s">
        <v>1953</v>
      </c>
      <c r="CN19" s="65" t="s">
        <v>1953</v>
      </c>
      <c r="CO19" s="65" t="s">
        <v>1953</v>
      </c>
      <c r="CP19" s="65" t="s">
        <v>1953</v>
      </c>
      <c r="CQ19" s="65" t="s">
        <v>1953</v>
      </c>
      <c r="CR19" s="65" t="s">
        <v>1953</v>
      </c>
      <c r="CS19" s="65" t="s">
        <v>1953</v>
      </c>
      <c r="CT19" s="65" t="s">
        <v>1953</v>
      </c>
      <c r="CU19" s="65" t="s">
        <v>1953</v>
      </c>
      <c r="CV19" s="65" t="s">
        <v>1953</v>
      </c>
      <c r="CW19" s="65" t="s">
        <v>1953</v>
      </c>
      <c r="CX19" s="65" t="s">
        <v>1953</v>
      </c>
      <c r="CY19" s="65" t="s">
        <v>1953</v>
      </c>
      <c r="CZ19" s="65" t="s">
        <v>1953</v>
      </c>
      <c r="DA19" s="65" t="s">
        <v>1953</v>
      </c>
    </row>
    <row r="20" spans="1:105">
      <c r="A20" s="22" t="s">
        <v>78</v>
      </c>
      <c r="B20" s="22" t="s">
        <v>1906</v>
      </c>
      <c r="C20" s="22" t="s">
        <v>7928</v>
      </c>
      <c r="D20" s="22" t="s">
        <v>7930</v>
      </c>
      <c r="E20" s="22"/>
      <c r="G20" t="s">
        <v>141</v>
      </c>
      <c r="H20" s="27" t="s">
        <v>1953</v>
      </c>
      <c r="I20" s="27" t="s">
        <v>1954</v>
      </c>
      <c r="J20" s="27" t="s">
        <v>1953</v>
      </c>
      <c r="K20" s="27" t="s">
        <v>1954</v>
      </c>
      <c r="L20" s="27" t="s">
        <v>1954</v>
      </c>
      <c r="M20" s="27" t="s">
        <v>1953</v>
      </c>
      <c r="N20" s="27" t="s">
        <v>1953</v>
      </c>
      <c r="O20" s="27" t="s">
        <v>1954</v>
      </c>
      <c r="P20" s="27" t="s">
        <v>1953</v>
      </c>
      <c r="Q20" s="27" t="s">
        <v>1953</v>
      </c>
      <c r="R20" s="27" t="s">
        <v>1953</v>
      </c>
      <c r="S20" s="27" t="s">
        <v>1953</v>
      </c>
      <c r="T20" s="27" t="s">
        <v>1953</v>
      </c>
      <c r="U20" s="27" t="s">
        <v>1953</v>
      </c>
      <c r="V20" s="27" t="s">
        <v>1954</v>
      </c>
      <c r="W20" s="27" t="s">
        <v>1953</v>
      </c>
      <c r="X20" s="27" t="s">
        <v>1953</v>
      </c>
      <c r="Y20" s="27" t="s">
        <v>1953</v>
      </c>
      <c r="Z20" s="27" t="s">
        <v>1953</v>
      </c>
      <c r="AA20" s="27" t="s">
        <v>1953</v>
      </c>
      <c r="AB20" s="27" t="s">
        <v>1953</v>
      </c>
      <c r="AC20" s="27" t="s">
        <v>1953</v>
      </c>
      <c r="AD20" s="27" t="s">
        <v>1953</v>
      </c>
      <c r="AE20" s="27" t="s">
        <v>1953</v>
      </c>
      <c r="AF20" s="27" t="s">
        <v>1953</v>
      </c>
      <c r="AG20" s="27" t="s">
        <v>1953</v>
      </c>
      <c r="AH20" s="27" t="s">
        <v>1953</v>
      </c>
      <c r="AI20" s="27" t="s">
        <v>1953</v>
      </c>
      <c r="AJ20" s="27" t="s">
        <v>1953</v>
      </c>
      <c r="AK20" s="89" t="s">
        <v>1953</v>
      </c>
      <c r="AL20" s="89" t="s">
        <v>1953</v>
      </c>
      <c r="AM20" s="89" t="s">
        <v>1953</v>
      </c>
      <c r="AN20" s="89" t="s">
        <v>1953</v>
      </c>
      <c r="AO20" s="89" t="s">
        <v>1953</v>
      </c>
      <c r="AP20" s="89" t="s">
        <v>1953</v>
      </c>
      <c r="AQ20" s="89" t="s">
        <v>1953</v>
      </c>
      <c r="AR20" t="s">
        <v>1939</v>
      </c>
      <c r="AV20" t="s">
        <v>2669</v>
      </c>
      <c r="AW20" t="str">
        <f>IFERROR(HLOOKUP($AW$1,Table3[[#All],[India]:[Dominican Republic]],ROW(Table3[[#This Row],[Default]])-1,0),"True")</f>
        <v>True</v>
      </c>
      <c r="AX20" s="65" t="s">
        <v>1953</v>
      </c>
      <c r="AY20" s="65" t="s">
        <v>1953</v>
      </c>
      <c r="AZ20" s="65" t="s">
        <v>1953</v>
      </c>
      <c r="BA20" s="65" t="s">
        <v>1953</v>
      </c>
      <c r="BB20" s="65" t="s">
        <v>1953</v>
      </c>
      <c r="BC20" s="65" t="s">
        <v>1953</v>
      </c>
      <c r="BD20" s="65" t="s">
        <v>1953</v>
      </c>
      <c r="BE20" s="65" t="s">
        <v>1953</v>
      </c>
      <c r="BF20" s="65" t="s">
        <v>1953</v>
      </c>
      <c r="BG20" s="65" t="s">
        <v>1953</v>
      </c>
      <c r="BH20" s="65" t="s">
        <v>1953</v>
      </c>
      <c r="BI20" s="65" t="s">
        <v>1953</v>
      </c>
      <c r="BJ20" s="65" t="s">
        <v>1953</v>
      </c>
      <c r="BK20" s="65" t="s">
        <v>1953</v>
      </c>
      <c r="BL20" s="65" t="s">
        <v>1953</v>
      </c>
      <c r="BM20" s="65" t="s">
        <v>1953</v>
      </c>
      <c r="BN20" s="65" t="s">
        <v>1953</v>
      </c>
      <c r="BO20" s="65" t="s">
        <v>1953</v>
      </c>
      <c r="BP20" s="65" t="s">
        <v>1953</v>
      </c>
      <c r="BQ20" s="65" t="s">
        <v>1953</v>
      </c>
      <c r="BR20" s="65" t="s">
        <v>1953</v>
      </c>
      <c r="BS20" s="65" t="s">
        <v>1953</v>
      </c>
      <c r="BT20" s="65" t="s">
        <v>1953</v>
      </c>
      <c r="BU20" s="65" t="s">
        <v>1953</v>
      </c>
      <c r="BV20" s="65" t="s">
        <v>1953</v>
      </c>
      <c r="BW20" s="65" t="s">
        <v>1953</v>
      </c>
      <c r="BZ20" t="s">
        <v>2678</v>
      </c>
      <c r="CA20" t="str">
        <f>IFERROR(HLOOKUP($CA$1,Table4[[#All],[India]:[Dominican Republic]],ROW(Table4[[#This Row],[Default]])-1,0),"True")</f>
        <v>True</v>
      </c>
      <c r="CB20" s="65" t="s">
        <v>1953</v>
      </c>
      <c r="CC20" s="65" t="s">
        <v>1953</v>
      </c>
      <c r="CD20" s="65" t="s">
        <v>1953</v>
      </c>
      <c r="CE20" s="65" t="s">
        <v>1953</v>
      </c>
      <c r="CF20" s="65" t="s">
        <v>1953</v>
      </c>
      <c r="CG20" s="65" t="s">
        <v>1953</v>
      </c>
      <c r="CH20" s="65" t="s">
        <v>1953</v>
      </c>
      <c r="CI20" s="65" t="s">
        <v>1953</v>
      </c>
      <c r="CJ20" s="65" t="s">
        <v>1953</v>
      </c>
      <c r="CK20" s="65" t="s">
        <v>1953</v>
      </c>
      <c r="CL20" s="65" t="s">
        <v>1953</v>
      </c>
      <c r="CM20" s="65" t="s">
        <v>1953</v>
      </c>
      <c r="CN20" s="65" t="s">
        <v>1953</v>
      </c>
      <c r="CO20" s="65" t="s">
        <v>1953</v>
      </c>
      <c r="CP20" s="65" t="s">
        <v>1953</v>
      </c>
      <c r="CQ20" s="65" t="s">
        <v>1953</v>
      </c>
      <c r="CR20" s="65" t="s">
        <v>1953</v>
      </c>
      <c r="CS20" s="65" t="s">
        <v>1953</v>
      </c>
      <c r="CT20" s="65" t="s">
        <v>1953</v>
      </c>
      <c r="CU20" s="65" t="s">
        <v>1953</v>
      </c>
      <c r="CV20" s="65" t="s">
        <v>1953</v>
      </c>
      <c r="CW20" s="65" t="s">
        <v>1953</v>
      </c>
      <c r="CX20" s="65" t="s">
        <v>1953</v>
      </c>
      <c r="CY20" s="65" t="s">
        <v>1953</v>
      </c>
      <c r="CZ20" s="65" t="s">
        <v>1953</v>
      </c>
      <c r="DA20" s="65" t="s">
        <v>1953</v>
      </c>
    </row>
    <row r="21" spans="1:105">
      <c r="A21" s="22" t="s">
        <v>86</v>
      </c>
      <c r="B21" s="22" t="s">
        <v>1907</v>
      </c>
      <c r="C21" s="22" t="s">
        <v>7928</v>
      </c>
      <c r="D21" s="22" t="s">
        <v>7929</v>
      </c>
      <c r="E21" s="22" t="s">
        <v>7930</v>
      </c>
      <c r="G21" t="s">
        <v>147</v>
      </c>
      <c r="H21" s="27" t="s">
        <v>1953</v>
      </c>
      <c r="I21" s="27" t="s">
        <v>1953</v>
      </c>
      <c r="J21" s="27" t="s">
        <v>1954</v>
      </c>
      <c r="K21" s="27" t="s">
        <v>1953</v>
      </c>
      <c r="L21" s="27" t="s">
        <v>1954</v>
      </c>
      <c r="M21" s="27" t="s">
        <v>1953</v>
      </c>
      <c r="N21" s="27" t="s">
        <v>1954</v>
      </c>
      <c r="O21" s="27" t="s">
        <v>1954</v>
      </c>
      <c r="P21" s="27" t="s">
        <v>1953</v>
      </c>
      <c r="Q21" s="27" t="s">
        <v>1953</v>
      </c>
      <c r="R21" s="27" t="s">
        <v>1953</v>
      </c>
      <c r="S21" s="27" t="s">
        <v>1953</v>
      </c>
      <c r="T21" s="27" t="s">
        <v>1953</v>
      </c>
      <c r="U21" s="27" t="s">
        <v>1953</v>
      </c>
      <c r="V21" s="27" t="s">
        <v>1954</v>
      </c>
      <c r="W21" s="27" t="s">
        <v>1953</v>
      </c>
      <c r="X21" s="27" t="s">
        <v>1953</v>
      </c>
      <c r="Y21" s="27" t="s">
        <v>1953</v>
      </c>
      <c r="Z21" s="27" t="s">
        <v>1953</v>
      </c>
      <c r="AA21" s="27" t="s">
        <v>1953</v>
      </c>
      <c r="AB21" s="27" t="s">
        <v>1953</v>
      </c>
      <c r="AC21" s="27" t="s">
        <v>1953</v>
      </c>
      <c r="AD21" s="27" t="s">
        <v>1953</v>
      </c>
      <c r="AE21" s="27" t="s">
        <v>1953</v>
      </c>
      <c r="AF21" s="27" t="s">
        <v>1953</v>
      </c>
      <c r="AG21" s="27" t="s">
        <v>1953</v>
      </c>
      <c r="AH21" s="27" t="s">
        <v>1953</v>
      </c>
      <c r="AI21" s="27" t="s">
        <v>1953</v>
      </c>
      <c r="AJ21" s="27" t="s">
        <v>1953</v>
      </c>
      <c r="AK21" s="89" t="s">
        <v>1953</v>
      </c>
      <c r="AL21" s="89" t="s">
        <v>1954</v>
      </c>
      <c r="AM21" s="89" t="s">
        <v>1953</v>
      </c>
      <c r="AN21" s="89" t="s">
        <v>1953</v>
      </c>
      <c r="AO21" s="89" t="s">
        <v>1953</v>
      </c>
      <c r="AP21" s="89" t="s">
        <v>1953</v>
      </c>
      <c r="AQ21" s="89" t="s">
        <v>1953</v>
      </c>
      <c r="AR21" t="s">
        <v>1939</v>
      </c>
      <c r="AV21" t="s">
        <v>2670</v>
      </c>
      <c r="AW21" t="str">
        <f>IFERROR(HLOOKUP($AW$1,Table3[[#All],[India]:[Dominican Republic]],ROW(Table3[[#This Row],[Default]])-1,0),"True")</f>
        <v>True</v>
      </c>
      <c r="AX21" s="65" t="s">
        <v>1953</v>
      </c>
      <c r="AY21" s="65" t="s">
        <v>1953</v>
      </c>
      <c r="AZ21" s="65" t="s">
        <v>1953</v>
      </c>
      <c r="BA21" s="65" t="s">
        <v>1953</v>
      </c>
      <c r="BB21" s="65" t="s">
        <v>1953</v>
      </c>
      <c r="BC21" s="65" t="s">
        <v>1953</v>
      </c>
      <c r="BD21" s="65" t="s">
        <v>1953</v>
      </c>
      <c r="BE21" s="65" t="s">
        <v>1953</v>
      </c>
      <c r="BF21" s="65" t="s">
        <v>1953</v>
      </c>
      <c r="BG21" s="65" t="s">
        <v>1953</v>
      </c>
      <c r="BH21" s="65" t="s">
        <v>1953</v>
      </c>
      <c r="BI21" s="65" t="s">
        <v>1953</v>
      </c>
      <c r="BJ21" s="65" t="s">
        <v>1953</v>
      </c>
      <c r="BK21" s="65" t="s">
        <v>1953</v>
      </c>
      <c r="BL21" s="65" t="s">
        <v>1953</v>
      </c>
      <c r="BM21" s="65" t="s">
        <v>1953</v>
      </c>
      <c r="BN21" s="65" t="s">
        <v>1953</v>
      </c>
      <c r="BO21" s="65" t="s">
        <v>1953</v>
      </c>
      <c r="BP21" s="65" t="s">
        <v>1953</v>
      </c>
      <c r="BQ21" s="65" t="s">
        <v>1953</v>
      </c>
      <c r="BR21" s="65" t="s">
        <v>1953</v>
      </c>
      <c r="BS21" s="65" t="s">
        <v>1953</v>
      </c>
      <c r="BT21" s="65" t="s">
        <v>1953</v>
      </c>
      <c r="BU21" s="65" t="s">
        <v>1953</v>
      </c>
      <c r="BV21" s="65" t="s">
        <v>1953</v>
      </c>
      <c r="BW21" s="65" t="s">
        <v>1953</v>
      </c>
      <c r="BZ21" t="s">
        <v>2679</v>
      </c>
      <c r="CA21" t="str">
        <f>IFERROR(HLOOKUP($CA$1,Table4[[#All],[India]:[Dominican Republic]],ROW(Table4[[#This Row],[Default]])-1,0),"True")</f>
        <v>True</v>
      </c>
      <c r="CB21" s="65" t="s">
        <v>1953</v>
      </c>
      <c r="CC21" s="65" t="s">
        <v>1953</v>
      </c>
      <c r="CD21" s="65" t="s">
        <v>1953</v>
      </c>
      <c r="CE21" s="65" t="s">
        <v>1953</v>
      </c>
      <c r="CF21" s="65" t="s">
        <v>1953</v>
      </c>
      <c r="CG21" s="65" t="s">
        <v>1953</v>
      </c>
      <c r="CH21" s="65" t="s">
        <v>1953</v>
      </c>
      <c r="CI21" s="65" t="s">
        <v>1953</v>
      </c>
      <c r="CJ21" s="65" t="s">
        <v>1953</v>
      </c>
      <c r="CK21" s="65" t="s">
        <v>1953</v>
      </c>
      <c r="CL21" s="65" t="s">
        <v>1953</v>
      </c>
      <c r="CM21" s="65" t="s">
        <v>1953</v>
      </c>
      <c r="CN21" s="65" t="s">
        <v>1953</v>
      </c>
      <c r="CO21" s="65" t="s">
        <v>1953</v>
      </c>
      <c r="CP21" s="65" t="s">
        <v>1953</v>
      </c>
      <c r="CQ21" s="65" t="s">
        <v>1953</v>
      </c>
      <c r="CR21" s="65" t="s">
        <v>1953</v>
      </c>
      <c r="CS21" s="65" t="s">
        <v>1953</v>
      </c>
      <c r="CT21" s="65" t="s">
        <v>1953</v>
      </c>
      <c r="CU21" s="65" t="s">
        <v>1953</v>
      </c>
      <c r="CV21" s="65" t="s">
        <v>1953</v>
      </c>
      <c r="CW21" s="65" t="s">
        <v>1953</v>
      </c>
      <c r="CX21" s="65" t="s">
        <v>1953</v>
      </c>
      <c r="CY21" s="65" t="s">
        <v>1953</v>
      </c>
      <c r="CZ21" s="65" t="s">
        <v>1953</v>
      </c>
      <c r="DA21" s="65" t="s">
        <v>1953</v>
      </c>
    </row>
    <row r="22" spans="1:105">
      <c r="A22" s="22" t="s">
        <v>87</v>
      </c>
      <c r="B22" s="22" t="s">
        <v>1908</v>
      </c>
      <c r="C22" s="22"/>
      <c r="D22" s="22"/>
      <c r="E22" s="22"/>
      <c r="G22" t="s">
        <v>361</v>
      </c>
      <c r="H22" s="27" t="s">
        <v>1953</v>
      </c>
      <c r="I22" s="27" t="s">
        <v>1954</v>
      </c>
      <c r="J22" s="27" t="s">
        <v>1954</v>
      </c>
      <c r="K22" s="27" t="s">
        <v>1954</v>
      </c>
      <c r="L22" s="27" t="s">
        <v>1954</v>
      </c>
      <c r="M22" s="27" t="s">
        <v>1953</v>
      </c>
      <c r="N22" s="27" t="s">
        <v>1953</v>
      </c>
      <c r="O22" s="27" t="s">
        <v>1953</v>
      </c>
      <c r="P22" s="27" t="s">
        <v>1953</v>
      </c>
      <c r="Q22" s="27" t="s">
        <v>1953</v>
      </c>
      <c r="R22" s="27" t="s">
        <v>1953</v>
      </c>
      <c r="S22" s="27" t="s">
        <v>1953</v>
      </c>
      <c r="T22" s="27" t="s">
        <v>1953</v>
      </c>
      <c r="U22" s="27" t="s">
        <v>1953</v>
      </c>
      <c r="V22" s="27" t="s">
        <v>1954</v>
      </c>
      <c r="W22" s="27" t="s">
        <v>1953</v>
      </c>
      <c r="X22" s="27" t="s">
        <v>1953</v>
      </c>
      <c r="Y22" s="27" t="s">
        <v>1953</v>
      </c>
      <c r="Z22" s="27" t="s">
        <v>1953</v>
      </c>
      <c r="AA22" s="27" t="s">
        <v>1953</v>
      </c>
      <c r="AB22" s="27" t="s">
        <v>1953</v>
      </c>
      <c r="AC22" s="27" t="s">
        <v>1953</v>
      </c>
      <c r="AD22" s="27" t="s">
        <v>1953</v>
      </c>
      <c r="AE22" s="27" t="s">
        <v>1953</v>
      </c>
      <c r="AF22" s="27" t="s">
        <v>1953</v>
      </c>
      <c r="AG22" s="27" t="s">
        <v>1953</v>
      </c>
      <c r="AH22" s="27" t="s">
        <v>1953</v>
      </c>
      <c r="AI22" s="27" t="s">
        <v>1953</v>
      </c>
      <c r="AJ22" s="27" t="s">
        <v>1953</v>
      </c>
      <c r="AK22" s="89" t="s">
        <v>1953</v>
      </c>
      <c r="AL22" s="89" t="s">
        <v>1953</v>
      </c>
      <c r="AM22" s="89" t="s">
        <v>1953</v>
      </c>
      <c r="AN22" s="89" t="s">
        <v>1953</v>
      </c>
      <c r="AO22" s="89" t="s">
        <v>1953</v>
      </c>
      <c r="AP22" s="89" t="s">
        <v>1953</v>
      </c>
      <c r="AQ22" s="89" t="s">
        <v>1953</v>
      </c>
      <c r="AR22" t="s">
        <v>1939</v>
      </c>
      <c r="AV22" t="s">
        <v>2671</v>
      </c>
      <c r="AW22" t="str">
        <f>IFERROR(HLOOKUP($AW$1,Table3[[#All],[India]:[Dominican Republic]],ROW(Table3[[#This Row],[Default]])-1,0),"True")</f>
        <v>True</v>
      </c>
      <c r="AX22" s="65" t="s">
        <v>1953</v>
      </c>
      <c r="AY22" s="65" t="s">
        <v>1953</v>
      </c>
      <c r="AZ22" s="65" t="s">
        <v>1953</v>
      </c>
      <c r="BA22" s="65" t="s">
        <v>1953</v>
      </c>
      <c r="BB22" s="65" t="s">
        <v>1953</v>
      </c>
      <c r="BC22" s="65" t="s">
        <v>1953</v>
      </c>
      <c r="BD22" s="65" t="s">
        <v>1953</v>
      </c>
      <c r="BE22" s="65" t="s">
        <v>1953</v>
      </c>
      <c r="BF22" s="65" t="s">
        <v>1953</v>
      </c>
      <c r="BG22" s="65" t="s">
        <v>1953</v>
      </c>
      <c r="BH22" s="65" t="s">
        <v>1953</v>
      </c>
      <c r="BI22" s="65" t="s">
        <v>1953</v>
      </c>
      <c r="BJ22" s="65" t="s">
        <v>1953</v>
      </c>
      <c r="BK22" s="65" t="s">
        <v>1953</v>
      </c>
      <c r="BL22" s="65" t="s">
        <v>1953</v>
      </c>
      <c r="BM22" s="65" t="s">
        <v>1953</v>
      </c>
      <c r="BN22" s="65" t="s">
        <v>1953</v>
      </c>
      <c r="BO22" s="65" t="s">
        <v>1953</v>
      </c>
      <c r="BP22" s="65" t="s">
        <v>1953</v>
      </c>
      <c r="BQ22" s="65" t="s">
        <v>1953</v>
      </c>
      <c r="BR22" s="65" t="s">
        <v>1953</v>
      </c>
      <c r="BS22" s="65" t="s">
        <v>1953</v>
      </c>
      <c r="BT22" s="65" t="s">
        <v>1953</v>
      </c>
      <c r="BU22" s="65" t="s">
        <v>1953</v>
      </c>
      <c r="BV22" s="65" t="s">
        <v>1953</v>
      </c>
      <c r="BW22" s="65" t="s">
        <v>1953</v>
      </c>
      <c r="BZ22" t="s">
        <v>2729</v>
      </c>
      <c r="CA22" t="str">
        <f>IFERROR(HLOOKUP($CA$1,Table4[[#All],[India]:[Dominican Republic]],ROW(Table4[[#This Row],[Default]])-1,0),"True")</f>
        <v>True</v>
      </c>
      <c r="CB22" s="65" t="s">
        <v>1954</v>
      </c>
      <c r="CC22" s="65" t="s">
        <v>1954</v>
      </c>
      <c r="CD22" s="65" t="s">
        <v>1954</v>
      </c>
      <c r="CE22" s="65" t="s">
        <v>1954</v>
      </c>
      <c r="CF22" s="65" t="s">
        <v>1954</v>
      </c>
      <c r="CG22" s="65" t="s">
        <v>1954</v>
      </c>
      <c r="CH22" s="65" t="s">
        <v>1954</v>
      </c>
      <c r="CI22" s="65" t="s">
        <v>1954</v>
      </c>
      <c r="CJ22" s="65" t="s">
        <v>1954</v>
      </c>
      <c r="CK22" s="65" t="s">
        <v>1954</v>
      </c>
      <c r="CL22" s="65" t="s">
        <v>1954</v>
      </c>
      <c r="CM22" s="65" t="s">
        <v>1954</v>
      </c>
      <c r="CN22" s="65" t="s">
        <v>1954</v>
      </c>
      <c r="CO22" s="65" t="s">
        <v>1954</v>
      </c>
      <c r="CP22" s="65" t="s">
        <v>1954</v>
      </c>
      <c r="CQ22" s="65" t="s">
        <v>1954</v>
      </c>
      <c r="CR22" s="65" t="s">
        <v>1954</v>
      </c>
      <c r="CS22" s="65" t="s">
        <v>1954</v>
      </c>
      <c r="CT22" s="65" t="s">
        <v>1954</v>
      </c>
      <c r="CU22" s="65" t="s">
        <v>1954</v>
      </c>
      <c r="CV22" s="65" t="s">
        <v>1954</v>
      </c>
      <c r="CW22" s="65" t="s">
        <v>1954</v>
      </c>
      <c r="CX22" s="65" t="s">
        <v>1954</v>
      </c>
      <c r="CY22" s="65" t="s">
        <v>1954</v>
      </c>
      <c r="CZ22" s="65" t="s">
        <v>1954</v>
      </c>
      <c r="DA22" s="65" t="s">
        <v>1954</v>
      </c>
    </row>
    <row r="23" spans="1:105">
      <c r="A23" s="22" t="s">
        <v>348</v>
      </c>
      <c r="B23" s="22" t="s">
        <v>4674</v>
      </c>
      <c r="C23" s="22" t="s">
        <v>1909</v>
      </c>
      <c r="D23" s="22"/>
      <c r="E23" s="22"/>
      <c r="G23" t="s">
        <v>365</v>
      </c>
      <c r="H23" s="27" t="s">
        <v>1953</v>
      </c>
      <c r="I23" s="27" t="s">
        <v>1954</v>
      </c>
      <c r="J23" s="27" t="s">
        <v>1953</v>
      </c>
      <c r="K23" s="27" t="s">
        <v>1954</v>
      </c>
      <c r="L23" s="27" t="s">
        <v>1954</v>
      </c>
      <c r="M23" s="27" t="s">
        <v>1953</v>
      </c>
      <c r="N23" s="27" t="s">
        <v>1954</v>
      </c>
      <c r="O23" s="27" t="s">
        <v>1954</v>
      </c>
      <c r="P23" s="27" t="s">
        <v>1953</v>
      </c>
      <c r="Q23" s="27" t="s">
        <v>1953</v>
      </c>
      <c r="R23" s="27" t="s">
        <v>1953</v>
      </c>
      <c r="S23" s="27" t="s">
        <v>1953</v>
      </c>
      <c r="T23" s="27" t="s">
        <v>1953</v>
      </c>
      <c r="U23" s="27" t="s">
        <v>1953</v>
      </c>
      <c r="V23" s="27" t="s">
        <v>1954</v>
      </c>
      <c r="W23" s="27" t="s">
        <v>1953</v>
      </c>
      <c r="X23" s="27" t="s">
        <v>1953</v>
      </c>
      <c r="Y23" s="27" t="s">
        <v>1953</v>
      </c>
      <c r="Z23" s="27" t="s">
        <v>1953</v>
      </c>
      <c r="AA23" s="27" t="s">
        <v>1953</v>
      </c>
      <c r="AB23" s="27" t="s">
        <v>1953</v>
      </c>
      <c r="AC23" s="27" t="s">
        <v>1953</v>
      </c>
      <c r="AD23" s="27" t="s">
        <v>1953</v>
      </c>
      <c r="AE23" s="27" t="s">
        <v>1953</v>
      </c>
      <c r="AF23" s="27" t="s">
        <v>1953</v>
      </c>
      <c r="AG23" s="27" t="s">
        <v>1953</v>
      </c>
      <c r="AH23" s="27" t="s">
        <v>1953</v>
      </c>
      <c r="AI23" s="27" t="s">
        <v>1953</v>
      </c>
      <c r="AJ23" s="27" t="s">
        <v>1953</v>
      </c>
      <c r="AK23" s="89" t="s">
        <v>1953</v>
      </c>
      <c r="AL23" s="89" t="s">
        <v>1953</v>
      </c>
      <c r="AM23" s="89" t="s">
        <v>1953</v>
      </c>
      <c r="AN23" s="89" t="s">
        <v>1953</v>
      </c>
      <c r="AO23" s="89" t="s">
        <v>1953</v>
      </c>
      <c r="AP23" s="89" t="s">
        <v>1953</v>
      </c>
      <c r="AQ23" s="89" t="s">
        <v>1953</v>
      </c>
      <c r="AR23" t="s">
        <v>1939</v>
      </c>
      <c r="AV23" t="s">
        <v>2672</v>
      </c>
      <c r="AW23" t="str">
        <f>IFERROR(HLOOKUP($AW$1,Table3[[#All],[India]:[Dominican Republic]],ROW(Table3[[#This Row],[Default]])-1,0),"True")</f>
        <v>True</v>
      </c>
      <c r="AX23" s="65" t="s">
        <v>1953</v>
      </c>
      <c r="AY23" s="65" t="s">
        <v>1953</v>
      </c>
      <c r="AZ23" s="65" t="s">
        <v>1953</v>
      </c>
      <c r="BA23" s="65" t="s">
        <v>1953</v>
      </c>
      <c r="BB23" s="65" t="s">
        <v>1953</v>
      </c>
      <c r="BC23" s="65" t="s">
        <v>1953</v>
      </c>
      <c r="BD23" s="65" t="s">
        <v>1953</v>
      </c>
      <c r="BE23" s="65" t="s">
        <v>1953</v>
      </c>
      <c r="BF23" s="65" t="s">
        <v>1953</v>
      </c>
      <c r="BG23" s="65" t="s">
        <v>1953</v>
      </c>
      <c r="BH23" s="65" t="s">
        <v>1953</v>
      </c>
      <c r="BI23" s="65" t="s">
        <v>1953</v>
      </c>
      <c r="BJ23" s="65" t="s">
        <v>1953</v>
      </c>
      <c r="BK23" s="65" t="s">
        <v>1953</v>
      </c>
      <c r="BL23" s="65" t="s">
        <v>1953</v>
      </c>
      <c r="BM23" s="65" t="s">
        <v>1953</v>
      </c>
      <c r="BN23" s="65" t="s">
        <v>1953</v>
      </c>
      <c r="BO23" s="65" t="s">
        <v>1953</v>
      </c>
      <c r="BP23" s="65" t="s">
        <v>1953</v>
      </c>
      <c r="BQ23" s="65" t="s">
        <v>1953</v>
      </c>
      <c r="BR23" s="65" t="s">
        <v>1953</v>
      </c>
      <c r="BS23" s="65" t="s">
        <v>1953</v>
      </c>
      <c r="BT23" s="65" t="s">
        <v>1953</v>
      </c>
      <c r="BU23" s="65" t="s">
        <v>1953</v>
      </c>
      <c r="BV23" s="65" t="s">
        <v>1953</v>
      </c>
      <c r="BW23" s="65" t="s">
        <v>1953</v>
      </c>
      <c r="BZ23" t="s">
        <v>2857</v>
      </c>
      <c r="CA23" t="str">
        <f>IFERROR(HLOOKUP($CA$1,Table4[[#All],[India]:[Dominican Republic]],ROW(Table4[[#This Row],[Default]])-1,0),"True")</f>
        <v>True</v>
      </c>
      <c r="CB23" s="65" t="s">
        <v>1953</v>
      </c>
      <c r="CC23" s="65" t="s">
        <v>1953</v>
      </c>
      <c r="CD23" s="65" t="s">
        <v>1953</v>
      </c>
      <c r="CE23" s="65" t="s">
        <v>1953</v>
      </c>
      <c r="CF23" s="65" t="s">
        <v>1953</v>
      </c>
      <c r="CG23" s="65" t="s">
        <v>1953</v>
      </c>
      <c r="CH23" s="65" t="s">
        <v>1953</v>
      </c>
      <c r="CI23" s="65" t="s">
        <v>1953</v>
      </c>
      <c r="CJ23" s="65" t="s">
        <v>1953</v>
      </c>
      <c r="CK23" s="65" t="s">
        <v>1953</v>
      </c>
      <c r="CL23" s="65" t="s">
        <v>1953</v>
      </c>
      <c r="CM23" s="65" t="s">
        <v>1953</v>
      </c>
      <c r="CN23" s="65" t="s">
        <v>1953</v>
      </c>
      <c r="CO23" s="65" t="s">
        <v>1953</v>
      </c>
      <c r="CP23" s="65" t="s">
        <v>1953</v>
      </c>
      <c r="CQ23" s="65" t="s">
        <v>1953</v>
      </c>
      <c r="CR23" s="65" t="s">
        <v>1953</v>
      </c>
      <c r="CS23" s="65" t="s">
        <v>1953</v>
      </c>
      <c r="CT23" s="65" t="s">
        <v>1953</v>
      </c>
      <c r="CU23" s="65" t="s">
        <v>1953</v>
      </c>
      <c r="CV23" s="65" t="s">
        <v>1953</v>
      </c>
      <c r="CW23" s="65" t="s">
        <v>1953</v>
      </c>
      <c r="CX23" s="65" t="s">
        <v>1953</v>
      </c>
      <c r="CY23" s="65" t="s">
        <v>1953</v>
      </c>
      <c r="CZ23" s="65" t="s">
        <v>1953</v>
      </c>
      <c r="DA23" s="65" t="s">
        <v>1953</v>
      </c>
    </row>
    <row r="24" spans="1:105">
      <c r="A24" s="22" t="s">
        <v>349</v>
      </c>
      <c r="B24" s="22" t="s">
        <v>1910</v>
      </c>
      <c r="C24" s="22"/>
      <c r="D24" s="22"/>
      <c r="E24" s="22"/>
      <c r="G24" t="s">
        <v>99</v>
      </c>
      <c r="H24" s="27" t="s">
        <v>1953</v>
      </c>
      <c r="I24" s="27" t="s">
        <v>1953</v>
      </c>
      <c r="J24" s="27" t="s">
        <v>1953</v>
      </c>
      <c r="K24" s="27" t="s">
        <v>1954</v>
      </c>
      <c r="L24" s="27" t="s">
        <v>1953</v>
      </c>
      <c r="M24" s="27" t="s">
        <v>1953</v>
      </c>
      <c r="N24" s="27" t="s">
        <v>1953</v>
      </c>
      <c r="O24" s="27" t="s">
        <v>1953</v>
      </c>
      <c r="P24" s="27" t="s">
        <v>1953</v>
      </c>
      <c r="Q24" s="27" t="s">
        <v>1953</v>
      </c>
      <c r="R24" s="27" t="s">
        <v>1953</v>
      </c>
      <c r="S24" s="27" t="s">
        <v>1953</v>
      </c>
      <c r="T24" s="27" t="s">
        <v>1953</v>
      </c>
      <c r="U24" s="27" t="s">
        <v>1953</v>
      </c>
      <c r="V24" s="27" t="s">
        <v>1953</v>
      </c>
      <c r="W24" s="27" t="s">
        <v>1954</v>
      </c>
      <c r="X24" s="27" t="s">
        <v>1954</v>
      </c>
      <c r="Y24" s="27" t="s">
        <v>1953</v>
      </c>
      <c r="Z24" s="27" t="s">
        <v>1953</v>
      </c>
      <c r="AA24" s="27" t="s">
        <v>1953</v>
      </c>
      <c r="AB24" s="27" t="s">
        <v>1953</v>
      </c>
      <c r="AC24" s="27" t="s">
        <v>1953</v>
      </c>
      <c r="AD24" s="27" t="s">
        <v>1953</v>
      </c>
      <c r="AE24" s="27" t="s">
        <v>1953</v>
      </c>
      <c r="AF24" s="27" t="s">
        <v>1953</v>
      </c>
      <c r="AG24" s="27" t="s">
        <v>1953</v>
      </c>
      <c r="AH24" s="27" t="s">
        <v>1953</v>
      </c>
      <c r="AI24" s="27" t="s">
        <v>1953</v>
      </c>
      <c r="AJ24" s="27" t="s">
        <v>1953</v>
      </c>
      <c r="AK24" s="89" t="s">
        <v>1953</v>
      </c>
      <c r="AL24" s="89" t="s">
        <v>1953</v>
      </c>
      <c r="AM24" s="89" t="s">
        <v>1953</v>
      </c>
      <c r="AN24" s="89" t="s">
        <v>1953</v>
      </c>
      <c r="AO24" s="89" t="s">
        <v>1953</v>
      </c>
      <c r="AP24" s="89" t="s">
        <v>1953</v>
      </c>
      <c r="AQ24" s="89" t="s">
        <v>1954</v>
      </c>
      <c r="AR24" t="s">
        <v>1939</v>
      </c>
      <c r="AV24" t="s">
        <v>2673</v>
      </c>
      <c r="AW24" t="str">
        <f>IFERROR(HLOOKUP($AW$1,Table3[[#All],[India]:[Dominican Republic]],ROW(Table3[[#This Row],[Default]])-1,0),"True")</f>
        <v>True</v>
      </c>
      <c r="AX24" s="65" t="s">
        <v>1953</v>
      </c>
      <c r="AY24" s="65" t="s">
        <v>1953</v>
      </c>
      <c r="AZ24" s="65" t="s">
        <v>1953</v>
      </c>
      <c r="BA24" s="65" t="s">
        <v>1953</v>
      </c>
      <c r="BB24" s="65" t="s">
        <v>1953</v>
      </c>
      <c r="BC24" s="65" t="s">
        <v>1953</v>
      </c>
      <c r="BD24" s="65" t="s">
        <v>1953</v>
      </c>
      <c r="BE24" s="65" t="s">
        <v>1953</v>
      </c>
      <c r="BF24" s="65" t="s">
        <v>1953</v>
      </c>
      <c r="BG24" s="65" t="s">
        <v>1953</v>
      </c>
      <c r="BH24" s="65" t="s">
        <v>1953</v>
      </c>
      <c r="BI24" s="65" t="s">
        <v>1953</v>
      </c>
      <c r="BJ24" s="65" t="s">
        <v>1953</v>
      </c>
      <c r="BK24" s="65" t="s">
        <v>1953</v>
      </c>
      <c r="BL24" s="65" t="s">
        <v>1953</v>
      </c>
      <c r="BM24" s="65" t="s">
        <v>1953</v>
      </c>
      <c r="BN24" s="65" t="s">
        <v>1953</v>
      </c>
      <c r="BO24" s="65" t="s">
        <v>1953</v>
      </c>
      <c r="BP24" s="65" t="s">
        <v>1953</v>
      </c>
      <c r="BQ24" s="65" t="s">
        <v>1953</v>
      </c>
      <c r="BR24" s="65" t="s">
        <v>1953</v>
      </c>
      <c r="BS24" s="65" t="s">
        <v>1953</v>
      </c>
      <c r="BT24" s="65" t="s">
        <v>1953</v>
      </c>
      <c r="BU24" s="65" t="s">
        <v>1953</v>
      </c>
      <c r="BV24" s="65" t="s">
        <v>1953</v>
      </c>
      <c r="BW24" s="65" t="s">
        <v>1953</v>
      </c>
      <c r="BZ24" s="60" t="s">
        <v>2012</v>
      </c>
      <c r="CA24" t="str">
        <f>IFERROR(HLOOKUP($CA$1,Table4[[#All],[India]:[Dominican Republic]],ROW(Table4[[#This Row],[Default]])-1,0),"True")</f>
        <v>True</v>
      </c>
      <c r="CB24" s="65" t="s">
        <v>1953</v>
      </c>
      <c r="CC24" s="65" t="s">
        <v>1953</v>
      </c>
      <c r="CD24" s="65" t="s">
        <v>1953</v>
      </c>
      <c r="CE24" s="65" t="s">
        <v>1953</v>
      </c>
      <c r="CF24" s="65" t="s">
        <v>1953</v>
      </c>
      <c r="CG24" s="65" t="s">
        <v>1953</v>
      </c>
      <c r="CH24" s="65" t="s">
        <v>1953</v>
      </c>
      <c r="CI24" s="65" t="s">
        <v>1953</v>
      </c>
      <c r="CJ24" s="65" t="s">
        <v>1953</v>
      </c>
      <c r="CK24" s="65" t="s">
        <v>1953</v>
      </c>
      <c r="CL24" s="65" t="s">
        <v>1953</v>
      </c>
      <c r="CM24" s="65" t="s">
        <v>1953</v>
      </c>
      <c r="CN24" s="65" t="s">
        <v>1953</v>
      </c>
      <c r="CO24" s="65" t="s">
        <v>1953</v>
      </c>
      <c r="CP24" s="65" t="s">
        <v>1953</v>
      </c>
      <c r="CQ24" s="65" t="s">
        <v>1953</v>
      </c>
      <c r="CR24" s="65" t="s">
        <v>1953</v>
      </c>
      <c r="CS24" s="65" t="s">
        <v>1953</v>
      </c>
      <c r="CT24" s="65" t="s">
        <v>1953</v>
      </c>
      <c r="CU24" s="65" t="s">
        <v>1953</v>
      </c>
      <c r="CV24" s="65" t="s">
        <v>1954</v>
      </c>
      <c r="CW24" s="65" t="s">
        <v>1953</v>
      </c>
      <c r="CX24" s="65" t="s">
        <v>1953</v>
      </c>
      <c r="CY24" s="65" t="s">
        <v>1953</v>
      </c>
      <c r="CZ24" s="65" t="s">
        <v>1953</v>
      </c>
      <c r="DA24" s="65" t="s">
        <v>1953</v>
      </c>
    </row>
    <row r="25" spans="1:105">
      <c r="A25" s="22" t="s">
        <v>353</v>
      </c>
      <c r="B25" s="22" t="s">
        <v>1911</v>
      </c>
      <c r="C25" s="22"/>
      <c r="D25" s="22"/>
      <c r="E25" s="22"/>
      <c r="G25" t="s">
        <v>370</v>
      </c>
      <c r="H25" s="27" t="s">
        <v>1953</v>
      </c>
      <c r="I25" s="27" t="s">
        <v>1953</v>
      </c>
      <c r="J25" s="27" t="s">
        <v>1953</v>
      </c>
      <c r="K25" s="27" t="s">
        <v>1954</v>
      </c>
      <c r="L25" s="27" t="s">
        <v>1953</v>
      </c>
      <c r="M25" s="27" t="s">
        <v>1953</v>
      </c>
      <c r="N25" s="27" t="s">
        <v>1954</v>
      </c>
      <c r="O25" s="27" t="s">
        <v>1953</v>
      </c>
      <c r="P25" s="27" t="s">
        <v>1953</v>
      </c>
      <c r="Q25" s="27" t="s">
        <v>1953</v>
      </c>
      <c r="R25" s="27" t="s">
        <v>1953</v>
      </c>
      <c r="S25" s="27" t="s">
        <v>1953</v>
      </c>
      <c r="T25" s="27" t="s">
        <v>1953</v>
      </c>
      <c r="U25" s="27" t="s">
        <v>1953</v>
      </c>
      <c r="V25" s="27" t="s">
        <v>1954</v>
      </c>
      <c r="W25" s="27" t="s">
        <v>1953</v>
      </c>
      <c r="X25" s="27" t="s">
        <v>1953</v>
      </c>
      <c r="Y25" s="27" t="s">
        <v>1953</v>
      </c>
      <c r="Z25" s="27" t="s">
        <v>1953</v>
      </c>
      <c r="AA25" s="27" t="s">
        <v>1953</v>
      </c>
      <c r="AB25" s="27" t="s">
        <v>1953</v>
      </c>
      <c r="AC25" s="27" t="s">
        <v>1953</v>
      </c>
      <c r="AD25" s="27" t="s">
        <v>1953</v>
      </c>
      <c r="AE25" s="27" t="s">
        <v>1953</v>
      </c>
      <c r="AF25" s="27" t="s">
        <v>1953</v>
      </c>
      <c r="AG25" s="27" t="s">
        <v>1953</v>
      </c>
      <c r="AH25" s="27" t="s">
        <v>1953</v>
      </c>
      <c r="AI25" s="27" t="s">
        <v>1953</v>
      </c>
      <c r="AJ25" s="27" t="s">
        <v>1953</v>
      </c>
      <c r="AK25" s="89" t="s">
        <v>1953</v>
      </c>
      <c r="AL25" s="89" t="s">
        <v>1953</v>
      </c>
      <c r="AM25" s="89" t="s">
        <v>1953</v>
      </c>
      <c r="AN25" s="89" t="s">
        <v>1953</v>
      </c>
      <c r="AO25" s="89" t="s">
        <v>1953</v>
      </c>
      <c r="AP25" s="89" t="s">
        <v>1953</v>
      </c>
      <c r="AQ25" s="89" t="s">
        <v>1953</v>
      </c>
      <c r="AR25" t="s">
        <v>1939</v>
      </c>
      <c r="AV25" t="s">
        <v>2674</v>
      </c>
      <c r="AW25" t="str">
        <f>IFERROR(HLOOKUP($AW$1,Table3[[#All],[India]:[Dominican Republic]],ROW(Table3[[#This Row],[Default]])-1,0),"True")</f>
        <v>True</v>
      </c>
      <c r="AX25" s="65" t="s">
        <v>1953</v>
      </c>
      <c r="AY25" s="65" t="s">
        <v>1953</v>
      </c>
      <c r="AZ25" s="65" t="s">
        <v>1953</v>
      </c>
      <c r="BA25" s="65" t="s">
        <v>1953</v>
      </c>
      <c r="BB25" s="65" t="s">
        <v>1953</v>
      </c>
      <c r="BC25" s="65" t="s">
        <v>1953</v>
      </c>
      <c r="BD25" s="65" t="s">
        <v>1953</v>
      </c>
      <c r="BE25" s="65" t="s">
        <v>1953</v>
      </c>
      <c r="BF25" s="65" t="s">
        <v>1953</v>
      </c>
      <c r="BG25" s="65" t="s">
        <v>1953</v>
      </c>
      <c r="BH25" s="65" t="s">
        <v>1953</v>
      </c>
      <c r="BI25" s="65" t="s">
        <v>1953</v>
      </c>
      <c r="BJ25" s="65" t="s">
        <v>1953</v>
      </c>
      <c r="BK25" s="65" t="s">
        <v>1953</v>
      </c>
      <c r="BL25" s="65" t="s">
        <v>1953</v>
      </c>
      <c r="BM25" s="65" t="s">
        <v>1953</v>
      </c>
      <c r="BN25" s="65" t="s">
        <v>1953</v>
      </c>
      <c r="BO25" s="65" t="s">
        <v>1953</v>
      </c>
      <c r="BP25" s="65" t="s">
        <v>1953</v>
      </c>
      <c r="BQ25" s="65" t="s">
        <v>1953</v>
      </c>
      <c r="BR25" s="65" t="s">
        <v>1953</v>
      </c>
      <c r="BS25" s="65" t="s">
        <v>1953</v>
      </c>
      <c r="BT25" s="65" t="s">
        <v>1953</v>
      </c>
      <c r="BU25" s="65" t="s">
        <v>1953</v>
      </c>
      <c r="BV25" s="65" t="s">
        <v>1953</v>
      </c>
      <c r="BW25" s="65" t="s">
        <v>1953</v>
      </c>
      <c r="BZ25" s="60" t="s">
        <v>787</v>
      </c>
      <c r="CA25" t="str">
        <f>IFERROR(HLOOKUP($CA$1,Table4[[#All],[India]:[Dominican Republic]],ROW(Table4[[#This Row],[Default]])-1,0),"True")</f>
        <v>True</v>
      </c>
      <c r="CB25" s="65" t="s">
        <v>1953</v>
      </c>
      <c r="CC25" s="65" t="s">
        <v>1953</v>
      </c>
      <c r="CD25" s="65" t="s">
        <v>1953</v>
      </c>
      <c r="CE25" s="65" t="s">
        <v>1953</v>
      </c>
      <c r="CF25" s="65" t="s">
        <v>1953</v>
      </c>
      <c r="CG25" s="65" t="s">
        <v>1953</v>
      </c>
      <c r="CH25" s="65" t="s">
        <v>1953</v>
      </c>
      <c r="CI25" s="65" t="s">
        <v>1953</v>
      </c>
      <c r="CJ25" s="65" t="s">
        <v>1953</v>
      </c>
      <c r="CK25" s="65" t="s">
        <v>1953</v>
      </c>
      <c r="CL25" s="65" t="s">
        <v>1953</v>
      </c>
      <c r="CM25" s="65" t="s">
        <v>1953</v>
      </c>
      <c r="CN25" s="65" t="s">
        <v>1953</v>
      </c>
      <c r="CO25" s="65" t="s">
        <v>1953</v>
      </c>
      <c r="CP25" s="65" t="s">
        <v>1953</v>
      </c>
      <c r="CQ25" s="65" t="s">
        <v>1953</v>
      </c>
      <c r="CR25" s="65" t="s">
        <v>1953</v>
      </c>
      <c r="CS25" s="65" t="s">
        <v>1953</v>
      </c>
      <c r="CT25" s="65" t="s">
        <v>1953</v>
      </c>
      <c r="CU25" s="65" t="s">
        <v>1953</v>
      </c>
      <c r="CV25" s="65" t="s">
        <v>1953</v>
      </c>
      <c r="CW25" s="65" t="s">
        <v>1953</v>
      </c>
      <c r="CX25" s="65" t="s">
        <v>1953</v>
      </c>
      <c r="CY25" s="65" t="s">
        <v>1953</v>
      </c>
      <c r="CZ25" s="65" t="s">
        <v>1953</v>
      </c>
      <c r="DA25" s="65" t="s">
        <v>1953</v>
      </c>
    </row>
    <row r="26" spans="1:105">
      <c r="A26" s="22" t="s">
        <v>356</v>
      </c>
      <c r="B26" s="22" t="s">
        <v>1912</v>
      </c>
      <c r="C26" s="22"/>
      <c r="D26" s="22"/>
      <c r="E26" s="22"/>
      <c r="G26" t="s">
        <v>371</v>
      </c>
      <c r="H26" s="27" t="s">
        <v>1953</v>
      </c>
      <c r="I26" s="27" t="s">
        <v>1953</v>
      </c>
      <c r="J26" s="27" t="s">
        <v>1953</v>
      </c>
      <c r="K26" s="27" t="s">
        <v>1953</v>
      </c>
      <c r="L26" s="27" t="s">
        <v>1954</v>
      </c>
      <c r="M26" s="27" t="s">
        <v>1953</v>
      </c>
      <c r="N26" s="27" t="s">
        <v>1954</v>
      </c>
      <c r="O26" s="27" t="s">
        <v>1954</v>
      </c>
      <c r="P26" s="27" t="s">
        <v>1954</v>
      </c>
      <c r="Q26" s="27" t="s">
        <v>1953</v>
      </c>
      <c r="R26" s="27" t="s">
        <v>1953</v>
      </c>
      <c r="S26" s="27" t="s">
        <v>1953</v>
      </c>
      <c r="T26" s="27" t="s">
        <v>1953</v>
      </c>
      <c r="U26" s="27" t="s">
        <v>1953</v>
      </c>
      <c r="V26" s="27" t="s">
        <v>1954</v>
      </c>
      <c r="W26" s="27" t="s">
        <v>1953</v>
      </c>
      <c r="X26" s="27" t="s">
        <v>1953</v>
      </c>
      <c r="Y26" s="27" t="s">
        <v>1953</v>
      </c>
      <c r="Z26" s="27" t="s">
        <v>1953</v>
      </c>
      <c r="AA26" s="27" t="s">
        <v>1953</v>
      </c>
      <c r="AB26" s="27" t="s">
        <v>1953</v>
      </c>
      <c r="AC26" s="27" t="s">
        <v>1953</v>
      </c>
      <c r="AD26" s="27" t="s">
        <v>1953</v>
      </c>
      <c r="AE26" s="27" t="s">
        <v>1953</v>
      </c>
      <c r="AF26" s="27" t="s">
        <v>1953</v>
      </c>
      <c r="AG26" s="27" t="s">
        <v>1953</v>
      </c>
      <c r="AH26" s="27" t="s">
        <v>1953</v>
      </c>
      <c r="AI26" s="27" t="s">
        <v>1953</v>
      </c>
      <c r="AJ26" s="27" t="s">
        <v>1953</v>
      </c>
      <c r="AK26" s="89" t="s">
        <v>1953</v>
      </c>
      <c r="AL26" s="89" t="s">
        <v>1953</v>
      </c>
      <c r="AM26" s="89" t="s">
        <v>1953</v>
      </c>
      <c r="AN26" s="89" t="s">
        <v>1953</v>
      </c>
      <c r="AO26" s="89" t="s">
        <v>1953</v>
      </c>
      <c r="AP26" s="89" t="s">
        <v>1953</v>
      </c>
      <c r="AQ26" s="89" t="s">
        <v>1953</v>
      </c>
      <c r="AR26" t="s">
        <v>1939</v>
      </c>
      <c r="AV26" t="s">
        <v>2802</v>
      </c>
      <c r="AW26" t="str">
        <f>IFERROR(HLOOKUP($AW$1,Table3[[#All],[India]:[Dominican Republic]],ROW(Table3[[#This Row],[Default]])-1,0),"True")</f>
        <v>True</v>
      </c>
      <c r="AX26" s="65" t="s">
        <v>1953</v>
      </c>
      <c r="AY26" s="65" t="s">
        <v>1953</v>
      </c>
      <c r="AZ26" s="65" t="s">
        <v>1953</v>
      </c>
      <c r="BA26" s="65" t="s">
        <v>1953</v>
      </c>
      <c r="BB26" s="65" t="s">
        <v>1953</v>
      </c>
      <c r="BC26" s="65" t="s">
        <v>1953</v>
      </c>
      <c r="BD26" s="65" t="s">
        <v>1953</v>
      </c>
      <c r="BE26" s="65" t="s">
        <v>1953</v>
      </c>
      <c r="BF26" s="65" t="s">
        <v>1953</v>
      </c>
      <c r="BG26" s="65" t="s">
        <v>1953</v>
      </c>
      <c r="BH26" s="65" t="s">
        <v>1953</v>
      </c>
      <c r="BI26" s="65" t="s">
        <v>1953</v>
      </c>
      <c r="BJ26" s="65" t="s">
        <v>1953</v>
      </c>
      <c r="BK26" s="65" t="s">
        <v>1953</v>
      </c>
      <c r="BL26" s="65" t="s">
        <v>1954</v>
      </c>
      <c r="BM26" s="65" t="s">
        <v>1953</v>
      </c>
      <c r="BN26" s="65" t="s">
        <v>1953</v>
      </c>
      <c r="BO26" s="65" t="s">
        <v>1953</v>
      </c>
      <c r="BP26" s="65" t="s">
        <v>1953</v>
      </c>
      <c r="BQ26" s="65" t="s">
        <v>1953</v>
      </c>
      <c r="BR26" s="65" t="s">
        <v>1953</v>
      </c>
      <c r="BS26" s="65" t="s">
        <v>1953</v>
      </c>
      <c r="BT26" s="65" t="s">
        <v>1953</v>
      </c>
      <c r="BU26" s="65" t="s">
        <v>1953</v>
      </c>
      <c r="BV26" s="65" t="s">
        <v>1953</v>
      </c>
      <c r="BW26" s="65" t="s">
        <v>1953</v>
      </c>
      <c r="BZ26" s="60" t="s">
        <v>2849</v>
      </c>
      <c r="CA26" t="str">
        <f>IFERROR(HLOOKUP($CA$1,Table4[[#All],[India]:[Dominican Republic]],ROW(Table4[[#This Row],[Default]])-1,0),"True")</f>
        <v>True</v>
      </c>
      <c r="CB26" s="65" t="s">
        <v>1953</v>
      </c>
      <c r="CC26" s="65" t="s">
        <v>1953</v>
      </c>
      <c r="CD26" s="65" t="s">
        <v>1953</v>
      </c>
      <c r="CE26" s="65" t="s">
        <v>1953</v>
      </c>
      <c r="CF26" s="65" t="s">
        <v>1953</v>
      </c>
      <c r="CG26" s="65" t="s">
        <v>1953</v>
      </c>
      <c r="CH26" s="65" t="s">
        <v>1953</v>
      </c>
      <c r="CI26" s="65" t="s">
        <v>1953</v>
      </c>
      <c r="CJ26" s="65" t="s">
        <v>1953</v>
      </c>
      <c r="CK26" s="65" t="s">
        <v>1953</v>
      </c>
      <c r="CL26" s="65" t="s">
        <v>1953</v>
      </c>
      <c r="CM26" s="65" t="s">
        <v>1953</v>
      </c>
      <c r="CN26" s="65" t="s">
        <v>1953</v>
      </c>
      <c r="CO26" s="65" t="s">
        <v>1953</v>
      </c>
      <c r="CP26" s="65" t="s">
        <v>1953</v>
      </c>
      <c r="CQ26" s="65" t="s">
        <v>1953</v>
      </c>
      <c r="CR26" s="65" t="s">
        <v>1953</v>
      </c>
      <c r="CS26" s="65" t="s">
        <v>1953</v>
      </c>
      <c r="CT26" s="65" t="s">
        <v>1953</v>
      </c>
      <c r="CU26" s="65" t="s">
        <v>1953</v>
      </c>
      <c r="CV26" s="65" t="s">
        <v>1953</v>
      </c>
      <c r="CW26" s="65" t="s">
        <v>1953</v>
      </c>
      <c r="CX26" s="65" t="s">
        <v>1953</v>
      </c>
      <c r="CY26" s="65" t="s">
        <v>1953</v>
      </c>
      <c r="CZ26" s="65" t="s">
        <v>1953</v>
      </c>
      <c r="DA26" s="65" t="s">
        <v>1953</v>
      </c>
    </row>
    <row r="27" spans="1:105">
      <c r="A27" s="22" t="s">
        <v>357</v>
      </c>
      <c r="B27" s="22" t="s">
        <v>1913</v>
      </c>
      <c r="C27" s="22"/>
      <c r="D27" s="22"/>
      <c r="E27" s="22"/>
      <c r="G27" s="88" t="s">
        <v>200</v>
      </c>
      <c r="H27" s="89" t="s">
        <v>1953</v>
      </c>
      <c r="I27" s="89" t="s">
        <v>1954</v>
      </c>
      <c r="J27" s="89" t="s">
        <v>1954</v>
      </c>
      <c r="K27" s="89" t="s">
        <v>1954</v>
      </c>
      <c r="L27" s="89" t="s">
        <v>1954</v>
      </c>
      <c r="M27" s="89" t="s">
        <v>1953</v>
      </c>
      <c r="N27" s="89" t="s">
        <v>1953</v>
      </c>
      <c r="O27" s="89" t="s">
        <v>1954</v>
      </c>
      <c r="P27" s="89" t="s">
        <v>1953</v>
      </c>
      <c r="Q27" s="89" t="s">
        <v>1953</v>
      </c>
      <c r="R27" s="89" t="s">
        <v>1953</v>
      </c>
      <c r="S27" s="89" t="s">
        <v>1953</v>
      </c>
      <c r="T27" s="89" t="s">
        <v>1953</v>
      </c>
      <c r="U27" s="89" t="s">
        <v>1953</v>
      </c>
      <c r="V27" s="89" t="s">
        <v>1953</v>
      </c>
      <c r="W27" s="89" t="s">
        <v>1953</v>
      </c>
      <c r="X27" s="89" t="s">
        <v>1953</v>
      </c>
      <c r="Y27" s="89" t="s">
        <v>1953</v>
      </c>
      <c r="Z27" s="89" t="s">
        <v>1953</v>
      </c>
      <c r="AA27" s="89" t="s">
        <v>1953</v>
      </c>
      <c r="AB27" s="89" t="s">
        <v>1953</v>
      </c>
      <c r="AC27" s="89" t="s">
        <v>1953</v>
      </c>
      <c r="AD27" s="89" t="s">
        <v>1953</v>
      </c>
      <c r="AE27" s="89" t="s">
        <v>1953</v>
      </c>
      <c r="AF27" s="89" t="s">
        <v>1953</v>
      </c>
      <c r="AG27" s="89" t="s">
        <v>1953</v>
      </c>
      <c r="AH27" s="89" t="s">
        <v>1953</v>
      </c>
      <c r="AI27" s="89" t="s">
        <v>1954</v>
      </c>
      <c r="AJ27" s="27" t="s">
        <v>1953</v>
      </c>
      <c r="AK27" s="89" t="s">
        <v>1953</v>
      </c>
      <c r="AL27" s="89" t="s">
        <v>1953</v>
      </c>
      <c r="AM27" s="89" t="s">
        <v>1953</v>
      </c>
      <c r="AN27" s="89" t="s">
        <v>1953</v>
      </c>
      <c r="AO27" s="89" t="s">
        <v>1953</v>
      </c>
      <c r="AP27" s="89" t="s">
        <v>1953</v>
      </c>
      <c r="AQ27" s="89" t="s">
        <v>1953</v>
      </c>
      <c r="AR27" s="88" t="s">
        <v>1939</v>
      </c>
      <c r="AV27" t="s">
        <v>2804</v>
      </c>
      <c r="AW27" t="str">
        <f>IFERROR(HLOOKUP($AW$1,Table3[[#All],[India]:[Dominican Republic]],ROW(Table3[[#This Row],[Default]])-1,0),"True")</f>
        <v>True</v>
      </c>
      <c r="AX27" s="65" t="s">
        <v>1953</v>
      </c>
      <c r="AY27" s="65" t="s">
        <v>1953</v>
      </c>
      <c r="AZ27" s="65" t="s">
        <v>1953</v>
      </c>
      <c r="BA27" s="65" t="s">
        <v>1953</v>
      </c>
      <c r="BB27" s="65" t="s">
        <v>1953</v>
      </c>
      <c r="BC27" s="65" t="s">
        <v>1953</v>
      </c>
      <c r="BD27" s="65" t="s">
        <v>1953</v>
      </c>
      <c r="BE27" s="65" t="s">
        <v>1953</v>
      </c>
      <c r="BF27" s="65" t="s">
        <v>1953</v>
      </c>
      <c r="BG27" s="65" t="s">
        <v>1953</v>
      </c>
      <c r="BH27" s="65" t="s">
        <v>1953</v>
      </c>
      <c r="BI27" s="65" t="s">
        <v>1953</v>
      </c>
      <c r="BJ27" s="65" t="s">
        <v>1953</v>
      </c>
      <c r="BK27" s="65" t="s">
        <v>1953</v>
      </c>
      <c r="BL27" s="65" t="s">
        <v>1954</v>
      </c>
      <c r="BM27" s="65" t="s">
        <v>1953</v>
      </c>
      <c r="BN27" s="65" t="s">
        <v>1953</v>
      </c>
      <c r="BO27" s="65" t="s">
        <v>1953</v>
      </c>
      <c r="BP27" s="65" t="s">
        <v>1953</v>
      </c>
      <c r="BQ27" s="65" t="s">
        <v>1953</v>
      </c>
      <c r="BR27" s="65" t="s">
        <v>1953</v>
      </c>
      <c r="BS27" s="65" t="s">
        <v>1953</v>
      </c>
      <c r="BT27" s="65" t="s">
        <v>1953</v>
      </c>
      <c r="BU27" s="65" t="s">
        <v>1953</v>
      </c>
      <c r="BV27" s="65" t="s">
        <v>1953</v>
      </c>
      <c r="BW27" s="65" t="s">
        <v>1953</v>
      </c>
      <c r="BZ27" s="60" t="s">
        <v>2850</v>
      </c>
      <c r="CA27" t="str">
        <f>IFERROR(HLOOKUP($CA$1,Table4[[#All],[India]:[Dominican Republic]],ROW(Table4[[#This Row],[Default]])-1,0),"True")</f>
        <v>True</v>
      </c>
      <c r="CB27" s="65" t="s">
        <v>1953</v>
      </c>
      <c r="CC27" s="65" t="s">
        <v>1953</v>
      </c>
      <c r="CD27" s="65" t="s">
        <v>1953</v>
      </c>
      <c r="CE27" s="65" t="s">
        <v>1953</v>
      </c>
      <c r="CF27" s="65" t="s">
        <v>1953</v>
      </c>
      <c r="CG27" s="65" t="s">
        <v>1953</v>
      </c>
      <c r="CH27" s="65" t="s">
        <v>1953</v>
      </c>
      <c r="CI27" s="65" t="s">
        <v>1953</v>
      </c>
      <c r="CJ27" s="65" t="s">
        <v>1953</v>
      </c>
      <c r="CK27" s="65" t="s">
        <v>1953</v>
      </c>
      <c r="CL27" s="65" t="s">
        <v>1953</v>
      </c>
      <c r="CM27" s="65" t="s">
        <v>1953</v>
      </c>
      <c r="CN27" s="65" t="s">
        <v>1953</v>
      </c>
      <c r="CO27" s="65" t="s">
        <v>1953</v>
      </c>
      <c r="CP27" s="65" t="s">
        <v>1953</v>
      </c>
      <c r="CQ27" s="65" t="s">
        <v>1953</v>
      </c>
      <c r="CR27" s="65" t="s">
        <v>1953</v>
      </c>
      <c r="CS27" s="65" t="s">
        <v>1953</v>
      </c>
      <c r="CT27" s="65" t="s">
        <v>1953</v>
      </c>
      <c r="CU27" s="65" t="s">
        <v>1953</v>
      </c>
      <c r="CV27" s="65" t="s">
        <v>1953</v>
      </c>
      <c r="CW27" s="65" t="s">
        <v>1953</v>
      </c>
      <c r="CX27" s="65" t="s">
        <v>1953</v>
      </c>
      <c r="CY27" s="65" t="s">
        <v>1953</v>
      </c>
      <c r="CZ27" s="65" t="s">
        <v>1953</v>
      </c>
      <c r="DA27" s="65" t="s">
        <v>1953</v>
      </c>
    </row>
    <row r="28" spans="1:105">
      <c r="A28" s="22" t="s">
        <v>141</v>
      </c>
      <c r="B28" s="22" t="s">
        <v>1914</v>
      </c>
      <c r="C28" s="22"/>
      <c r="D28" s="22"/>
      <c r="E28" s="22"/>
      <c r="G28" t="s">
        <v>5006</v>
      </c>
      <c r="H28" s="27" t="s">
        <v>1953</v>
      </c>
      <c r="I28" s="27" t="s">
        <v>1954</v>
      </c>
      <c r="J28" s="27" t="s">
        <v>1953</v>
      </c>
      <c r="K28" s="27" t="s">
        <v>1954</v>
      </c>
      <c r="L28" s="27" t="s">
        <v>1954</v>
      </c>
      <c r="M28" s="27" t="s">
        <v>1953</v>
      </c>
      <c r="N28" s="27" t="s">
        <v>1954</v>
      </c>
      <c r="O28" s="27" t="s">
        <v>1953</v>
      </c>
      <c r="P28" s="27" t="s">
        <v>1953</v>
      </c>
      <c r="Q28" s="27" t="s">
        <v>1953</v>
      </c>
      <c r="R28" s="27" t="s">
        <v>1953</v>
      </c>
      <c r="S28" s="27" t="s">
        <v>1953</v>
      </c>
      <c r="T28" s="27" t="s">
        <v>1953</v>
      </c>
      <c r="U28" s="27" t="s">
        <v>1953</v>
      </c>
      <c r="V28" s="27" t="s">
        <v>1954</v>
      </c>
      <c r="W28" s="27" t="s">
        <v>1953</v>
      </c>
      <c r="X28" s="27" t="s">
        <v>1953</v>
      </c>
      <c r="Y28" s="27" t="s">
        <v>1953</v>
      </c>
      <c r="Z28" s="27" t="s">
        <v>1953</v>
      </c>
      <c r="AA28" s="27" t="s">
        <v>1953</v>
      </c>
      <c r="AB28" s="27" t="s">
        <v>1953</v>
      </c>
      <c r="AC28" s="27" t="s">
        <v>1953</v>
      </c>
      <c r="AD28" s="27" t="s">
        <v>1953</v>
      </c>
      <c r="AE28" s="27" t="s">
        <v>1953</v>
      </c>
      <c r="AF28" s="27" t="s">
        <v>1953</v>
      </c>
      <c r="AG28" s="27" t="s">
        <v>1953</v>
      </c>
      <c r="AH28" s="27" t="s">
        <v>1953</v>
      </c>
      <c r="AI28" s="27" t="s">
        <v>1953</v>
      </c>
      <c r="AJ28" s="27" t="s">
        <v>1953</v>
      </c>
      <c r="AK28" s="89" t="s">
        <v>1953</v>
      </c>
      <c r="AL28" s="89" t="s">
        <v>1953</v>
      </c>
      <c r="AM28" s="89" t="s">
        <v>1953</v>
      </c>
      <c r="AN28" s="89" t="s">
        <v>1953</v>
      </c>
      <c r="AO28" s="89" t="s">
        <v>1953</v>
      </c>
      <c r="AP28" s="89" t="s">
        <v>1953</v>
      </c>
      <c r="AQ28" s="89" t="s">
        <v>1953</v>
      </c>
      <c r="AR28" t="s">
        <v>1939</v>
      </c>
      <c r="AV28" t="s">
        <v>2769</v>
      </c>
      <c r="AW28" t="str">
        <f>IFERROR(HLOOKUP($AW$1,Table3[[#All],[India]:[Dominican Republic]],ROW(Table3[[#This Row],[Default]])-1,0),"True")</f>
        <v>False</v>
      </c>
      <c r="AX28" s="65" t="s">
        <v>1954</v>
      </c>
      <c r="AY28" s="65" t="s">
        <v>1954</v>
      </c>
      <c r="AZ28" s="65" t="s">
        <v>1954</v>
      </c>
      <c r="BA28" s="65" t="s">
        <v>1954</v>
      </c>
      <c r="BB28" s="65" t="s">
        <v>1954</v>
      </c>
      <c r="BC28" s="65" t="s">
        <v>1954</v>
      </c>
      <c r="BD28" s="65" t="s">
        <v>1954</v>
      </c>
      <c r="BE28" s="65" t="s">
        <v>1954</v>
      </c>
      <c r="BF28" s="65" t="s">
        <v>1954</v>
      </c>
      <c r="BG28" s="65" t="s">
        <v>1954</v>
      </c>
      <c r="BH28" s="65" t="s">
        <v>1954</v>
      </c>
      <c r="BI28" s="65" t="s">
        <v>1954</v>
      </c>
      <c r="BJ28" s="65" t="s">
        <v>1954</v>
      </c>
      <c r="BK28" s="65" t="s">
        <v>1954</v>
      </c>
      <c r="BL28" s="65" t="s">
        <v>1954</v>
      </c>
      <c r="BM28" s="65" t="s">
        <v>1954</v>
      </c>
      <c r="BN28" s="65" t="s">
        <v>1953</v>
      </c>
      <c r="BO28" s="65" t="s">
        <v>1953</v>
      </c>
      <c r="BP28" s="65" t="s">
        <v>1954</v>
      </c>
      <c r="BQ28" s="65" t="s">
        <v>1954</v>
      </c>
      <c r="BR28" s="65" t="s">
        <v>1954</v>
      </c>
      <c r="BS28" s="65" t="s">
        <v>1954</v>
      </c>
      <c r="BT28" s="65" t="s">
        <v>1954</v>
      </c>
      <c r="BU28" s="65" t="s">
        <v>1954</v>
      </c>
      <c r="BV28" s="65" t="s">
        <v>1954</v>
      </c>
      <c r="BW28" s="65" t="s">
        <v>1954</v>
      </c>
      <c r="BZ28" s="60" t="s">
        <v>2851</v>
      </c>
      <c r="CA28" t="str">
        <f>IFERROR(HLOOKUP($CA$1,Table4[[#All],[India]:[Dominican Republic]],ROW(Table4[[#This Row],[Default]])-1,0),"True")</f>
        <v>True</v>
      </c>
      <c r="CB28" s="65" t="s">
        <v>1953</v>
      </c>
      <c r="CC28" s="65" t="s">
        <v>1953</v>
      </c>
      <c r="CD28" s="65" t="s">
        <v>1953</v>
      </c>
      <c r="CE28" s="65" t="s">
        <v>1953</v>
      </c>
      <c r="CF28" s="65" t="s">
        <v>1953</v>
      </c>
      <c r="CG28" s="65" t="s">
        <v>1953</v>
      </c>
      <c r="CH28" s="65" t="s">
        <v>1953</v>
      </c>
      <c r="CI28" s="65" t="s">
        <v>1953</v>
      </c>
      <c r="CJ28" s="65" t="s">
        <v>1953</v>
      </c>
      <c r="CK28" s="65" t="s">
        <v>1953</v>
      </c>
      <c r="CL28" s="65" t="s">
        <v>1953</v>
      </c>
      <c r="CM28" s="65" t="s">
        <v>1953</v>
      </c>
      <c r="CN28" s="65" t="s">
        <v>1953</v>
      </c>
      <c r="CO28" s="65" t="s">
        <v>1953</v>
      </c>
      <c r="CP28" s="65" t="s">
        <v>1953</v>
      </c>
      <c r="CQ28" s="65" t="s">
        <v>1953</v>
      </c>
      <c r="CR28" s="65" t="s">
        <v>1953</v>
      </c>
      <c r="CS28" s="65" t="s">
        <v>1953</v>
      </c>
      <c r="CT28" s="65" t="s">
        <v>1953</v>
      </c>
      <c r="CU28" s="65" t="s">
        <v>1953</v>
      </c>
      <c r="CV28" s="65" t="s">
        <v>1953</v>
      </c>
      <c r="CW28" s="65" t="s">
        <v>1953</v>
      </c>
      <c r="CX28" s="65" t="s">
        <v>1953</v>
      </c>
      <c r="CY28" s="65" t="s">
        <v>1953</v>
      </c>
      <c r="CZ28" s="65" t="s">
        <v>1953</v>
      </c>
      <c r="DA28" s="65" t="s">
        <v>1953</v>
      </c>
    </row>
    <row r="29" spans="1:105">
      <c r="A29" s="22" t="s">
        <v>147</v>
      </c>
      <c r="B29" s="22" t="s">
        <v>1915</v>
      </c>
      <c r="C29" s="22"/>
      <c r="D29" s="22"/>
      <c r="E29" s="22"/>
      <c r="AV29" t="s">
        <v>2767</v>
      </c>
      <c r="AW29" t="str">
        <f>IFERROR(HLOOKUP($AW$1,Table3[[#All],[India]:[Dominican Republic]],ROW(Table3[[#This Row],[Default]])-1,0),"True")</f>
        <v>False</v>
      </c>
      <c r="AX29" s="65" t="s">
        <v>1954</v>
      </c>
      <c r="AY29" s="65" t="s">
        <v>1954</v>
      </c>
      <c r="AZ29" s="65" t="s">
        <v>1954</v>
      </c>
      <c r="BA29" s="65" t="s">
        <v>1954</v>
      </c>
      <c r="BB29" s="65" t="s">
        <v>1954</v>
      </c>
      <c r="BC29" s="65" t="s">
        <v>1954</v>
      </c>
      <c r="BD29" s="65" t="s">
        <v>1954</v>
      </c>
      <c r="BE29" s="65" t="s">
        <v>1954</v>
      </c>
      <c r="BF29" s="65" t="s">
        <v>1954</v>
      </c>
      <c r="BG29" s="65" t="s">
        <v>1954</v>
      </c>
      <c r="BH29" s="65" t="s">
        <v>1954</v>
      </c>
      <c r="BI29" s="65" t="s">
        <v>1954</v>
      </c>
      <c r="BJ29" s="65" t="s">
        <v>1954</v>
      </c>
      <c r="BK29" s="27" t="s">
        <v>1954</v>
      </c>
      <c r="BL29" s="65" t="s">
        <v>1954</v>
      </c>
      <c r="BM29" s="65" t="s">
        <v>1954</v>
      </c>
      <c r="BN29" s="65" t="s">
        <v>1954</v>
      </c>
      <c r="BO29" s="65" t="s">
        <v>1954</v>
      </c>
      <c r="BP29" s="65" t="s">
        <v>1954</v>
      </c>
      <c r="BQ29" s="65" t="s">
        <v>1954</v>
      </c>
      <c r="BR29" s="65" t="s">
        <v>1954</v>
      </c>
      <c r="BS29" s="65" t="s">
        <v>1954</v>
      </c>
      <c r="BT29" s="65" t="s">
        <v>1954</v>
      </c>
      <c r="BU29" s="65" t="s">
        <v>1954</v>
      </c>
      <c r="BV29" s="65" t="s">
        <v>1954</v>
      </c>
      <c r="BW29" s="65" t="s">
        <v>1954</v>
      </c>
      <c r="BZ29" s="60" t="s">
        <v>2852</v>
      </c>
      <c r="CA29" t="str">
        <f>IFERROR(HLOOKUP($CA$1,Table4[[#All],[India]:[Dominican Republic]],ROW(Table4[[#This Row],[Default]])-1,0),"True")</f>
        <v>True</v>
      </c>
      <c r="CB29" s="65" t="s">
        <v>1953</v>
      </c>
      <c r="CC29" s="65" t="s">
        <v>1953</v>
      </c>
      <c r="CD29" s="65" t="s">
        <v>1953</v>
      </c>
      <c r="CE29" s="65" t="s">
        <v>1953</v>
      </c>
      <c r="CF29" s="65" t="s">
        <v>1953</v>
      </c>
      <c r="CG29" s="65" t="s">
        <v>1953</v>
      </c>
      <c r="CH29" s="65" t="s">
        <v>1953</v>
      </c>
      <c r="CI29" s="65" t="s">
        <v>1953</v>
      </c>
      <c r="CJ29" s="65" t="s">
        <v>1953</v>
      </c>
      <c r="CK29" s="65" t="s">
        <v>1953</v>
      </c>
      <c r="CL29" s="65" t="s">
        <v>1953</v>
      </c>
      <c r="CM29" s="65" t="s">
        <v>1953</v>
      </c>
      <c r="CN29" s="65" t="s">
        <v>1953</v>
      </c>
      <c r="CO29" s="65" t="s">
        <v>1953</v>
      </c>
      <c r="CP29" s="65" t="s">
        <v>1953</v>
      </c>
      <c r="CQ29" s="65" t="s">
        <v>1953</v>
      </c>
      <c r="CR29" s="65" t="s">
        <v>1953</v>
      </c>
      <c r="CS29" s="65" t="s">
        <v>1953</v>
      </c>
      <c r="CT29" s="65" t="s">
        <v>1953</v>
      </c>
      <c r="CU29" s="65" t="s">
        <v>1953</v>
      </c>
      <c r="CV29" s="65" t="s">
        <v>1953</v>
      </c>
      <c r="CW29" s="65" t="s">
        <v>1953</v>
      </c>
      <c r="CX29" s="65" t="s">
        <v>1953</v>
      </c>
      <c r="CY29" s="65" t="s">
        <v>1953</v>
      </c>
      <c r="CZ29" s="65" t="s">
        <v>1953</v>
      </c>
      <c r="DA29" s="65" t="s">
        <v>1953</v>
      </c>
    </row>
    <row r="30" spans="1:105">
      <c r="A30" s="22" t="s">
        <v>361</v>
      </c>
      <c r="B30" s="22" t="s">
        <v>4997</v>
      </c>
      <c r="C30" s="22"/>
      <c r="D30" s="22"/>
      <c r="E30" s="22"/>
      <c r="AV30" t="s">
        <v>4670</v>
      </c>
      <c r="AW30" t="str">
        <f>IFERROR(HLOOKUP($AW$1,Table3[[#All],[India]:[Dominican Republic]],ROW(Table3[[#This Row],[Default]])-1,0),"True")</f>
        <v>False</v>
      </c>
      <c r="AX30" s="65" t="s">
        <v>1954</v>
      </c>
      <c r="AY30" s="65" t="s">
        <v>1954</v>
      </c>
      <c r="AZ30" s="65" t="s">
        <v>1954</v>
      </c>
      <c r="BA30" s="65" t="s">
        <v>1954</v>
      </c>
      <c r="BB30" s="65" t="s">
        <v>1954</v>
      </c>
      <c r="BC30" s="65" t="s">
        <v>1954</v>
      </c>
      <c r="BD30" s="65" t="s">
        <v>1954</v>
      </c>
      <c r="BE30" s="65" t="s">
        <v>1954</v>
      </c>
      <c r="BF30" s="65" t="s">
        <v>1954</v>
      </c>
      <c r="BG30" s="65" t="s">
        <v>1954</v>
      </c>
      <c r="BH30" s="65" t="s">
        <v>1954</v>
      </c>
      <c r="BI30" s="65" t="s">
        <v>1954</v>
      </c>
      <c r="BJ30" s="65" t="s">
        <v>1954</v>
      </c>
      <c r="BK30" s="65" t="s">
        <v>1954</v>
      </c>
      <c r="BL30" s="65" t="s">
        <v>1954</v>
      </c>
      <c r="BM30" s="65" t="s">
        <v>1954</v>
      </c>
      <c r="BN30" s="65" t="s">
        <v>1954</v>
      </c>
      <c r="BO30" s="65" t="s">
        <v>1954</v>
      </c>
      <c r="BP30" s="65" t="s">
        <v>1954</v>
      </c>
      <c r="BQ30" s="65" t="s">
        <v>1954</v>
      </c>
      <c r="BR30" s="65" t="s">
        <v>1954</v>
      </c>
      <c r="BS30" s="65" t="s">
        <v>1954</v>
      </c>
      <c r="BT30" s="65" t="s">
        <v>1954</v>
      </c>
      <c r="BU30" s="65" t="s">
        <v>1954</v>
      </c>
      <c r="BV30" s="65" t="s">
        <v>1954</v>
      </c>
      <c r="BW30" s="65" t="s">
        <v>1954</v>
      </c>
      <c r="BZ30" s="60" t="s">
        <v>2855</v>
      </c>
      <c r="CA30" t="str">
        <f>IFERROR(HLOOKUP($CA$1,Table4[[#All],[India]:[Dominican Republic]],ROW(Table4[[#This Row],[Default]])-1,0),"True")</f>
        <v>True</v>
      </c>
      <c r="CB30" s="65" t="s">
        <v>1953</v>
      </c>
      <c r="CC30" s="65" t="s">
        <v>1953</v>
      </c>
      <c r="CD30" s="65" t="s">
        <v>1953</v>
      </c>
      <c r="CE30" s="65" t="s">
        <v>1953</v>
      </c>
      <c r="CF30" s="65" t="s">
        <v>1953</v>
      </c>
      <c r="CG30" s="65" t="s">
        <v>1953</v>
      </c>
      <c r="CH30" s="65" t="s">
        <v>1953</v>
      </c>
      <c r="CI30" s="65" t="s">
        <v>1953</v>
      </c>
      <c r="CJ30" s="65" t="s">
        <v>1953</v>
      </c>
      <c r="CK30" s="65" t="s">
        <v>1953</v>
      </c>
      <c r="CL30" s="65" t="s">
        <v>1953</v>
      </c>
      <c r="CM30" s="65" t="s">
        <v>1953</v>
      </c>
      <c r="CN30" s="65" t="s">
        <v>1953</v>
      </c>
      <c r="CO30" s="65" t="s">
        <v>1953</v>
      </c>
      <c r="CP30" s="65" t="s">
        <v>1953</v>
      </c>
      <c r="CQ30" s="65" t="s">
        <v>1953</v>
      </c>
      <c r="CR30" s="65" t="s">
        <v>1953</v>
      </c>
      <c r="CS30" s="65" t="s">
        <v>1953</v>
      </c>
      <c r="CT30" s="65" t="s">
        <v>1953</v>
      </c>
      <c r="CU30" s="65" t="s">
        <v>1953</v>
      </c>
      <c r="CV30" s="65" t="s">
        <v>1953</v>
      </c>
      <c r="CW30" s="65" t="s">
        <v>1953</v>
      </c>
      <c r="CX30" s="65" t="s">
        <v>1953</v>
      </c>
      <c r="CY30" s="65" t="s">
        <v>1953</v>
      </c>
      <c r="CZ30" s="65" t="s">
        <v>1953</v>
      </c>
      <c r="DA30" s="65" t="s">
        <v>1953</v>
      </c>
    </row>
    <row r="31" spans="1:105">
      <c r="A31" s="22" t="s">
        <v>365</v>
      </c>
      <c r="B31" s="22" t="s">
        <v>7594</v>
      </c>
      <c r="C31" s="22" t="s">
        <v>7595</v>
      </c>
      <c r="D31" s="22" t="s">
        <v>7596</v>
      </c>
      <c r="E31" s="22"/>
      <c r="AV31" t="s">
        <v>2763</v>
      </c>
      <c r="AW31" t="str">
        <f>IFERROR(HLOOKUP($AW$1,Table3[[#All],[India]:[Dominican Republic]],ROW(Table3[[#This Row],[Default]])-1,0),"True")</f>
        <v>False</v>
      </c>
      <c r="AX31" s="65" t="s">
        <v>1954</v>
      </c>
      <c r="AY31" s="65" t="s">
        <v>1954</v>
      </c>
      <c r="AZ31" s="65" t="s">
        <v>1954</v>
      </c>
      <c r="BA31" s="65" t="s">
        <v>1954</v>
      </c>
      <c r="BB31" s="65" t="s">
        <v>1954</v>
      </c>
      <c r="BC31" s="65" t="s">
        <v>1954</v>
      </c>
      <c r="BD31" s="65" t="s">
        <v>1954</v>
      </c>
      <c r="BE31" s="65" t="s">
        <v>1954</v>
      </c>
      <c r="BF31" s="65" t="s">
        <v>1954</v>
      </c>
      <c r="BG31" s="65" t="s">
        <v>1954</v>
      </c>
      <c r="BH31" s="65" t="s">
        <v>1954</v>
      </c>
      <c r="BI31" s="65" t="s">
        <v>1954</v>
      </c>
      <c r="BJ31" s="65" t="s">
        <v>1954</v>
      </c>
      <c r="BK31" s="65" t="s">
        <v>1954</v>
      </c>
      <c r="BL31" s="65" t="s">
        <v>1954</v>
      </c>
      <c r="BM31" s="65" t="s">
        <v>1954</v>
      </c>
      <c r="BN31" s="65" t="s">
        <v>1954</v>
      </c>
      <c r="BO31" s="65" t="s">
        <v>1954</v>
      </c>
      <c r="BP31" s="65" t="s">
        <v>1954</v>
      </c>
      <c r="BQ31" s="65" t="s">
        <v>1954</v>
      </c>
      <c r="BR31" s="65" t="s">
        <v>1954</v>
      </c>
      <c r="BS31" s="65" t="s">
        <v>1954</v>
      </c>
      <c r="BT31" s="65" t="s">
        <v>1954</v>
      </c>
      <c r="BU31" s="65" t="s">
        <v>1954</v>
      </c>
      <c r="BV31" s="65" t="s">
        <v>1954</v>
      </c>
      <c r="BW31" s="65" t="s">
        <v>1954</v>
      </c>
      <c r="BZ31" s="60" t="s">
        <v>793</v>
      </c>
      <c r="CA31" t="str">
        <f>IFERROR(HLOOKUP($CA$1,Table4[[#All],[India]:[Dominican Republic]],ROW(Table4[[#This Row],[Default]])-1,0),"True")</f>
        <v>True</v>
      </c>
      <c r="CB31" s="65" t="s">
        <v>1953</v>
      </c>
      <c r="CC31" s="65" t="s">
        <v>1953</v>
      </c>
      <c r="CD31" s="65" t="s">
        <v>1953</v>
      </c>
      <c r="CE31" s="65" t="s">
        <v>1953</v>
      </c>
      <c r="CF31" s="65" t="s">
        <v>1953</v>
      </c>
      <c r="CG31" s="65" t="s">
        <v>1953</v>
      </c>
      <c r="CH31" s="65" t="s">
        <v>1953</v>
      </c>
      <c r="CI31" s="65" t="s">
        <v>1953</v>
      </c>
      <c r="CJ31" s="65" t="s">
        <v>1953</v>
      </c>
      <c r="CK31" s="65" t="s">
        <v>1953</v>
      </c>
      <c r="CL31" s="65" t="s">
        <v>1953</v>
      </c>
      <c r="CM31" s="65" t="s">
        <v>1953</v>
      </c>
      <c r="CN31" s="65" t="s">
        <v>1953</v>
      </c>
      <c r="CO31" s="65" t="s">
        <v>1953</v>
      </c>
      <c r="CP31" s="65" t="s">
        <v>1953</v>
      </c>
      <c r="CQ31" s="65" t="s">
        <v>1953</v>
      </c>
      <c r="CR31" s="65" t="s">
        <v>1953</v>
      </c>
      <c r="CS31" s="65" t="s">
        <v>1953</v>
      </c>
      <c r="CT31" s="65" t="s">
        <v>1953</v>
      </c>
      <c r="CU31" s="65" t="s">
        <v>1953</v>
      </c>
      <c r="CV31" s="65" t="s">
        <v>1953</v>
      </c>
      <c r="CW31" s="65" t="s">
        <v>1953</v>
      </c>
      <c r="CX31" s="65" t="s">
        <v>1953</v>
      </c>
      <c r="CY31" s="65" t="s">
        <v>1953</v>
      </c>
      <c r="CZ31" s="65" t="s">
        <v>1953</v>
      </c>
      <c r="DA31" s="65" t="s">
        <v>1953</v>
      </c>
    </row>
    <row r="32" spans="1:105">
      <c r="A32" s="22" t="s">
        <v>370</v>
      </c>
      <c r="B32" s="22" t="s">
        <v>7622</v>
      </c>
      <c r="C32" s="22"/>
      <c r="D32" s="22"/>
      <c r="E32" s="22"/>
      <c r="AV32" t="s">
        <v>2916</v>
      </c>
      <c r="AW32" t="str">
        <f>IFERROR(HLOOKUP($AW$1,Table3[[#All],[India]:[Dominican Republic]],ROW(Table3[[#This Row],[Default]])-1,0),"True")</f>
        <v>False</v>
      </c>
      <c r="AX32" s="65" t="s">
        <v>1954</v>
      </c>
      <c r="AY32" s="65" t="s">
        <v>1954</v>
      </c>
      <c r="AZ32" s="65" t="s">
        <v>1954</v>
      </c>
      <c r="BA32" s="65" t="s">
        <v>1954</v>
      </c>
      <c r="BB32" s="65" t="s">
        <v>1954</v>
      </c>
      <c r="BC32" s="65" t="s">
        <v>1954</v>
      </c>
      <c r="BD32" s="65" t="s">
        <v>1954</v>
      </c>
      <c r="BE32" s="65" t="s">
        <v>1954</v>
      </c>
      <c r="BF32" s="65" t="s">
        <v>1954</v>
      </c>
      <c r="BG32" s="65" t="s">
        <v>1954</v>
      </c>
      <c r="BH32" s="65" t="s">
        <v>1954</v>
      </c>
      <c r="BI32" s="65" t="s">
        <v>1954</v>
      </c>
      <c r="BJ32" s="65" t="s">
        <v>1954</v>
      </c>
      <c r="BK32" s="65" t="s">
        <v>1954</v>
      </c>
      <c r="BL32" s="65" t="s">
        <v>1954</v>
      </c>
      <c r="BM32" s="65" t="s">
        <v>1954</v>
      </c>
      <c r="BN32" s="65" t="s">
        <v>1954</v>
      </c>
      <c r="BO32" s="65" t="s">
        <v>1954</v>
      </c>
      <c r="BP32" s="65" t="s">
        <v>1954</v>
      </c>
      <c r="BQ32" s="65" t="s">
        <v>1954</v>
      </c>
      <c r="BR32" s="65" t="s">
        <v>1954</v>
      </c>
      <c r="BS32" s="65" t="s">
        <v>1954</v>
      </c>
      <c r="BT32" s="65" t="s">
        <v>1954</v>
      </c>
      <c r="BU32" s="65" t="s">
        <v>1954</v>
      </c>
      <c r="BV32" s="65" t="s">
        <v>1954</v>
      </c>
      <c r="BW32" s="65" t="s">
        <v>1954</v>
      </c>
      <c r="BZ32" s="62" t="s">
        <v>2869</v>
      </c>
      <c r="CA32" t="str">
        <f>IFERROR(HLOOKUP($CA$1,Table4[[#All],[India]:[Dominican Republic]],ROW(Table4[[#This Row],[Default]])-1,0),"True")</f>
        <v>True</v>
      </c>
      <c r="CB32" s="65" t="s">
        <v>1953</v>
      </c>
      <c r="CC32" s="65" t="s">
        <v>1953</v>
      </c>
      <c r="CD32" s="65" t="s">
        <v>1953</v>
      </c>
      <c r="CE32" s="65" t="s">
        <v>1953</v>
      </c>
      <c r="CF32" s="65" t="s">
        <v>1953</v>
      </c>
      <c r="CG32" s="65" t="s">
        <v>1953</v>
      </c>
      <c r="CH32" s="65" t="s">
        <v>1953</v>
      </c>
      <c r="CI32" s="65" t="s">
        <v>1953</v>
      </c>
      <c r="CJ32" s="65" t="s">
        <v>1953</v>
      </c>
      <c r="CK32" s="65" t="s">
        <v>1953</v>
      </c>
      <c r="CL32" s="65" t="s">
        <v>1953</v>
      </c>
      <c r="CM32" s="65" t="s">
        <v>1953</v>
      </c>
      <c r="CN32" s="65" t="s">
        <v>1953</v>
      </c>
      <c r="CO32" s="65" t="s">
        <v>1953</v>
      </c>
      <c r="CP32" s="65" t="s">
        <v>1953</v>
      </c>
      <c r="CQ32" s="65" t="s">
        <v>1953</v>
      </c>
      <c r="CR32" s="65" t="s">
        <v>1953</v>
      </c>
      <c r="CS32" s="65" t="s">
        <v>1953</v>
      </c>
      <c r="CT32" s="65" t="s">
        <v>1953</v>
      </c>
      <c r="CU32" s="65" t="s">
        <v>1953</v>
      </c>
      <c r="CV32" s="65" t="s">
        <v>1953</v>
      </c>
      <c r="CW32" s="65" t="s">
        <v>1953</v>
      </c>
      <c r="CX32" s="65" t="s">
        <v>1953</v>
      </c>
      <c r="CY32" s="65" t="s">
        <v>1953</v>
      </c>
      <c r="CZ32" s="65" t="s">
        <v>1953</v>
      </c>
      <c r="DA32" s="65" t="s">
        <v>1953</v>
      </c>
    </row>
    <row r="33" spans="1:105">
      <c r="A33" s="22" t="s">
        <v>371</v>
      </c>
      <c r="B33" s="22" t="s">
        <v>1916</v>
      </c>
      <c r="C33" s="22"/>
      <c r="D33" s="22"/>
      <c r="E33" s="22"/>
      <c r="AV33" t="s">
        <v>834</v>
      </c>
      <c r="AW33" t="str">
        <f>IFERROR(HLOOKUP($AW$1,Table3[[#All],[India]:[Dominican Republic]],ROW(Table3[[#This Row],[Default]])-1,0),"True")</f>
        <v>False</v>
      </c>
      <c r="AX33" s="65" t="s">
        <v>1954</v>
      </c>
      <c r="AY33" s="65" t="s">
        <v>1954</v>
      </c>
      <c r="AZ33" s="65" t="s">
        <v>1954</v>
      </c>
      <c r="BA33" s="65" t="s">
        <v>1954</v>
      </c>
      <c r="BB33" s="65" t="s">
        <v>1954</v>
      </c>
      <c r="BC33" s="65" t="s">
        <v>1954</v>
      </c>
      <c r="BD33" s="65" t="s">
        <v>1954</v>
      </c>
      <c r="BE33" s="65" t="s">
        <v>1954</v>
      </c>
      <c r="BF33" s="65" t="s">
        <v>1954</v>
      </c>
      <c r="BG33" s="65" t="s">
        <v>1954</v>
      </c>
      <c r="BH33" s="65" t="s">
        <v>1954</v>
      </c>
      <c r="BI33" s="65" t="s">
        <v>1954</v>
      </c>
      <c r="BJ33" s="65" t="s">
        <v>1954</v>
      </c>
      <c r="BK33" s="65" t="s">
        <v>1954</v>
      </c>
      <c r="BL33" s="65" t="s">
        <v>1954</v>
      </c>
      <c r="BM33" s="65" t="s">
        <v>1954</v>
      </c>
      <c r="BN33" s="65" t="s">
        <v>1954</v>
      </c>
      <c r="BO33" s="65" t="s">
        <v>1954</v>
      </c>
      <c r="BP33" s="65" t="s">
        <v>1954</v>
      </c>
      <c r="BQ33" s="65" t="s">
        <v>1954</v>
      </c>
      <c r="BR33" s="65" t="s">
        <v>1954</v>
      </c>
      <c r="BS33" s="65" t="s">
        <v>1954</v>
      </c>
      <c r="BT33" s="65" t="s">
        <v>1954</v>
      </c>
      <c r="BU33" s="65" t="s">
        <v>1954</v>
      </c>
      <c r="BV33" s="65" t="s">
        <v>1954</v>
      </c>
      <c r="BW33" s="65" t="s">
        <v>1954</v>
      </c>
      <c r="BZ33" s="60" t="s">
        <v>794</v>
      </c>
      <c r="CA33" t="str">
        <f>IFERROR(HLOOKUP($CA$1,Table4[[#All],[India]:[Dominican Republic]],ROW(Table4[[#This Row],[Default]])-1,0),"True")</f>
        <v>True</v>
      </c>
      <c r="CB33" s="65" t="s">
        <v>1953</v>
      </c>
      <c r="CC33" s="65" t="s">
        <v>1953</v>
      </c>
      <c r="CD33" s="65" t="s">
        <v>1953</v>
      </c>
      <c r="CE33" s="65" t="s">
        <v>1953</v>
      </c>
      <c r="CF33" s="65" t="s">
        <v>1953</v>
      </c>
      <c r="CG33" s="65" t="s">
        <v>1953</v>
      </c>
      <c r="CH33" s="65" t="s">
        <v>1953</v>
      </c>
      <c r="CI33" s="65" t="s">
        <v>1953</v>
      </c>
      <c r="CJ33" s="65" t="s">
        <v>1953</v>
      </c>
      <c r="CK33" s="65" t="s">
        <v>1953</v>
      </c>
      <c r="CL33" s="65" t="s">
        <v>1953</v>
      </c>
      <c r="CM33" s="65" t="s">
        <v>1953</v>
      </c>
      <c r="CN33" s="65" t="s">
        <v>1953</v>
      </c>
      <c r="CO33" s="65" t="s">
        <v>1953</v>
      </c>
      <c r="CP33" s="65" t="s">
        <v>1953</v>
      </c>
      <c r="CQ33" s="65" t="s">
        <v>1953</v>
      </c>
      <c r="CR33" s="65" t="s">
        <v>1953</v>
      </c>
      <c r="CS33" s="65" t="s">
        <v>1953</v>
      </c>
      <c r="CT33" s="65" t="s">
        <v>1953</v>
      </c>
      <c r="CU33" s="65" t="s">
        <v>1953</v>
      </c>
      <c r="CV33" s="65" t="s">
        <v>1953</v>
      </c>
      <c r="CW33" s="65" t="s">
        <v>1953</v>
      </c>
      <c r="CX33" s="65" t="s">
        <v>1953</v>
      </c>
      <c r="CY33" s="65" t="s">
        <v>1953</v>
      </c>
      <c r="CZ33" s="65" t="s">
        <v>1953</v>
      </c>
      <c r="DA33" s="65" t="s">
        <v>1953</v>
      </c>
    </row>
    <row r="34" spans="1:105">
      <c r="A34" t="s">
        <v>328</v>
      </c>
      <c r="B34" t="s">
        <v>7882</v>
      </c>
      <c r="C34" t="s">
        <v>7883</v>
      </c>
      <c r="AV34" t="s">
        <v>871</v>
      </c>
      <c r="AW34" t="str">
        <f>IFERROR(HLOOKUP($AW$1,Table3[[#All],[India]:[Dominican Republic]],ROW(Table3[[#This Row],[Default]])-1,0),"True")</f>
        <v>False</v>
      </c>
      <c r="AX34" s="65" t="s">
        <v>1954</v>
      </c>
      <c r="AY34" s="65" t="s">
        <v>1954</v>
      </c>
      <c r="AZ34" s="65" t="s">
        <v>1954</v>
      </c>
      <c r="BA34" s="65" t="s">
        <v>1954</v>
      </c>
      <c r="BB34" s="65" t="s">
        <v>1954</v>
      </c>
      <c r="BC34" s="65" t="s">
        <v>1954</v>
      </c>
      <c r="BD34" s="65" t="s">
        <v>1954</v>
      </c>
      <c r="BE34" s="65" t="s">
        <v>1954</v>
      </c>
      <c r="BF34" s="65" t="s">
        <v>1954</v>
      </c>
      <c r="BG34" s="65" t="s">
        <v>1954</v>
      </c>
      <c r="BH34" s="65" t="s">
        <v>1954</v>
      </c>
      <c r="BI34" s="65" t="s">
        <v>1954</v>
      </c>
      <c r="BJ34" s="65" t="s">
        <v>1954</v>
      </c>
      <c r="BK34" s="65" t="s">
        <v>1954</v>
      </c>
      <c r="BL34" s="65" t="s">
        <v>1954</v>
      </c>
      <c r="BM34" s="65" t="s">
        <v>1954</v>
      </c>
      <c r="BN34" s="65" t="s">
        <v>1954</v>
      </c>
      <c r="BO34" s="65" t="s">
        <v>1954</v>
      </c>
      <c r="BP34" s="65" t="s">
        <v>1954</v>
      </c>
      <c r="BQ34" s="65" t="s">
        <v>1954</v>
      </c>
      <c r="BR34" s="65" t="s">
        <v>1954</v>
      </c>
      <c r="BS34" s="65" t="s">
        <v>1954</v>
      </c>
      <c r="BT34" s="65" t="s">
        <v>1954</v>
      </c>
      <c r="BU34" s="65" t="s">
        <v>1954</v>
      </c>
      <c r="BV34" s="65" t="s">
        <v>1954</v>
      </c>
      <c r="BW34" s="65" t="s">
        <v>1954</v>
      </c>
      <c r="BZ34" s="60" t="s">
        <v>796</v>
      </c>
      <c r="CA34" t="str">
        <f>IFERROR(HLOOKUP($CA$1,Table4[[#All],[India]:[Dominican Republic]],ROW(Table4[[#This Row],[Default]])-1,0),"True")</f>
        <v>True</v>
      </c>
      <c r="CB34" s="65" t="s">
        <v>1953</v>
      </c>
      <c r="CC34" s="65" t="s">
        <v>1953</v>
      </c>
      <c r="CD34" s="65" t="s">
        <v>1953</v>
      </c>
      <c r="CE34" s="65" t="s">
        <v>1953</v>
      </c>
      <c r="CF34" s="65" t="s">
        <v>1953</v>
      </c>
      <c r="CG34" s="65" t="s">
        <v>1953</v>
      </c>
      <c r="CH34" s="65" t="s">
        <v>1953</v>
      </c>
      <c r="CI34" s="65" t="s">
        <v>1953</v>
      </c>
      <c r="CJ34" s="65" t="s">
        <v>1953</v>
      </c>
      <c r="CK34" s="65" t="s">
        <v>1953</v>
      </c>
      <c r="CL34" s="65" t="s">
        <v>1953</v>
      </c>
      <c r="CM34" s="65" t="s">
        <v>1953</v>
      </c>
      <c r="CN34" s="65" t="s">
        <v>1953</v>
      </c>
      <c r="CO34" s="65" t="s">
        <v>1953</v>
      </c>
      <c r="CP34" s="65" t="s">
        <v>1953</v>
      </c>
      <c r="CQ34" s="65" t="s">
        <v>1953</v>
      </c>
      <c r="CR34" s="65" t="s">
        <v>1953</v>
      </c>
      <c r="CS34" s="65" t="s">
        <v>1953</v>
      </c>
      <c r="CT34" s="65" t="s">
        <v>1953</v>
      </c>
      <c r="CU34" s="65" t="s">
        <v>1953</v>
      </c>
      <c r="CV34" s="65" t="s">
        <v>1953</v>
      </c>
      <c r="CW34" s="65" t="s">
        <v>1953</v>
      </c>
      <c r="CX34" s="65" t="s">
        <v>1953</v>
      </c>
      <c r="CY34" s="65" t="s">
        <v>1953</v>
      </c>
      <c r="CZ34" s="65" t="s">
        <v>1953</v>
      </c>
      <c r="DA34" s="65" t="s">
        <v>1953</v>
      </c>
    </row>
    <row r="35" spans="1:105">
      <c r="A35" t="s">
        <v>134</v>
      </c>
      <c r="B35" t="s">
        <v>2986</v>
      </c>
      <c r="C35" t="s">
        <v>1902</v>
      </c>
      <c r="D35" t="s">
        <v>7904</v>
      </c>
      <c r="AV35" t="s">
        <v>2983</v>
      </c>
      <c r="AW35" t="str">
        <f>IFERROR(HLOOKUP($AW$1,Table3[[#All],[India]:[Dominican Republic]],ROW(Table3[[#This Row],[Default]])-1,0),"True")</f>
        <v>False</v>
      </c>
      <c r="AX35" s="65" t="s">
        <v>1954</v>
      </c>
      <c r="AY35" s="65" t="s">
        <v>1954</v>
      </c>
      <c r="AZ35" s="65" t="s">
        <v>1954</v>
      </c>
      <c r="BA35" s="65" t="s">
        <v>1954</v>
      </c>
      <c r="BB35" s="65" t="s">
        <v>1954</v>
      </c>
      <c r="BC35" s="65" t="s">
        <v>1954</v>
      </c>
      <c r="BD35" s="65" t="s">
        <v>1954</v>
      </c>
      <c r="BE35" s="65" t="s">
        <v>1954</v>
      </c>
      <c r="BF35" s="65" t="s">
        <v>1954</v>
      </c>
      <c r="BG35" s="65" t="s">
        <v>1954</v>
      </c>
      <c r="BH35" s="65" t="s">
        <v>1954</v>
      </c>
      <c r="BI35" s="65" t="s">
        <v>1954</v>
      </c>
      <c r="BJ35" s="65" t="s">
        <v>1954</v>
      </c>
      <c r="BK35" s="65" t="s">
        <v>1954</v>
      </c>
      <c r="BL35" s="65" t="s">
        <v>1954</v>
      </c>
      <c r="BM35" s="65" t="s">
        <v>1954</v>
      </c>
      <c r="BN35" s="65" t="s">
        <v>1954</v>
      </c>
      <c r="BO35" s="65" t="s">
        <v>1954</v>
      </c>
      <c r="BP35" s="65" t="s">
        <v>1954</v>
      </c>
      <c r="BQ35" s="65" t="s">
        <v>1954</v>
      </c>
      <c r="BR35" s="65" t="s">
        <v>1954</v>
      </c>
      <c r="BS35" s="65" t="s">
        <v>1954</v>
      </c>
      <c r="BT35" s="65" t="s">
        <v>1954</v>
      </c>
      <c r="BU35" s="65" t="s">
        <v>1954</v>
      </c>
      <c r="BV35" s="65" t="s">
        <v>1954</v>
      </c>
      <c r="BW35" s="65" t="s">
        <v>1954</v>
      </c>
      <c r="BZ35" s="60" t="s">
        <v>797</v>
      </c>
      <c r="CA35" t="str">
        <f>IFERROR(HLOOKUP($CA$1,Table4[[#All],[India]:[Dominican Republic]],ROW(Table4[[#This Row],[Default]])-1,0),"True")</f>
        <v>True</v>
      </c>
      <c r="CB35" s="65" t="s">
        <v>1953</v>
      </c>
      <c r="CC35" s="65" t="s">
        <v>1953</v>
      </c>
      <c r="CD35" s="65" t="s">
        <v>1953</v>
      </c>
      <c r="CE35" s="65" t="s">
        <v>1953</v>
      </c>
      <c r="CF35" s="65" t="s">
        <v>1953</v>
      </c>
      <c r="CG35" s="65" t="s">
        <v>1953</v>
      </c>
      <c r="CH35" s="65" t="s">
        <v>1953</v>
      </c>
      <c r="CI35" s="65" t="s">
        <v>1953</v>
      </c>
      <c r="CJ35" s="65" t="s">
        <v>1953</v>
      </c>
      <c r="CK35" s="65" t="s">
        <v>1953</v>
      </c>
      <c r="CL35" s="65" t="s">
        <v>1953</v>
      </c>
      <c r="CM35" s="65" t="s">
        <v>1953</v>
      </c>
      <c r="CN35" s="65" t="s">
        <v>1953</v>
      </c>
      <c r="CO35" s="65" t="s">
        <v>1953</v>
      </c>
      <c r="CP35" s="65" t="s">
        <v>1953</v>
      </c>
      <c r="CQ35" s="65" t="s">
        <v>1953</v>
      </c>
      <c r="CR35" s="65" t="s">
        <v>1953</v>
      </c>
      <c r="CS35" s="65" t="s">
        <v>1953</v>
      </c>
      <c r="CT35" s="65" t="s">
        <v>1953</v>
      </c>
      <c r="CU35" s="65" t="s">
        <v>1953</v>
      </c>
      <c r="CV35" s="65" t="s">
        <v>1953</v>
      </c>
      <c r="CW35" s="65" t="s">
        <v>1953</v>
      </c>
      <c r="CX35" s="65" t="s">
        <v>1953</v>
      </c>
      <c r="CY35" s="65" t="s">
        <v>1953</v>
      </c>
      <c r="CZ35" s="65" t="s">
        <v>1953</v>
      </c>
      <c r="DA35" s="65" t="s">
        <v>1953</v>
      </c>
    </row>
    <row r="36" spans="1:105">
      <c r="A36" t="s">
        <v>99</v>
      </c>
      <c r="B36" t="s">
        <v>7615</v>
      </c>
      <c r="C36" t="s">
        <v>7616</v>
      </c>
      <c r="AV36" t="s">
        <v>835</v>
      </c>
      <c r="AW36" t="str">
        <f>IFERROR(HLOOKUP($AW$1,Table3[[#All],[India]:[Dominican Republic]],ROW(Table3[[#This Row],[Default]])-1,0),"True")</f>
        <v>False</v>
      </c>
      <c r="AX36" s="65" t="s">
        <v>1954</v>
      </c>
      <c r="AY36" s="65" t="s">
        <v>1954</v>
      </c>
      <c r="AZ36" s="65" t="s">
        <v>1954</v>
      </c>
      <c r="BA36" s="65" t="s">
        <v>1954</v>
      </c>
      <c r="BB36" s="65" t="s">
        <v>1954</v>
      </c>
      <c r="BC36" s="65" t="s">
        <v>1954</v>
      </c>
      <c r="BD36" s="65" t="s">
        <v>1954</v>
      </c>
      <c r="BE36" s="65" t="s">
        <v>1954</v>
      </c>
      <c r="BF36" s="65" t="s">
        <v>1954</v>
      </c>
      <c r="BG36" s="65" t="s">
        <v>1954</v>
      </c>
      <c r="BH36" s="65" t="s">
        <v>1954</v>
      </c>
      <c r="BI36" s="65" t="s">
        <v>1954</v>
      </c>
      <c r="BJ36" s="65" t="s">
        <v>1954</v>
      </c>
      <c r="BK36" s="65" t="s">
        <v>1954</v>
      </c>
      <c r="BL36" s="65" t="s">
        <v>1954</v>
      </c>
      <c r="BM36" s="65" t="s">
        <v>1954</v>
      </c>
      <c r="BN36" s="65" t="s">
        <v>1954</v>
      </c>
      <c r="BO36" s="65" t="s">
        <v>1954</v>
      </c>
      <c r="BP36" s="65" t="s">
        <v>1954</v>
      </c>
      <c r="BQ36" s="65" t="s">
        <v>1954</v>
      </c>
      <c r="BR36" s="65" t="s">
        <v>1954</v>
      </c>
      <c r="BS36" s="65" t="s">
        <v>1954</v>
      </c>
      <c r="BT36" s="65" t="s">
        <v>1954</v>
      </c>
      <c r="BU36" s="65" t="s">
        <v>1954</v>
      </c>
      <c r="BV36" s="65" t="s">
        <v>1954</v>
      </c>
      <c r="BW36" s="65" t="s">
        <v>1954</v>
      </c>
      <c r="BZ36" s="60" t="s">
        <v>798</v>
      </c>
      <c r="CA36" t="str">
        <f>IFERROR(HLOOKUP($CA$1,Table4[[#All],[India]:[Dominican Republic]],ROW(Table4[[#This Row],[Default]])-1,0),"True")</f>
        <v>True</v>
      </c>
      <c r="CB36" s="65" t="s">
        <v>1953</v>
      </c>
      <c r="CC36" s="65" t="s">
        <v>1953</v>
      </c>
      <c r="CD36" s="65" t="s">
        <v>1953</v>
      </c>
      <c r="CE36" s="65" t="s">
        <v>1953</v>
      </c>
      <c r="CF36" s="65" t="s">
        <v>1953</v>
      </c>
      <c r="CG36" s="65" t="s">
        <v>1953</v>
      </c>
      <c r="CH36" s="65" t="s">
        <v>1953</v>
      </c>
      <c r="CI36" s="65" t="s">
        <v>1953</v>
      </c>
      <c r="CJ36" s="65" t="s">
        <v>1953</v>
      </c>
      <c r="CK36" s="65" t="s">
        <v>1953</v>
      </c>
      <c r="CL36" s="65" t="s">
        <v>1953</v>
      </c>
      <c r="CM36" s="65" t="s">
        <v>1953</v>
      </c>
      <c r="CN36" s="65" t="s">
        <v>1953</v>
      </c>
      <c r="CO36" s="65" t="s">
        <v>1953</v>
      </c>
      <c r="CP36" s="65" t="s">
        <v>1953</v>
      </c>
      <c r="CQ36" s="65" t="s">
        <v>1953</v>
      </c>
      <c r="CR36" s="65" t="s">
        <v>1953</v>
      </c>
      <c r="CS36" s="65" t="s">
        <v>1953</v>
      </c>
      <c r="CT36" s="65" t="s">
        <v>1953</v>
      </c>
      <c r="CU36" s="65" t="s">
        <v>1953</v>
      </c>
      <c r="CV36" s="65" t="s">
        <v>1953</v>
      </c>
      <c r="CW36" s="65" t="s">
        <v>1953</v>
      </c>
      <c r="CX36" s="65" t="s">
        <v>1953</v>
      </c>
      <c r="CY36" s="65" t="s">
        <v>1953</v>
      </c>
      <c r="CZ36" s="65" t="s">
        <v>1953</v>
      </c>
      <c r="DA36" s="65" t="s">
        <v>1953</v>
      </c>
    </row>
    <row r="37" spans="1:105">
      <c r="A37" t="s">
        <v>200</v>
      </c>
      <c r="B37" t="s">
        <v>7816</v>
      </c>
      <c r="C37" t="s">
        <v>7817</v>
      </c>
      <c r="D37" t="s">
        <v>7818</v>
      </c>
      <c r="AV37" t="s">
        <v>2761</v>
      </c>
      <c r="AW37" t="str">
        <f>IFERROR(HLOOKUP($AW$1,Table3[[#All],[India]:[Dominican Republic]],ROW(Table3[[#This Row],[Default]])-1,0),"True")</f>
        <v>False</v>
      </c>
      <c r="AX37" s="65" t="s">
        <v>1954</v>
      </c>
      <c r="AY37" s="65" t="s">
        <v>1954</v>
      </c>
      <c r="AZ37" s="65" t="s">
        <v>1954</v>
      </c>
      <c r="BA37" s="65" t="s">
        <v>1954</v>
      </c>
      <c r="BB37" s="65" t="s">
        <v>1954</v>
      </c>
      <c r="BC37" s="65" t="s">
        <v>1954</v>
      </c>
      <c r="BD37" s="65" t="s">
        <v>1954</v>
      </c>
      <c r="BE37" s="65" t="s">
        <v>1954</v>
      </c>
      <c r="BF37" s="65" t="s">
        <v>1954</v>
      </c>
      <c r="BG37" s="65" t="s">
        <v>1954</v>
      </c>
      <c r="BH37" s="65" t="s">
        <v>1954</v>
      </c>
      <c r="BI37" s="65" t="s">
        <v>1954</v>
      </c>
      <c r="BJ37" s="65" t="s">
        <v>1954</v>
      </c>
      <c r="BK37" s="65" t="s">
        <v>1954</v>
      </c>
      <c r="BL37" s="65" t="s">
        <v>1954</v>
      </c>
      <c r="BM37" s="65" t="s">
        <v>1954</v>
      </c>
      <c r="BN37" s="65" t="s">
        <v>1954</v>
      </c>
      <c r="BO37" s="65" t="s">
        <v>1954</v>
      </c>
      <c r="BP37" s="65" t="s">
        <v>1954</v>
      </c>
      <c r="BQ37" s="65" t="s">
        <v>1954</v>
      </c>
      <c r="BR37" s="65" t="s">
        <v>1954</v>
      </c>
      <c r="BS37" s="65" t="s">
        <v>1954</v>
      </c>
      <c r="BT37" s="65" t="s">
        <v>1954</v>
      </c>
      <c r="BU37" s="65" t="s">
        <v>1954</v>
      </c>
      <c r="BV37" s="65" t="s">
        <v>1954</v>
      </c>
      <c r="BW37" s="65" t="s">
        <v>1954</v>
      </c>
      <c r="BZ37" s="60" t="s">
        <v>2853</v>
      </c>
      <c r="CA37" t="str">
        <f>IFERROR(HLOOKUP($CA$1,Table4[[#All],[India]:[Dominican Republic]],ROW(Table4[[#This Row],[Default]])-1,0),"True")</f>
        <v>True</v>
      </c>
      <c r="CB37" s="65" t="s">
        <v>1953</v>
      </c>
      <c r="CC37" s="65" t="s">
        <v>1953</v>
      </c>
      <c r="CD37" s="65" t="s">
        <v>1953</v>
      </c>
      <c r="CE37" s="65" t="s">
        <v>1953</v>
      </c>
      <c r="CF37" s="65" t="s">
        <v>1953</v>
      </c>
      <c r="CG37" s="65" t="s">
        <v>1953</v>
      </c>
      <c r="CH37" s="65" t="s">
        <v>1953</v>
      </c>
      <c r="CI37" s="65" t="s">
        <v>1953</v>
      </c>
      <c r="CJ37" s="65" t="s">
        <v>1953</v>
      </c>
      <c r="CK37" s="65" t="s">
        <v>1953</v>
      </c>
      <c r="CL37" s="65" t="s">
        <v>1953</v>
      </c>
      <c r="CM37" s="65" t="s">
        <v>1953</v>
      </c>
      <c r="CN37" s="65" t="s">
        <v>1953</v>
      </c>
      <c r="CO37" s="65" t="s">
        <v>1953</v>
      </c>
      <c r="CP37" s="65" t="s">
        <v>1953</v>
      </c>
      <c r="CQ37" s="65" t="s">
        <v>1953</v>
      </c>
      <c r="CR37" s="65" t="s">
        <v>1953</v>
      </c>
      <c r="CS37" s="65" t="s">
        <v>1953</v>
      </c>
      <c r="CT37" s="65" t="s">
        <v>1953</v>
      </c>
      <c r="CU37" s="65" t="s">
        <v>1953</v>
      </c>
      <c r="CV37" s="65" t="s">
        <v>1953</v>
      </c>
      <c r="CW37" s="65" t="s">
        <v>1953</v>
      </c>
      <c r="CX37" s="65" t="s">
        <v>1953</v>
      </c>
      <c r="CY37" s="65" t="s">
        <v>1953</v>
      </c>
      <c r="CZ37" s="65" t="s">
        <v>1953</v>
      </c>
      <c r="DA37" s="65" t="s">
        <v>1953</v>
      </c>
    </row>
    <row r="38" spans="1:105">
      <c r="A38" t="s">
        <v>201</v>
      </c>
      <c r="B38" t="s">
        <v>5000</v>
      </c>
      <c r="C38" t="s">
        <v>5001</v>
      </c>
      <c r="D38" t="s">
        <v>5002</v>
      </c>
      <c r="AV38" t="s">
        <v>2987</v>
      </c>
      <c r="AW38" t="str">
        <f>IFERROR(HLOOKUP($AW$1,Table3[[#All],[India]:[Dominican Republic]],ROW(Table3[[#This Row],[Default]])-1,0),"True")</f>
        <v>False</v>
      </c>
      <c r="AX38" s="65" t="s">
        <v>1954</v>
      </c>
      <c r="AY38" s="65" t="s">
        <v>1954</v>
      </c>
      <c r="AZ38" s="65" t="s">
        <v>1954</v>
      </c>
      <c r="BA38" s="65" t="s">
        <v>1954</v>
      </c>
      <c r="BB38" s="65" t="s">
        <v>1954</v>
      </c>
      <c r="BC38" s="65" t="s">
        <v>1954</v>
      </c>
      <c r="BD38" s="65" t="s">
        <v>1954</v>
      </c>
      <c r="BE38" s="65" t="s">
        <v>1954</v>
      </c>
      <c r="BF38" s="65" t="s">
        <v>1954</v>
      </c>
      <c r="BG38" s="65" t="s">
        <v>1954</v>
      </c>
      <c r="BH38" s="65" t="s">
        <v>1954</v>
      </c>
      <c r="BI38" s="65" t="s">
        <v>1954</v>
      </c>
      <c r="BJ38" s="65" t="s">
        <v>1954</v>
      </c>
      <c r="BK38" s="65" t="s">
        <v>1954</v>
      </c>
      <c r="BL38" s="65" t="s">
        <v>1954</v>
      </c>
      <c r="BM38" s="65" t="s">
        <v>1954</v>
      </c>
      <c r="BN38" s="65" t="s">
        <v>1954</v>
      </c>
      <c r="BO38" s="65" t="s">
        <v>1954</v>
      </c>
      <c r="BP38" s="65" t="s">
        <v>1954</v>
      </c>
      <c r="BQ38" s="65" t="s">
        <v>1954</v>
      </c>
      <c r="BR38" s="65" t="s">
        <v>1954</v>
      </c>
      <c r="BS38" s="65" t="s">
        <v>1954</v>
      </c>
      <c r="BT38" s="65" t="s">
        <v>1954</v>
      </c>
      <c r="BU38" s="65" t="s">
        <v>1953</v>
      </c>
      <c r="BV38" s="65" t="s">
        <v>1953</v>
      </c>
      <c r="BW38" s="65" t="s">
        <v>1953</v>
      </c>
      <c r="BZ38" s="60" t="s">
        <v>799</v>
      </c>
      <c r="CA38" t="str">
        <f>IFERROR(HLOOKUP($CA$1,Table4[[#All],[India]:[Dominican Republic]],ROW(Table4[[#This Row],[Default]])-1,0),"True")</f>
        <v>True</v>
      </c>
      <c r="CB38" s="65" t="s">
        <v>1953</v>
      </c>
      <c r="CC38" s="65" t="s">
        <v>1953</v>
      </c>
      <c r="CD38" s="65" t="s">
        <v>1953</v>
      </c>
      <c r="CE38" s="65" t="s">
        <v>1953</v>
      </c>
      <c r="CF38" s="65" t="s">
        <v>1953</v>
      </c>
      <c r="CG38" s="65" t="s">
        <v>1953</v>
      </c>
      <c r="CH38" s="65" t="s">
        <v>1953</v>
      </c>
      <c r="CI38" s="65" t="s">
        <v>1953</v>
      </c>
      <c r="CJ38" s="65" t="s">
        <v>1953</v>
      </c>
      <c r="CK38" s="65" t="s">
        <v>1953</v>
      </c>
      <c r="CL38" s="65" t="s">
        <v>1953</v>
      </c>
      <c r="CM38" s="65" t="s">
        <v>1953</v>
      </c>
      <c r="CN38" s="65" t="s">
        <v>1953</v>
      </c>
      <c r="CO38" s="65" t="s">
        <v>1953</v>
      </c>
      <c r="CP38" s="65" t="s">
        <v>1953</v>
      </c>
      <c r="CQ38" s="65" t="s">
        <v>1953</v>
      </c>
      <c r="CR38" s="65" t="s">
        <v>1953</v>
      </c>
      <c r="CS38" s="65" t="s">
        <v>1953</v>
      </c>
      <c r="CT38" s="65" t="s">
        <v>1953</v>
      </c>
      <c r="CU38" s="65" t="s">
        <v>1953</v>
      </c>
      <c r="CV38" s="65" t="s">
        <v>1953</v>
      </c>
      <c r="CW38" s="65" t="s">
        <v>1953</v>
      </c>
      <c r="CX38" s="65" t="s">
        <v>1953</v>
      </c>
      <c r="CY38" s="65" t="s">
        <v>1953</v>
      </c>
      <c r="CZ38" s="65" t="s">
        <v>1953</v>
      </c>
      <c r="DA38" s="65" t="s">
        <v>1953</v>
      </c>
    </row>
    <row r="39" spans="1:105">
      <c r="AV39" t="s">
        <v>2933</v>
      </c>
      <c r="AW39" t="str">
        <f>IFERROR(HLOOKUP($AW$1,Table3[[#All],[India]:[Dominican Republic]],ROW(Table3[[#This Row],[Default]])-1,0),"True")</f>
        <v>True</v>
      </c>
      <c r="AX39" s="65" t="s">
        <v>1953</v>
      </c>
      <c r="AY39" s="65" t="s">
        <v>1953</v>
      </c>
      <c r="AZ39" s="65" t="s">
        <v>1953</v>
      </c>
      <c r="BA39" s="65" t="s">
        <v>1953</v>
      </c>
      <c r="BB39" s="65" t="s">
        <v>1953</v>
      </c>
      <c r="BC39" s="65" t="s">
        <v>1953</v>
      </c>
      <c r="BD39" s="65" t="s">
        <v>1953</v>
      </c>
      <c r="BE39" s="65" t="s">
        <v>1953</v>
      </c>
      <c r="BF39" s="65" t="s">
        <v>1953</v>
      </c>
      <c r="BG39" s="65" t="s">
        <v>1953</v>
      </c>
      <c r="BH39" s="65" t="s">
        <v>1953</v>
      </c>
      <c r="BI39" s="65" t="s">
        <v>1953</v>
      </c>
      <c r="BJ39" s="65" t="s">
        <v>1953</v>
      </c>
      <c r="BK39" s="65" t="s">
        <v>1953</v>
      </c>
      <c r="BL39" s="65" t="s">
        <v>1953</v>
      </c>
      <c r="BM39" s="65" t="s">
        <v>1953</v>
      </c>
      <c r="BN39" s="65" t="s">
        <v>1953</v>
      </c>
      <c r="BO39" s="65" t="s">
        <v>1953</v>
      </c>
      <c r="BP39" s="65" t="s">
        <v>1953</v>
      </c>
      <c r="BQ39" s="65" t="s">
        <v>1953</v>
      </c>
      <c r="BR39" s="65" t="s">
        <v>1953</v>
      </c>
      <c r="BS39" s="65" t="s">
        <v>1953</v>
      </c>
      <c r="BT39" s="65" t="s">
        <v>1953</v>
      </c>
      <c r="BU39" s="65" t="s">
        <v>1953</v>
      </c>
      <c r="BV39" s="65" t="s">
        <v>1953</v>
      </c>
      <c r="BW39" s="65" t="s">
        <v>1953</v>
      </c>
      <c r="BZ39" s="60" t="s">
        <v>800</v>
      </c>
      <c r="CA39" t="str">
        <f>IFERROR(HLOOKUP($CA$1,Table4[[#All],[India]:[Dominican Republic]],ROW(Table4[[#This Row],[Default]])-1,0),"True")</f>
        <v>True</v>
      </c>
      <c r="CB39" s="65" t="s">
        <v>1953</v>
      </c>
      <c r="CC39" s="65" t="s">
        <v>1953</v>
      </c>
      <c r="CD39" s="65" t="s">
        <v>1953</v>
      </c>
      <c r="CE39" s="65" t="s">
        <v>1953</v>
      </c>
      <c r="CF39" s="65" t="s">
        <v>1953</v>
      </c>
      <c r="CG39" s="65" t="s">
        <v>1953</v>
      </c>
      <c r="CH39" s="65" t="s">
        <v>1953</v>
      </c>
      <c r="CI39" s="65" t="s">
        <v>1953</v>
      </c>
      <c r="CJ39" s="65" t="s">
        <v>1953</v>
      </c>
      <c r="CK39" s="65" t="s">
        <v>1953</v>
      </c>
      <c r="CL39" s="65" t="s">
        <v>1953</v>
      </c>
      <c r="CM39" s="65" t="s">
        <v>1953</v>
      </c>
      <c r="CN39" s="65" t="s">
        <v>1953</v>
      </c>
      <c r="CO39" s="65" t="s">
        <v>1953</v>
      </c>
      <c r="CP39" s="65" t="s">
        <v>1953</v>
      </c>
      <c r="CQ39" s="65" t="s">
        <v>1953</v>
      </c>
      <c r="CR39" s="65" t="s">
        <v>1953</v>
      </c>
      <c r="CS39" s="65" t="s">
        <v>1953</v>
      </c>
      <c r="CT39" s="65" t="s">
        <v>1953</v>
      </c>
      <c r="CU39" s="65" t="s">
        <v>1953</v>
      </c>
      <c r="CV39" s="65" t="s">
        <v>1953</v>
      </c>
      <c r="CW39" s="65" t="s">
        <v>1953</v>
      </c>
      <c r="CX39" s="65" t="s">
        <v>1953</v>
      </c>
      <c r="CY39" s="65" t="s">
        <v>1953</v>
      </c>
      <c r="CZ39" s="65" t="s">
        <v>1953</v>
      </c>
      <c r="DA39" s="65" t="s">
        <v>1953</v>
      </c>
    </row>
    <row r="40" spans="1:105">
      <c r="AV40" t="s">
        <v>2989</v>
      </c>
      <c r="AW40" t="str">
        <f>IFERROR(HLOOKUP($AW$1,Table3[[#All],[India]:[Dominican Republic]],ROW(Table3[[#This Row],[Default]])-1,0),"True")</f>
        <v>True</v>
      </c>
      <c r="AX40" s="65" t="s">
        <v>1953</v>
      </c>
      <c r="AY40" s="65" t="s">
        <v>1953</v>
      </c>
      <c r="AZ40" s="65" t="s">
        <v>1953</v>
      </c>
      <c r="BA40" s="65" t="s">
        <v>1953</v>
      </c>
      <c r="BB40" s="65" t="s">
        <v>1953</v>
      </c>
      <c r="BC40" s="65" t="s">
        <v>1953</v>
      </c>
      <c r="BD40" s="65" t="s">
        <v>1953</v>
      </c>
      <c r="BE40" s="65" t="s">
        <v>1953</v>
      </c>
      <c r="BF40" s="65" t="s">
        <v>1953</v>
      </c>
      <c r="BG40" s="65" t="s">
        <v>1953</v>
      </c>
      <c r="BH40" s="65" t="s">
        <v>1953</v>
      </c>
      <c r="BI40" s="65" t="s">
        <v>1953</v>
      </c>
      <c r="BJ40" s="65" t="s">
        <v>1953</v>
      </c>
      <c r="BK40" s="65" t="s">
        <v>1953</v>
      </c>
      <c r="BL40" s="65" t="s">
        <v>1953</v>
      </c>
      <c r="BM40" s="65" t="s">
        <v>1953</v>
      </c>
      <c r="BN40" s="65" t="s">
        <v>1953</v>
      </c>
      <c r="BO40" s="65" t="s">
        <v>1953</v>
      </c>
      <c r="BP40" s="65" t="s">
        <v>1953</v>
      </c>
      <c r="BQ40" s="65" t="s">
        <v>1953</v>
      </c>
      <c r="BR40" s="65" t="s">
        <v>1953</v>
      </c>
      <c r="BS40" s="65" t="s">
        <v>1953</v>
      </c>
      <c r="BT40" s="65" t="s">
        <v>1953</v>
      </c>
      <c r="BU40" s="65" t="s">
        <v>1953</v>
      </c>
      <c r="BV40" s="65" t="s">
        <v>1953</v>
      </c>
      <c r="BW40" s="65" t="s">
        <v>1953</v>
      </c>
      <c r="BZ40" s="60" t="s">
        <v>801</v>
      </c>
      <c r="CA40" t="str">
        <f>IFERROR(HLOOKUP($CA$1,Table4[[#All],[India]:[Dominican Republic]],ROW(Table4[[#This Row],[Default]])-1,0),"True")</f>
        <v>True</v>
      </c>
      <c r="CB40" s="65" t="s">
        <v>1953</v>
      </c>
      <c r="CC40" s="65" t="s">
        <v>1953</v>
      </c>
      <c r="CD40" s="65" t="s">
        <v>1953</v>
      </c>
      <c r="CE40" s="65" t="s">
        <v>1953</v>
      </c>
      <c r="CF40" s="65" t="s">
        <v>1953</v>
      </c>
      <c r="CG40" s="65" t="s">
        <v>1953</v>
      </c>
      <c r="CH40" s="65" t="s">
        <v>1953</v>
      </c>
      <c r="CI40" s="65" t="s">
        <v>1953</v>
      </c>
      <c r="CJ40" s="65" t="s">
        <v>1953</v>
      </c>
      <c r="CK40" s="65" t="s">
        <v>1953</v>
      </c>
      <c r="CL40" s="65" t="s">
        <v>1953</v>
      </c>
      <c r="CM40" s="65" t="s">
        <v>1953</v>
      </c>
      <c r="CN40" s="65" t="s">
        <v>1953</v>
      </c>
      <c r="CO40" s="65" t="s">
        <v>1953</v>
      </c>
      <c r="CP40" s="65" t="s">
        <v>1953</v>
      </c>
      <c r="CQ40" s="65" t="s">
        <v>1953</v>
      </c>
      <c r="CR40" s="65" t="s">
        <v>1953</v>
      </c>
      <c r="CS40" s="65" t="s">
        <v>1953</v>
      </c>
      <c r="CT40" s="65" t="s">
        <v>1953</v>
      </c>
      <c r="CU40" s="65" t="s">
        <v>1953</v>
      </c>
      <c r="CV40" s="65" t="s">
        <v>1953</v>
      </c>
      <c r="CW40" s="65" t="s">
        <v>1953</v>
      </c>
      <c r="CX40" s="65" t="s">
        <v>1953</v>
      </c>
      <c r="CY40" s="65" t="s">
        <v>1953</v>
      </c>
      <c r="CZ40" s="65" t="s">
        <v>1953</v>
      </c>
      <c r="DA40" s="65" t="s">
        <v>1953</v>
      </c>
    </row>
    <row r="41" spans="1:105">
      <c r="A41" t="s">
        <v>7718</v>
      </c>
      <c r="D41" t="s">
        <v>2573</v>
      </c>
      <c r="AV41" t="s">
        <v>3195</v>
      </c>
      <c r="AW41" t="str">
        <f>IFERROR(HLOOKUP($AW$1,Table3[[#All],[India]:[Dominican Republic]],ROW(Table3[[#This Row],[Default]])-1,0),"True")</f>
        <v>True</v>
      </c>
      <c r="AX41" s="65" t="s">
        <v>1953</v>
      </c>
      <c r="AY41" s="65" t="s">
        <v>1953</v>
      </c>
      <c r="AZ41" s="65" t="s">
        <v>1953</v>
      </c>
      <c r="BA41" s="65" t="s">
        <v>1953</v>
      </c>
      <c r="BB41" s="65" t="s">
        <v>1953</v>
      </c>
      <c r="BC41" s="65" t="s">
        <v>1953</v>
      </c>
      <c r="BD41" s="65" t="s">
        <v>1953</v>
      </c>
      <c r="BE41" s="65" t="s">
        <v>1953</v>
      </c>
      <c r="BF41" s="65" t="s">
        <v>1953</v>
      </c>
      <c r="BG41" s="65" t="s">
        <v>1953</v>
      </c>
      <c r="BH41" s="65" t="s">
        <v>1953</v>
      </c>
      <c r="BI41" s="65" t="s">
        <v>1953</v>
      </c>
      <c r="BJ41" s="65" t="s">
        <v>1953</v>
      </c>
      <c r="BK41" s="65" t="s">
        <v>1953</v>
      </c>
      <c r="BL41" s="65" t="s">
        <v>1953</v>
      </c>
      <c r="BM41" s="65" t="s">
        <v>1953</v>
      </c>
      <c r="BN41" s="65" t="s">
        <v>1953</v>
      </c>
      <c r="BO41" s="65" t="s">
        <v>1953</v>
      </c>
      <c r="BP41" s="65" t="s">
        <v>1953</v>
      </c>
      <c r="BQ41" s="65" t="s">
        <v>1953</v>
      </c>
      <c r="BR41" s="65" t="s">
        <v>1953</v>
      </c>
      <c r="BS41" s="65" t="s">
        <v>1953</v>
      </c>
      <c r="BT41" s="65" t="s">
        <v>1953</v>
      </c>
      <c r="BU41" s="65" t="s">
        <v>1953</v>
      </c>
      <c r="BV41" s="65" t="s">
        <v>1953</v>
      </c>
      <c r="BW41" s="65" t="s">
        <v>1953</v>
      </c>
      <c r="BZ41" s="60" t="s">
        <v>2867</v>
      </c>
      <c r="CA41" t="str">
        <f>IFERROR(HLOOKUP($CA$1,Table4[[#All],[India]:[Dominican Republic]],ROW(Table4[[#This Row],[Default]])-1,0),"True")</f>
        <v>True</v>
      </c>
      <c r="CB41" s="65" t="s">
        <v>1953</v>
      </c>
      <c r="CC41" s="65" t="s">
        <v>1953</v>
      </c>
      <c r="CD41" s="65" t="s">
        <v>1953</v>
      </c>
      <c r="CE41" s="65" t="s">
        <v>1953</v>
      </c>
      <c r="CF41" s="65" t="s">
        <v>1953</v>
      </c>
      <c r="CG41" s="65" t="s">
        <v>1953</v>
      </c>
      <c r="CH41" s="65" t="s">
        <v>1953</v>
      </c>
      <c r="CI41" s="65" t="s">
        <v>1953</v>
      </c>
      <c r="CJ41" s="65" t="s">
        <v>1953</v>
      </c>
      <c r="CK41" s="65" t="s">
        <v>1953</v>
      </c>
      <c r="CL41" s="65" t="s">
        <v>1953</v>
      </c>
      <c r="CM41" s="65" t="s">
        <v>1953</v>
      </c>
      <c r="CN41" s="65" t="s">
        <v>1953</v>
      </c>
      <c r="CO41" s="65" t="s">
        <v>1953</v>
      </c>
      <c r="CP41" s="65" t="s">
        <v>1953</v>
      </c>
      <c r="CQ41" s="65" t="s">
        <v>1953</v>
      </c>
      <c r="CR41" s="65" t="s">
        <v>1953</v>
      </c>
      <c r="CS41" s="65" t="s">
        <v>1953</v>
      </c>
      <c r="CT41" s="65" t="s">
        <v>1953</v>
      </c>
      <c r="CU41" s="65" t="s">
        <v>1953</v>
      </c>
      <c r="CV41" s="65" t="s">
        <v>1953</v>
      </c>
      <c r="CW41" s="65" t="s">
        <v>1953</v>
      </c>
      <c r="CX41" s="65" t="s">
        <v>1953</v>
      </c>
      <c r="CY41" s="65" t="s">
        <v>1953</v>
      </c>
      <c r="CZ41" s="65" t="s">
        <v>1953</v>
      </c>
      <c r="DA41" s="65" t="s">
        <v>1953</v>
      </c>
    </row>
    <row r="42" spans="1:105">
      <c r="A42" t="s">
        <v>4666</v>
      </c>
      <c r="B42" t="s">
        <v>825</v>
      </c>
      <c r="D42" t="s">
        <v>4666</v>
      </c>
      <c r="E42" t="s">
        <v>825</v>
      </c>
      <c r="AV42" t="s">
        <v>2573</v>
      </c>
      <c r="AW42" t="str">
        <f>IFERROR(HLOOKUP($AW$1,Table3[[#All],[India]:[Dominican Republic]],ROW(Table3[[#This Row],[Default]])-1,0),"True")</f>
        <v>False</v>
      </c>
      <c r="AX42" s="65" t="s">
        <v>1954</v>
      </c>
      <c r="AY42" s="65" t="s">
        <v>1954</v>
      </c>
      <c r="AZ42" s="65" t="s">
        <v>1954</v>
      </c>
      <c r="BA42" s="65" t="s">
        <v>1954</v>
      </c>
      <c r="BB42" s="65" t="s">
        <v>1954</v>
      </c>
      <c r="BC42" s="65" t="s">
        <v>1954</v>
      </c>
      <c r="BD42" s="65" t="s">
        <v>1954</v>
      </c>
      <c r="BE42" s="65" t="s">
        <v>1954</v>
      </c>
      <c r="BF42" s="65" t="s">
        <v>1954</v>
      </c>
      <c r="BG42" s="65" t="s">
        <v>1954</v>
      </c>
      <c r="BH42" s="65" t="s">
        <v>1954</v>
      </c>
      <c r="BI42" s="65" t="s">
        <v>1954</v>
      </c>
      <c r="BJ42" s="65" t="s">
        <v>1954</v>
      </c>
      <c r="BK42" s="65" t="s">
        <v>1954</v>
      </c>
      <c r="BL42" s="65" t="s">
        <v>1954</v>
      </c>
      <c r="BM42" s="65" t="s">
        <v>1954</v>
      </c>
      <c r="BN42" s="65" t="s">
        <v>1954</v>
      </c>
      <c r="BO42" s="65" t="s">
        <v>1954</v>
      </c>
      <c r="BP42" s="65" t="s">
        <v>1954</v>
      </c>
      <c r="BQ42" s="65" t="s">
        <v>1954</v>
      </c>
      <c r="BR42" s="65" t="s">
        <v>1954</v>
      </c>
      <c r="BS42" s="65" t="s">
        <v>1954</v>
      </c>
      <c r="BT42" s="65" t="s">
        <v>1954</v>
      </c>
      <c r="BU42" s="65" t="s">
        <v>1954</v>
      </c>
      <c r="BV42" s="65" t="s">
        <v>1954</v>
      </c>
      <c r="BW42" s="65" t="s">
        <v>1954</v>
      </c>
      <c r="BZ42" s="60" t="s">
        <v>2868</v>
      </c>
      <c r="CA42" t="str">
        <f>IFERROR(HLOOKUP($CA$1,Table4[[#All],[India]:[Dominican Republic]],ROW(Table4[[#This Row],[Default]])-1,0),"True")</f>
        <v>True</v>
      </c>
      <c r="CB42" s="65" t="s">
        <v>1953</v>
      </c>
      <c r="CC42" s="65" t="s">
        <v>1953</v>
      </c>
      <c r="CD42" s="65" t="s">
        <v>1953</v>
      </c>
      <c r="CE42" s="65" t="s">
        <v>1953</v>
      </c>
      <c r="CF42" s="65" t="s">
        <v>1953</v>
      </c>
      <c r="CG42" s="65" t="s">
        <v>1953</v>
      </c>
      <c r="CH42" s="65" t="s">
        <v>1953</v>
      </c>
      <c r="CI42" s="65" t="s">
        <v>1953</v>
      </c>
      <c r="CJ42" s="65" t="s">
        <v>1953</v>
      </c>
      <c r="CK42" s="65" t="s">
        <v>1953</v>
      </c>
      <c r="CL42" s="65" t="s">
        <v>1953</v>
      </c>
      <c r="CM42" s="65" t="s">
        <v>1953</v>
      </c>
      <c r="CN42" s="65" t="s">
        <v>1953</v>
      </c>
      <c r="CO42" s="65" t="s">
        <v>1953</v>
      </c>
      <c r="CP42" s="65" t="s">
        <v>1953</v>
      </c>
      <c r="CQ42" s="65" t="s">
        <v>1953</v>
      </c>
      <c r="CR42" s="65" t="s">
        <v>1953</v>
      </c>
      <c r="CS42" s="65" t="s">
        <v>1953</v>
      </c>
      <c r="CT42" s="65" t="s">
        <v>1953</v>
      </c>
      <c r="CU42" s="65" t="s">
        <v>1953</v>
      </c>
      <c r="CV42" s="65" t="s">
        <v>1953</v>
      </c>
      <c r="CW42" s="65" t="s">
        <v>1953</v>
      </c>
      <c r="CX42" s="65" t="s">
        <v>1953</v>
      </c>
      <c r="CY42" s="65" t="s">
        <v>1953</v>
      </c>
      <c r="CZ42" s="65" t="s">
        <v>1953</v>
      </c>
      <c r="DA42" s="65" t="s">
        <v>1953</v>
      </c>
    </row>
    <row r="43" spans="1:105">
      <c r="A43" t="str">
        <f>Company_country</f>
        <v>IND</v>
      </c>
      <c r="B43" t="str">
        <f>IFERROR(VLOOKUP(Table5[[#This Row],[ISO]],A44:B69,2,0),"")</f>
        <v>INR</v>
      </c>
      <c r="D43" t="str">
        <f>Bank_Country</f>
        <v>Malaysia</v>
      </c>
      <c r="E43" t="str">
        <f>IFERROR(VLOOKUP(Table57[[#This Row],[ISO]],D44:E69,2,0),"")</f>
        <v>MYS</v>
      </c>
      <c r="AV43" t="s">
        <v>2574</v>
      </c>
      <c r="AW43" t="str">
        <f>IFERROR(HLOOKUP($AW$1,Table3[[#All],[India]:[Dominican Republic]],ROW(Table3[[#This Row],[Default]])-1,0),"True")</f>
        <v>False</v>
      </c>
      <c r="AX43" s="65" t="s">
        <v>1954</v>
      </c>
      <c r="AY43" s="65" t="s">
        <v>1954</v>
      </c>
      <c r="AZ43" s="65" t="s">
        <v>1954</v>
      </c>
      <c r="BA43" s="65" t="s">
        <v>1954</v>
      </c>
      <c r="BB43" s="65" t="s">
        <v>1954</v>
      </c>
      <c r="BC43" s="65" t="s">
        <v>1954</v>
      </c>
      <c r="BD43" s="65" t="s">
        <v>1954</v>
      </c>
      <c r="BE43" s="65" t="s">
        <v>1954</v>
      </c>
      <c r="BF43" s="65" t="s">
        <v>1954</v>
      </c>
      <c r="BG43" s="65" t="s">
        <v>1954</v>
      </c>
      <c r="BH43" s="65" t="s">
        <v>1954</v>
      </c>
      <c r="BI43" s="65" t="s">
        <v>1954</v>
      </c>
      <c r="BJ43" s="65" t="s">
        <v>1954</v>
      </c>
      <c r="BK43" s="65" t="s">
        <v>1954</v>
      </c>
      <c r="BL43" s="65" t="s">
        <v>1954</v>
      </c>
      <c r="BM43" s="65" t="s">
        <v>1954</v>
      </c>
      <c r="BN43" s="65" t="s">
        <v>1954</v>
      </c>
      <c r="BO43" s="65" t="s">
        <v>1954</v>
      </c>
      <c r="BP43" s="65" t="s">
        <v>1954</v>
      </c>
      <c r="BQ43" s="65" t="s">
        <v>1954</v>
      </c>
      <c r="BR43" s="65" t="s">
        <v>1954</v>
      </c>
      <c r="BS43" s="65" t="s">
        <v>1954</v>
      </c>
      <c r="BT43" s="65" t="s">
        <v>1954</v>
      </c>
      <c r="BU43" s="65" t="s">
        <v>1954</v>
      </c>
      <c r="BV43" s="65" t="s">
        <v>1954</v>
      </c>
      <c r="BW43" s="65" t="s">
        <v>1954</v>
      </c>
      <c r="BZ43" s="60" t="s">
        <v>802</v>
      </c>
      <c r="CA43" t="str">
        <f>IFERROR(HLOOKUP($CA$1,Table4[[#All],[India]:[Dominican Republic]],ROW(Table4[[#This Row],[Default]])-1,0),"True")</f>
        <v>True</v>
      </c>
      <c r="CB43" s="65" t="s">
        <v>1953</v>
      </c>
      <c r="CC43" s="65" t="s">
        <v>1953</v>
      </c>
      <c r="CD43" s="65" t="s">
        <v>1953</v>
      </c>
      <c r="CE43" s="65" t="s">
        <v>1953</v>
      </c>
      <c r="CF43" s="65" t="s">
        <v>1953</v>
      </c>
      <c r="CG43" s="65" t="s">
        <v>1953</v>
      </c>
      <c r="CH43" s="65" t="s">
        <v>1953</v>
      </c>
      <c r="CI43" s="65" t="s">
        <v>1953</v>
      </c>
      <c r="CJ43" s="65" t="s">
        <v>1953</v>
      </c>
      <c r="CK43" s="65" t="s">
        <v>1953</v>
      </c>
      <c r="CL43" s="65" t="s">
        <v>1953</v>
      </c>
      <c r="CM43" s="65" t="s">
        <v>1953</v>
      </c>
      <c r="CN43" s="65" t="s">
        <v>1953</v>
      </c>
      <c r="CO43" s="65" t="s">
        <v>1953</v>
      </c>
      <c r="CP43" s="65" t="s">
        <v>1953</v>
      </c>
      <c r="CQ43" s="65" t="s">
        <v>1953</v>
      </c>
      <c r="CR43" s="65" t="s">
        <v>1953</v>
      </c>
      <c r="CS43" s="65" t="s">
        <v>1953</v>
      </c>
      <c r="CT43" s="65" t="s">
        <v>1953</v>
      </c>
      <c r="CU43" s="65" t="s">
        <v>1953</v>
      </c>
      <c r="CV43" s="65" t="s">
        <v>1953</v>
      </c>
      <c r="CW43" s="65" t="s">
        <v>1953</v>
      </c>
      <c r="CX43" s="65" t="s">
        <v>1953</v>
      </c>
      <c r="CY43" s="65" t="s">
        <v>1953</v>
      </c>
      <c r="CZ43" s="65" t="s">
        <v>1953</v>
      </c>
      <c r="DA43" s="65" t="s">
        <v>1953</v>
      </c>
    </row>
    <row r="44" spans="1:105">
      <c r="A44" t="s">
        <v>4847</v>
      </c>
      <c r="B44" t="s">
        <v>7693</v>
      </c>
      <c r="D44" t="s">
        <v>328</v>
      </c>
      <c r="E44" t="s">
        <v>4847</v>
      </c>
      <c r="AV44" t="s">
        <v>2575</v>
      </c>
      <c r="AW44" t="str">
        <f>IFERROR(HLOOKUP($AW$1,Table3[[#All],[India]:[Dominican Republic]],ROW(Table3[[#This Row],[Default]])-1,0),"True")</f>
        <v>False</v>
      </c>
      <c r="AX44" s="65" t="s">
        <v>1954</v>
      </c>
      <c r="AY44" s="65" t="s">
        <v>1954</v>
      </c>
      <c r="AZ44" s="65" t="s">
        <v>1954</v>
      </c>
      <c r="BA44" s="65" t="s">
        <v>1954</v>
      </c>
      <c r="BB44" s="65" t="s">
        <v>1954</v>
      </c>
      <c r="BC44" s="65" t="s">
        <v>1954</v>
      </c>
      <c r="BD44" s="65" t="s">
        <v>1954</v>
      </c>
      <c r="BE44" s="65" t="s">
        <v>1954</v>
      </c>
      <c r="BF44" s="65" t="s">
        <v>1954</v>
      </c>
      <c r="BG44" s="65" t="s">
        <v>1954</v>
      </c>
      <c r="BH44" s="65" t="s">
        <v>1954</v>
      </c>
      <c r="BI44" s="65" t="s">
        <v>1954</v>
      </c>
      <c r="BJ44" s="65" t="s">
        <v>1954</v>
      </c>
      <c r="BK44" s="65" t="s">
        <v>1954</v>
      </c>
      <c r="BL44" s="65" t="s">
        <v>1954</v>
      </c>
      <c r="BM44" s="65" t="s">
        <v>1954</v>
      </c>
      <c r="BN44" s="65" t="s">
        <v>1954</v>
      </c>
      <c r="BO44" s="65" t="s">
        <v>1954</v>
      </c>
      <c r="BP44" s="65" t="s">
        <v>1953</v>
      </c>
      <c r="BQ44" s="65" t="s">
        <v>1954</v>
      </c>
      <c r="BR44" s="65" t="s">
        <v>1954</v>
      </c>
      <c r="BS44" s="65" t="s">
        <v>1954</v>
      </c>
      <c r="BT44" s="65" t="s">
        <v>1954</v>
      </c>
      <c r="BU44" s="65" t="s">
        <v>1954</v>
      </c>
      <c r="BV44" s="65" t="s">
        <v>1954</v>
      </c>
      <c r="BW44" s="65" t="s">
        <v>1954</v>
      </c>
      <c r="BZ44" s="60" t="s">
        <v>803</v>
      </c>
      <c r="CA44" t="str">
        <f>IFERROR(HLOOKUP($CA$1,Table4[[#All],[India]:[Dominican Republic]],ROW(Table4[[#This Row],[Default]])-1,0),"True")</f>
        <v>True</v>
      </c>
      <c r="CB44" s="65" t="s">
        <v>1953</v>
      </c>
      <c r="CC44" s="65" t="s">
        <v>1953</v>
      </c>
      <c r="CD44" s="65" t="s">
        <v>1953</v>
      </c>
      <c r="CE44" s="65" t="s">
        <v>1953</v>
      </c>
      <c r="CF44" s="65" t="s">
        <v>1953</v>
      </c>
      <c r="CG44" s="65" t="s">
        <v>1953</v>
      </c>
      <c r="CH44" s="65" t="s">
        <v>1953</v>
      </c>
      <c r="CI44" s="65" t="s">
        <v>1953</v>
      </c>
      <c r="CJ44" s="65" t="s">
        <v>1953</v>
      </c>
      <c r="CK44" s="65" t="s">
        <v>1953</v>
      </c>
      <c r="CL44" s="65" t="s">
        <v>1953</v>
      </c>
      <c r="CM44" s="65" t="s">
        <v>1953</v>
      </c>
      <c r="CN44" s="65" t="s">
        <v>1953</v>
      </c>
      <c r="CO44" s="65" t="s">
        <v>1953</v>
      </c>
      <c r="CP44" s="65" t="s">
        <v>1953</v>
      </c>
      <c r="CQ44" s="65" t="s">
        <v>1953</v>
      </c>
      <c r="CR44" s="65" t="s">
        <v>1953</v>
      </c>
      <c r="CS44" s="65" t="s">
        <v>1953</v>
      </c>
      <c r="CT44" s="65" t="s">
        <v>1953</v>
      </c>
      <c r="CU44" s="65" t="s">
        <v>1953</v>
      </c>
      <c r="CV44" s="65" t="s">
        <v>1953</v>
      </c>
      <c r="CW44" s="65" t="s">
        <v>1953</v>
      </c>
      <c r="CX44" s="65" t="s">
        <v>1953</v>
      </c>
      <c r="CY44" s="65" t="s">
        <v>1953</v>
      </c>
      <c r="CZ44" s="65" t="s">
        <v>1953</v>
      </c>
      <c r="DA44" s="65" t="s">
        <v>1953</v>
      </c>
    </row>
    <row r="45" spans="1:105">
      <c r="A45" t="s">
        <v>4841</v>
      </c>
      <c r="B45" t="s">
        <v>7694</v>
      </c>
      <c r="D45" t="s">
        <v>22</v>
      </c>
      <c r="E45" t="s">
        <v>4841</v>
      </c>
      <c r="AV45" t="s">
        <v>2576</v>
      </c>
      <c r="AW45" t="str">
        <f>IFERROR(HLOOKUP($AW$1,Table3[[#All],[India]:[Dominican Republic]],ROW(Table3[[#This Row],[Default]])-1,0),"True")</f>
        <v>False</v>
      </c>
      <c r="AX45" s="65" t="s">
        <v>1954</v>
      </c>
      <c r="AY45" s="65" t="s">
        <v>1954</v>
      </c>
      <c r="AZ45" s="65" t="s">
        <v>1954</v>
      </c>
      <c r="BA45" s="65" t="s">
        <v>1954</v>
      </c>
      <c r="BB45" s="65" t="s">
        <v>1954</v>
      </c>
      <c r="BC45" s="65" t="s">
        <v>1954</v>
      </c>
      <c r="BD45" s="65" t="s">
        <v>1954</v>
      </c>
      <c r="BE45" s="65" t="s">
        <v>1954</v>
      </c>
      <c r="BF45" s="65" t="s">
        <v>1953</v>
      </c>
      <c r="BG45" s="65" t="s">
        <v>1954</v>
      </c>
      <c r="BH45" s="65" t="s">
        <v>1954</v>
      </c>
      <c r="BI45" s="65" t="s">
        <v>1954</v>
      </c>
      <c r="BJ45" s="65" t="s">
        <v>1954</v>
      </c>
      <c r="BK45" s="65" t="s">
        <v>1954</v>
      </c>
      <c r="BL45" s="65" t="s">
        <v>1954</v>
      </c>
      <c r="BM45" s="65" t="s">
        <v>1954</v>
      </c>
      <c r="BN45" s="65" t="s">
        <v>1954</v>
      </c>
      <c r="BO45" s="65" t="s">
        <v>1953</v>
      </c>
      <c r="BP45" s="65" t="s">
        <v>1954</v>
      </c>
      <c r="BQ45" s="65" t="s">
        <v>1954</v>
      </c>
      <c r="BR45" s="65" t="s">
        <v>1954</v>
      </c>
      <c r="BS45" s="65" t="s">
        <v>1954</v>
      </c>
      <c r="BT45" s="65" t="s">
        <v>1954</v>
      </c>
      <c r="BU45" s="65" t="s">
        <v>1954</v>
      </c>
      <c r="BV45" s="65" t="s">
        <v>1954</v>
      </c>
      <c r="BW45" s="65" t="s">
        <v>1954</v>
      </c>
      <c r="BZ45" s="60" t="s">
        <v>804</v>
      </c>
      <c r="CA45" t="str">
        <f>IFERROR(HLOOKUP($CA$1,Table4[[#All],[India]:[Dominican Republic]],ROW(Table4[[#This Row],[Default]])-1,0),"True")</f>
        <v>True</v>
      </c>
      <c r="CB45" s="65" t="s">
        <v>1953</v>
      </c>
      <c r="CC45" s="65" t="s">
        <v>1953</v>
      </c>
      <c r="CD45" s="65" t="s">
        <v>1953</v>
      </c>
      <c r="CE45" s="65" t="s">
        <v>1953</v>
      </c>
      <c r="CF45" s="65" t="s">
        <v>1953</v>
      </c>
      <c r="CG45" s="65" t="s">
        <v>1953</v>
      </c>
      <c r="CH45" s="65" t="s">
        <v>1953</v>
      </c>
      <c r="CI45" s="65" t="s">
        <v>1953</v>
      </c>
      <c r="CJ45" s="65" t="s">
        <v>1953</v>
      </c>
      <c r="CK45" s="65" t="s">
        <v>1953</v>
      </c>
      <c r="CL45" s="65" t="s">
        <v>1953</v>
      </c>
      <c r="CM45" s="65" t="s">
        <v>1953</v>
      </c>
      <c r="CN45" s="65" t="s">
        <v>1953</v>
      </c>
      <c r="CO45" s="65" t="s">
        <v>1953</v>
      </c>
      <c r="CP45" s="65" t="s">
        <v>1953</v>
      </c>
      <c r="CQ45" s="65" t="s">
        <v>1953</v>
      </c>
      <c r="CR45" s="65" t="s">
        <v>1953</v>
      </c>
      <c r="CS45" s="65" t="s">
        <v>1953</v>
      </c>
      <c r="CT45" s="65" t="s">
        <v>1953</v>
      </c>
      <c r="CU45" s="65" t="s">
        <v>1953</v>
      </c>
      <c r="CV45" s="65" t="s">
        <v>1953</v>
      </c>
      <c r="CW45" s="65" t="s">
        <v>1953</v>
      </c>
      <c r="CX45" s="65" t="s">
        <v>1953</v>
      </c>
      <c r="CY45" s="65" t="s">
        <v>1953</v>
      </c>
      <c r="CZ45" s="65" t="s">
        <v>1953</v>
      </c>
      <c r="DA45" s="65" t="s">
        <v>1953</v>
      </c>
    </row>
    <row r="46" spans="1:105">
      <c r="A46" t="s">
        <v>4837</v>
      </c>
      <c r="B46" t="s">
        <v>7695</v>
      </c>
      <c r="D46" t="s">
        <v>332</v>
      </c>
      <c r="E46" t="s">
        <v>4837</v>
      </c>
      <c r="AV46" t="s">
        <v>2846</v>
      </c>
      <c r="AW46" t="str">
        <f>IFERROR(HLOOKUP($AW$1,Table3[[#All],[India]:[Dominican Republic]],ROW(Table3[[#This Row],[Default]])-1,0),"True")</f>
        <v>True</v>
      </c>
      <c r="AX46" s="65" t="s">
        <v>1953</v>
      </c>
      <c r="AY46" s="65" t="s">
        <v>1953</v>
      </c>
      <c r="AZ46" s="65" t="s">
        <v>1953</v>
      </c>
      <c r="BA46" s="65" t="s">
        <v>1953</v>
      </c>
      <c r="BB46" s="65" t="s">
        <v>1953</v>
      </c>
      <c r="BC46" s="65" t="s">
        <v>1953</v>
      </c>
      <c r="BD46" s="65" t="s">
        <v>1953</v>
      </c>
      <c r="BE46" s="65" t="s">
        <v>1953</v>
      </c>
      <c r="BF46" s="65" t="s">
        <v>1953</v>
      </c>
      <c r="BG46" s="65" t="s">
        <v>1953</v>
      </c>
      <c r="BH46" s="65" t="s">
        <v>1953</v>
      </c>
      <c r="BI46" s="65" t="s">
        <v>1953</v>
      </c>
      <c r="BJ46" s="65" t="s">
        <v>1953</v>
      </c>
      <c r="BK46" s="65" t="s">
        <v>1953</v>
      </c>
      <c r="BL46" s="65" t="s">
        <v>1953</v>
      </c>
      <c r="BM46" s="65" t="s">
        <v>1953</v>
      </c>
      <c r="BN46" s="65" t="s">
        <v>1953</v>
      </c>
      <c r="BO46" s="65" t="s">
        <v>1953</v>
      </c>
      <c r="BP46" s="65" t="s">
        <v>1953</v>
      </c>
      <c r="BQ46" s="65" t="s">
        <v>1953</v>
      </c>
      <c r="BR46" s="65" t="s">
        <v>1953</v>
      </c>
      <c r="BS46" s="65" t="s">
        <v>1953</v>
      </c>
      <c r="BT46" s="65" t="s">
        <v>1953</v>
      </c>
      <c r="BU46" s="65" t="s">
        <v>1953</v>
      </c>
      <c r="BV46" s="65" t="s">
        <v>1953</v>
      </c>
      <c r="BW46" s="65" t="s">
        <v>1953</v>
      </c>
      <c r="BZ46" s="60" t="s">
        <v>2839</v>
      </c>
      <c r="CA46" t="str">
        <f>IFERROR(HLOOKUP($CA$1,Table4[[#All],[India]:[Dominican Republic]],ROW(Table4[[#This Row],[Default]])-1,0),"True")</f>
        <v>True</v>
      </c>
      <c r="CB46" s="65" t="s">
        <v>1953</v>
      </c>
      <c r="CC46" s="65" t="s">
        <v>1953</v>
      </c>
      <c r="CD46" s="65" t="s">
        <v>1953</v>
      </c>
      <c r="CE46" s="65" t="s">
        <v>1953</v>
      </c>
      <c r="CF46" s="65" t="s">
        <v>1953</v>
      </c>
      <c r="CG46" s="65" t="s">
        <v>1953</v>
      </c>
      <c r="CH46" s="65" t="s">
        <v>1953</v>
      </c>
      <c r="CI46" s="65" t="s">
        <v>1953</v>
      </c>
      <c r="CJ46" s="65" t="s">
        <v>1953</v>
      </c>
      <c r="CK46" s="65" t="s">
        <v>1953</v>
      </c>
      <c r="CL46" s="65" t="s">
        <v>1953</v>
      </c>
      <c r="CM46" s="65" t="s">
        <v>1953</v>
      </c>
      <c r="CN46" s="65" t="s">
        <v>1953</v>
      </c>
      <c r="CO46" s="65" t="s">
        <v>1953</v>
      </c>
      <c r="CP46" s="65" t="s">
        <v>1953</v>
      </c>
      <c r="CQ46" s="65" t="s">
        <v>1953</v>
      </c>
      <c r="CR46" s="65" t="s">
        <v>1953</v>
      </c>
      <c r="CS46" s="65" t="s">
        <v>1953</v>
      </c>
      <c r="CT46" s="65" t="s">
        <v>1953</v>
      </c>
      <c r="CU46" s="65" t="s">
        <v>1953</v>
      </c>
      <c r="CV46" s="65" t="s">
        <v>1953</v>
      </c>
      <c r="CW46" s="65" t="s">
        <v>1953</v>
      </c>
      <c r="CX46" s="65" t="s">
        <v>1953</v>
      </c>
      <c r="CY46" s="65" t="s">
        <v>1953</v>
      </c>
      <c r="CZ46" s="65" t="s">
        <v>1953</v>
      </c>
      <c r="DA46" s="65" t="s">
        <v>1953</v>
      </c>
    </row>
    <row r="47" spans="1:105">
      <c r="A47" t="s">
        <v>4831</v>
      </c>
      <c r="B47" t="s">
        <v>7696</v>
      </c>
      <c r="D47" t="s">
        <v>334</v>
      </c>
      <c r="E47" t="s">
        <v>7696</v>
      </c>
      <c r="AV47" t="s">
        <v>2577</v>
      </c>
      <c r="AW47" t="str">
        <f>IFERROR(HLOOKUP($AW$1,Table3[[#All],[India]:[Dominican Republic]],ROW(Table3[[#This Row],[Default]])-1,0),"True")</f>
        <v>False</v>
      </c>
      <c r="AX47" s="65" t="s">
        <v>1954</v>
      </c>
      <c r="AY47" s="65" t="s">
        <v>1954</v>
      </c>
      <c r="AZ47" s="65" t="s">
        <v>1954</v>
      </c>
      <c r="BA47" s="65" t="s">
        <v>1954</v>
      </c>
      <c r="BB47" s="65" t="s">
        <v>1954</v>
      </c>
      <c r="BC47" s="65" t="s">
        <v>1954</v>
      </c>
      <c r="BD47" s="65" t="s">
        <v>1954</v>
      </c>
      <c r="BE47" s="65" t="s">
        <v>1954</v>
      </c>
      <c r="BF47" s="65" t="s">
        <v>1954</v>
      </c>
      <c r="BG47" s="65" t="s">
        <v>1954</v>
      </c>
      <c r="BH47" s="65" t="s">
        <v>1954</v>
      </c>
      <c r="BI47" s="65" t="s">
        <v>1954</v>
      </c>
      <c r="BJ47" s="65" t="s">
        <v>1954</v>
      </c>
      <c r="BK47" s="65" t="s">
        <v>1954</v>
      </c>
      <c r="BL47" s="65" t="s">
        <v>1954</v>
      </c>
      <c r="BM47" s="65" t="s">
        <v>1954</v>
      </c>
      <c r="BN47" s="65" t="s">
        <v>1954</v>
      </c>
      <c r="BO47" s="65" t="s">
        <v>1954</v>
      </c>
      <c r="BP47" s="65" t="s">
        <v>1954</v>
      </c>
      <c r="BQ47" s="65" t="s">
        <v>1954</v>
      </c>
      <c r="BR47" s="65" t="s">
        <v>1954</v>
      </c>
      <c r="BS47" s="65" t="s">
        <v>1954</v>
      </c>
      <c r="BT47" s="65" t="s">
        <v>1954</v>
      </c>
      <c r="BU47" s="65" t="s">
        <v>1954</v>
      </c>
      <c r="BV47" s="65" t="s">
        <v>1954</v>
      </c>
      <c r="BW47" s="65" t="s">
        <v>1954</v>
      </c>
      <c r="BZ47" s="60" t="s">
        <v>2840</v>
      </c>
      <c r="CA47" t="str">
        <f>IFERROR(HLOOKUP($CA$1,Table4[[#All],[India]:[Dominican Republic]],ROW(Table4[[#This Row],[Default]])-1,0),"True")</f>
        <v>True</v>
      </c>
      <c r="CB47" s="65" t="s">
        <v>1953</v>
      </c>
      <c r="CC47" s="65" t="s">
        <v>1953</v>
      </c>
      <c r="CD47" s="65" t="s">
        <v>1953</v>
      </c>
      <c r="CE47" s="65" t="s">
        <v>1953</v>
      </c>
      <c r="CF47" s="65" t="s">
        <v>1953</v>
      </c>
      <c r="CG47" s="65" t="s">
        <v>1953</v>
      </c>
      <c r="CH47" s="65" t="s">
        <v>1953</v>
      </c>
      <c r="CI47" s="65" t="s">
        <v>1953</v>
      </c>
      <c r="CJ47" s="65" t="s">
        <v>1953</v>
      </c>
      <c r="CK47" s="65" t="s">
        <v>1953</v>
      </c>
      <c r="CL47" s="65" t="s">
        <v>1953</v>
      </c>
      <c r="CM47" s="65" t="s">
        <v>1953</v>
      </c>
      <c r="CN47" s="65" t="s">
        <v>1953</v>
      </c>
      <c r="CO47" s="65" t="s">
        <v>1953</v>
      </c>
      <c r="CP47" s="65" t="s">
        <v>1953</v>
      </c>
      <c r="CQ47" s="65" t="s">
        <v>1953</v>
      </c>
      <c r="CR47" s="65" t="s">
        <v>1953</v>
      </c>
      <c r="CS47" s="65" t="s">
        <v>1953</v>
      </c>
      <c r="CT47" s="65" t="s">
        <v>1953</v>
      </c>
      <c r="CU47" s="65" t="s">
        <v>1953</v>
      </c>
      <c r="CV47" s="65" t="s">
        <v>1953</v>
      </c>
      <c r="CW47" s="65" t="s">
        <v>1953</v>
      </c>
      <c r="CX47" s="65" t="s">
        <v>1953</v>
      </c>
      <c r="CY47" s="65" t="s">
        <v>1953</v>
      </c>
      <c r="CZ47" s="65" t="s">
        <v>1953</v>
      </c>
      <c r="DA47" s="65" t="s">
        <v>1953</v>
      </c>
    </row>
    <row r="48" spans="1:105">
      <c r="A48" t="s">
        <v>4844</v>
      </c>
      <c r="B48" t="s">
        <v>7697</v>
      </c>
      <c r="D48" t="s">
        <v>335</v>
      </c>
      <c r="E48" t="s">
        <v>4844</v>
      </c>
      <c r="AV48" t="s">
        <v>2578</v>
      </c>
      <c r="AW48" t="str">
        <f>IFERROR(HLOOKUP($AW$1,Table3[[#All],[India]:[Dominican Republic]],ROW(Table3[[#This Row],[Default]])-1,0),"True")</f>
        <v>True</v>
      </c>
      <c r="AX48" s="65" t="s">
        <v>1953</v>
      </c>
      <c r="AY48" s="65" t="s">
        <v>1953</v>
      </c>
      <c r="AZ48" s="65" t="s">
        <v>1953</v>
      </c>
      <c r="BA48" s="65" t="s">
        <v>1953</v>
      </c>
      <c r="BB48" s="65" t="s">
        <v>1953</v>
      </c>
      <c r="BC48" s="65" t="s">
        <v>1953</v>
      </c>
      <c r="BD48" s="65" t="s">
        <v>1953</v>
      </c>
      <c r="BE48" s="65" t="s">
        <v>1953</v>
      </c>
      <c r="BF48" s="65" t="s">
        <v>1953</v>
      </c>
      <c r="BG48" s="65" t="s">
        <v>1953</v>
      </c>
      <c r="BH48" s="65" t="s">
        <v>1953</v>
      </c>
      <c r="BI48" s="65" t="s">
        <v>1953</v>
      </c>
      <c r="BJ48" s="65" t="s">
        <v>1954</v>
      </c>
      <c r="BK48" s="65" t="s">
        <v>1953</v>
      </c>
      <c r="BL48" s="65" t="s">
        <v>1953</v>
      </c>
      <c r="BM48" s="65" t="s">
        <v>1953</v>
      </c>
      <c r="BN48" s="65" t="s">
        <v>1954</v>
      </c>
      <c r="BO48" s="65" t="s">
        <v>1954</v>
      </c>
      <c r="BP48" s="65" t="s">
        <v>1953</v>
      </c>
      <c r="BQ48" s="65" t="s">
        <v>1953</v>
      </c>
      <c r="BR48" s="65" t="s">
        <v>1953</v>
      </c>
      <c r="BS48" s="65" t="s">
        <v>1953</v>
      </c>
      <c r="BT48" s="65" t="s">
        <v>1953</v>
      </c>
      <c r="BU48" s="65" t="s">
        <v>1953</v>
      </c>
      <c r="BV48" s="65" t="s">
        <v>1953</v>
      </c>
      <c r="BW48" s="65" t="s">
        <v>1953</v>
      </c>
      <c r="BZ48" s="60" t="s">
        <v>813</v>
      </c>
      <c r="CA48" t="str">
        <f>IFERROR(HLOOKUP($CA$1,Table4[[#All],[India]:[Dominican Republic]],ROW(Table4[[#This Row],[Default]])-1,0),"True")</f>
        <v>True</v>
      </c>
      <c r="CB48" s="65" t="s">
        <v>1953</v>
      </c>
      <c r="CC48" s="65" t="s">
        <v>1953</v>
      </c>
      <c r="CD48" s="65" t="s">
        <v>1953</v>
      </c>
      <c r="CE48" s="65" t="s">
        <v>1953</v>
      </c>
      <c r="CF48" s="65" t="s">
        <v>1953</v>
      </c>
      <c r="CG48" s="65" t="s">
        <v>1953</v>
      </c>
      <c r="CH48" s="65" t="s">
        <v>1953</v>
      </c>
      <c r="CI48" s="65" t="s">
        <v>1953</v>
      </c>
      <c r="CJ48" s="65" t="s">
        <v>1953</v>
      </c>
      <c r="CK48" s="65" t="s">
        <v>1953</v>
      </c>
      <c r="CL48" s="65" t="s">
        <v>1953</v>
      </c>
      <c r="CM48" s="65" t="s">
        <v>1953</v>
      </c>
      <c r="CN48" s="65" t="s">
        <v>1953</v>
      </c>
      <c r="CO48" s="65" t="s">
        <v>1953</v>
      </c>
      <c r="CP48" s="65" t="s">
        <v>1953</v>
      </c>
      <c r="CQ48" s="65" t="s">
        <v>1953</v>
      </c>
      <c r="CR48" s="65" t="s">
        <v>1953</v>
      </c>
      <c r="CS48" s="65" t="s">
        <v>1953</v>
      </c>
      <c r="CT48" s="65" t="s">
        <v>1953</v>
      </c>
      <c r="CU48" s="65" t="s">
        <v>1953</v>
      </c>
      <c r="CV48" s="65" t="s">
        <v>1953</v>
      </c>
      <c r="CW48" s="65" t="s">
        <v>1953</v>
      </c>
      <c r="CX48" s="65" t="s">
        <v>1953</v>
      </c>
      <c r="CY48" s="65" t="s">
        <v>1953</v>
      </c>
      <c r="CZ48" s="65" t="s">
        <v>1953</v>
      </c>
      <c r="DA48" s="65" t="s">
        <v>1953</v>
      </c>
    </row>
    <row r="49" spans="1:105">
      <c r="A49" t="s">
        <v>4842</v>
      </c>
      <c r="B49" t="s">
        <v>7698</v>
      </c>
      <c r="D49" t="s">
        <v>336</v>
      </c>
      <c r="E49" t="s">
        <v>4842</v>
      </c>
      <c r="AV49" t="s">
        <v>3799</v>
      </c>
      <c r="AW49" t="str">
        <f>IFERROR(HLOOKUP($AW$1,Table3[[#All],[India]:[Dominican Republic]],ROW(Table3[[#This Row],[Default]])-1,0),"True")</f>
        <v>True</v>
      </c>
      <c r="AX49" s="65" t="s">
        <v>1953</v>
      </c>
      <c r="AY49" s="65" t="s">
        <v>1953</v>
      </c>
      <c r="AZ49" s="65" t="s">
        <v>1953</v>
      </c>
      <c r="BA49" s="65" t="s">
        <v>1953</v>
      </c>
      <c r="BB49" s="65" t="s">
        <v>1953</v>
      </c>
      <c r="BC49" s="65" t="s">
        <v>1953</v>
      </c>
      <c r="BD49" s="65" t="s">
        <v>1953</v>
      </c>
      <c r="BE49" s="65" t="s">
        <v>1953</v>
      </c>
      <c r="BF49" s="65" t="s">
        <v>1953</v>
      </c>
      <c r="BG49" s="65" t="s">
        <v>1953</v>
      </c>
      <c r="BH49" s="65" t="s">
        <v>1953</v>
      </c>
      <c r="BI49" s="65" t="s">
        <v>1953</v>
      </c>
      <c r="BJ49" s="65" t="s">
        <v>1953</v>
      </c>
      <c r="BK49" s="65" t="s">
        <v>1953</v>
      </c>
      <c r="BL49" s="65" t="s">
        <v>1953</v>
      </c>
      <c r="BM49" s="65" t="s">
        <v>1953</v>
      </c>
      <c r="BN49" s="65" t="s">
        <v>1953</v>
      </c>
      <c r="BO49" s="65" t="s">
        <v>1953</v>
      </c>
      <c r="BP49" s="65" t="s">
        <v>1953</v>
      </c>
      <c r="BQ49" s="65" t="s">
        <v>1953</v>
      </c>
      <c r="BR49" s="65" t="s">
        <v>1953</v>
      </c>
      <c r="BS49" s="65" t="s">
        <v>1953</v>
      </c>
      <c r="BT49" s="65" t="s">
        <v>1953</v>
      </c>
      <c r="BU49" s="65" t="s">
        <v>1953</v>
      </c>
      <c r="BV49" s="65" t="s">
        <v>1953</v>
      </c>
      <c r="BW49" s="65" t="s">
        <v>1953</v>
      </c>
      <c r="BZ49" s="60" t="s">
        <v>2728</v>
      </c>
      <c r="CA49" t="str">
        <f>IFERROR(HLOOKUP($CA$1,Table4[[#All],[India]:[Dominican Republic]],ROW(Table4[[#This Row],[Default]])-1,0),"True")</f>
        <v>True</v>
      </c>
      <c r="CB49" s="65" t="s">
        <v>1953</v>
      </c>
      <c r="CC49" s="65" t="s">
        <v>1953</v>
      </c>
      <c r="CD49" s="65" t="s">
        <v>1953</v>
      </c>
      <c r="CE49" s="65" t="s">
        <v>1954</v>
      </c>
      <c r="CF49" s="65" t="s">
        <v>1953</v>
      </c>
      <c r="CG49" s="65" t="s">
        <v>1953</v>
      </c>
      <c r="CH49" s="65" t="s">
        <v>1953</v>
      </c>
      <c r="CI49" s="65" t="s">
        <v>1953</v>
      </c>
      <c r="CJ49" s="65" t="s">
        <v>1953</v>
      </c>
      <c r="CK49" s="65" t="s">
        <v>1953</v>
      </c>
      <c r="CL49" s="65" t="s">
        <v>1953</v>
      </c>
      <c r="CM49" s="65" t="s">
        <v>1953</v>
      </c>
      <c r="CN49" s="65" t="s">
        <v>1953</v>
      </c>
      <c r="CO49" s="65" t="s">
        <v>1954</v>
      </c>
      <c r="CP49" s="65" t="s">
        <v>1953</v>
      </c>
      <c r="CQ49" s="65" t="s">
        <v>1953</v>
      </c>
      <c r="CR49" s="65" t="s">
        <v>1953</v>
      </c>
      <c r="CS49" s="65" t="s">
        <v>1953</v>
      </c>
      <c r="CT49" s="65" t="s">
        <v>1953</v>
      </c>
      <c r="CU49" s="65" t="s">
        <v>1953</v>
      </c>
      <c r="CV49" s="65" t="s">
        <v>1953</v>
      </c>
      <c r="CW49" s="65" t="s">
        <v>1953</v>
      </c>
      <c r="CX49" s="65" t="s">
        <v>1953</v>
      </c>
      <c r="CY49" s="65" t="s">
        <v>1953</v>
      </c>
      <c r="CZ49" s="65" t="s">
        <v>1953</v>
      </c>
      <c r="DA49" s="65" t="s">
        <v>1953</v>
      </c>
    </row>
    <row r="50" spans="1:105">
      <c r="A50" t="s">
        <v>4843</v>
      </c>
      <c r="B50" t="s">
        <v>7699</v>
      </c>
      <c r="D50" t="s">
        <v>341</v>
      </c>
      <c r="E50" t="s">
        <v>4843</v>
      </c>
      <c r="AV50" t="s">
        <v>2579</v>
      </c>
      <c r="AW50" t="str">
        <f>IFERROR(HLOOKUP($AW$1,Table3[[#All],[India]:[Dominican Republic]],ROW(Table3[[#This Row],[Default]])-1,0),"True")</f>
        <v>True</v>
      </c>
      <c r="AX50" s="65" t="s">
        <v>1953</v>
      </c>
      <c r="AY50" s="65" t="s">
        <v>1953</v>
      </c>
      <c r="AZ50" s="65" t="s">
        <v>1953</v>
      </c>
      <c r="BA50" s="65" t="s">
        <v>1953</v>
      </c>
      <c r="BB50" s="65" t="s">
        <v>1953</v>
      </c>
      <c r="BC50" s="65" t="s">
        <v>1953</v>
      </c>
      <c r="BD50" s="65" t="s">
        <v>1953</v>
      </c>
      <c r="BE50" s="65" t="s">
        <v>1953</v>
      </c>
      <c r="BF50" s="65" t="s">
        <v>1953</v>
      </c>
      <c r="BG50" s="65" t="s">
        <v>1953</v>
      </c>
      <c r="BH50" s="65" t="s">
        <v>1953</v>
      </c>
      <c r="BI50" s="65" t="s">
        <v>1953</v>
      </c>
      <c r="BJ50" s="65" t="s">
        <v>1953</v>
      </c>
      <c r="BK50" s="65" t="s">
        <v>1953</v>
      </c>
      <c r="BL50" s="65" t="s">
        <v>1953</v>
      </c>
      <c r="BM50" s="65" t="s">
        <v>1953</v>
      </c>
      <c r="BN50" s="65" t="s">
        <v>1953</v>
      </c>
      <c r="BO50" s="65" t="s">
        <v>1953</v>
      </c>
      <c r="BP50" s="65" t="s">
        <v>1953</v>
      </c>
      <c r="BQ50" s="65" t="s">
        <v>1953</v>
      </c>
      <c r="BR50" s="65" t="s">
        <v>1953</v>
      </c>
      <c r="BS50" s="65" t="s">
        <v>1953</v>
      </c>
      <c r="BT50" s="65" t="s">
        <v>1953</v>
      </c>
      <c r="BU50" s="65" t="s">
        <v>1953</v>
      </c>
      <c r="BV50" s="65" t="s">
        <v>1953</v>
      </c>
      <c r="BW50" s="65" t="s">
        <v>1953</v>
      </c>
      <c r="BZ50" s="60" t="s">
        <v>2812</v>
      </c>
      <c r="CA50" t="str">
        <f>IFERROR(HLOOKUP($CA$1,Table4[[#All],[India]:[Dominican Republic]],ROW(Table4[[#This Row],[Default]])-1,0),"True")</f>
        <v>True</v>
      </c>
      <c r="CB50" s="65" t="s">
        <v>1953</v>
      </c>
      <c r="CC50" s="65" t="s">
        <v>1953</v>
      </c>
      <c r="CD50" s="65" t="s">
        <v>1953</v>
      </c>
      <c r="CE50" s="65" t="s">
        <v>1953</v>
      </c>
      <c r="CF50" s="65" t="s">
        <v>1953</v>
      </c>
      <c r="CG50" s="65" t="s">
        <v>1953</v>
      </c>
      <c r="CH50" s="65" t="s">
        <v>1953</v>
      </c>
      <c r="CI50" s="65" t="s">
        <v>1953</v>
      </c>
      <c r="CJ50" s="65" t="s">
        <v>1953</v>
      </c>
      <c r="CK50" s="65" t="s">
        <v>1954</v>
      </c>
      <c r="CL50" s="65" t="s">
        <v>1953</v>
      </c>
      <c r="CM50" s="65" t="s">
        <v>1953</v>
      </c>
      <c r="CN50" s="65" t="s">
        <v>1953</v>
      </c>
      <c r="CO50" s="65" t="s">
        <v>1953</v>
      </c>
      <c r="CP50" s="65" t="s">
        <v>1953</v>
      </c>
      <c r="CQ50" s="65" t="s">
        <v>1953</v>
      </c>
      <c r="CR50" s="65" t="s">
        <v>1953</v>
      </c>
      <c r="CS50" s="65" t="s">
        <v>1953</v>
      </c>
      <c r="CT50" s="65" t="s">
        <v>1953</v>
      </c>
      <c r="CU50" s="65" t="s">
        <v>1953</v>
      </c>
      <c r="CV50" s="65" t="s">
        <v>1953</v>
      </c>
      <c r="CW50" s="65" t="s">
        <v>1953</v>
      </c>
      <c r="CX50" s="65" t="s">
        <v>1953</v>
      </c>
      <c r="CY50" s="65" t="s">
        <v>1953</v>
      </c>
      <c r="CZ50" s="65" t="s">
        <v>1953</v>
      </c>
      <c r="DA50" s="65" t="s">
        <v>1953</v>
      </c>
    </row>
    <row r="51" spans="1:105">
      <c r="A51" t="s">
        <v>4836</v>
      </c>
      <c r="B51" t="s">
        <v>291</v>
      </c>
      <c r="D51" t="s">
        <v>342</v>
      </c>
      <c r="E51" t="s">
        <v>4836</v>
      </c>
      <c r="AV51" t="s">
        <v>2847</v>
      </c>
      <c r="AW51" t="str">
        <f>IFERROR(HLOOKUP($AW$1,Table3[[#All],[India]:[Dominican Republic]],ROW(Table3[[#This Row],[Default]])-1,0),"True")</f>
        <v>False</v>
      </c>
      <c r="AX51" s="65" t="s">
        <v>1954</v>
      </c>
      <c r="AY51" s="65" t="s">
        <v>1954</v>
      </c>
      <c r="AZ51" s="65" t="s">
        <v>1954</v>
      </c>
      <c r="BA51" s="65" t="s">
        <v>1954</v>
      </c>
      <c r="BB51" s="65" t="s">
        <v>1954</v>
      </c>
      <c r="BC51" s="65" t="s">
        <v>1954</v>
      </c>
      <c r="BD51" s="65" t="s">
        <v>1954</v>
      </c>
      <c r="BE51" s="65" t="s">
        <v>1954</v>
      </c>
      <c r="BF51" s="65" t="s">
        <v>1954</v>
      </c>
      <c r="BG51" s="65" t="s">
        <v>1954</v>
      </c>
      <c r="BH51" s="65" t="s">
        <v>1954</v>
      </c>
      <c r="BI51" s="65" t="s">
        <v>1954</v>
      </c>
      <c r="BJ51" s="65" t="s">
        <v>1954</v>
      </c>
      <c r="BK51" s="65" t="s">
        <v>1954</v>
      </c>
      <c r="BL51" s="65" t="s">
        <v>1953</v>
      </c>
      <c r="BM51" s="65" t="s">
        <v>1954</v>
      </c>
      <c r="BN51" s="65" t="s">
        <v>1953</v>
      </c>
      <c r="BO51" s="65" t="s">
        <v>1954</v>
      </c>
      <c r="BP51" s="65" t="s">
        <v>1954</v>
      </c>
      <c r="BQ51" s="65" t="s">
        <v>1953</v>
      </c>
      <c r="BR51" s="65" t="s">
        <v>1953</v>
      </c>
      <c r="BS51" s="65" t="s">
        <v>1953</v>
      </c>
      <c r="BT51" s="65" t="s">
        <v>1953</v>
      </c>
      <c r="BU51" s="65" t="s">
        <v>1954</v>
      </c>
      <c r="BV51" s="65" t="s">
        <v>1954</v>
      </c>
      <c r="BW51" s="65" t="s">
        <v>1954</v>
      </c>
      <c r="BZ51" s="60" t="s">
        <v>2813</v>
      </c>
      <c r="CA51" t="str">
        <f>IFERROR(HLOOKUP($CA$1,Table4[[#All],[India]:[Dominican Republic]],ROW(Table4[[#This Row],[Default]])-1,0),"True")</f>
        <v>True</v>
      </c>
      <c r="CB51" s="65" t="s">
        <v>1953</v>
      </c>
      <c r="CC51" s="65" t="s">
        <v>1953</v>
      </c>
      <c r="CD51" s="65" t="s">
        <v>1953</v>
      </c>
      <c r="CE51" s="65" t="s">
        <v>1953</v>
      </c>
      <c r="CF51" s="65" t="s">
        <v>1953</v>
      </c>
      <c r="CG51" s="65" t="s">
        <v>1953</v>
      </c>
      <c r="CH51" s="65" t="s">
        <v>1953</v>
      </c>
      <c r="CI51" s="65" t="s">
        <v>1953</v>
      </c>
      <c r="CJ51" s="65" t="s">
        <v>1953</v>
      </c>
      <c r="CK51" s="65" t="s">
        <v>1953</v>
      </c>
      <c r="CL51" s="65" t="s">
        <v>1953</v>
      </c>
      <c r="CM51" s="65" t="s">
        <v>1953</v>
      </c>
      <c r="CN51" s="65" t="s">
        <v>1953</v>
      </c>
      <c r="CO51" s="65" t="s">
        <v>1953</v>
      </c>
      <c r="CP51" s="65" t="s">
        <v>1953</v>
      </c>
      <c r="CQ51" s="65" t="s">
        <v>1953</v>
      </c>
      <c r="CR51" s="65" t="s">
        <v>1953</v>
      </c>
      <c r="CS51" s="65" t="s">
        <v>1953</v>
      </c>
      <c r="CT51" s="65" t="s">
        <v>1953</v>
      </c>
      <c r="CU51" s="65" t="s">
        <v>1953</v>
      </c>
      <c r="CV51" s="65" t="s">
        <v>1953</v>
      </c>
      <c r="CW51" s="65" t="s">
        <v>1953</v>
      </c>
      <c r="CX51" s="65" t="s">
        <v>1953</v>
      </c>
      <c r="CY51" s="65" t="s">
        <v>1953</v>
      </c>
      <c r="CZ51" s="65" t="s">
        <v>1953</v>
      </c>
      <c r="DA51" s="65" t="s">
        <v>1953</v>
      </c>
    </row>
    <row r="52" spans="1:105">
      <c r="A52" t="s">
        <v>4832</v>
      </c>
      <c r="B52" t="s">
        <v>7700</v>
      </c>
      <c r="D52" t="s">
        <v>7719</v>
      </c>
      <c r="E52" t="s">
        <v>4846</v>
      </c>
      <c r="AV52" t="s">
        <v>2580</v>
      </c>
      <c r="AW52" t="str">
        <f>IFERROR(HLOOKUP($AW$1,Table3[[#All],[India]:[Dominican Republic]],ROW(Table3[[#This Row],[Default]])-1,0),"True")</f>
        <v>False</v>
      </c>
      <c r="AX52" s="65" t="s">
        <v>1954</v>
      </c>
      <c r="AY52" s="65" t="s">
        <v>1954</v>
      </c>
      <c r="AZ52" s="65" t="s">
        <v>1954</v>
      </c>
      <c r="BA52" s="65" t="s">
        <v>1954</v>
      </c>
      <c r="BB52" s="65" t="s">
        <v>1954</v>
      </c>
      <c r="BC52" s="65" t="s">
        <v>1954</v>
      </c>
      <c r="BD52" s="65" t="s">
        <v>1954</v>
      </c>
      <c r="BE52" s="65" t="s">
        <v>1954</v>
      </c>
      <c r="BF52" s="65" t="s">
        <v>1954</v>
      </c>
      <c r="BG52" s="65" t="s">
        <v>1954</v>
      </c>
      <c r="BH52" s="65" t="s">
        <v>1954</v>
      </c>
      <c r="BI52" s="65" t="s">
        <v>1954</v>
      </c>
      <c r="BJ52" s="65" t="s">
        <v>1954</v>
      </c>
      <c r="BK52" s="65" t="s">
        <v>1954</v>
      </c>
      <c r="BL52" s="65" t="s">
        <v>1954</v>
      </c>
      <c r="BM52" s="65" t="s">
        <v>1954</v>
      </c>
      <c r="BN52" s="65" t="s">
        <v>1954</v>
      </c>
      <c r="BO52" s="65" t="s">
        <v>1954</v>
      </c>
      <c r="BP52" s="65" t="s">
        <v>1954</v>
      </c>
      <c r="BQ52" s="65" t="s">
        <v>1954</v>
      </c>
      <c r="BR52" s="65" t="s">
        <v>1954</v>
      </c>
      <c r="BS52" s="65" t="s">
        <v>1954</v>
      </c>
      <c r="BT52" s="65" t="s">
        <v>1954</v>
      </c>
      <c r="BU52" s="65" t="s">
        <v>1954</v>
      </c>
      <c r="BV52" s="65" t="s">
        <v>1954</v>
      </c>
      <c r="BW52" s="65" t="s">
        <v>1954</v>
      </c>
      <c r="BZ52" s="60" t="s">
        <v>2814</v>
      </c>
      <c r="CA52" t="str">
        <f>IFERROR(HLOOKUP($CA$1,Table4[[#All],[India]:[Dominican Republic]],ROW(Table4[[#This Row],[Default]])-1,0),"True")</f>
        <v>True</v>
      </c>
      <c r="CB52" s="65" t="s">
        <v>1953</v>
      </c>
      <c r="CC52" s="65" t="s">
        <v>1953</v>
      </c>
      <c r="CD52" s="65" t="s">
        <v>1953</v>
      </c>
      <c r="CE52" s="65" t="s">
        <v>1953</v>
      </c>
      <c r="CF52" s="65" t="s">
        <v>1953</v>
      </c>
      <c r="CG52" s="65" t="s">
        <v>1953</v>
      </c>
      <c r="CH52" s="65" t="s">
        <v>1953</v>
      </c>
      <c r="CI52" s="65" t="s">
        <v>1953</v>
      </c>
      <c r="CJ52" s="65" t="s">
        <v>1953</v>
      </c>
      <c r="CK52" s="65" t="s">
        <v>1953</v>
      </c>
      <c r="CL52" s="65" t="s">
        <v>1953</v>
      </c>
      <c r="CM52" s="65" t="s">
        <v>1953</v>
      </c>
      <c r="CN52" s="65" t="s">
        <v>1953</v>
      </c>
      <c r="CO52" s="65" t="s">
        <v>1953</v>
      </c>
      <c r="CP52" s="65" t="s">
        <v>1953</v>
      </c>
      <c r="CQ52" s="65" t="s">
        <v>1953</v>
      </c>
      <c r="CR52" s="65" t="s">
        <v>1953</v>
      </c>
      <c r="CS52" s="65" t="s">
        <v>1953</v>
      </c>
      <c r="CT52" s="65" t="s">
        <v>1953</v>
      </c>
      <c r="CU52" s="65" t="s">
        <v>1953</v>
      </c>
      <c r="CV52" s="65" t="s">
        <v>1953</v>
      </c>
      <c r="CW52" s="65" t="s">
        <v>1953</v>
      </c>
      <c r="CX52" s="65" t="s">
        <v>1953</v>
      </c>
      <c r="CY52" s="65" t="s">
        <v>1953</v>
      </c>
      <c r="CZ52" s="65" t="s">
        <v>1953</v>
      </c>
      <c r="DA52" s="65" t="s">
        <v>1953</v>
      </c>
    </row>
    <row r="53" spans="1:105">
      <c r="A53" t="s">
        <v>4846</v>
      </c>
      <c r="B53" t="s">
        <v>7701</v>
      </c>
      <c r="D53" t="s">
        <v>7720</v>
      </c>
      <c r="E53" t="s">
        <v>4852</v>
      </c>
      <c r="AV53" t="s">
        <v>2581</v>
      </c>
      <c r="AW53" t="str">
        <f>IFERROR(HLOOKUP($AW$1,Table3[[#All],[India]:[Dominican Republic]],ROW(Table3[[#This Row],[Default]])-1,0),"True")</f>
        <v>True</v>
      </c>
      <c r="AX53" s="65" t="s">
        <v>1953</v>
      </c>
      <c r="AY53" s="65" t="s">
        <v>1953</v>
      </c>
      <c r="AZ53" s="65" t="s">
        <v>1953</v>
      </c>
      <c r="BA53" s="65" t="s">
        <v>1953</v>
      </c>
      <c r="BB53" s="65" t="s">
        <v>1953</v>
      </c>
      <c r="BC53" s="65" t="s">
        <v>1953</v>
      </c>
      <c r="BD53" s="65" t="s">
        <v>1953</v>
      </c>
      <c r="BE53" s="65" t="s">
        <v>1953</v>
      </c>
      <c r="BF53" s="65" t="s">
        <v>1953</v>
      </c>
      <c r="BG53" s="65" t="s">
        <v>1953</v>
      </c>
      <c r="BH53" s="65" t="s">
        <v>1953</v>
      </c>
      <c r="BI53" s="65" t="s">
        <v>1953</v>
      </c>
      <c r="BJ53" s="65" t="s">
        <v>1953</v>
      </c>
      <c r="BK53" s="65" t="s">
        <v>1953</v>
      </c>
      <c r="BL53" s="65" t="s">
        <v>1953</v>
      </c>
      <c r="BM53" s="65" t="s">
        <v>1954</v>
      </c>
      <c r="BN53" s="65" t="s">
        <v>1953</v>
      </c>
      <c r="BO53" s="65" t="s">
        <v>1953</v>
      </c>
      <c r="BP53" s="65" t="s">
        <v>1953</v>
      </c>
      <c r="BQ53" s="65" t="s">
        <v>1953</v>
      </c>
      <c r="BR53" s="65" t="s">
        <v>1953</v>
      </c>
      <c r="BS53" s="65" t="s">
        <v>1953</v>
      </c>
      <c r="BT53" s="65" t="s">
        <v>1953</v>
      </c>
      <c r="BU53" s="65" t="s">
        <v>1954</v>
      </c>
      <c r="BV53" s="65" t="s">
        <v>1954</v>
      </c>
      <c r="BW53" s="65" t="s">
        <v>1954</v>
      </c>
      <c r="BZ53" s="60" t="s">
        <v>2826</v>
      </c>
      <c r="CA53" t="str">
        <f>IFERROR(HLOOKUP($CA$1,Table4[[#All],[India]:[Dominican Republic]],ROW(Table4[[#This Row],[Default]])-1,0),"True")</f>
        <v>True</v>
      </c>
      <c r="CB53" s="65" t="s">
        <v>1953</v>
      </c>
      <c r="CC53" s="65" t="s">
        <v>1953</v>
      </c>
      <c r="CD53" s="65" t="s">
        <v>1953</v>
      </c>
      <c r="CE53" s="65" t="s">
        <v>1953</v>
      </c>
      <c r="CF53" s="65" t="s">
        <v>1953</v>
      </c>
      <c r="CG53" s="65" t="s">
        <v>1953</v>
      </c>
      <c r="CH53" s="65" t="s">
        <v>1953</v>
      </c>
      <c r="CI53" s="65" t="s">
        <v>1953</v>
      </c>
      <c r="CJ53" s="65" t="s">
        <v>1953</v>
      </c>
      <c r="CK53" s="65" t="s">
        <v>1953</v>
      </c>
      <c r="CL53" s="65" t="s">
        <v>1953</v>
      </c>
      <c r="CM53" s="65" t="s">
        <v>1953</v>
      </c>
      <c r="CN53" s="65" t="s">
        <v>1953</v>
      </c>
      <c r="CO53" s="65" t="s">
        <v>1953</v>
      </c>
      <c r="CP53" s="65" t="s">
        <v>1953</v>
      </c>
      <c r="CQ53" s="65" t="s">
        <v>1953</v>
      </c>
      <c r="CR53" s="65" t="s">
        <v>1953</v>
      </c>
      <c r="CS53" s="65" t="s">
        <v>1953</v>
      </c>
      <c r="CT53" s="65" t="s">
        <v>1953</v>
      </c>
      <c r="CU53" s="65" t="s">
        <v>1953</v>
      </c>
      <c r="CV53" s="65" t="s">
        <v>1953</v>
      </c>
      <c r="CW53" s="65" t="s">
        <v>1953</v>
      </c>
      <c r="CX53" s="65" t="s">
        <v>1953</v>
      </c>
      <c r="CY53" s="65" t="s">
        <v>1953</v>
      </c>
      <c r="CZ53" s="65" t="s">
        <v>1953</v>
      </c>
      <c r="DA53" s="65" t="s">
        <v>1953</v>
      </c>
    </row>
    <row r="54" spans="1:105">
      <c r="A54" t="s">
        <v>4835</v>
      </c>
      <c r="B54" t="s">
        <v>7702</v>
      </c>
      <c r="D54" t="s">
        <v>78</v>
      </c>
      <c r="E54" t="s">
        <v>4832</v>
      </c>
      <c r="AV54" t="s">
        <v>7885</v>
      </c>
      <c r="AW54" t="str">
        <f>IFERROR(HLOOKUP($AW$1,Table3[[#All],[India]:[Dominican Republic]],ROW(Table3[[#This Row],[Default]])-1,0),"True")</f>
        <v>True</v>
      </c>
      <c r="AX54" s="65" t="s">
        <v>1953</v>
      </c>
      <c r="AY54" s="65" t="s">
        <v>1953</v>
      </c>
      <c r="AZ54" s="65" t="s">
        <v>1953</v>
      </c>
      <c r="BA54" s="65" t="s">
        <v>1953</v>
      </c>
      <c r="BB54" s="65" t="s">
        <v>1953</v>
      </c>
      <c r="BC54" s="65" t="s">
        <v>1953</v>
      </c>
      <c r="BD54" s="65" t="s">
        <v>1953</v>
      </c>
      <c r="BE54" s="65" t="s">
        <v>1953</v>
      </c>
      <c r="BF54" s="65" t="s">
        <v>1953</v>
      </c>
      <c r="BG54" s="65" t="s">
        <v>1953</v>
      </c>
      <c r="BH54" s="65" t="s">
        <v>1953</v>
      </c>
      <c r="BI54" s="65" t="s">
        <v>1953</v>
      </c>
      <c r="BJ54" s="65" t="s">
        <v>1953</v>
      </c>
      <c r="BK54" s="65" t="s">
        <v>1953</v>
      </c>
      <c r="BL54" s="65" t="s">
        <v>1953</v>
      </c>
      <c r="BM54" s="65" t="s">
        <v>1953</v>
      </c>
      <c r="BN54" s="65" t="s">
        <v>1953</v>
      </c>
      <c r="BO54" s="65" t="s">
        <v>1954</v>
      </c>
      <c r="BP54" s="65" t="s">
        <v>1953</v>
      </c>
      <c r="BQ54" s="65" t="s">
        <v>1953</v>
      </c>
      <c r="BR54" s="65" t="s">
        <v>1953</v>
      </c>
      <c r="BS54" s="65" t="s">
        <v>1953</v>
      </c>
      <c r="BT54" s="65" t="s">
        <v>1953</v>
      </c>
      <c r="BU54" s="65" t="s">
        <v>1953</v>
      </c>
      <c r="BV54" s="65" t="s">
        <v>1953</v>
      </c>
      <c r="BW54" s="65" t="s">
        <v>1953</v>
      </c>
      <c r="BZ54" s="60" t="s">
        <v>2822</v>
      </c>
      <c r="CA54" t="str">
        <f>IFERROR(HLOOKUP($CA$1,Table4[[#All],[India]:[Dominican Republic]],ROW(Table4[[#This Row],[Default]])-1,0),"True")</f>
        <v>True</v>
      </c>
      <c r="CB54" s="65" t="s">
        <v>1953</v>
      </c>
      <c r="CC54" s="65" t="s">
        <v>1953</v>
      </c>
      <c r="CD54" s="65" t="s">
        <v>1953</v>
      </c>
      <c r="CE54" s="65" t="s">
        <v>1953</v>
      </c>
      <c r="CF54" s="65" t="s">
        <v>1953</v>
      </c>
      <c r="CG54" s="65" t="s">
        <v>1953</v>
      </c>
      <c r="CH54" s="65" t="s">
        <v>1953</v>
      </c>
      <c r="CI54" s="65" t="s">
        <v>1953</v>
      </c>
      <c r="CJ54" s="65" t="s">
        <v>1953</v>
      </c>
      <c r="CK54" s="65" t="s">
        <v>1953</v>
      </c>
      <c r="CL54" s="65" t="s">
        <v>1953</v>
      </c>
      <c r="CM54" s="65" t="s">
        <v>1953</v>
      </c>
      <c r="CN54" s="65" t="s">
        <v>1953</v>
      </c>
      <c r="CO54" s="65" t="s">
        <v>1953</v>
      </c>
      <c r="CP54" s="65" t="s">
        <v>1953</v>
      </c>
      <c r="CQ54" s="65" t="s">
        <v>1953</v>
      </c>
      <c r="CR54" s="65" t="s">
        <v>1953</v>
      </c>
      <c r="CS54" s="65" t="s">
        <v>1953</v>
      </c>
      <c r="CT54" s="65" t="s">
        <v>1953</v>
      </c>
      <c r="CU54" s="65" t="s">
        <v>1953</v>
      </c>
      <c r="CV54" s="65" t="s">
        <v>1953</v>
      </c>
      <c r="CW54" s="65" t="s">
        <v>1953</v>
      </c>
      <c r="CX54" s="65" t="s">
        <v>1953</v>
      </c>
      <c r="CY54" s="65" t="s">
        <v>1953</v>
      </c>
      <c r="CZ54" s="65" t="s">
        <v>1953</v>
      </c>
      <c r="DA54" s="65" t="s">
        <v>1953</v>
      </c>
    </row>
    <row r="55" spans="1:105">
      <c r="A55" t="s">
        <v>4854</v>
      </c>
      <c r="B55" t="s">
        <v>7703</v>
      </c>
      <c r="D55" t="s">
        <v>86</v>
      </c>
      <c r="E55" t="s">
        <v>4835</v>
      </c>
      <c r="AV55" t="s">
        <v>2582</v>
      </c>
      <c r="AW55" t="str">
        <f>IFERROR(HLOOKUP($AW$1,Table3[[#All],[India]:[Dominican Republic]],ROW(Table3[[#This Row],[Default]])-1,0),"True")</f>
        <v>True</v>
      </c>
      <c r="AX55" s="65" t="s">
        <v>1953</v>
      </c>
      <c r="AY55" s="65" t="s">
        <v>1953</v>
      </c>
      <c r="AZ55" s="65" t="s">
        <v>1953</v>
      </c>
      <c r="BA55" s="65" t="s">
        <v>1953</v>
      </c>
      <c r="BB55" s="65" t="s">
        <v>1953</v>
      </c>
      <c r="BC55" s="65" t="s">
        <v>1953</v>
      </c>
      <c r="BD55" s="65" t="s">
        <v>1953</v>
      </c>
      <c r="BE55" s="65" t="s">
        <v>1953</v>
      </c>
      <c r="BF55" s="65" t="s">
        <v>1953</v>
      </c>
      <c r="BG55" s="65" t="s">
        <v>1953</v>
      </c>
      <c r="BH55" s="65" t="s">
        <v>1953</v>
      </c>
      <c r="BI55" s="65" t="s">
        <v>1953</v>
      </c>
      <c r="BJ55" s="65" t="s">
        <v>1953</v>
      </c>
      <c r="BK55" s="65" t="s">
        <v>1953</v>
      </c>
      <c r="BL55" s="65" t="s">
        <v>1953</v>
      </c>
      <c r="BM55" s="65" t="s">
        <v>1954</v>
      </c>
      <c r="BN55" s="65" t="s">
        <v>1953</v>
      </c>
      <c r="BO55" s="65" t="s">
        <v>1953</v>
      </c>
      <c r="BP55" s="65" t="s">
        <v>1953</v>
      </c>
      <c r="BQ55" s="65" t="s">
        <v>1953</v>
      </c>
      <c r="BR55" s="65" t="s">
        <v>1953</v>
      </c>
      <c r="BS55" s="65" t="s">
        <v>1953</v>
      </c>
      <c r="BT55" s="65" t="s">
        <v>1953</v>
      </c>
      <c r="BU55" s="65" t="s">
        <v>1954</v>
      </c>
      <c r="BV55" s="65" t="s">
        <v>1954</v>
      </c>
      <c r="BW55" s="65" t="s">
        <v>1954</v>
      </c>
      <c r="BZ55" s="60" t="s">
        <v>2823</v>
      </c>
      <c r="CA55" t="str">
        <f>IFERROR(HLOOKUP($CA$1,Table4[[#All],[India]:[Dominican Republic]],ROW(Table4[[#This Row],[Default]])-1,0),"True")</f>
        <v>True</v>
      </c>
      <c r="CB55" s="65" t="s">
        <v>1953</v>
      </c>
      <c r="CC55" s="65" t="s">
        <v>1953</v>
      </c>
      <c r="CD55" s="65" t="s">
        <v>1953</v>
      </c>
      <c r="CE55" s="65" t="s">
        <v>1953</v>
      </c>
      <c r="CF55" s="65" t="s">
        <v>1953</v>
      </c>
      <c r="CG55" s="65" t="s">
        <v>1953</v>
      </c>
      <c r="CH55" s="65" t="s">
        <v>1953</v>
      </c>
      <c r="CI55" s="65" t="s">
        <v>1953</v>
      </c>
      <c r="CJ55" s="65" t="s">
        <v>1953</v>
      </c>
      <c r="CK55" s="65" t="s">
        <v>1953</v>
      </c>
      <c r="CL55" s="65" t="s">
        <v>1953</v>
      </c>
      <c r="CM55" s="65" t="s">
        <v>1953</v>
      </c>
      <c r="CN55" s="65" t="s">
        <v>1953</v>
      </c>
      <c r="CO55" s="65" t="s">
        <v>1953</v>
      </c>
      <c r="CP55" s="65" t="s">
        <v>1953</v>
      </c>
      <c r="CQ55" s="65" t="s">
        <v>1953</v>
      </c>
      <c r="CR55" s="65" t="s">
        <v>1953</v>
      </c>
      <c r="CS55" s="65" t="s">
        <v>1953</v>
      </c>
      <c r="CT55" s="65" t="s">
        <v>1953</v>
      </c>
      <c r="CU55" s="65" t="s">
        <v>1953</v>
      </c>
      <c r="CV55" s="65" t="s">
        <v>1953</v>
      </c>
      <c r="CW55" s="65" t="s">
        <v>1953</v>
      </c>
      <c r="CX55" s="65" t="s">
        <v>1953</v>
      </c>
      <c r="CY55" s="65" t="s">
        <v>1953</v>
      </c>
      <c r="CZ55" s="65" t="s">
        <v>1953</v>
      </c>
      <c r="DA55" s="65" t="s">
        <v>1953</v>
      </c>
    </row>
    <row r="56" spans="1:105">
      <c r="A56" t="s">
        <v>4676</v>
      </c>
      <c r="B56" t="s">
        <v>7704</v>
      </c>
      <c r="D56" t="s">
        <v>348</v>
      </c>
      <c r="E56" t="s">
        <v>4676</v>
      </c>
      <c r="AV56" t="s">
        <v>825</v>
      </c>
      <c r="AW56" t="str">
        <f>IFERROR(HLOOKUP($AW$1,Table3[[#All],[India]:[Dominican Republic]],ROW(Table3[[#This Row],[Default]])-1,0),"True")</f>
        <v>False</v>
      </c>
      <c r="AX56" s="65" t="s">
        <v>1954</v>
      </c>
      <c r="AY56" s="65" t="s">
        <v>1954</v>
      </c>
      <c r="AZ56" s="65" t="s">
        <v>1954</v>
      </c>
      <c r="BA56" s="65" t="s">
        <v>1954</v>
      </c>
      <c r="BB56" s="65" t="s">
        <v>1954</v>
      </c>
      <c r="BC56" s="65" t="s">
        <v>1954</v>
      </c>
      <c r="BD56" s="65" t="s">
        <v>1954</v>
      </c>
      <c r="BE56" s="65" t="s">
        <v>1954</v>
      </c>
      <c r="BF56" s="65" t="s">
        <v>1954</v>
      </c>
      <c r="BG56" s="65" t="s">
        <v>1954</v>
      </c>
      <c r="BH56" s="65" t="s">
        <v>1954</v>
      </c>
      <c r="BI56" s="65" t="s">
        <v>1954</v>
      </c>
      <c r="BJ56" s="65" t="s">
        <v>1954</v>
      </c>
      <c r="BK56" s="65" t="s">
        <v>1954</v>
      </c>
      <c r="BL56" s="65" t="s">
        <v>1954</v>
      </c>
      <c r="BM56" s="65" t="s">
        <v>1954</v>
      </c>
      <c r="BN56" s="65" t="s">
        <v>1954</v>
      </c>
      <c r="BO56" s="65" t="s">
        <v>1954</v>
      </c>
      <c r="BP56" s="65" t="s">
        <v>1954</v>
      </c>
      <c r="BQ56" s="65" t="s">
        <v>1954</v>
      </c>
      <c r="BR56" s="65" t="s">
        <v>1954</v>
      </c>
      <c r="BS56" s="65" t="s">
        <v>1954</v>
      </c>
      <c r="BT56" s="65" t="s">
        <v>1954</v>
      </c>
      <c r="BU56" s="65" t="s">
        <v>1954</v>
      </c>
      <c r="BV56" s="65" t="s">
        <v>1954</v>
      </c>
      <c r="BW56" s="65" t="s">
        <v>1954</v>
      </c>
      <c r="BZ56" s="60" t="s">
        <v>2824</v>
      </c>
      <c r="CA56" t="str">
        <f>IFERROR(HLOOKUP($CA$1,Table4[[#All],[India]:[Dominican Republic]],ROW(Table4[[#This Row],[Default]])-1,0),"True")</f>
        <v>True</v>
      </c>
      <c r="CB56" s="65" t="s">
        <v>1953</v>
      </c>
      <c r="CC56" s="65" t="s">
        <v>1953</v>
      </c>
      <c r="CD56" s="65" t="s">
        <v>1953</v>
      </c>
      <c r="CE56" s="65" t="s">
        <v>1953</v>
      </c>
      <c r="CF56" s="65" t="s">
        <v>1953</v>
      </c>
      <c r="CG56" s="65" t="s">
        <v>1953</v>
      </c>
      <c r="CH56" s="65" t="s">
        <v>1953</v>
      </c>
      <c r="CI56" s="65" t="s">
        <v>1953</v>
      </c>
      <c r="CJ56" s="65" t="s">
        <v>1953</v>
      </c>
      <c r="CK56" s="65" t="s">
        <v>1953</v>
      </c>
      <c r="CL56" s="65" t="s">
        <v>1953</v>
      </c>
      <c r="CM56" s="65" t="s">
        <v>1953</v>
      </c>
      <c r="CN56" s="65" t="s">
        <v>1953</v>
      </c>
      <c r="CO56" s="65" t="s">
        <v>1953</v>
      </c>
      <c r="CP56" s="65" t="s">
        <v>1953</v>
      </c>
      <c r="CQ56" s="65" t="s">
        <v>1953</v>
      </c>
      <c r="CR56" s="65" t="s">
        <v>1953</v>
      </c>
      <c r="CS56" s="65" t="s">
        <v>1953</v>
      </c>
      <c r="CT56" s="65" t="s">
        <v>1953</v>
      </c>
      <c r="CU56" s="65" t="s">
        <v>1953</v>
      </c>
      <c r="CV56" s="65" t="s">
        <v>1953</v>
      </c>
      <c r="CW56" s="65" t="s">
        <v>1953</v>
      </c>
      <c r="CX56" s="65" t="s">
        <v>1953</v>
      </c>
      <c r="CY56" s="65" t="s">
        <v>1953</v>
      </c>
      <c r="CZ56" s="65" t="s">
        <v>1953</v>
      </c>
      <c r="DA56" s="65" t="s">
        <v>1953</v>
      </c>
    </row>
    <row r="57" spans="1:105">
      <c r="A57" t="s">
        <v>4848</v>
      </c>
      <c r="B57" t="s">
        <v>7705</v>
      </c>
      <c r="D57" t="s">
        <v>349</v>
      </c>
      <c r="E57" t="s">
        <v>4854</v>
      </c>
      <c r="AV57" t="s">
        <v>2600</v>
      </c>
      <c r="AW57" t="str">
        <f>IFERROR(HLOOKUP($AW$1,Table3[[#All],[India]:[Dominican Republic]],ROW(Table3[[#This Row],[Default]])-1,0),"True")</f>
        <v>True</v>
      </c>
      <c r="AX57" s="65" t="s">
        <v>1953</v>
      </c>
      <c r="AY57" s="65" t="s">
        <v>1953</v>
      </c>
      <c r="AZ57" s="65" t="s">
        <v>1953</v>
      </c>
      <c r="BA57" s="65" t="s">
        <v>1953</v>
      </c>
      <c r="BB57" s="65" t="s">
        <v>1953</v>
      </c>
      <c r="BC57" s="65" t="s">
        <v>1953</v>
      </c>
      <c r="BD57" s="65" t="s">
        <v>1953</v>
      </c>
      <c r="BE57" s="65" t="s">
        <v>1953</v>
      </c>
      <c r="BF57" s="65" t="s">
        <v>1953</v>
      </c>
      <c r="BG57" s="65" t="s">
        <v>1953</v>
      </c>
      <c r="BH57" s="65" t="s">
        <v>1953</v>
      </c>
      <c r="BI57" s="65" t="s">
        <v>1953</v>
      </c>
      <c r="BJ57" s="65" t="s">
        <v>1953</v>
      </c>
      <c r="BK57" s="65" t="s">
        <v>1953</v>
      </c>
      <c r="BL57" s="65" t="s">
        <v>1953</v>
      </c>
      <c r="BM57" s="65" t="s">
        <v>1953</v>
      </c>
      <c r="BN57" s="65" t="s">
        <v>1953</v>
      </c>
      <c r="BO57" s="65" t="s">
        <v>1953</v>
      </c>
      <c r="BP57" s="65" t="s">
        <v>1953</v>
      </c>
      <c r="BQ57" s="65" t="s">
        <v>1953</v>
      </c>
      <c r="BR57" s="65" t="s">
        <v>1953</v>
      </c>
      <c r="BS57" s="65" t="s">
        <v>1953</v>
      </c>
      <c r="BT57" s="65" t="s">
        <v>1953</v>
      </c>
      <c r="BU57" s="65" t="s">
        <v>1953</v>
      </c>
      <c r="BV57" s="65" t="s">
        <v>1953</v>
      </c>
      <c r="BW57" s="65" t="s">
        <v>1953</v>
      </c>
      <c r="BZ57" s="60" t="s">
        <v>2825</v>
      </c>
      <c r="CA57" t="str">
        <f>IFERROR(HLOOKUP($CA$1,Table4[[#All],[India]:[Dominican Republic]],ROW(Table4[[#This Row],[Default]])-1,0),"True")</f>
        <v>True</v>
      </c>
      <c r="CB57" s="65" t="s">
        <v>1953</v>
      </c>
      <c r="CC57" s="65" t="s">
        <v>1953</v>
      </c>
      <c r="CD57" s="65" t="s">
        <v>1953</v>
      </c>
      <c r="CE57" s="65" t="s">
        <v>1953</v>
      </c>
      <c r="CF57" s="65" t="s">
        <v>1953</v>
      </c>
      <c r="CG57" s="65" t="s">
        <v>1953</v>
      </c>
      <c r="CH57" s="65" t="s">
        <v>1953</v>
      </c>
      <c r="CI57" s="65" t="s">
        <v>1953</v>
      </c>
      <c r="CJ57" s="65" t="s">
        <v>1953</v>
      </c>
      <c r="CK57" s="65" t="s">
        <v>1953</v>
      </c>
      <c r="CL57" s="65" t="s">
        <v>1953</v>
      </c>
      <c r="CM57" s="65" t="s">
        <v>1953</v>
      </c>
      <c r="CN57" s="65" t="s">
        <v>1953</v>
      </c>
      <c r="CO57" s="65" t="s">
        <v>1953</v>
      </c>
      <c r="CP57" s="65" t="s">
        <v>1953</v>
      </c>
      <c r="CQ57" s="65" t="s">
        <v>1953</v>
      </c>
      <c r="CR57" s="65" t="s">
        <v>1953</v>
      </c>
      <c r="CS57" s="65" t="s">
        <v>1953</v>
      </c>
      <c r="CT57" s="65" t="s">
        <v>1953</v>
      </c>
      <c r="CU57" s="65" t="s">
        <v>1953</v>
      </c>
      <c r="CV57" s="65" t="s">
        <v>1953</v>
      </c>
      <c r="CW57" s="65" t="s">
        <v>1953</v>
      </c>
      <c r="CX57" s="65" t="s">
        <v>1953</v>
      </c>
      <c r="CY57" s="65" t="s">
        <v>1953</v>
      </c>
      <c r="CZ57" s="65" t="s">
        <v>1953</v>
      </c>
      <c r="DA57" s="65" t="s">
        <v>1953</v>
      </c>
    </row>
    <row r="58" spans="1:105">
      <c r="A58" t="s">
        <v>4839</v>
      </c>
      <c r="B58" t="s">
        <v>7706</v>
      </c>
      <c r="D58" t="s">
        <v>353</v>
      </c>
      <c r="E58" t="s">
        <v>4848</v>
      </c>
      <c r="AV58" t="s">
        <v>784</v>
      </c>
      <c r="AW58" t="str">
        <f>IFERROR(HLOOKUP($AW$1,Table3[[#All],[India]:[Dominican Republic]],ROW(Table3[[#This Row],[Default]])-1,0),"True")</f>
        <v>True</v>
      </c>
      <c r="AX58" s="65" t="s">
        <v>1953</v>
      </c>
      <c r="AY58" s="65" t="s">
        <v>1953</v>
      </c>
      <c r="AZ58" s="65" t="s">
        <v>1953</v>
      </c>
      <c r="BA58" s="65" t="s">
        <v>1953</v>
      </c>
      <c r="BB58" s="65" t="s">
        <v>1953</v>
      </c>
      <c r="BC58" s="65" t="s">
        <v>1953</v>
      </c>
      <c r="BD58" s="65" t="s">
        <v>1953</v>
      </c>
      <c r="BE58" s="65" t="s">
        <v>1953</v>
      </c>
      <c r="BF58" s="65" t="s">
        <v>1953</v>
      </c>
      <c r="BG58" s="65" t="s">
        <v>1953</v>
      </c>
      <c r="BH58" s="65" t="s">
        <v>1953</v>
      </c>
      <c r="BI58" s="65" t="s">
        <v>1953</v>
      </c>
      <c r="BJ58" s="65" t="s">
        <v>1953</v>
      </c>
      <c r="BK58" s="65" t="s">
        <v>1954</v>
      </c>
      <c r="BL58" s="65" t="s">
        <v>1954</v>
      </c>
      <c r="BM58" s="65" t="s">
        <v>1953</v>
      </c>
      <c r="BN58" s="65" t="s">
        <v>1954</v>
      </c>
      <c r="BO58" s="65" t="s">
        <v>1953</v>
      </c>
      <c r="BP58" s="65" t="s">
        <v>1953</v>
      </c>
      <c r="BQ58" s="65" t="s">
        <v>1954</v>
      </c>
      <c r="BR58" s="65" t="s">
        <v>1954</v>
      </c>
      <c r="BS58" s="65" t="s">
        <v>1953</v>
      </c>
      <c r="BT58" s="65" t="s">
        <v>1954</v>
      </c>
      <c r="BU58" s="65" t="s">
        <v>1954</v>
      </c>
      <c r="BV58" s="65" t="s">
        <v>1954</v>
      </c>
      <c r="BW58" s="65" t="s">
        <v>1953</v>
      </c>
      <c r="BZ58" s="60" t="s">
        <v>2827</v>
      </c>
      <c r="CA58" t="str">
        <f>IFERROR(HLOOKUP($CA$1,Table4[[#All],[India]:[Dominican Republic]],ROW(Table4[[#This Row],[Default]])-1,0),"True")</f>
        <v>True</v>
      </c>
      <c r="CB58" s="65" t="s">
        <v>1953</v>
      </c>
      <c r="CC58" s="65" t="s">
        <v>1953</v>
      </c>
      <c r="CD58" s="65" t="s">
        <v>1953</v>
      </c>
      <c r="CE58" s="65" t="s">
        <v>1953</v>
      </c>
      <c r="CF58" s="65" t="s">
        <v>1953</v>
      </c>
      <c r="CG58" s="65" t="s">
        <v>1953</v>
      </c>
      <c r="CH58" s="65" t="s">
        <v>1953</v>
      </c>
      <c r="CI58" s="65" t="s">
        <v>1953</v>
      </c>
      <c r="CJ58" s="65" t="s">
        <v>1953</v>
      </c>
      <c r="CK58" s="65" t="s">
        <v>1953</v>
      </c>
      <c r="CL58" s="65" t="s">
        <v>1953</v>
      </c>
      <c r="CM58" s="65" t="s">
        <v>1953</v>
      </c>
      <c r="CN58" s="65" t="s">
        <v>1953</v>
      </c>
      <c r="CO58" s="65" t="s">
        <v>1953</v>
      </c>
      <c r="CP58" s="65" t="s">
        <v>1953</v>
      </c>
      <c r="CQ58" s="65" t="s">
        <v>1953</v>
      </c>
      <c r="CR58" s="65" t="s">
        <v>1953</v>
      </c>
      <c r="CS58" s="65" t="s">
        <v>1953</v>
      </c>
      <c r="CT58" s="65" t="s">
        <v>1953</v>
      </c>
      <c r="CU58" s="65" t="s">
        <v>1953</v>
      </c>
      <c r="CV58" s="65" t="s">
        <v>1953</v>
      </c>
      <c r="CW58" s="65" t="s">
        <v>1953</v>
      </c>
      <c r="CX58" s="65" t="s">
        <v>1953</v>
      </c>
      <c r="CY58" s="65" t="s">
        <v>1953</v>
      </c>
      <c r="CZ58" s="65" t="s">
        <v>1953</v>
      </c>
      <c r="DA58" s="65" t="s">
        <v>1953</v>
      </c>
    </row>
    <row r="59" spans="1:105">
      <c r="A59" t="s">
        <v>4830</v>
      </c>
      <c r="B59" t="s">
        <v>7707</v>
      </c>
      <c r="D59" t="s">
        <v>99</v>
      </c>
      <c r="E59" t="s">
        <v>4839</v>
      </c>
      <c r="AV59" t="s">
        <v>2798</v>
      </c>
      <c r="AW59" t="str">
        <f>IFERROR(HLOOKUP($AW$1,Table3[[#All],[India]:[Dominican Republic]],ROW(Table3[[#This Row],[Default]])-1,0),"True")</f>
        <v>True</v>
      </c>
      <c r="AX59" s="65" t="s">
        <v>1953</v>
      </c>
      <c r="AY59" s="65" t="s">
        <v>1953</v>
      </c>
      <c r="AZ59" s="65" t="s">
        <v>1953</v>
      </c>
      <c r="BA59" s="65" t="s">
        <v>1953</v>
      </c>
      <c r="BB59" s="65" t="s">
        <v>1953</v>
      </c>
      <c r="BC59" s="65" t="s">
        <v>1953</v>
      </c>
      <c r="BD59" s="65" t="s">
        <v>1953</v>
      </c>
      <c r="BE59" s="65" t="s">
        <v>1953</v>
      </c>
      <c r="BF59" s="65" t="s">
        <v>1953</v>
      </c>
      <c r="BG59" s="65" t="s">
        <v>1953</v>
      </c>
      <c r="BH59" s="65" t="s">
        <v>1953</v>
      </c>
      <c r="BI59" s="65" t="s">
        <v>1953</v>
      </c>
      <c r="BJ59" s="65" t="s">
        <v>1953</v>
      </c>
      <c r="BK59" s="65" t="s">
        <v>1953</v>
      </c>
      <c r="BL59" s="65" t="s">
        <v>1953</v>
      </c>
      <c r="BM59" s="65" t="s">
        <v>1953</v>
      </c>
      <c r="BN59" s="65" t="s">
        <v>1953</v>
      </c>
      <c r="BO59" s="65" t="s">
        <v>1953</v>
      </c>
      <c r="BP59" s="65" t="s">
        <v>1953</v>
      </c>
      <c r="BQ59" s="65" t="s">
        <v>1953</v>
      </c>
      <c r="BR59" s="65" t="s">
        <v>1953</v>
      </c>
      <c r="BS59" s="65" t="s">
        <v>1953</v>
      </c>
      <c r="BT59" s="65" t="s">
        <v>1953</v>
      </c>
      <c r="BU59" s="65" t="s">
        <v>1953</v>
      </c>
      <c r="BV59" s="65" t="s">
        <v>1953</v>
      </c>
      <c r="BW59" s="65" t="s">
        <v>1953</v>
      </c>
      <c r="BZ59" s="60" t="s">
        <v>2757</v>
      </c>
      <c r="CA59" t="str">
        <f>IFERROR(HLOOKUP($CA$1,Table4[[#All],[India]:[Dominican Republic]],ROW(Table4[[#This Row],[Default]])-1,0),"True")</f>
        <v>True</v>
      </c>
      <c r="CB59" s="65" t="s">
        <v>1953</v>
      </c>
      <c r="CC59" s="65" t="s">
        <v>1953</v>
      </c>
      <c r="CD59" s="65" t="s">
        <v>1953</v>
      </c>
      <c r="CE59" s="65" t="s">
        <v>1953</v>
      </c>
      <c r="CF59" s="65" t="s">
        <v>1953</v>
      </c>
      <c r="CG59" s="65" t="s">
        <v>1953</v>
      </c>
      <c r="CH59" s="65" t="s">
        <v>1953</v>
      </c>
      <c r="CI59" s="65" t="s">
        <v>1953</v>
      </c>
      <c r="CJ59" s="65" t="s">
        <v>1953</v>
      </c>
      <c r="CK59" s="65" t="s">
        <v>1953</v>
      </c>
      <c r="CL59" s="65" t="s">
        <v>1953</v>
      </c>
      <c r="CM59" s="65" t="s">
        <v>1953</v>
      </c>
      <c r="CN59" s="65" t="s">
        <v>1953</v>
      </c>
      <c r="CO59" s="65" t="s">
        <v>1953</v>
      </c>
      <c r="CP59" s="65" t="s">
        <v>1953</v>
      </c>
      <c r="CQ59" s="65" t="s">
        <v>1953</v>
      </c>
      <c r="CR59" s="65" t="s">
        <v>1953</v>
      </c>
      <c r="CS59" s="65" t="s">
        <v>1953</v>
      </c>
      <c r="CT59" s="65" t="s">
        <v>1953</v>
      </c>
      <c r="CU59" s="65" t="s">
        <v>1953</v>
      </c>
      <c r="CV59" s="65" t="s">
        <v>1953</v>
      </c>
      <c r="CW59" s="65" t="s">
        <v>1953</v>
      </c>
      <c r="CX59" s="65" t="s">
        <v>1953</v>
      </c>
      <c r="CY59" s="65" t="s">
        <v>1953</v>
      </c>
      <c r="CZ59" s="65" t="s">
        <v>1953</v>
      </c>
      <c r="DA59" s="65" t="s">
        <v>1953</v>
      </c>
    </row>
    <row r="60" spans="1:105">
      <c r="A60" t="s">
        <v>4838</v>
      </c>
      <c r="B60" t="s">
        <v>7708</v>
      </c>
      <c r="D60" t="s">
        <v>356</v>
      </c>
      <c r="E60" t="s">
        <v>4838</v>
      </c>
      <c r="AV60" t="s">
        <v>2799</v>
      </c>
      <c r="AW60" t="str">
        <f>IFERROR(HLOOKUP($AW$1,Table3[[#All],[India]:[Dominican Republic]],ROW(Table3[[#This Row],[Default]])-1,0),"True")</f>
        <v>True</v>
      </c>
      <c r="AX60" s="65" t="s">
        <v>1953</v>
      </c>
      <c r="AY60" s="65" t="s">
        <v>1953</v>
      </c>
      <c r="AZ60" s="65" t="s">
        <v>1953</v>
      </c>
      <c r="BA60" s="65" t="s">
        <v>1953</v>
      </c>
      <c r="BB60" s="65" t="s">
        <v>1953</v>
      </c>
      <c r="BC60" s="65" t="s">
        <v>1953</v>
      </c>
      <c r="BD60" s="65" t="s">
        <v>1953</v>
      </c>
      <c r="BE60" s="65" t="s">
        <v>1953</v>
      </c>
      <c r="BF60" s="65" t="s">
        <v>1953</v>
      </c>
      <c r="BG60" s="65" t="s">
        <v>1953</v>
      </c>
      <c r="BH60" s="65" t="s">
        <v>1953</v>
      </c>
      <c r="BI60" s="65" t="s">
        <v>1953</v>
      </c>
      <c r="BJ60" s="65" t="s">
        <v>1953</v>
      </c>
      <c r="BK60" s="65" t="s">
        <v>1953</v>
      </c>
      <c r="BL60" s="65" t="s">
        <v>1953</v>
      </c>
      <c r="BM60" s="65" t="s">
        <v>1953</v>
      </c>
      <c r="BN60" s="65" t="s">
        <v>1953</v>
      </c>
      <c r="BO60" s="65" t="s">
        <v>1953</v>
      </c>
      <c r="BP60" s="65" t="s">
        <v>1953</v>
      </c>
      <c r="BQ60" s="65" t="s">
        <v>1953</v>
      </c>
      <c r="BR60" s="65" t="s">
        <v>1953</v>
      </c>
      <c r="BS60" s="65" t="s">
        <v>1953</v>
      </c>
      <c r="BT60" s="65" t="s">
        <v>1953</v>
      </c>
      <c r="BU60" s="65" t="s">
        <v>1953</v>
      </c>
      <c r="BV60" s="65" t="s">
        <v>1953</v>
      </c>
      <c r="BW60" s="65" t="s">
        <v>1953</v>
      </c>
      <c r="BZ60" s="60" t="s">
        <v>2828</v>
      </c>
      <c r="CA60" t="str">
        <f>IFERROR(HLOOKUP($CA$1,Table4[[#All],[India]:[Dominican Republic]],ROW(Table4[[#This Row],[Default]])-1,0),"True")</f>
        <v>True</v>
      </c>
      <c r="CB60" s="65" t="s">
        <v>1953</v>
      </c>
      <c r="CC60" s="65" t="s">
        <v>1953</v>
      </c>
      <c r="CD60" s="65" t="s">
        <v>1953</v>
      </c>
      <c r="CE60" s="65" t="s">
        <v>1953</v>
      </c>
      <c r="CF60" s="65" t="s">
        <v>1953</v>
      </c>
      <c r="CG60" s="65" t="s">
        <v>1953</v>
      </c>
      <c r="CH60" s="65" t="s">
        <v>1953</v>
      </c>
      <c r="CI60" s="65" t="s">
        <v>1953</v>
      </c>
      <c r="CJ60" s="65" t="s">
        <v>1953</v>
      </c>
      <c r="CK60" s="65" t="s">
        <v>1953</v>
      </c>
      <c r="CL60" s="65" t="s">
        <v>1953</v>
      </c>
      <c r="CM60" s="65" t="s">
        <v>1953</v>
      </c>
      <c r="CN60" s="65" t="s">
        <v>1953</v>
      </c>
      <c r="CO60" s="65" t="s">
        <v>1953</v>
      </c>
      <c r="CP60" s="65" t="s">
        <v>1953</v>
      </c>
      <c r="CQ60" s="65" t="s">
        <v>1953</v>
      </c>
      <c r="CR60" s="65" t="s">
        <v>1953</v>
      </c>
      <c r="CS60" s="65" t="s">
        <v>1953</v>
      </c>
      <c r="CT60" s="65" t="s">
        <v>1953</v>
      </c>
      <c r="CU60" s="65" t="s">
        <v>1953</v>
      </c>
      <c r="CV60" s="65" t="s">
        <v>1953</v>
      </c>
      <c r="CW60" s="65" t="s">
        <v>1953</v>
      </c>
      <c r="CX60" s="65" t="s">
        <v>1953</v>
      </c>
      <c r="CY60" s="65" t="s">
        <v>1953</v>
      </c>
      <c r="CZ60" s="65" t="s">
        <v>1953</v>
      </c>
      <c r="DA60" s="65" t="s">
        <v>1953</v>
      </c>
    </row>
    <row r="61" spans="1:105">
      <c r="A61" t="s">
        <v>4845</v>
      </c>
      <c r="B61" t="s">
        <v>7709</v>
      </c>
      <c r="D61" t="s">
        <v>357</v>
      </c>
      <c r="E61" t="s">
        <v>4830</v>
      </c>
      <c r="AV61" t="s">
        <v>2781</v>
      </c>
      <c r="AW61" t="str">
        <f>IFERROR(HLOOKUP($AW$1,Table3[[#All],[India]:[Dominican Republic]],ROW(Table3[[#This Row],[Default]])-1,0),"True")</f>
        <v>True</v>
      </c>
      <c r="AX61" s="65" t="s">
        <v>1953</v>
      </c>
      <c r="AY61" s="65" t="s">
        <v>1953</v>
      </c>
      <c r="AZ61" s="65" t="s">
        <v>1953</v>
      </c>
      <c r="BA61" s="65" t="s">
        <v>1953</v>
      </c>
      <c r="BB61" s="65" t="s">
        <v>1953</v>
      </c>
      <c r="BC61" s="65" t="s">
        <v>1953</v>
      </c>
      <c r="BD61" s="65" t="s">
        <v>1953</v>
      </c>
      <c r="BE61" s="65" t="s">
        <v>1953</v>
      </c>
      <c r="BF61" s="65" t="s">
        <v>1953</v>
      </c>
      <c r="BG61" s="65" t="s">
        <v>1953</v>
      </c>
      <c r="BH61" s="65" t="s">
        <v>1953</v>
      </c>
      <c r="BI61" s="65" t="s">
        <v>1953</v>
      </c>
      <c r="BJ61" s="65" t="s">
        <v>1953</v>
      </c>
      <c r="BK61" s="65" t="s">
        <v>1953</v>
      </c>
      <c r="BL61" s="65" t="s">
        <v>1953</v>
      </c>
      <c r="BM61" s="65" t="s">
        <v>1953</v>
      </c>
      <c r="BN61" s="65" t="s">
        <v>1953</v>
      </c>
      <c r="BO61" s="65" t="s">
        <v>1953</v>
      </c>
      <c r="BP61" s="65" t="s">
        <v>1953</v>
      </c>
      <c r="BQ61" s="65" t="s">
        <v>1953</v>
      </c>
      <c r="BR61" s="65" t="s">
        <v>1953</v>
      </c>
      <c r="BS61" s="65" t="s">
        <v>1953</v>
      </c>
      <c r="BT61" s="65" t="s">
        <v>1953</v>
      </c>
      <c r="BU61" s="65" t="s">
        <v>1953</v>
      </c>
      <c r="BV61" s="65" t="s">
        <v>1953</v>
      </c>
      <c r="BW61" s="65" t="s">
        <v>1953</v>
      </c>
      <c r="BZ61" s="60" t="s">
        <v>2829</v>
      </c>
      <c r="CA61" t="str">
        <f>IFERROR(HLOOKUP($CA$1,Table4[[#All],[India]:[Dominican Republic]],ROW(Table4[[#This Row],[Default]])-1,0),"True")</f>
        <v>True</v>
      </c>
      <c r="CB61" s="65" t="s">
        <v>1953</v>
      </c>
      <c r="CC61" s="65" t="s">
        <v>1953</v>
      </c>
      <c r="CD61" s="65" t="s">
        <v>1953</v>
      </c>
      <c r="CE61" s="65" t="s">
        <v>1953</v>
      </c>
      <c r="CF61" s="65" t="s">
        <v>1953</v>
      </c>
      <c r="CG61" s="65" t="s">
        <v>1953</v>
      </c>
      <c r="CH61" s="65" t="s">
        <v>1953</v>
      </c>
      <c r="CI61" s="65" t="s">
        <v>1953</v>
      </c>
      <c r="CJ61" s="65" t="s">
        <v>1953</v>
      </c>
      <c r="CK61" s="65" t="s">
        <v>1953</v>
      </c>
      <c r="CL61" s="65" t="s">
        <v>1953</v>
      </c>
      <c r="CM61" s="65" t="s">
        <v>1953</v>
      </c>
      <c r="CN61" s="65" t="s">
        <v>1953</v>
      </c>
      <c r="CO61" s="65" t="s">
        <v>1953</v>
      </c>
      <c r="CP61" s="65" t="s">
        <v>1953</v>
      </c>
      <c r="CQ61" s="65" t="s">
        <v>1953</v>
      </c>
      <c r="CR61" s="65" t="s">
        <v>1953</v>
      </c>
      <c r="CS61" s="65" t="s">
        <v>1953</v>
      </c>
      <c r="CT61" s="65" t="s">
        <v>1953</v>
      </c>
      <c r="CU61" s="65" t="s">
        <v>1953</v>
      </c>
      <c r="CV61" s="65" t="s">
        <v>1953</v>
      </c>
      <c r="CW61" s="65" t="s">
        <v>1953</v>
      </c>
      <c r="CX61" s="65" t="s">
        <v>1953</v>
      </c>
      <c r="CY61" s="65" t="s">
        <v>1953</v>
      </c>
      <c r="CZ61" s="65" t="s">
        <v>1953</v>
      </c>
      <c r="DA61" s="65" t="s">
        <v>1953</v>
      </c>
    </row>
    <row r="62" spans="1:105">
      <c r="A62" t="s">
        <v>4851</v>
      </c>
      <c r="B62" t="s">
        <v>7710</v>
      </c>
      <c r="D62" t="s">
        <v>134</v>
      </c>
      <c r="E62" t="s">
        <v>4845</v>
      </c>
      <c r="AV62" t="s">
        <v>2782</v>
      </c>
      <c r="AW62" t="str">
        <f>IFERROR(HLOOKUP($AW$1,Table3[[#All],[India]:[Dominican Republic]],ROW(Table3[[#This Row],[Default]])-1,0),"True")</f>
        <v>True</v>
      </c>
      <c r="AX62" s="65" t="s">
        <v>1953</v>
      </c>
      <c r="AY62" s="65" t="s">
        <v>1953</v>
      </c>
      <c r="AZ62" s="65" t="s">
        <v>1953</v>
      </c>
      <c r="BA62" s="65" t="s">
        <v>1953</v>
      </c>
      <c r="BB62" s="65" t="s">
        <v>1953</v>
      </c>
      <c r="BC62" s="65" t="s">
        <v>1953</v>
      </c>
      <c r="BD62" s="65" t="s">
        <v>1953</v>
      </c>
      <c r="BE62" s="65" t="s">
        <v>1953</v>
      </c>
      <c r="BF62" s="65" t="s">
        <v>1953</v>
      </c>
      <c r="BG62" s="65" t="s">
        <v>1953</v>
      </c>
      <c r="BH62" s="65" t="s">
        <v>1953</v>
      </c>
      <c r="BI62" s="65" t="s">
        <v>1953</v>
      </c>
      <c r="BJ62" s="65" t="s">
        <v>1953</v>
      </c>
      <c r="BK62" s="65" t="s">
        <v>1953</v>
      </c>
      <c r="BL62" s="65" t="s">
        <v>1953</v>
      </c>
      <c r="BM62" s="65" t="s">
        <v>1953</v>
      </c>
      <c r="BN62" s="65" t="s">
        <v>1953</v>
      </c>
      <c r="BO62" s="65" t="s">
        <v>1953</v>
      </c>
      <c r="BP62" s="65" t="s">
        <v>1953</v>
      </c>
      <c r="BQ62" s="65" t="s">
        <v>1953</v>
      </c>
      <c r="BR62" s="65" t="s">
        <v>1953</v>
      </c>
      <c r="BS62" s="65" t="s">
        <v>1953</v>
      </c>
      <c r="BT62" s="65" t="s">
        <v>1953</v>
      </c>
      <c r="BU62" s="65" t="s">
        <v>1953</v>
      </c>
      <c r="BV62" s="65" t="s">
        <v>1953</v>
      </c>
      <c r="BW62" s="65" t="s">
        <v>1953</v>
      </c>
      <c r="BZ62" s="60" t="s">
        <v>2837</v>
      </c>
      <c r="CA62" t="str">
        <f>IFERROR(HLOOKUP($CA$1,Table4[[#All],[India]:[Dominican Republic]],ROW(Table4[[#This Row],[Default]])-1,0),"True")</f>
        <v>True</v>
      </c>
      <c r="CB62" s="65" t="s">
        <v>1953</v>
      </c>
      <c r="CC62" s="65" t="s">
        <v>1953</v>
      </c>
      <c r="CD62" s="65" t="s">
        <v>1953</v>
      </c>
      <c r="CE62" s="65" t="s">
        <v>1953</v>
      </c>
      <c r="CF62" s="65" t="s">
        <v>1953</v>
      </c>
      <c r="CG62" s="65" t="s">
        <v>1953</v>
      </c>
      <c r="CH62" s="65" t="s">
        <v>1953</v>
      </c>
      <c r="CI62" s="65" t="s">
        <v>1953</v>
      </c>
      <c r="CJ62" s="65" t="s">
        <v>1953</v>
      </c>
      <c r="CK62" s="65" t="s">
        <v>1953</v>
      </c>
      <c r="CL62" s="65" t="s">
        <v>1953</v>
      </c>
      <c r="CM62" s="65" t="s">
        <v>1953</v>
      </c>
      <c r="CN62" s="65" t="s">
        <v>1953</v>
      </c>
      <c r="CO62" s="65" t="s">
        <v>1953</v>
      </c>
      <c r="CP62" s="65" t="s">
        <v>1953</v>
      </c>
      <c r="CQ62" s="65" t="s">
        <v>1953</v>
      </c>
      <c r="CR62" s="65" t="s">
        <v>1953</v>
      </c>
      <c r="CS62" s="65" t="s">
        <v>1953</v>
      </c>
      <c r="CT62" s="65" t="s">
        <v>1953</v>
      </c>
      <c r="CU62" s="65" t="s">
        <v>1953</v>
      </c>
      <c r="CV62" s="65" t="s">
        <v>1953</v>
      </c>
      <c r="CW62" s="65" t="s">
        <v>1953</v>
      </c>
      <c r="CX62" s="65" t="s">
        <v>1953</v>
      </c>
      <c r="CY62" s="65" t="s">
        <v>1953</v>
      </c>
      <c r="CZ62" s="65" t="s">
        <v>1953</v>
      </c>
      <c r="DA62" s="65" t="s">
        <v>1953</v>
      </c>
    </row>
    <row r="63" spans="1:105">
      <c r="A63" t="s">
        <v>4833</v>
      </c>
      <c r="B63" t="s">
        <v>7711</v>
      </c>
      <c r="D63" t="s">
        <v>141</v>
      </c>
      <c r="E63" t="s">
        <v>4851</v>
      </c>
      <c r="AV63" t="s">
        <v>2783</v>
      </c>
      <c r="AW63" t="str">
        <f>IFERROR(HLOOKUP($AW$1,Table3[[#All],[India]:[Dominican Republic]],ROW(Table3[[#This Row],[Default]])-1,0),"True")</f>
        <v>True</v>
      </c>
      <c r="AX63" s="65" t="s">
        <v>1953</v>
      </c>
      <c r="AY63" s="65" t="s">
        <v>1953</v>
      </c>
      <c r="AZ63" s="65" t="s">
        <v>1953</v>
      </c>
      <c r="BA63" s="65" t="s">
        <v>1953</v>
      </c>
      <c r="BB63" s="65" t="s">
        <v>1953</v>
      </c>
      <c r="BC63" s="65" t="s">
        <v>1953</v>
      </c>
      <c r="BD63" s="65" t="s">
        <v>1953</v>
      </c>
      <c r="BE63" s="65" t="s">
        <v>1953</v>
      </c>
      <c r="BF63" s="65" t="s">
        <v>1953</v>
      </c>
      <c r="BG63" s="65" t="s">
        <v>1953</v>
      </c>
      <c r="BH63" s="65" t="s">
        <v>1953</v>
      </c>
      <c r="BI63" s="65" t="s">
        <v>1953</v>
      </c>
      <c r="BJ63" s="65" t="s">
        <v>1953</v>
      </c>
      <c r="BK63" s="65" t="s">
        <v>1953</v>
      </c>
      <c r="BL63" s="65" t="s">
        <v>1953</v>
      </c>
      <c r="BM63" s="65" t="s">
        <v>1953</v>
      </c>
      <c r="BN63" s="65" t="s">
        <v>1953</v>
      </c>
      <c r="BO63" s="65" t="s">
        <v>1953</v>
      </c>
      <c r="BP63" s="65" t="s">
        <v>1953</v>
      </c>
      <c r="BQ63" s="65" t="s">
        <v>1953</v>
      </c>
      <c r="BR63" s="65" t="s">
        <v>1953</v>
      </c>
      <c r="BS63" s="65" t="s">
        <v>1953</v>
      </c>
      <c r="BT63" s="65" t="s">
        <v>1953</v>
      </c>
      <c r="BU63" s="65" t="s">
        <v>1953</v>
      </c>
      <c r="BV63" s="65" t="s">
        <v>1953</v>
      </c>
      <c r="BW63" s="65" t="s">
        <v>1953</v>
      </c>
      <c r="BZ63" s="60" t="s">
        <v>2830</v>
      </c>
      <c r="CA63" t="str">
        <f>IFERROR(HLOOKUP($CA$1,Table4[[#All],[India]:[Dominican Republic]],ROW(Table4[[#This Row],[Default]])-1,0),"True")</f>
        <v>True</v>
      </c>
      <c r="CB63" s="65" t="s">
        <v>1953</v>
      </c>
      <c r="CC63" s="65" t="s">
        <v>1953</v>
      </c>
      <c r="CD63" s="65" t="s">
        <v>1953</v>
      </c>
      <c r="CE63" s="65" t="s">
        <v>1953</v>
      </c>
      <c r="CF63" s="65" t="s">
        <v>1953</v>
      </c>
      <c r="CG63" s="65" t="s">
        <v>1953</v>
      </c>
      <c r="CH63" s="65" t="s">
        <v>1953</v>
      </c>
      <c r="CI63" s="65" t="s">
        <v>1953</v>
      </c>
      <c r="CJ63" s="65" t="s">
        <v>1953</v>
      </c>
      <c r="CK63" s="65" t="s">
        <v>1953</v>
      </c>
      <c r="CL63" s="65" t="s">
        <v>1953</v>
      </c>
      <c r="CM63" s="65" t="s">
        <v>1953</v>
      </c>
      <c r="CN63" s="65" t="s">
        <v>1953</v>
      </c>
      <c r="CO63" s="65" t="s">
        <v>1953</v>
      </c>
      <c r="CP63" s="65" t="s">
        <v>1953</v>
      </c>
      <c r="CQ63" s="65" t="s">
        <v>1953</v>
      </c>
      <c r="CR63" s="65" t="s">
        <v>1953</v>
      </c>
      <c r="CS63" s="65" t="s">
        <v>1953</v>
      </c>
      <c r="CT63" s="65" t="s">
        <v>1953</v>
      </c>
      <c r="CU63" s="65" t="s">
        <v>1953</v>
      </c>
      <c r="CV63" s="65" t="s">
        <v>1953</v>
      </c>
      <c r="CW63" s="65" t="s">
        <v>1953</v>
      </c>
      <c r="CX63" s="65" t="s">
        <v>1953</v>
      </c>
      <c r="CY63" s="65" t="s">
        <v>1953</v>
      </c>
      <c r="CZ63" s="65" t="s">
        <v>1953</v>
      </c>
      <c r="DA63" s="65" t="s">
        <v>1953</v>
      </c>
    </row>
    <row r="64" spans="1:105">
      <c r="A64" t="s">
        <v>4849</v>
      </c>
      <c r="B64" t="s">
        <v>7712</v>
      </c>
      <c r="D64" t="s">
        <v>147</v>
      </c>
      <c r="E64" t="s">
        <v>4833</v>
      </c>
      <c r="AV64" t="s">
        <v>2970</v>
      </c>
      <c r="AW64" t="str">
        <f>IFERROR(HLOOKUP($AW$1,Table3[[#All],[India]:[Dominican Republic]],ROW(Table3[[#This Row],[Default]])-1,0),"True")</f>
        <v>True</v>
      </c>
      <c r="AX64" s="65" t="s">
        <v>1953</v>
      </c>
      <c r="AY64" s="65" t="s">
        <v>1953</v>
      </c>
      <c r="AZ64" s="65" t="s">
        <v>1953</v>
      </c>
      <c r="BA64" s="65" t="s">
        <v>1953</v>
      </c>
      <c r="BB64" s="65" t="s">
        <v>1953</v>
      </c>
      <c r="BC64" s="65" t="s">
        <v>1953</v>
      </c>
      <c r="BD64" s="65" t="s">
        <v>1953</v>
      </c>
      <c r="BE64" s="65" t="s">
        <v>1953</v>
      </c>
      <c r="BF64" s="65" t="s">
        <v>1953</v>
      </c>
      <c r="BG64" s="65" t="s">
        <v>1953</v>
      </c>
      <c r="BH64" s="65" t="s">
        <v>1953</v>
      </c>
      <c r="BI64" s="65" t="s">
        <v>1953</v>
      </c>
      <c r="BJ64" s="65" t="s">
        <v>1953</v>
      </c>
      <c r="BK64" s="65" t="s">
        <v>1953</v>
      </c>
      <c r="BL64" s="65" t="s">
        <v>1953</v>
      </c>
      <c r="BM64" s="65" t="s">
        <v>1953</v>
      </c>
      <c r="BN64" s="65" t="s">
        <v>1953</v>
      </c>
      <c r="BO64" s="65" t="s">
        <v>1953</v>
      </c>
      <c r="BP64" s="65" t="s">
        <v>1953</v>
      </c>
      <c r="BQ64" s="65" t="s">
        <v>1953</v>
      </c>
      <c r="BR64" s="65" t="s">
        <v>1953</v>
      </c>
      <c r="BS64" s="65" t="s">
        <v>1953</v>
      </c>
      <c r="BT64" s="65" t="s">
        <v>1953</v>
      </c>
      <c r="BU64" s="65" t="s">
        <v>1953</v>
      </c>
      <c r="BV64" s="65" t="s">
        <v>1953</v>
      </c>
      <c r="BW64" s="65" t="s">
        <v>1953</v>
      </c>
      <c r="BZ64" s="60" t="s">
        <v>2838</v>
      </c>
      <c r="CA64" t="str">
        <f>IFERROR(HLOOKUP($CA$1,Table4[[#All],[India]:[Dominican Republic]],ROW(Table4[[#This Row],[Default]])-1,0),"True")</f>
        <v>True</v>
      </c>
      <c r="CB64" s="65" t="s">
        <v>1953</v>
      </c>
      <c r="CC64" s="65" t="s">
        <v>1953</v>
      </c>
      <c r="CD64" s="65" t="s">
        <v>1953</v>
      </c>
      <c r="CE64" s="65" t="s">
        <v>1953</v>
      </c>
      <c r="CF64" s="65" t="s">
        <v>1953</v>
      </c>
      <c r="CG64" s="65" t="s">
        <v>1953</v>
      </c>
      <c r="CH64" s="65" t="s">
        <v>1953</v>
      </c>
      <c r="CI64" s="65" t="s">
        <v>1953</v>
      </c>
      <c r="CJ64" s="65" t="s">
        <v>1953</v>
      </c>
      <c r="CK64" s="65" t="s">
        <v>1953</v>
      </c>
      <c r="CL64" s="65" t="s">
        <v>1953</v>
      </c>
      <c r="CM64" s="65" t="s">
        <v>1953</v>
      </c>
      <c r="CN64" s="65" t="s">
        <v>1953</v>
      </c>
      <c r="CO64" s="65" t="s">
        <v>1953</v>
      </c>
      <c r="CP64" s="65" t="s">
        <v>1953</v>
      </c>
      <c r="CQ64" s="65" t="s">
        <v>1953</v>
      </c>
      <c r="CR64" s="65" t="s">
        <v>1953</v>
      </c>
      <c r="CS64" s="65" t="s">
        <v>1953</v>
      </c>
      <c r="CT64" s="65" t="s">
        <v>1953</v>
      </c>
      <c r="CU64" s="65" t="s">
        <v>1953</v>
      </c>
      <c r="CV64" s="65" t="s">
        <v>1953</v>
      </c>
      <c r="CW64" s="65" t="s">
        <v>1953</v>
      </c>
      <c r="CX64" s="65" t="s">
        <v>1953</v>
      </c>
      <c r="CY64" s="65" t="s">
        <v>1953</v>
      </c>
      <c r="CZ64" s="65" t="s">
        <v>1953</v>
      </c>
      <c r="DA64" s="65" t="s">
        <v>1953</v>
      </c>
    </row>
    <row r="65" spans="1:105">
      <c r="A65" t="s">
        <v>4840</v>
      </c>
      <c r="B65" t="s">
        <v>7713</v>
      </c>
      <c r="D65" t="s">
        <v>361</v>
      </c>
      <c r="E65" t="s">
        <v>4849</v>
      </c>
      <c r="AV65" t="s">
        <v>2971</v>
      </c>
      <c r="AW65" t="str">
        <f>IFERROR(HLOOKUP($AW$1,Table3[[#All],[India]:[Dominican Republic]],ROW(Table3[[#This Row],[Default]])-1,0),"True")</f>
        <v>True</v>
      </c>
      <c r="AX65" s="65" t="s">
        <v>1953</v>
      </c>
      <c r="AY65" s="65" t="s">
        <v>1953</v>
      </c>
      <c r="AZ65" s="65" t="s">
        <v>1953</v>
      </c>
      <c r="BA65" s="65" t="s">
        <v>1953</v>
      </c>
      <c r="BB65" s="65" t="s">
        <v>1953</v>
      </c>
      <c r="BC65" s="65" t="s">
        <v>1953</v>
      </c>
      <c r="BD65" s="65" t="s">
        <v>1953</v>
      </c>
      <c r="BE65" s="65" t="s">
        <v>1953</v>
      </c>
      <c r="BF65" s="65" t="s">
        <v>1953</v>
      </c>
      <c r="BG65" s="65" t="s">
        <v>1953</v>
      </c>
      <c r="BH65" s="65" t="s">
        <v>1953</v>
      </c>
      <c r="BI65" s="65" t="s">
        <v>1953</v>
      </c>
      <c r="BJ65" s="65" t="s">
        <v>1953</v>
      </c>
      <c r="BK65" s="65" t="s">
        <v>1953</v>
      </c>
      <c r="BL65" s="65" t="s">
        <v>1953</v>
      </c>
      <c r="BM65" s="65" t="s">
        <v>1953</v>
      </c>
      <c r="BN65" s="65" t="s">
        <v>1953</v>
      </c>
      <c r="BO65" s="65" t="s">
        <v>1953</v>
      </c>
      <c r="BP65" s="65" t="s">
        <v>1953</v>
      </c>
      <c r="BQ65" s="65" t="s">
        <v>1953</v>
      </c>
      <c r="BR65" s="65" t="s">
        <v>1953</v>
      </c>
      <c r="BS65" s="65" t="s">
        <v>1953</v>
      </c>
      <c r="BT65" s="65" t="s">
        <v>1953</v>
      </c>
      <c r="BU65" s="65" t="s">
        <v>1953</v>
      </c>
      <c r="BV65" s="65" t="s">
        <v>1953</v>
      </c>
      <c r="BW65" s="65" t="s">
        <v>1953</v>
      </c>
      <c r="BZ65" s="60" t="s">
        <v>2832</v>
      </c>
      <c r="CA65" t="str">
        <f>IFERROR(HLOOKUP($CA$1,Table4[[#All],[India]:[Dominican Republic]],ROW(Table4[[#This Row],[Default]])-1,0),"True")</f>
        <v>True</v>
      </c>
      <c r="CB65" s="65" t="s">
        <v>1953</v>
      </c>
      <c r="CC65" s="65" t="s">
        <v>1953</v>
      </c>
      <c r="CD65" s="65" t="s">
        <v>1953</v>
      </c>
      <c r="CE65" s="65" t="s">
        <v>1953</v>
      </c>
      <c r="CF65" s="65" t="s">
        <v>1953</v>
      </c>
      <c r="CG65" s="65" t="s">
        <v>1953</v>
      </c>
      <c r="CH65" s="65" t="s">
        <v>1953</v>
      </c>
      <c r="CI65" s="65" t="s">
        <v>1953</v>
      </c>
      <c r="CJ65" s="65" t="s">
        <v>1953</v>
      </c>
      <c r="CK65" s="65" t="s">
        <v>1953</v>
      </c>
      <c r="CL65" s="65" t="s">
        <v>1953</v>
      </c>
      <c r="CM65" s="65" t="s">
        <v>1953</v>
      </c>
      <c r="CN65" s="65" t="s">
        <v>1953</v>
      </c>
      <c r="CO65" s="65" t="s">
        <v>1953</v>
      </c>
      <c r="CP65" s="65" t="s">
        <v>1953</v>
      </c>
      <c r="CQ65" s="65" t="s">
        <v>1953</v>
      </c>
      <c r="CR65" s="65" t="s">
        <v>1953</v>
      </c>
      <c r="CS65" s="65" t="s">
        <v>1953</v>
      </c>
      <c r="CT65" s="65" t="s">
        <v>1953</v>
      </c>
      <c r="CU65" s="65" t="s">
        <v>1953</v>
      </c>
      <c r="CV65" s="65" t="s">
        <v>1953</v>
      </c>
      <c r="CW65" s="65" t="s">
        <v>1953</v>
      </c>
      <c r="CX65" s="65" t="s">
        <v>1953</v>
      </c>
      <c r="CY65" s="65" t="s">
        <v>1953</v>
      </c>
      <c r="CZ65" s="65" t="s">
        <v>1953</v>
      </c>
      <c r="DA65" s="65" t="s">
        <v>1953</v>
      </c>
    </row>
    <row r="66" spans="1:105">
      <c r="A66" t="s">
        <v>4850</v>
      </c>
      <c r="B66" t="s">
        <v>7714</v>
      </c>
      <c r="D66" t="s">
        <v>365</v>
      </c>
      <c r="E66" t="s">
        <v>4840</v>
      </c>
      <c r="AV66" t="s">
        <v>2784</v>
      </c>
      <c r="AW66" t="str">
        <f>IFERROR(HLOOKUP($AW$1,Table3[[#All],[India]:[Dominican Republic]],ROW(Table3[[#This Row],[Default]])-1,0),"True")</f>
        <v>True</v>
      </c>
      <c r="AX66" s="65" t="s">
        <v>1953</v>
      </c>
      <c r="AY66" s="65" t="s">
        <v>1953</v>
      </c>
      <c r="AZ66" s="65" t="s">
        <v>1953</v>
      </c>
      <c r="BA66" s="65" t="s">
        <v>1953</v>
      </c>
      <c r="BB66" s="65" t="s">
        <v>1953</v>
      </c>
      <c r="BC66" s="65" t="s">
        <v>1953</v>
      </c>
      <c r="BD66" s="65" t="s">
        <v>1953</v>
      </c>
      <c r="BE66" s="65" t="s">
        <v>1953</v>
      </c>
      <c r="BF66" s="65" t="s">
        <v>1953</v>
      </c>
      <c r="BG66" s="65" t="s">
        <v>1953</v>
      </c>
      <c r="BH66" s="65" t="s">
        <v>1953</v>
      </c>
      <c r="BI66" s="65" t="s">
        <v>1953</v>
      </c>
      <c r="BJ66" s="65" t="s">
        <v>1953</v>
      </c>
      <c r="BK66" s="65" t="s">
        <v>1953</v>
      </c>
      <c r="BL66" s="65" t="s">
        <v>1953</v>
      </c>
      <c r="BM66" s="65" t="s">
        <v>1953</v>
      </c>
      <c r="BN66" s="65" t="s">
        <v>1953</v>
      </c>
      <c r="BO66" s="65" t="s">
        <v>1953</v>
      </c>
      <c r="BP66" s="65" t="s">
        <v>1953</v>
      </c>
      <c r="BQ66" s="65" t="s">
        <v>1953</v>
      </c>
      <c r="BR66" s="65" t="s">
        <v>1953</v>
      </c>
      <c r="BS66" s="65" t="s">
        <v>1953</v>
      </c>
      <c r="BT66" s="65" t="s">
        <v>1953</v>
      </c>
      <c r="BU66" s="65" t="s">
        <v>1953</v>
      </c>
      <c r="BV66" s="65" t="s">
        <v>1953</v>
      </c>
      <c r="BW66" s="65" t="s">
        <v>1953</v>
      </c>
      <c r="BZ66" s="60" t="s">
        <v>2833</v>
      </c>
      <c r="CA66" t="str">
        <f>IFERROR(HLOOKUP($CA$1,Table4[[#All],[India]:[Dominican Republic]],ROW(Table4[[#This Row],[Default]])-1,0),"True")</f>
        <v>True</v>
      </c>
      <c r="CB66" s="65" t="s">
        <v>1953</v>
      </c>
      <c r="CC66" s="65" t="s">
        <v>1953</v>
      </c>
      <c r="CD66" s="65" t="s">
        <v>1953</v>
      </c>
      <c r="CE66" s="65" t="s">
        <v>1953</v>
      </c>
      <c r="CF66" s="65" t="s">
        <v>1953</v>
      </c>
      <c r="CG66" s="65" t="s">
        <v>1953</v>
      </c>
      <c r="CH66" s="65" t="s">
        <v>1953</v>
      </c>
      <c r="CI66" s="65" t="s">
        <v>1953</v>
      </c>
      <c r="CJ66" s="65" t="s">
        <v>1953</v>
      </c>
      <c r="CK66" s="65" t="s">
        <v>1953</v>
      </c>
      <c r="CL66" s="65" t="s">
        <v>1953</v>
      </c>
      <c r="CM66" s="65" t="s">
        <v>1953</v>
      </c>
      <c r="CN66" s="65" t="s">
        <v>1953</v>
      </c>
      <c r="CO66" s="65" t="s">
        <v>1953</v>
      </c>
      <c r="CP66" s="65" t="s">
        <v>1953</v>
      </c>
      <c r="CQ66" s="65" t="s">
        <v>1953</v>
      </c>
      <c r="CR66" s="65" t="s">
        <v>1953</v>
      </c>
      <c r="CS66" s="65" t="s">
        <v>1953</v>
      </c>
      <c r="CT66" s="65" t="s">
        <v>1953</v>
      </c>
      <c r="CU66" s="65" t="s">
        <v>1953</v>
      </c>
      <c r="CV66" s="65" t="s">
        <v>1953</v>
      </c>
      <c r="CW66" s="65" t="s">
        <v>1953</v>
      </c>
      <c r="CX66" s="65" t="s">
        <v>1953</v>
      </c>
      <c r="CY66" s="65" t="s">
        <v>1953</v>
      </c>
      <c r="CZ66" s="65" t="s">
        <v>1953</v>
      </c>
      <c r="DA66" s="65" t="s">
        <v>1953</v>
      </c>
    </row>
    <row r="67" spans="1:105">
      <c r="A67" t="s">
        <v>4852</v>
      </c>
      <c r="B67" t="s">
        <v>7715</v>
      </c>
      <c r="D67" t="s">
        <v>371</v>
      </c>
      <c r="E67" t="s">
        <v>4850</v>
      </c>
      <c r="AV67" t="s">
        <v>2785</v>
      </c>
      <c r="AW67" t="str">
        <f>IFERROR(HLOOKUP($AW$1,Table3[[#All],[India]:[Dominican Republic]],ROW(Table3[[#This Row],[Default]])-1,0),"True")</f>
        <v>True</v>
      </c>
      <c r="AX67" s="65" t="s">
        <v>1953</v>
      </c>
      <c r="AY67" s="65" t="s">
        <v>1953</v>
      </c>
      <c r="AZ67" s="65" t="s">
        <v>1953</v>
      </c>
      <c r="BA67" s="65" t="s">
        <v>1953</v>
      </c>
      <c r="BB67" s="65" t="s">
        <v>1953</v>
      </c>
      <c r="BC67" s="65" t="s">
        <v>1953</v>
      </c>
      <c r="BD67" s="65" t="s">
        <v>1953</v>
      </c>
      <c r="BE67" s="65" t="s">
        <v>1953</v>
      </c>
      <c r="BF67" s="65" t="s">
        <v>1953</v>
      </c>
      <c r="BG67" s="65" t="s">
        <v>1953</v>
      </c>
      <c r="BH67" s="65" t="s">
        <v>1953</v>
      </c>
      <c r="BI67" s="65" t="s">
        <v>1953</v>
      </c>
      <c r="BJ67" s="65" t="s">
        <v>1953</v>
      </c>
      <c r="BK67" s="65" t="s">
        <v>1953</v>
      </c>
      <c r="BL67" s="65" t="s">
        <v>1953</v>
      </c>
      <c r="BM67" s="65" t="s">
        <v>1953</v>
      </c>
      <c r="BN67" s="65" t="s">
        <v>1953</v>
      </c>
      <c r="BO67" s="65" t="s">
        <v>1953</v>
      </c>
      <c r="BP67" s="65" t="s">
        <v>1953</v>
      </c>
      <c r="BQ67" s="65" t="s">
        <v>1953</v>
      </c>
      <c r="BR67" s="65" t="s">
        <v>1953</v>
      </c>
      <c r="BS67" s="65" t="s">
        <v>1953</v>
      </c>
      <c r="BT67" s="65" t="s">
        <v>1953</v>
      </c>
      <c r="BU67" s="65" t="s">
        <v>1953</v>
      </c>
      <c r="BV67" s="65" t="s">
        <v>1953</v>
      </c>
      <c r="BW67" s="65" t="s">
        <v>1953</v>
      </c>
      <c r="BZ67" s="60" t="s">
        <v>2834</v>
      </c>
      <c r="CA67" t="str">
        <f>IFERROR(HLOOKUP($CA$1,Table4[[#All],[India]:[Dominican Republic]],ROW(Table4[[#This Row],[Default]])-1,0),"True")</f>
        <v>True</v>
      </c>
      <c r="CB67" s="65" t="s">
        <v>1953</v>
      </c>
      <c r="CC67" s="65" t="s">
        <v>1953</v>
      </c>
      <c r="CD67" s="65" t="s">
        <v>1953</v>
      </c>
      <c r="CE67" s="65" t="s">
        <v>1953</v>
      </c>
      <c r="CF67" s="65" t="s">
        <v>1953</v>
      </c>
      <c r="CG67" s="65" t="s">
        <v>1953</v>
      </c>
      <c r="CH67" s="65" t="s">
        <v>1953</v>
      </c>
      <c r="CI67" s="65" t="s">
        <v>1953</v>
      </c>
      <c r="CJ67" s="65" t="s">
        <v>1953</v>
      </c>
      <c r="CK67" s="65" t="s">
        <v>1953</v>
      </c>
      <c r="CL67" s="65" t="s">
        <v>1953</v>
      </c>
      <c r="CM67" s="65" t="s">
        <v>1953</v>
      </c>
      <c r="CN67" s="65" t="s">
        <v>1953</v>
      </c>
      <c r="CO67" s="65" t="s">
        <v>1953</v>
      </c>
      <c r="CP67" s="65" t="s">
        <v>1953</v>
      </c>
      <c r="CQ67" s="65" t="s">
        <v>1953</v>
      </c>
      <c r="CR67" s="65" t="s">
        <v>1953</v>
      </c>
      <c r="CS67" s="65" t="s">
        <v>1953</v>
      </c>
      <c r="CT67" s="65" t="s">
        <v>1953</v>
      </c>
      <c r="CU67" s="65" t="s">
        <v>1953</v>
      </c>
      <c r="CV67" s="65" t="s">
        <v>1953</v>
      </c>
      <c r="CW67" s="65" t="s">
        <v>1953</v>
      </c>
      <c r="CX67" s="65" t="s">
        <v>1953</v>
      </c>
      <c r="CY67" s="65" t="s">
        <v>1953</v>
      </c>
      <c r="CZ67" s="65" t="s">
        <v>1953</v>
      </c>
      <c r="DA67" s="65" t="s">
        <v>1953</v>
      </c>
    </row>
    <row r="68" spans="1:105">
      <c r="A68" t="s">
        <v>4834</v>
      </c>
      <c r="B68" t="s">
        <v>7716</v>
      </c>
      <c r="D68" t="s">
        <v>200</v>
      </c>
      <c r="E68" t="s">
        <v>4834</v>
      </c>
      <c r="AV68" t="s">
        <v>2786</v>
      </c>
      <c r="AW68" t="str">
        <f>IFERROR(HLOOKUP($AW$1,Table3[[#All],[India]:[Dominican Republic]],ROW(Table3[[#This Row],[Default]])-1,0),"True")</f>
        <v>True</v>
      </c>
      <c r="AX68" s="65" t="s">
        <v>1953</v>
      </c>
      <c r="AY68" s="65" t="s">
        <v>1953</v>
      </c>
      <c r="AZ68" s="65" t="s">
        <v>1953</v>
      </c>
      <c r="BA68" s="65" t="s">
        <v>1953</v>
      </c>
      <c r="BB68" s="65" t="s">
        <v>1953</v>
      </c>
      <c r="BC68" s="65" t="s">
        <v>1953</v>
      </c>
      <c r="BD68" s="65" t="s">
        <v>1953</v>
      </c>
      <c r="BE68" s="65" t="s">
        <v>1953</v>
      </c>
      <c r="BF68" s="65" t="s">
        <v>1953</v>
      </c>
      <c r="BG68" s="65" t="s">
        <v>1953</v>
      </c>
      <c r="BH68" s="65" t="s">
        <v>1953</v>
      </c>
      <c r="BI68" s="65" t="s">
        <v>1953</v>
      </c>
      <c r="BJ68" s="65" t="s">
        <v>1953</v>
      </c>
      <c r="BK68" s="65" t="s">
        <v>1953</v>
      </c>
      <c r="BL68" s="65" t="s">
        <v>1953</v>
      </c>
      <c r="BM68" s="65" t="s">
        <v>1953</v>
      </c>
      <c r="BN68" s="65" t="s">
        <v>1953</v>
      </c>
      <c r="BO68" s="65" t="s">
        <v>1953</v>
      </c>
      <c r="BP68" s="65" t="s">
        <v>1953</v>
      </c>
      <c r="BQ68" s="65" t="s">
        <v>1953</v>
      </c>
      <c r="BR68" s="65" t="s">
        <v>1953</v>
      </c>
      <c r="BS68" s="65" t="s">
        <v>1953</v>
      </c>
      <c r="BT68" s="65" t="s">
        <v>1953</v>
      </c>
      <c r="BU68" s="65" t="s">
        <v>1953</v>
      </c>
      <c r="BV68" s="65" t="s">
        <v>1953</v>
      </c>
      <c r="BW68" s="65" t="s">
        <v>1953</v>
      </c>
      <c r="BZ68" s="60" t="s">
        <v>2835</v>
      </c>
      <c r="CA68" t="str">
        <f>IFERROR(HLOOKUP($CA$1,Table4[[#All],[India]:[Dominican Republic]],ROW(Table4[[#This Row],[Default]])-1,0),"True")</f>
        <v>True</v>
      </c>
      <c r="CB68" s="65" t="s">
        <v>1953</v>
      </c>
      <c r="CC68" s="65" t="s">
        <v>1953</v>
      </c>
      <c r="CD68" s="65" t="s">
        <v>1953</v>
      </c>
      <c r="CE68" s="65" t="s">
        <v>1953</v>
      </c>
      <c r="CF68" s="65" t="s">
        <v>1953</v>
      </c>
      <c r="CG68" s="65" t="s">
        <v>1953</v>
      </c>
      <c r="CH68" s="65" t="s">
        <v>1953</v>
      </c>
      <c r="CI68" s="65" t="s">
        <v>1953</v>
      </c>
      <c r="CJ68" s="65" t="s">
        <v>1953</v>
      </c>
      <c r="CK68" s="65" t="s">
        <v>1953</v>
      </c>
      <c r="CL68" s="65" t="s">
        <v>1953</v>
      </c>
      <c r="CM68" s="65" t="s">
        <v>1953</v>
      </c>
      <c r="CN68" s="65" t="s">
        <v>1953</v>
      </c>
      <c r="CO68" s="65" t="s">
        <v>1953</v>
      </c>
      <c r="CP68" s="65" t="s">
        <v>1953</v>
      </c>
      <c r="CQ68" s="65" t="s">
        <v>1953</v>
      </c>
      <c r="CR68" s="65" t="s">
        <v>1953</v>
      </c>
      <c r="CS68" s="65" t="s">
        <v>1953</v>
      </c>
      <c r="CT68" s="65" t="s">
        <v>1953</v>
      </c>
      <c r="CU68" s="65" t="s">
        <v>1953</v>
      </c>
      <c r="CV68" s="65" t="s">
        <v>1953</v>
      </c>
      <c r="CW68" s="65" t="s">
        <v>1953</v>
      </c>
      <c r="CX68" s="65" t="s">
        <v>1953</v>
      </c>
      <c r="CY68" s="65" t="s">
        <v>1953</v>
      </c>
      <c r="CZ68" s="65" t="s">
        <v>1953</v>
      </c>
      <c r="DA68" s="65" t="s">
        <v>1953</v>
      </c>
    </row>
    <row r="69" spans="1:105">
      <c r="A69" t="s">
        <v>4853</v>
      </c>
      <c r="B69" t="s">
        <v>7717</v>
      </c>
      <c r="D69" t="s">
        <v>201</v>
      </c>
      <c r="E69" t="s">
        <v>4853</v>
      </c>
      <c r="AV69" t="s">
        <v>2787</v>
      </c>
      <c r="AW69" t="str">
        <f>IFERROR(HLOOKUP($AW$1,Table3[[#All],[India]:[Dominican Republic]],ROW(Table3[[#This Row],[Default]])-1,0),"True")</f>
        <v>True</v>
      </c>
      <c r="AX69" s="65" t="s">
        <v>1953</v>
      </c>
      <c r="AY69" s="65" t="s">
        <v>1953</v>
      </c>
      <c r="AZ69" s="65" t="s">
        <v>1953</v>
      </c>
      <c r="BA69" s="65" t="s">
        <v>1953</v>
      </c>
      <c r="BB69" s="65" t="s">
        <v>1953</v>
      </c>
      <c r="BC69" s="65" t="s">
        <v>1953</v>
      </c>
      <c r="BD69" s="65" t="s">
        <v>1953</v>
      </c>
      <c r="BE69" s="65" t="s">
        <v>1953</v>
      </c>
      <c r="BF69" s="65" t="s">
        <v>1953</v>
      </c>
      <c r="BG69" s="65" t="s">
        <v>1953</v>
      </c>
      <c r="BH69" s="65" t="s">
        <v>1953</v>
      </c>
      <c r="BI69" s="65" t="s">
        <v>1953</v>
      </c>
      <c r="BJ69" s="65" t="s">
        <v>1953</v>
      </c>
      <c r="BK69" s="65" t="s">
        <v>1953</v>
      </c>
      <c r="BL69" s="65" t="s">
        <v>1953</v>
      </c>
      <c r="BM69" s="65" t="s">
        <v>1953</v>
      </c>
      <c r="BN69" s="65" t="s">
        <v>1953</v>
      </c>
      <c r="BO69" s="65" t="s">
        <v>1953</v>
      </c>
      <c r="BP69" s="65" t="s">
        <v>1953</v>
      </c>
      <c r="BQ69" s="65" t="s">
        <v>1953</v>
      </c>
      <c r="BR69" s="65" t="s">
        <v>1953</v>
      </c>
      <c r="BS69" s="65" t="s">
        <v>1953</v>
      </c>
      <c r="BT69" s="65" t="s">
        <v>1953</v>
      </c>
      <c r="BU69" s="65" t="s">
        <v>1953</v>
      </c>
      <c r="BV69" s="65" t="s">
        <v>1953</v>
      </c>
      <c r="BW69" s="65" t="s">
        <v>1953</v>
      </c>
      <c r="BZ69" s="60" t="s">
        <v>2836</v>
      </c>
      <c r="CA69" t="str">
        <f>IFERROR(HLOOKUP($CA$1,Table4[[#All],[India]:[Dominican Republic]],ROW(Table4[[#This Row],[Default]])-1,0),"True")</f>
        <v>True</v>
      </c>
      <c r="CB69" s="65" t="s">
        <v>1953</v>
      </c>
      <c r="CC69" s="65" t="s">
        <v>1953</v>
      </c>
      <c r="CD69" s="65" t="s">
        <v>1953</v>
      </c>
      <c r="CE69" s="65" t="s">
        <v>1953</v>
      </c>
      <c r="CF69" s="65" t="s">
        <v>1953</v>
      </c>
      <c r="CG69" s="65" t="s">
        <v>1953</v>
      </c>
      <c r="CH69" s="65" t="s">
        <v>1953</v>
      </c>
      <c r="CI69" s="65" t="s">
        <v>1953</v>
      </c>
      <c r="CJ69" s="65" t="s">
        <v>1953</v>
      </c>
      <c r="CK69" s="65" t="s">
        <v>1953</v>
      </c>
      <c r="CL69" s="65" t="s">
        <v>1953</v>
      </c>
      <c r="CM69" s="65" t="s">
        <v>1953</v>
      </c>
      <c r="CN69" s="65" t="s">
        <v>1953</v>
      </c>
      <c r="CO69" s="65" t="s">
        <v>1953</v>
      </c>
      <c r="CP69" s="65" t="s">
        <v>1953</v>
      </c>
      <c r="CQ69" s="65" t="s">
        <v>1953</v>
      </c>
      <c r="CR69" s="65" t="s">
        <v>1953</v>
      </c>
      <c r="CS69" s="65" t="s">
        <v>1953</v>
      </c>
      <c r="CT69" s="65" t="s">
        <v>1953</v>
      </c>
      <c r="CU69" s="65" t="s">
        <v>1953</v>
      </c>
      <c r="CV69" s="65" t="s">
        <v>1953</v>
      </c>
      <c r="CW69" s="65" t="s">
        <v>1953</v>
      </c>
      <c r="CX69" s="65" t="s">
        <v>1953</v>
      </c>
      <c r="CY69" s="65" t="s">
        <v>1953</v>
      </c>
      <c r="CZ69" s="65" t="s">
        <v>1953</v>
      </c>
      <c r="DA69" s="65" t="s">
        <v>1953</v>
      </c>
    </row>
    <row r="70" spans="1:105">
      <c r="AV70" t="s">
        <v>2800</v>
      </c>
      <c r="AW70" t="str">
        <f>IFERROR(HLOOKUP($AW$1,Table3[[#All],[India]:[Dominican Republic]],ROW(Table3[[#This Row],[Default]])-1,0),"True")</f>
        <v>True</v>
      </c>
      <c r="AX70" s="65" t="s">
        <v>1953</v>
      </c>
      <c r="AY70" s="65" t="s">
        <v>1953</v>
      </c>
      <c r="AZ70" s="65" t="s">
        <v>1953</v>
      </c>
      <c r="BA70" s="65" t="s">
        <v>1953</v>
      </c>
      <c r="BB70" s="65" t="s">
        <v>1953</v>
      </c>
      <c r="BC70" s="65" t="s">
        <v>1953</v>
      </c>
      <c r="BD70" s="65" t="s">
        <v>1953</v>
      </c>
      <c r="BE70" s="65" t="s">
        <v>1953</v>
      </c>
      <c r="BF70" s="65" t="s">
        <v>1953</v>
      </c>
      <c r="BG70" s="65" t="s">
        <v>1953</v>
      </c>
      <c r="BH70" s="65" t="s">
        <v>1953</v>
      </c>
      <c r="BI70" s="65" t="s">
        <v>1953</v>
      </c>
      <c r="BJ70" s="65" t="s">
        <v>1953</v>
      </c>
      <c r="BK70" s="65" t="s">
        <v>1953</v>
      </c>
      <c r="BL70" s="65" t="s">
        <v>1953</v>
      </c>
      <c r="BM70" s="65" t="s">
        <v>1953</v>
      </c>
      <c r="BN70" s="65" t="s">
        <v>1953</v>
      </c>
      <c r="BO70" s="65" t="s">
        <v>1953</v>
      </c>
      <c r="BP70" s="65" t="s">
        <v>1953</v>
      </c>
      <c r="BQ70" s="65" t="s">
        <v>1953</v>
      </c>
      <c r="BR70" s="65" t="s">
        <v>1953</v>
      </c>
      <c r="BS70" s="65" t="s">
        <v>1953</v>
      </c>
      <c r="BT70" s="65" t="s">
        <v>1953</v>
      </c>
      <c r="BU70" s="65" t="s">
        <v>1953</v>
      </c>
      <c r="BV70" s="65" t="s">
        <v>1953</v>
      </c>
      <c r="BW70" s="65" t="s">
        <v>1953</v>
      </c>
      <c r="BZ70" t="s">
        <v>3309</v>
      </c>
      <c r="CA70" t="str">
        <f>IFERROR(HLOOKUP($CA$1,Table4[[#All],[India]:[Dominican Republic]],ROW(Table4[[#This Row],[Default]])-1,0),"True")</f>
        <v>True</v>
      </c>
      <c r="CB70" s="65" t="s">
        <v>1953</v>
      </c>
      <c r="CC70" s="65" t="s">
        <v>1953</v>
      </c>
      <c r="CD70" s="65" t="s">
        <v>1953</v>
      </c>
      <c r="CE70" s="65" t="s">
        <v>1953</v>
      </c>
      <c r="CF70" s="65" t="s">
        <v>1953</v>
      </c>
      <c r="CG70" s="65" t="s">
        <v>1953</v>
      </c>
      <c r="CH70" s="65" t="s">
        <v>1953</v>
      </c>
      <c r="CI70" s="65" t="s">
        <v>1953</v>
      </c>
      <c r="CJ70" s="65" t="s">
        <v>1953</v>
      </c>
      <c r="CK70" s="65" t="s">
        <v>1953</v>
      </c>
      <c r="CL70" s="65" t="s">
        <v>1953</v>
      </c>
      <c r="CM70" s="65" t="s">
        <v>1953</v>
      </c>
      <c r="CN70" s="65" t="s">
        <v>1953</v>
      </c>
      <c r="CO70" s="65" t="s">
        <v>1953</v>
      </c>
      <c r="CP70" s="65" t="s">
        <v>1953</v>
      </c>
      <c r="CQ70" s="65" t="s">
        <v>1953</v>
      </c>
      <c r="CR70" s="65" t="s">
        <v>1953</v>
      </c>
      <c r="CS70" s="65" t="s">
        <v>1953</v>
      </c>
      <c r="CT70" s="65" t="s">
        <v>1953</v>
      </c>
      <c r="CU70" s="65" t="s">
        <v>1953</v>
      </c>
      <c r="CV70" s="65" t="s">
        <v>1953</v>
      </c>
      <c r="CW70" s="65" t="s">
        <v>1953</v>
      </c>
      <c r="CX70" s="65" t="s">
        <v>1953</v>
      </c>
      <c r="CY70" s="65" t="s">
        <v>1953</v>
      </c>
      <c r="CZ70" s="65" t="s">
        <v>1953</v>
      </c>
      <c r="DA70" s="65" t="s">
        <v>1953</v>
      </c>
    </row>
    <row r="71" spans="1:105">
      <c r="AV71" t="s">
        <v>2801</v>
      </c>
      <c r="AW71" t="str">
        <f>IFERROR(HLOOKUP($AW$1,Table3[[#All],[India]:[Dominican Republic]],ROW(Table3[[#This Row],[Default]])-1,0),"True")</f>
        <v>True</v>
      </c>
      <c r="AX71" s="65" t="s">
        <v>1953</v>
      </c>
      <c r="AY71" s="65" t="s">
        <v>1953</v>
      </c>
      <c r="AZ71" s="65" t="s">
        <v>1953</v>
      </c>
      <c r="BA71" s="65" t="s">
        <v>1953</v>
      </c>
      <c r="BB71" s="65" t="s">
        <v>1953</v>
      </c>
      <c r="BC71" s="65" t="s">
        <v>1953</v>
      </c>
      <c r="BD71" s="65" t="s">
        <v>1953</v>
      </c>
      <c r="BE71" s="65" t="s">
        <v>1953</v>
      </c>
      <c r="BF71" s="65" t="s">
        <v>1953</v>
      </c>
      <c r="BG71" s="65" t="s">
        <v>1953</v>
      </c>
      <c r="BH71" s="65" t="s">
        <v>1953</v>
      </c>
      <c r="BI71" s="65" t="s">
        <v>1953</v>
      </c>
      <c r="BJ71" s="65" t="s">
        <v>1953</v>
      </c>
      <c r="BK71" s="65" t="s">
        <v>1953</v>
      </c>
      <c r="BL71" s="65" t="s">
        <v>1953</v>
      </c>
      <c r="BM71" s="65" t="s">
        <v>1953</v>
      </c>
      <c r="BN71" s="65" t="s">
        <v>1953</v>
      </c>
      <c r="BO71" s="65" t="s">
        <v>1953</v>
      </c>
      <c r="BP71" s="65" t="s">
        <v>1953</v>
      </c>
      <c r="BQ71" s="65" t="s">
        <v>1953</v>
      </c>
      <c r="BR71" s="65" t="s">
        <v>1953</v>
      </c>
      <c r="BS71" s="65" t="s">
        <v>1953</v>
      </c>
      <c r="BT71" s="65" t="s">
        <v>1953</v>
      </c>
      <c r="BU71" s="65" t="s">
        <v>1953</v>
      </c>
      <c r="BV71" s="65" t="s">
        <v>1953</v>
      </c>
      <c r="BW71" s="65" t="s">
        <v>1953</v>
      </c>
      <c r="BZ71" t="s">
        <v>4672</v>
      </c>
      <c r="CA71" t="str">
        <f>IFERROR(HLOOKUP($CA$1,Table4[[#All],[India]:[Dominican Republic]],ROW(Table4[[#This Row],[Default]])-1,0),"True")</f>
        <v>True</v>
      </c>
      <c r="CB71" s="65" t="s">
        <v>1954</v>
      </c>
      <c r="CC71" s="65" t="s">
        <v>1954</v>
      </c>
      <c r="CD71" s="65" t="s">
        <v>1954</v>
      </c>
      <c r="CE71" s="65" t="s">
        <v>1954</v>
      </c>
      <c r="CF71" s="65" t="s">
        <v>1954</v>
      </c>
      <c r="CG71" s="65" t="s">
        <v>1954</v>
      </c>
      <c r="CH71" s="65" t="s">
        <v>1954</v>
      </c>
      <c r="CI71" s="65" t="s">
        <v>1954</v>
      </c>
      <c r="CJ71" s="65" t="s">
        <v>1954</v>
      </c>
      <c r="CK71" s="65" t="s">
        <v>1953</v>
      </c>
      <c r="CL71" s="65" t="s">
        <v>1954</v>
      </c>
      <c r="CM71" s="65" t="s">
        <v>1954</v>
      </c>
      <c r="CN71" s="65" t="s">
        <v>1954</v>
      </c>
      <c r="CO71" s="65" t="s">
        <v>1954</v>
      </c>
      <c r="CP71" s="65" t="s">
        <v>1953</v>
      </c>
      <c r="CQ71" s="65" t="s">
        <v>1953</v>
      </c>
      <c r="CR71" s="65" t="s">
        <v>1953</v>
      </c>
      <c r="CS71" s="65" t="s">
        <v>1953</v>
      </c>
      <c r="CT71" s="65" t="s">
        <v>1953</v>
      </c>
      <c r="CU71" s="65" t="s">
        <v>1953</v>
      </c>
      <c r="CV71" s="65" t="s">
        <v>1953</v>
      </c>
      <c r="CW71" s="65" t="s">
        <v>1953</v>
      </c>
      <c r="CX71" s="65" t="s">
        <v>1953</v>
      </c>
      <c r="CY71" s="65" t="s">
        <v>1953</v>
      </c>
      <c r="CZ71" s="65" t="s">
        <v>1953</v>
      </c>
      <c r="DA71" s="65" t="s">
        <v>1953</v>
      </c>
    </row>
    <row r="72" spans="1:105">
      <c r="AV72" t="s">
        <v>3046</v>
      </c>
      <c r="AW72" t="str">
        <f>IFERROR(HLOOKUP($AW$1,Table3[[#All],[India]:[Dominican Republic]],ROW(Table3[[#This Row],[Default]])-1,0),"True")</f>
        <v>True</v>
      </c>
      <c r="AX72" s="65" t="s">
        <v>1953</v>
      </c>
      <c r="AY72" s="65" t="s">
        <v>1953</v>
      </c>
      <c r="AZ72" s="65" t="s">
        <v>1953</v>
      </c>
      <c r="BA72" s="65" t="s">
        <v>1953</v>
      </c>
      <c r="BB72" s="65" t="s">
        <v>1953</v>
      </c>
      <c r="BC72" s="65" t="s">
        <v>1953</v>
      </c>
      <c r="BD72" s="65" t="s">
        <v>1953</v>
      </c>
      <c r="BE72" s="65" t="s">
        <v>1953</v>
      </c>
      <c r="BF72" s="65" t="s">
        <v>1953</v>
      </c>
      <c r="BG72" s="65" t="s">
        <v>1953</v>
      </c>
      <c r="BH72" s="65" t="s">
        <v>1953</v>
      </c>
      <c r="BI72" s="65" t="s">
        <v>1953</v>
      </c>
      <c r="BJ72" s="65" t="s">
        <v>1953</v>
      </c>
      <c r="BK72" s="65" t="s">
        <v>1953</v>
      </c>
      <c r="BL72" s="65" t="s">
        <v>1954</v>
      </c>
      <c r="BM72" s="65" t="s">
        <v>1953</v>
      </c>
      <c r="BN72" s="65" t="s">
        <v>1953</v>
      </c>
      <c r="BO72" s="65" t="s">
        <v>1953</v>
      </c>
      <c r="BP72" s="65" t="s">
        <v>1953</v>
      </c>
      <c r="BQ72" s="65" t="s">
        <v>1953</v>
      </c>
      <c r="BR72" s="65" t="s">
        <v>1953</v>
      </c>
      <c r="BS72" s="65" t="s">
        <v>1953</v>
      </c>
      <c r="BT72" s="65" t="s">
        <v>1954</v>
      </c>
      <c r="BU72" s="65" t="s">
        <v>1953</v>
      </c>
      <c r="BV72" s="65" t="s">
        <v>1953</v>
      </c>
      <c r="BW72" s="65" t="s">
        <v>1953</v>
      </c>
      <c r="BZ72" t="s">
        <v>4686</v>
      </c>
      <c r="CA72" t="str">
        <f>IFERROR(HLOOKUP($CA$1,Table4[[#All],[India]:[Dominican Republic]],ROW(Table4[[#This Row],[Default]])-1,0),"True")</f>
        <v>True</v>
      </c>
      <c r="CB72" s="65" t="s">
        <v>1953</v>
      </c>
      <c r="CC72" s="65" t="s">
        <v>1954</v>
      </c>
      <c r="CD72" s="65" t="s">
        <v>1953</v>
      </c>
      <c r="CE72" s="65" t="s">
        <v>1953</v>
      </c>
      <c r="CF72" s="65" t="s">
        <v>1953</v>
      </c>
      <c r="CG72" s="65" t="s">
        <v>1953</v>
      </c>
      <c r="CH72" s="65" t="s">
        <v>1953</v>
      </c>
      <c r="CI72" s="65" t="s">
        <v>1953</v>
      </c>
      <c r="CJ72" s="65" t="s">
        <v>1953</v>
      </c>
      <c r="CK72" s="65" t="s">
        <v>1953</v>
      </c>
      <c r="CL72" s="65" t="s">
        <v>1953</v>
      </c>
      <c r="CM72" s="65" t="s">
        <v>1953</v>
      </c>
      <c r="CN72" s="65" t="s">
        <v>1953</v>
      </c>
      <c r="CO72" s="65" t="s">
        <v>1953</v>
      </c>
      <c r="CP72" s="65" t="s">
        <v>1953</v>
      </c>
      <c r="CQ72" s="65" t="s">
        <v>1953</v>
      </c>
      <c r="CR72" s="65" t="s">
        <v>1953</v>
      </c>
      <c r="CS72" s="65" t="s">
        <v>1953</v>
      </c>
      <c r="CT72" s="65" t="s">
        <v>1953</v>
      </c>
      <c r="CU72" s="65" t="s">
        <v>1953</v>
      </c>
      <c r="CV72" s="65" t="s">
        <v>1953</v>
      </c>
      <c r="CW72" s="65" t="s">
        <v>1953</v>
      </c>
      <c r="CX72" s="65" t="s">
        <v>1953</v>
      </c>
      <c r="CY72" s="65" t="s">
        <v>1953</v>
      </c>
      <c r="CZ72" s="65" t="s">
        <v>1953</v>
      </c>
      <c r="DA72" s="65" t="s">
        <v>1953</v>
      </c>
    </row>
    <row r="73" spans="1:105">
      <c r="AV73" t="s">
        <v>2795</v>
      </c>
      <c r="AW73" t="str">
        <f>IFERROR(HLOOKUP($AW$1,Table3[[#All],[India]:[Dominican Republic]],ROW(Table3[[#This Row],[Default]])-1,0),"True")</f>
        <v>True</v>
      </c>
      <c r="AX73" s="65" t="s">
        <v>1953</v>
      </c>
      <c r="AY73" s="65" t="s">
        <v>1953</v>
      </c>
      <c r="AZ73" s="65" t="s">
        <v>1953</v>
      </c>
      <c r="BA73" s="65" t="s">
        <v>1953</v>
      </c>
      <c r="BB73" s="65" t="s">
        <v>1953</v>
      </c>
      <c r="BC73" s="65" t="s">
        <v>1953</v>
      </c>
      <c r="BD73" s="65" t="s">
        <v>1953</v>
      </c>
      <c r="BE73" s="65" t="s">
        <v>1953</v>
      </c>
      <c r="BF73" s="65" t="s">
        <v>1953</v>
      </c>
      <c r="BG73" s="65" t="s">
        <v>1953</v>
      </c>
      <c r="BH73" s="65" t="s">
        <v>1953</v>
      </c>
      <c r="BI73" s="65" t="s">
        <v>1953</v>
      </c>
      <c r="BJ73" s="65" t="s">
        <v>1953</v>
      </c>
      <c r="BK73" s="65" t="s">
        <v>1953</v>
      </c>
      <c r="BL73" s="65" t="s">
        <v>1953</v>
      </c>
      <c r="BM73" s="65" t="s">
        <v>1953</v>
      </c>
      <c r="BN73" s="65" t="s">
        <v>1953</v>
      </c>
      <c r="BO73" s="65" t="s">
        <v>1953</v>
      </c>
      <c r="BP73" s="65" t="s">
        <v>1953</v>
      </c>
      <c r="BQ73" s="65" t="s">
        <v>1953</v>
      </c>
      <c r="BR73" s="65" t="s">
        <v>1953</v>
      </c>
      <c r="BS73" s="65" t="s">
        <v>1953</v>
      </c>
      <c r="BT73" s="65" t="s">
        <v>1953</v>
      </c>
      <c r="BU73" s="65" t="s">
        <v>1953</v>
      </c>
      <c r="BV73" s="65" t="s">
        <v>1953</v>
      </c>
      <c r="BW73" s="65" t="s">
        <v>1953</v>
      </c>
      <c r="BZ73" t="s">
        <v>4687</v>
      </c>
      <c r="CA73" t="str">
        <f>IFERROR(HLOOKUP($CA$1,Table4[[#All],[India]:[Dominican Republic]],ROW(Table4[[#This Row],[Default]])-1,0),"True")</f>
        <v>True</v>
      </c>
      <c r="CB73" s="65" t="s">
        <v>1953</v>
      </c>
      <c r="CC73" s="65" t="s">
        <v>1954</v>
      </c>
      <c r="CD73" s="65" t="s">
        <v>1953</v>
      </c>
      <c r="CE73" s="65" t="s">
        <v>1953</v>
      </c>
      <c r="CF73" s="65" t="s">
        <v>1953</v>
      </c>
      <c r="CG73" s="65" t="s">
        <v>1953</v>
      </c>
      <c r="CH73" s="65" t="s">
        <v>1953</v>
      </c>
      <c r="CI73" s="65" t="s">
        <v>1953</v>
      </c>
      <c r="CJ73" s="65" t="s">
        <v>1953</v>
      </c>
      <c r="CK73" s="65" t="s">
        <v>1953</v>
      </c>
      <c r="CL73" s="65" t="s">
        <v>1953</v>
      </c>
      <c r="CM73" s="65" t="s">
        <v>1953</v>
      </c>
      <c r="CN73" s="65" t="s">
        <v>1953</v>
      </c>
      <c r="CO73" s="65" t="s">
        <v>1953</v>
      </c>
      <c r="CP73" s="65" t="s">
        <v>1953</v>
      </c>
      <c r="CQ73" s="65" t="s">
        <v>1953</v>
      </c>
      <c r="CR73" s="65" t="s">
        <v>1953</v>
      </c>
      <c r="CS73" s="65" t="s">
        <v>1953</v>
      </c>
      <c r="CT73" s="65" t="s">
        <v>1953</v>
      </c>
      <c r="CU73" s="65" t="s">
        <v>1953</v>
      </c>
      <c r="CV73" s="65" t="s">
        <v>1953</v>
      </c>
      <c r="CW73" s="65" t="s">
        <v>1953</v>
      </c>
      <c r="CX73" s="65" t="s">
        <v>1953</v>
      </c>
      <c r="CY73" s="65" t="s">
        <v>1953</v>
      </c>
      <c r="CZ73" s="65" t="s">
        <v>1953</v>
      </c>
      <c r="DA73" s="65" t="s">
        <v>1953</v>
      </c>
    </row>
    <row r="74" spans="1:105">
      <c r="AV74" t="s">
        <v>2797</v>
      </c>
      <c r="AW74" t="str">
        <f>IFERROR(HLOOKUP($AW$1,Table3[[#All],[India]:[Dominican Republic]],ROW(Table3[[#This Row],[Default]])-1,0),"True")</f>
        <v>True</v>
      </c>
      <c r="AX74" s="65" t="s">
        <v>1953</v>
      </c>
      <c r="AY74" s="65" t="s">
        <v>1953</v>
      </c>
      <c r="AZ74" s="65" t="s">
        <v>1953</v>
      </c>
      <c r="BA74" s="65" t="s">
        <v>1953</v>
      </c>
      <c r="BB74" s="65" t="s">
        <v>1953</v>
      </c>
      <c r="BC74" s="65" t="s">
        <v>1953</v>
      </c>
      <c r="BD74" s="65" t="s">
        <v>1953</v>
      </c>
      <c r="BE74" s="65" t="s">
        <v>1953</v>
      </c>
      <c r="BF74" s="65" t="s">
        <v>1953</v>
      </c>
      <c r="BG74" s="65" t="s">
        <v>1953</v>
      </c>
      <c r="BH74" s="65" t="s">
        <v>1953</v>
      </c>
      <c r="BI74" s="65" t="s">
        <v>1953</v>
      </c>
      <c r="BJ74" s="65" t="s">
        <v>1953</v>
      </c>
      <c r="BK74" s="65" t="s">
        <v>1953</v>
      </c>
      <c r="BL74" s="65" t="s">
        <v>1953</v>
      </c>
      <c r="BM74" s="65" t="s">
        <v>1953</v>
      </c>
      <c r="BN74" s="65" t="s">
        <v>1953</v>
      </c>
      <c r="BO74" s="65" t="s">
        <v>1953</v>
      </c>
      <c r="BP74" s="65" t="s">
        <v>1953</v>
      </c>
      <c r="BQ74" s="65" t="s">
        <v>1953</v>
      </c>
      <c r="BR74" s="65" t="s">
        <v>1953</v>
      </c>
      <c r="BS74" s="65" t="s">
        <v>1953</v>
      </c>
      <c r="BT74" s="65" t="s">
        <v>1953</v>
      </c>
      <c r="BU74" s="65" t="s">
        <v>1953</v>
      </c>
      <c r="BV74" s="65" t="s">
        <v>1953</v>
      </c>
      <c r="BW74" s="65" t="s">
        <v>1953</v>
      </c>
      <c r="BZ74" t="s">
        <v>4996</v>
      </c>
      <c r="CA74" t="str">
        <f>IFERROR(HLOOKUP($CA$1,Table4[[#All],[India]:[Dominican Republic]],ROW(Table4[[#This Row],[Default]])-1,0),"True")</f>
        <v>True</v>
      </c>
      <c r="CB74" s="65" t="s">
        <v>1953</v>
      </c>
      <c r="CC74" s="65" t="s">
        <v>1953</v>
      </c>
      <c r="CD74" s="65" t="s">
        <v>1954</v>
      </c>
      <c r="CE74" s="65" t="s">
        <v>1953</v>
      </c>
      <c r="CF74" s="65" t="s">
        <v>1953</v>
      </c>
      <c r="CG74" s="65" t="s">
        <v>1953</v>
      </c>
      <c r="CH74" s="65" t="s">
        <v>1953</v>
      </c>
      <c r="CI74" s="65" t="s">
        <v>1953</v>
      </c>
      <c r="CJ74" s="65" t="s">
        <v>1953</v>
      </c>
      <c r="CK74" s="65" t="s">
        <v>1953</v>
      </c>
      <c r="CL74" s="65" t="s">
        <v>1953</v>
      </c>
      <c r="CM74" s="65" t="s">
        <v>1953</v>
      </c>
      <c r="CN74" s="65" t="s">
        <v>1953</v>
      </c>
      <c r="CO74" s="65" t="s">
        <v>1953</v>
      </c>
      <c r="CP74" s="65" t="s">
        <v>1953</v>
      </c>
      <c r="CQ74" s="65" t="s">
        <v>1953</v>
      </c>
      <c r="CR74" s="65" t="s">
        <v>1953</v>
      </c>
      <c r="CS74" s="65" t="s">
        <v>1953</v>
      </c>
      <c r="CT74" s="65" t="s">
        <v>1953</v>
      </c>
      <c r="CU74" s="65" t="s">
        <v>1953</v>
      </c>
      <c r="CV74" s="65" t="s">
        <v>1953</v>
      </c>
      <c r="CW74" s="65" t="s">
        <v>1953</v>
      </c>
      <c r="CX74" s="65" t="s">
        <v>1953</v>
      </c>
      <c r="CY74" s="65" t="s">
        <v>1953</v>
      </c>
      <c r="CZ74" s="65" t="s">
        <v>1953</v>
      </c>
      <c r="DA74" s="65" t="s">
        <v>1953</v>
      </c>
    </row>
    <row r="75" spans="1:105">
      <c r="AV75" t="s">
        <v>2791</v>
      </c>
      <c r="AW75" t="str">
        <f>IFERROR(HLOOKUP($AW$1,Table3[[#All],[India]:[Dominican Republic]],ROW(Table3[[#This Row],[Default]])-1,0),"True")</f>
        <v>True</v>
      </c>
      <c r="AX75" s="65" t="s">
        <v>1953</v>
      </c>
      <c r="AY75" s="65" t="s">
        <v>1953</v>
      </c>
      <c r="AZ75" s="65" t="s">
        <v>1953</v>
      </c>
      <c r="BA75" s="65" t="s">
        <v>1953</v>
      </c>
      <c r="BB75" s="65" t="s">
        <v>1953</v>
      </c>
      <c r="BC75" s="65" t="s">
        <v>1953</v>
      </c>
      <c r="BD75" s="65" t="s">
        <v>1953</v>
      </c>
      <c r="BE75" s="65" t="s">
        <v>1953</v>
      </c>
      <c r="BF75" s="65" t="s">
        <v>1953</v>
      </c>
      <c r="BG75" s="65" t="s">
        <v>1953</v>
      </c>
      <c r="BH75" s="65" t="s">
        <v>1953</v>
      </c>
      <c r="BI75" s="65" t="s">
        <v>1953</v>
      </c>
      <c r="BJ75" s="65" t="s">
        <v>1953</v>
      </c>
      <c r="BK75" s="65" t="s">
        <v>1953</v>
      </c>
      <c r="BL75" s="65" t="s">
        <v>1953</v>
      </c>
      <c r="BM75" s="65" t="s">
        <v>1953</v>
      </c>
      <c r="BN75" s="65" t="s">
        <v>1953</v>
      </c>
      <c r="BO75" s="65" t="s">
        <v>1953</v>
      </c>
      <c r="BP75" s="65" t="s">
        <v>1953</v>
      </c>
      <c r="BQ75" s="65" t="s">
        <v>1953</v>
      </c>
      <c r="BR75" s="65" t="s">
        <v>1953</v>
      </c>
      <c r="BS75" s="65" t="s">
        <v>1953</v>
      </c>
      <c r="BT75" s="65" t="s">
        <v>1953</v>
      </c>
      <c r="BU75" s="65" t="s">
        <v>1953</v>
      </c>
      <c r="BV75" s="65" t="s">
        <v>1953</v>
      </c>
      <c r="BW75" s="65" t="s">
        <v>1953</v>
      </c>
      <c r="BZ75" t="s">
        <v>4998</v>
      </c>
      <c r="CA75" t="str">
        <f>IFERROR(HLOOKUP($CA$1,Table4[[#All],[India]:[Dominican Republic]],ROW(Table4[[#This Row],[Default]])-1,0),"True")</f>
        <v>True</v>
      </c>
      <c r="CB75" s="65" t="s">
        <v>1953</v>
      </c>
      <c r="CC75" s="65" t="s">
        <v>1953</v>
      </c>
      <c r="CD75" s="65" t="s">
        <v>1953</v>
      </c>
      <c r="CE75" s="65" t="s">
        <v>1954</v>
      </c>
      <c r="CF75" s="65" t="s">
        <v>1954</v>
      </c>
      <c r="CG75" s="65" t="s">
        <v>1954</v>
      </c>
      <c r="CH75" s="65" t="s">
        <v>1954</v>
      </c>
      <c r="CI75" s="65" t="s">
        <v>1954</v>
      </c>
      <c r="CJ75" s="65" t="s">
        <v>1953</v>
      </c>
      <c r="CK75" s="65" t="s">
        <v>1953</v>
      </c>
      <c r="CL75" s="65" t="s">
        <v>1954</v>
      </c>
      <c r="CM75" s="65" t="s">
        <v>1953</v>
      </c>
      <c r="CN75" s="65" t="s">
        <v>1954</v>
      </c>
      <c r="CO75" s="65" t="s">
        <v>1954</v>
      </c>
      <c r="CP75" s="65" t="s">
        <v>1953</v>
      </c>
      <c r="CQ75" s="65" t="s">
        <v>1953</v>
      </c>
      <c r="CR75" s="65" t="s">
        <v>1953</v>
      </c>
      <c r="CS75" s="65" t="s">
        <v>1954</v>
      </c>
      <c r="CT75" s="65" t="s">
        <v>1954</v>
      </c>
      <c r="CU75" s="65" t="s">
        <v>1953</v>
      </c>
      <c r="CV75" s="65" t="s">
        <v>1953</v>
      </c>
      <c r="CW75" s="65" t="s">
        <v>1953</v>
      </c>
      <c r="CX75" s="65" t="s">
        <v>1953</v>
      </c>
      <c r="CY75" s="65" t="s">
        <v>1953</v>
      </c>
      <c r="CZ75" s="65" t="s">
        <v>1953</v>
      </c>
      <c r="DA75" s="65" t="s">
        <v>1953</v>
      </c>
    </row>
    <row r="76" spans="1:105">
      <c r="AV76" t="s">
        <v>2792</v>
      </c>
      <c r="AW76" t="str">
        <f>IFERROR(HLOOKUP($AW$1,Table3[[#All],[India]:[Dominican Republic]],ROW(Table3[[#This Row],[Default]])-1,0),"True")</f>
        <v>True</v>
      </c>
      <c r="AX76" s="65" t="s">
        <v>1953</v>
      </c>
      <c r="AY76" s="65" t="s">
        <v>1953</v>
      </c>
      <c r="AZ76" s="65" t="s">
        <v>1953</v>
      </c>
      <c r="BA76" s="65" t="s">
        <v>1953</v>
      </c>
      <c r="BB76" s="65" t="s">
        <v>1953</v>
      </c>
      <c r="BC76" s="65" t="s">
        <v>1953</v>
      </c>
      <c r="BD76" s="65" t="s">
        <v>1953</v>
      </c>
      <c r="BE76" s="65" t="s">
        <v>1953</v>
      </c>
      <c r="BF76" s="65" t="s">
        <v>1953</v>
      </c>
      <c r="BG76" s="65" t="s">
        <v>1953</v>
      </c>
      <c r="BH76" s="65" t="s">
        <v>1953</v>
      </c>
      <c r="BI76" s="65" t="s">
        <v>1953</v>
      </c>
      <c r="BJ76" s="65" t="s">
        <v>1953</v>
      </c>
      <c r="BK76" s="65" t="s">
        <v>1953</v>
      </c>
      <c r="BL76" s="65" t="s">
        <v>1953</v>
      </c>
      <c r="BM76" s="65" t="s">
        <v>1953</v>
      </c>
      <c r="BN76" s="65" t="s">
        <v>1953</v>
      </c>
      <c r="BO76" s="65" t="s">
        <v>1953</v>
      </c>
      <c r="BP76" s="65" t="s">
        <v>1953</v>
      </c>
      <c r="BQ76" s="65" t="s">
        <v>1953</v>
      </c>
      <c r="BR76" s="65" t="s">
        <v>1953</v>
      </c>
      <c r="BS76" s="65" t="s">
        <v>1953</v>
      </c>
      <c r="BT76" s="65" t="s">
        <v>1953</v>
      </c>
      <c r="BU76" s="65" t="s">
        <v>1953</v>
      </c>
      <c r="BV76" s="65" t="s">
        <v>1953</v>
      </c>
      <c r="BW76" s="65" t="s">
        <v>1953</v>
      </c>
      <c r="BZ76" t="s">
        <v>5011</v>
      </c>
      <c r="CA76" t="str">
        <f>IFERROR(HLOOKUP($CA$1,Table4[[#All],[India]:[Dominican Republic]],ROW(Table4[[#This Row],[Default]])-1,0),"True")</f>
        <v>True</v>
      </c>
      <c r="CB76" s="65" t="s">
        <v>1953</v>
      </c>
      <c r="CC76" s="65" t="s">
        <v>1953</v>
      </c>
      <c r="CD76" s="65" t="s">
        <v>1953</v>
      </c>
      <c r="CE76" s="65" t="s">
        <v>1953</v>
      </c>
      <c r="CF76" s="65" t="s">
        <v>1953</v>
      </c>
      <c r="CG76" s="65" t="s">
        <v>1953</v>
      </c>
      <c r="CH76" s="65" t="s">
        <v>1954</v>
      </c>
      <c r="CI76" s="65" t="s">
        <v>1953</v>
      </c>
      <c r="CJ76" s="65" t="s">
        <v>1953</v>
      </c>
      <c r="CK76" s="65" t="s">
        <v>1953</v>
      </c>
      <c r="CL76" s="65" t="s">
        <v>1953</v>
      </c>
      <c r="CM76" s="65" t="s">
        <v>1953</v>
      </c>
      <c r="CN76" s="65" t="s">
        <v>1953</v>
      </c>
      <c r="CO76" s="65" t="s">
        <v>1953</v>
      </c>
      <c r="CP76" s="65" t="s">
        <v>1953</v>
      </c>
      <c r="CQ76" s="65" t="s">
        <v>1953</v>
      </c>
      <c r="CR76" s="65" t="s">
        <v>1953</v>
      </c>
      <c r="CS76" s="65" t="s">
        <v>1953</v>
      </c>
      <c r="CT76" s="65" t="s">
        <v>1953</v>
      </c>
      <c r="CU76" s="65" t="s">
        <v>1953</v>
      </c>
      <c r="CV76" s="65" t="s">
        <v>1953</v>
      </c>
      <c r="CW76" s="65" t="s">
        <v>1953</v>
      </c>
      <c r="CX76" s="65" t="s">
        <v>1953</v>
      </c>
      <c r="CY76" s="65" t="s">
        <v>1953</v>
      </c>
      <c r="CZ76" s="65" t="s">
        <v>1953</v>
      </c>
      <c r="DA76" s="65" t="s">
        <v>1953</v>
      </c>
    </row>
    <row r="77" spans="1:105">
      <c r="AV77" t="s">
        <v>2793</v>
      </c>
      <c r="AW77" t="str">
        <f>IFERROR(HLOOKUP($AW$1,Table3[[#All],[India]:[Dominican Republic]],ROW(Table3[[#This Row],[Default]])-1,0),"True")</f>
        <v>True</v>
      </c>
      <c r="AX77" s="65" t="s">
        <v>1953</v>
      </c>
      <c r="AY77" s="65" t="s">
        <v>1953</v>
      </c>
      <c r="AZ77" s="65" t="s">
        <v>1953</v>
      </c>
      <c r="BA77" s="65" t="s">
        <v>1953</v>
      </c>
      <c r="BB77" s="65" t="s">
        <v>1953</v>
      </c>
      <c r="BC77" s="65" t="s">
        <v>1953</v>
      </c>
      <c r="BD77" s="65" t="s">
        <v>1953</v>
      </c>
      <c r="BE77" s="65" t="s">
        <v>1953</v>
      </c>
      <c r="BF77" s="65" t="s">
        <v>1953</v>
      </c>
      <c r="BG77" s="65" t="s">
        <v>1953</v>
      </c>
      <c r="BH77" s="65" t="s">
        <v>1953</v>
      </c>
      <c r="BI77" s="65" t="s">
        <v>1953</v>
      </c>
      <c r="BJ77" s="65" t="s">
        <v>1953</v>
      </c>
      <c r="BK77" s="65" t="s">
        <v>1953</v>
      </c>
      <c r="BL77" s="65" t="s">
        <v>1953</v>
      </c>
      <c r="BM77" s="65" t="s">
        <v>1953</v>
      </c>
      <c r="BN77" s="65" t="s">
        <v>1953</v>
      </c>
      <c r="BO77" s="65" t="s">
        <v>1953</v>
      </c>
      <c r="BP77" s="65" t="s">
        <v>1953</v>
      </c>
      <c r="BQ77" s="65" t="s">
        <v>1953</v>
      </c>
      <c r="BR77" s="65" t="s">
        <v>1953</v>
      </c>
      <c r="BS77" s="65" t="s">
        <v>1953</v>
      </c>
      <c r="BT77" s="65" t="s">
        <v>1953</v>
      </c>
      <c r="BU77" s="65" t="s">
        <v>1953</v>
      </c>
      <c r="BV77" s="65" t="s">
        <v>1953</v>
      </c>
      <c r="BW77" s="65" t="s">
        <v>1953</v>
      </c>
      <c r="BZ77" s="83" t="s">
        <v>5013</v>
      </c>
      <c r="CA77" t="str">
        <f>IFERROR(HLOOKUP($CA$1,Table4[[#All],[India]:[Dominican Republic]],ROW(Table4[[#This Row],[Default]])-1,0),"True")</f>
        <v>True</v>
      </c>
      <c r="CB77" s="65" t="s">
        <v>1954</v>
      </c>
      <c r="CC77" s="65" t="s">
        <v>1953</v>
      </c>
      <c r="CD77" s="65" t="s">
        <v>1953</v>
      </c>
      <c r="CE77" s="65" t="s">
        <v>1953</v>
      </c>
      <c r="CF77" s="65" t="s">
        <v>1953</v>
      </c>
      <c r="CG77" s="65" t="s">
        <v>1953</v>
      </c>
      <c r="CH77" s="65" t="s">
        <v>1953</v>
      </c>
      <c r="CI77" s="65" t="s">
        <v>1953</v>
      </c>
      <c r="CJ77" s="65" t="s">
        <v>1953</v>
      </c>
      <c r="CK77" s="65" t="s">
        <v>1953</v>
      </c>
      <c r="CL77" s="65" t="s">
        <v>1953</v>
      </c>
      <c r="CM77" s="65" t="s">
        <v>1953</v>
      </c>
      <c r="CN77" s="65" t="s">
        <v>1953</v>
      </c>
      <c r="CO77" s="65" t="s">
        <v>1953</v>
      </c>
      <c r="CP77" s="65" t="s">
        <v>1953</v>
      </c>
      <c r="CQ77" s="65" t="s">
        <v>1953</v>
      </c>
      <c r="CR77" s="65" t="s">
        <v>1953</v>
      </c>
      <c r="CS77" s="65" t="s">
        <v>1953</v>
      </c>
      <c r="CT77" s="65" t="s">
        <v>1953</v>
      </c>
      <c r="CU77" s="65" t="s">
        <v>1953</v>
      </c>
      <c r="CV77" s="65" t="s">
        <v>1953</v>
      </c>
      <c r="CW77" s="65" t="s">
        <v>1953</v>
      </c>
      <c r="CX77" s="65" t="s">
        <v>1953</v>
      </c>
      <c r="CY77" s="65" t="s">
        <v>1953</v>
      </c>
      <c r="CZ77" s="65" t="s">
        <v>1953</v>
      </c>
      <c r="DA77" s="65" t="s">
        <v>1953</v>
      </c>
    </row>
    <row r="78" spans="1:105">
      <c r="AV78" t="s">
        <v>2893</v>
      </c>
      <c r="AW78" t="str">
        <f>IFERROR(HLOOKUP($AW$1,Table3[[#All],[India]:[Dominican Republic]],ROW(Table3[[#This Row],[Default]])-1,0),"True")</f>
        <v>True</v>
      </c>
      <c r="AX78" s="65" t="s">
        <v>1953</v>
      </c>
      <c r="AY78" s="65" t="s">
        <v>1953</v>
      </c>
      <c r="AZ78" s="65" t="s">
        <v>1953</v>
      </c>
      <c r="BA78" s="65" t="s">
        <v>1953</v>
      </c>
      <c r="BB78" s="65" t="s">
        <v>1953</v>
      </c>
      <c r="BC78" s="65" t="s">
        <v>1953</v>
      </c>
      <c r="BD78" s="65" t="s">
        <v>1953</v>
      </c>
      <c r="BE78" s="65" t="s">
        <v>1953</v>
      </c>
      <c r="BF78" s="65" t="s">
        <v>1953</v>
      </c>
      <c r="BG78" s="65" t="s">
        <v>1953</v>
      </c>
      <c r="BH78" s="65" t="s">
        <v>1953</v>
      </c>
      <c r="BI78" s="65" t="s">
        <v>1953</v>
      </c>
      <c r="BJ78" s="65" t="s">
        <v>1953</v>
      </c>
      <c r="BK78" s="65" t="s">
        <v>1953</v>
      </c>
      <c r="BL78" s="65" t="s">
        <v>1953</v>
      </c>
      <c r="BM78" s="65" t="s">
        <v>1953</v>
      </c>
      <c r="BN78" s="65" t="s">
        <v>1953</v>
      </c>
      <c r="BO78" s="65" t="s">
        <v>1953</v>
      </c>
      <c r="BP78" s="65" t="s">
        <v>1953</v>
      </c>
      <c r="BQ78" s="65" t="s">
        <v>1953</v>
      </c>
      <c r="BR78" s="65" t="s">
        <v>1953</v>
      </c>
      <c r="BS78" s="65" t="s">
        <v>1953</v>
      </c>
      <c r="BT78" s="65" t="s">
        <v>1953</v>
      </c>
      <c r="BU78" s="65" t="s">
        <v>1953</v>
      </c>
      <c r="BV78" s="65" t="s">
        <v>1953</v>
      </c>
      <c r="BW78" s="65" t="s">
        <v>1953</v>
      </c>
      <c r="BZ78" s="83" t="s">
        <v>5014</v>
      </c>
      <c r="CA78" t="str">
        <f>IFERROR(HLOOKUP($CA$1,Table4[[#All],[India]:[Dominican Republic]],ROW(Table4[[#This Row],[Default]])-1,0),"True")</f>
        <v>True</v>
      </c>
      <c r="CB78" s="65" t="s">
        <v>1954</v>
      </c>
      <c r="CC78" s="65" t="s">
        <v>1953</v>
      </c>
      <c r="CD78" s="65" t="s">
        <v>1953</v>
      </c>
      <c r="CE78" s="65" t="s">
        <v>1953</v>
      </c>
      <c r="CF78" s="65" t="s">
        <v>1953</v>
      </c>
      <c r="CG78" s="65" t="s">
        <v>1953</v>
      </c>
      <c r="CH78" s="65" t="s">
        <v>1953</v>
      </c>
      <c r="CI78" s="65" t="s">
        <v>1953</v>
      </c>
      <c r="CJ78" s="65" t="s">
        <v>1953</v>
      </c>
      <c r="CK78" s="65" t="s">
        <v>1953</v>
      </c>
      <c r="CL78" s="65" t="s">
        <v>1953</v>
      </c>
      <c r="CM78" s="65" t="s">
        <v>1953</v>
      </c>
      <c r="CN78" s="65" t="s">
        <v>1953</v>
      </c>
      <c r="CO78" s="65" t="s">
        <v>1953</v>
      </c>
      <c r="CP78" s="65" t="s">
        <v>1953</v>
      </c>
      <c r="CQ78" s="65" t="s">
        <v>1953</v>
      </c>
      <c r="CR78" s="65" t="s">
        <v>1953</v>
      </c>
      <c r="CS78" s="65" t="s">
        <v>1953</v>
      </c>
      <c r="CT78" s="65" t="s">
        <v>1953</v>
      </c>
      <c r="CU78" s="65" t="s">
        <v>1953</v>
      </c>
      <c r="CV78" s="65" t="s">
        <v>1953</v>
      </c>
      <c r="CW78" s="65" t="s">
        <v>1953</v>
      </c>
      <c r="CX78" s="65" t="s">
        <v>1953</v>
      </c>
      <c r="CY78" s="65" t="s">
        <v>1953</v>
      </c>
      <c r="CZ78" s="65" t="s">
        <v>1953</v>
      </c>
      <c r="DA78" s="65" t="s">
        <v>1953</v>
      </c>
    </row>
    <row r="79" spans="1:105">
      <c r="AV79" t="s">
        <v>2896</v>
      </c>
      <c r="AW79" t="str">
        <f>IFERROR(HLOOKUP($AW$1,Table3[[#All],[India]:[Dominican Republic]],ROW(Table3[[#This Row],[Default]])-1,0),"True")</f>
        <v>True</v>
      </c>
      <c r="AX79" s="65" t="s">
        <v>1953</v>
      </c>
      <c r="AY79" s="65" t="s">
        <v>1953</v>
      </c>
      <c r="AZ79" s="65" t="s">
        <v>1953</v>
      </c>
      <c r="BA79" s="65" t="s">
        <v>1953</v>
      </c>
      <c r="BB79" s="65" t="s">
        <v>1953</v>
      </c>
      <c r="BC79" s="65" t="s">
        <v>1953</v>
      </c>
      <c r="BD79" s="65" t="s">
        <v>1953</v>
      </c>
      <c r="BE79" s="65" t="s">
        <v>1953</v>
      </c>
      <c r="BF79" s="65" t="s">
        <v>1953</v>
      </c>
      <c r="BG79" s="65" t="s">
        <v>1953</v>
      </c>
      <c r="BH79" s="65" t="s">
        <v>1953</v>
      </c>
      <c r="BI79" s="65" t="s">
        <v>1953</v>
      </c>
      <c r="BJ79" s="65" t="s">
        <v>1953</v>
      </c>
      <c r="BK79" s="65" t="s">
        <v>1953</v>
      </c>
      <c r="BL79" s="65" t="s">
        <v>1953</v>
      </c>
      <c r="BM79" s="65" t="s">
        <v>1953</v>
      </c>
      <c r="BN79" s="65" t="s">
        <v>1953</v>
      </c>
      <c r="BO79" s="65" t="s">
        <v>1953</v>
      </c>
      <c r="BP79" s="65" t="s">
        <v>1953</v>
      </c>
      <c r="BQ79" s="65" t="s">
        <v>1953</v>
      </c>
      <c r="BR79" s="65" t="s">
        <v>1953</v>
      </c>
      <c r="BS79" s="65" t="s">
        <v>1953</v>
      </c>
      <c r="BT79" s="65" t="s">
        <v>1953</v>
      </c>
      <c r="BU79" s="65" t="s">
        <v>1953</v>
      </c>
      <c r="BV79" s="65" t="s">
        <v>1953</v>
      </c>
      <c r="BW79" s="65" t="s">
        <v>1953</v>
      </c>
      <c r="BZ79" s="83" t="s">
        <v>5015</v>
      </c>
      <c r="CA79" t="str">
        <f>IFERROR(HLOOKUP($CA$1,Table4[[#All],[India]:[Dominican Republic]],ROW(Table4[[#This Row],[Default]])-1,0),"True")</f>
        <v>True</v>
      </c>
      <c r="CB79" s="65" t="s">
        <v>1954</v>
      </c>
      <c r="CC79" s="65" t="s">
        <v>1953</v>
      </c>
      <c r="CD79" s="65" t="s">
        <v>1953</v>
      </c>
      <c r="CE79" s="65" t="s">
        <v>1953</v>
      </c>
      <c r="CF79" s="65" t="s">
        <v>1953</v>
      </c>
      <c r="CG79" s="65" t="s">
        <v>1953</v>
      </c>
      <c r="CH79" s="65" t="s">
        <v>1953</v>
      </c>
      <c r="CI79" s="65" t="s">
        <v>1953</v>
      </c>
      <c r="CJ79" s="65" t="s">
        <v>1953</v>
      </c>
      <c r="CK79" s="65" t="s">
        <v>1953</v>
      </c>
      <c r="CL79" s="65" t="s">
        <v>1953</v>
      </c>
      <c r="CM79" s="65" t="s">
        <v>1953</v>
      </c>
      <c r="CN79" s="65" t="s">
        <v>1953</v>
      </c>
      <c r="CO79" s="65" t="s">
        <v>1953</v>
      </c>
      <c r="CP79" s="65" t="s">
        <v>1953</v>
      </c>
      <c r="CQ79" s="65" t="s">
        <v>1953</v>
      </c>
      <c r="CR79" s="65" t="s">
        <v>1953</v>
      </c>
      <c r="CS79" s="65" t="s">
        <v>1953</v>
      </c>
      <c r="CT79" s="65" t="s">
        <v>1953</v>
      </c>
      <c r="CU79" s="65" t="s">
        <v>1953</v>
      </c>
      <c r="CV79" s="65" t="s">
        <v>1953</v>
      </c>
      <c r="CW79" s="65" t="s">
        <v>1953</v>
      </c>
      <c r="CX79" s="65" t="s">
        <v>1953</v>
      </c>
      <c r="CY79" s="65" t="s">
        <v>1953</v>
      </c>
      <c r="CZ79" s="65" t="s">
        <v>1953</v>
      </c>
      <c r="DA79" s="65" t="s">
        <v>1953</v>
      </c>
    </row>
    <row r="80" spans="1:105">
      <c r="AV80" t="s">
        <v>2870</v>
      </c>
      <c r="AW80" t="str">
        <f>IFERROR(HLOOKUP($AW$1,Table3[[#All],[India]:[Dominican Republic]],ROW(Table3[[#This Row],[Default]])-1,0),"True")</f>
        <v>True</v>
      </c>
      <c r="AX80" s="65" t="s">
        <v>1953</v>
      </c>
      <c r="AY80" s="65" t="s">
        <v>1953</v>
      </c>
      <c r="AZ80" s="65" t="s">
        <v>1953</v>
      </c>
      <c r="BA80" s="65" t="s">
        <v>1953</v>
      </c>
      <c r="BB80" s="65" t="s">
        <v>1953</v>
      </c>
      <c r="BC80" s="65" t="s">
        <v>1953</v>
      </c>
      <c r="BD80" s="65" t="s">
        <v>1953</v>
      </c>
      <c r="BE80" s="65" t="s">
        <v>1953</v>
      </c>
      <c r="BF80" s="65" t="s">
        <v>1953</v>
      </c>
      <c r="BG80" s="65" t="s">
        <v>1953</v>
      </c>
      <c r="BH80" s="65" t="s">
        <v>1953</v>
      </c>
      <c r="BI80" s="65" t="s">
        <v>1953</v>
      </c>
      <c r="BJ80" s="65" t="s">
        <v>1953</v>
      </c>
      <c r="BK80" s="65" t="s">
        <v>1953</v>
      </c>
      <c r="BL80" s="65" t="s">
        <v>1953</v>
      </c>
      <c r="BM80" s="65" t="s">
        <v>1953</v>
      </c>
      <c r="BN80" s="65" t="s">
        <v>1953</v>
      </c>
      <c r="BO80" s="65" t="s">
        <v>1953</v>
      </c>
      <c r="BP80" s="65" t="s">
        <v>1953</v>
      </c>
      <c r="BQ80" s="65" t="s">
        <v>1953</v>
      </c>
      <c r="BR80" s="65" t="s">
        <v>1953</v>
      </c>
      <c r="BS80" s="65" t="s">
        <v>1953</v>
      </c>
      <c r="BT80" s="65" t="s">
        <v>1953</v>
      </c>
      <c r="BU80" s="65" t="s">
        <v>1953</v>
      </c>
      <c r="BV80" s="65" t="s">
        <v>1953</v>
      </c>
      <c r="BW80" s="65" t="s">
        <v>1953</v>
      </c>
      <c r="BZ80" s="83" t="s">
        <v>5016</v>
      </c>
      <c r="CA80" t="str">
        <f>IFERROR(HLOOKUP($CA$1,Table4[[#All],[India]:[Dominican Republic]],ROW(Table4[[#This Row],[Default]])-1,0),"True")</f>
        <v>True</v>
      </c>
      <c r="CB80" s="65" t="s">
        <v>1954</v>
      </c>
      <c r="CC80" s="65" t="s">
        <v>1953</v>
      </c>
      <c r="CD80" s="65" t="s">
        <v>1953</v>
      </c>
      <c r="CE80" s="65" t="s">
        <v>1953</v>
      </c>
      <c r="CF80" s="65" t="s">
        <v>1953</v>
      </c>
      <c r="CG80" s="65" t="s">
        <v>1953</v>
      </c>
      <c r="CH80" s="65" t="s">
        <v>1953</v>
      </c>
      <c r="CI80" s="65" t="s">
        <v>1953</v>
      </c>
      <c r="CJ80" s="65" t="s">
        <v>1953</v>
      </c>
      <c r="CK80" s="65" t="s">
        <v>1953</v>
      </c>
      <c r="CL80" s="65" t="s">
        <v>1953</v>
      </c>
      <c r="CM80" s="65" t="s">
        <v>1953</v>
      </c>
      <c r="CN80" s="65" t="s">
        <v>1953</v>
      </c>
      <c r="CO80" s="65" t="s">
        <v>1953</v>
      </c>
      <c r="CP80" s="65" t="s">
        <v>1953</v>
      </c>
      <c r="CQ80" s="65" t="s">
        <v>1953</v>
      </c>
      <c r="CR80" s="65" t="s">
        <v>1953</v>
      </c>
      <c r="CS80" s="65" t="s">
        <v>1953</v>
      </c>
      <c r="CT80" s="65" t="s">
        <v>1953</v>
      </c>
      <c r="CU80" s="65" t="s">
        <v>1953</v>
      </c>
      <c r="CV80" s="65" t="s">
        <v>1953</v>
      </c>
      <c r="CW80" s="65" t="s">
        <v>1953</v>
      </c>
      <c r="CX80" s="65" t="s">
        <v>1953</v>
      </c>
      <c r="CY80" s="65" t="s">
        <v>1953</v>
      </c>
      <c r="CZ80" s="65" t="s">
        <v>1953</v>
      </c>
      <c r="DA80" s="65" t="s">
        <v>1953</v>
      </c>
    </row>
    <row r="81" spans="48:105">
      <c r="AV81" t="s">
        <v>2794</v>
      </c>
      <c r="AW81" t="str">
        <f>IFERROR(HLOOKUP($AW$1,Table3[[#All],[India]:[Dominican Republic]],ROW(Table3[[#This Row],[Default]])-1,0),"True")</f>
        <v>True</v>
      </c>
      <c r="AX81" s="65" t="s">
        <v>1953</v>
      </c>
      <c r="AY81" s="65" t="s">
        <v>1953</v>
      </c>
      <c r="AZ81" s="65" t="s">
        <v>1953</v>
      </c>
      <c r="BA81" s="65" t="s">
        <v>1953</v>
      </c>
      <c r="BB81" s="65" t="s">
        <v>1953</v>
      </c>
      <c r="BC81" s="65" t="s">
        <v>1953</v>
      </c>
      <c r="BD81" s="65" t="s">
        <v>1953</v>
      </c>
      <c r="BE81" s="65" t="s">
        <v>1953</v>
      </c>
      <c r="BF81" s="65" t="s">
        <v>1953</v>
      </c>
      <c r="BG81" s="65" t="s">
        <v>1953</v>
      </c>
      <c r="BH81" s="65" t="s">
        <v>1953</v>
      </c>
      <c r="BI81" s="65" t="s">
        <v>1953</v>
      </c>
      <c r="BJ81" s="65" t="s">
        <v>1953</v>
      </c>
      <c r="BK81" s="65" t="s">
        <v>1953</v>
      </c>
      <c r="BL81" s="65" t="s">
        <v>1953</v>
      </c>
      <c r="BM81" s="65" t="s">
        <v>1953</v>
      </c>
      <c r="BN81" s="65" t="s">
        <v>1953</v>
      </c>
      <c r="BO81" s="65" t="s">
        <v>1953</v>
      </c>
      <c r="BP81" s="65" t="s">
        <v>1953</v>
      </c>
      <c r="BQ81" s="65" t="s">
        <v>1953</v>
      </c>
      <c r="BR81" s="65" t="s">
        <v>1953</v>
      </c>
      <c r="BS81" s="65" t="s">
        <v>1953</v>
      </c>
      <c r="BT81" s="65" t="s">
        <v>1953</v>
      </c>
      <c r="BU81" s="65" t="s">
        <v>1953</v>
      </c>
      <c r="BV81" s="65" t="s">
        <v>1953</v>
      </c>
      <c r="BW81" s="65" t="s">
        <v>1953</v>
      </c>
      <c r="BZ81" s="83" t="s">
        <v>5017</v>
      </c>
      <c r="CA81" t="str">
        <f>IFERROR(HLOOKUP($CA$1,Table4[[#All],[India]:[Dominican Republic]],ROW(Table4[[#This Row],[Default]])-1,0),"True")</f>
        <v>True</v>
      </c>
      <c r="CB81" s="65" t="s">
        <v>1954</v>
      </c>
      <c r="CC81" s="65" t="s">
        <v>1953</v>
      </c>
      <c r="CD81" s="65" t="s">
        <v>1953</v>
      </c>
      <c r="CE81" s="65" t="s">
        <v>1953</v>
      </c>
      <c r="CF81" s="65" t="s">
        <v>1953</v>
      </c>
      <c r="CG81" s="65" t="s">
        <v>1953</v>
      </c>
      <c r="CH81" s="65" t="s">
        <v>1953</v>
      </c>
      <c r="CI81" s="65" t="s">
        <v>1953</v>
      </c>
      <c r="CJ81" s="65" t="s">
        <v>1953</v>
      </c>
      <c r="CK81" s="65" t="s">
        <v>1953</v>
      </c>
      <c r="CL81" s="65" t="s">
        <v>1953</v>
      </c>
      <c r="CM81" s="65" t="s">
        <v>1953</v>
      </c>
      <c r="CN81" s="65" t="s">
        <v>1953</v>
      </c>
      <c r="CO81" s="65" t="s">
        <v>1953</v>
      </c>
      <c r="CP81" s="65" t="s">
        <v>1953</v>
      </c>
      <c r="CQ81" s="65" t="s">
        <v>1953</v>
      </c>
      <c r="CR81" s="65" t="s">
        <v>1953</v>
      </c>
      <c r="CS81" s="65" t="s">
        <v>1953</v>
      </c>
      <c r="CT81" s="65" t="s">
        <v>1953</v>
      </c>
      <c r="CU81" s="65" t="s">
        <v>1953</v>
      </c>
      <c r="CV81" s="65" t="s">
        <v>1953</v>
      </c>
      <c r="CW81" s="65" t="s">
        <v>1953</v>
      </c>
      <c r="CX81" s="65" t="s">
        <v>1953</v>
      </c>
      <c r="CY81" s="65" t="s">
        <v>1953</v>
      </c>
      <c r="CZ81" s="65" t="s">
        <v>1953</v>
      </c>
      <c r="DA81" s="65" t="s">
        <v>1953</v>
      </c>
    </row>
    <row r="82" spans="48:105">
      <c r="AV82" t="s">
        <v>3291</v>
      </c>
      <c r="AW82" t="str">
        <f>IFERROR(HLOOKUP($AW$1,Table3[[#All],[India]:[Dominican Republic]],ROW(Table3[[#This Row],[Default]])-1,0),"True")</f>
        <v>True</v>
      </c>
      <c r="AX82" s="65" t="s">
        <v>1953</v>
      </c>
      <c r="AY82" s="65" t="s">
        <v>1953</v>
      </c>
      <c r="AZ82" s="65" t="s">
        <v>1953</v>
      </c>
      <c r="BA82" s="65" t="s">
        <v>1953</v>
      </c>
      <c r="BB82" s="65" t="s">
        <v>1953</v>
      </c>
      <c r="BC82" s="65" t="s">
        <v>1953</v>
      </c>
      <c r="BD82" s="65" t="s">
        <v>1953</v>
      </c>
      <c r="BE82" s="65" t="s">
        <v>1953</v>
      </c>
      <c r="BF82" s="65" t="s">
        <v>1953</v>
      </c>
      <c r="BG82" s="65" t="s">
        <v>1953</v>
      </c>
      <c r="BH82" s="65" t="s">
        <v>1953</v>
      </c>
      <c r="BI82" s="65" t="s">
        <v>1953</v>
      </c>
      <c r="BJ82" s="65" t="s">
        <v>1953</v>
      </c>
      <c r="BK82" s="65" t="s">
        <v>1953</v>
      </c>
      <c r="BL82" s="65" t="s">
        <v>1953</v>
      </c>
      <c r="BM82" s="65" t="s">
        <v>1953</v>
      </c>
      <c r="BN82" s="65" t="s">
        <v>1953</v>
      </c>
      <c r="BO82" s="65" t="s">
        <v>1953</v>
      </c>
      <c r="BP82" s="65" t="s">
        <v>1953</v>
      </c>
      <c r="BQ82" s="65" t="s">
        <v>1953</v>
      </c>
      <c r="BR82" s="65" t="s">
        <v>1953</v>
      </c>
      <c r="BS82" s="65" t="s">
        <v>1953</v>
      </c>
      <c r="BT82" s="65" t="s">
        <v>1953</v>
      </c>
      <c r="BU82" s="65" t="s">
        <v>1953</v>
      </c>
      <c r="BV82" s="65" t="s">
        <v>1953</v>
      </c>
      <c r="BW82" s="65" t="s">
        <v>1953</v>
      </c>
      <c r="BZ82" s="83" t="s">
        <v>5018</v>
      </c>
      <c r="CA82" t="str">
        <f>IFERROR(HLOOKUP($CA$1,Table4[[#All],[India]:[Dominican Republic]],ROW(Table4[[#This Row],[Default]])-1,0),"True")</f>
        <v>True</v>
      </c>
      <c r="CB82" s="65" t="s">
        <v>1954</v>
      </c>
      <c r="CC82" s="65" t="s">
        <v>1953</v>
      </c>
      <c r="CD82" s="65" t="s">
        <v>1953</v>
      </c>
      <c r="CE82" s="65" t="s">
        <v>1953</v>
      </c>
      <c r="CF82" s="65" t="s">
        <v>1953</v>
      </c>
      <c r="CG82" s="65" t="s">
        <v>1953</v>
      </c>
      <c r="CH82" s="65" t="s">
        <v>1953</v>
      </c>
      <c r="CI82" s="65" t="s">
        <v>1953</v>
      </c>
      <c r="CJ82" s="65" t="s">
        <v>1953</v>
      </c>
      <c r="CK82" s="65" t="s">
        <v>1953</v>
      </c>
      <c r="CL82" s="65" t="s">
        <v>1953</v>
      </c>
      <c r="CM82" s="65" t="s">
        <v>1953</v>
      </c>
      <c r="CN82" s="65" t="s">
        <v>1953</v>
      </c>
      <c r="CO82" s="65" t="s">
        <v>1953</v>
      </c>
      <c r="CP82" s="65" t="s">
        <v>1953</v>
      </c>
      <c r="CQ82" s="65" t="s">
        <v>1953</v>
      </c>
      <c r="CR82" s="65" t="s">
        <v>1953</v>
      </c>
      <c r="CS82" s="65" t="s">
        <v>1953</v>
      </c>
      <c r="CT82" s="65" t="s">
        <v>1953</v>
      </c>
      <c r="CU82" s="65" t="s">
        <v>1953</v>
      </c>
      <c r="CV82" s="65" t="s">
        <v>1953</v>
      </c>
      <c r="CW82" s="65" t="s">
        <v>1953</v>
      </c>
      <c r="CX82" s="65" t="s">
        <v>1953</v>
      </c>
      <c r="CY82" s="65" t="s">
        <v>1953</v>
      </c>
      <c r="CZ82" s="65" t="s">
        <v>1953</v>
      </c>
      <c r="DA82" s="65" t="s">
        <v>1953</v>
      </c>
    </row>
    <row r="83" spans="48:105">
      <c r="AV83" t="s">
        <v>1902</v>
      </c>
      <c r="AW83" t="str">
        <f>IFERROR(HLOOKUP($AW$1,Table3[[#All],[India]:[Dominican Republic]],ROW(Table3[[#This Row],[Default]])-1,0),"True")</f>
        <v>True</v>
      </c>
      <c r="AX83" s="65" t="s">
        <v>1953</v>
      </c>
      <c r="AY83" s="65" t="s">
        <v>1953</v>
      </c>
      <c r="AZ83" s="65" t="s">
        <v>1953</v>
      </c>
      <c r="BA83" s="65" t="s">
        <v>1953</v>
      </c>
      <c r="BB83" s="65" t="s">
        <v>1953</v>
      </c>
      <c r="BC83" s="65" t="s">
        <v>1953</v>
      </c>
      <c r="BD83" s="65" t="s">
        <v>1953</v>
      </c>
      <c r="BE83" s="65" t="s">
        <v>1953</v>
      </c>
      <c r="BF83" s="65" t="s">
        <v>1953</v>
      </c>
      <c r="BG83" s="65" t="s">
        <v>1953</v>
      </c>
      <c r="BH83" s="65" t="s">
        <v>1953</v>
      </c>
      <c r="BI83" s="65" t="s">
        <v>1953</v>
      </c>
      <c r="BJ83" s="65" t="s">
        <v>1953</v>
      </c>
      <c r="BK83" s="65" t="s">
        <v>1953</v>
      </c>
      <c r="BL83" s="65" t="s">
        <v>1953</v>
      </c>
      <c r="BM83" s="65" t="s">
        <v>1953</v>
      </c>
      <c r="BN83" s="65" t="s">
        <v>1953</v>
      </c>
      <c r="BO83" s="65" t="s">
        <v>1953</v>
      </c>
      <c r="BP83" s="65" t="s">
        <v>1953</v>
      </c>
      <c r="BQ83" s="65" t="s">
        <v>1953</v>
      </c>
      <c r="BR83" s="65" t="s">
        <v>1953</v>
      </c>
      <c r="BS83" s="65" t="s">
        <v>1953</v>
      </c>
      <c r="BT83" s="65" t="s">
        <v>1953</v>
      </c>
      <c r="BU83" s="65" t="s">
        <v>1953</v>
      </c>
      <c r="BV83" s="65" t="s">
        <v>1953</v>
      </c>
      <c r="BW83" s="65" t="s">
        <v>1953</v>
      </c>
      <c r="BZ83" s="83" t="s">
        <v>5019</v>
      </c>
      <c r="CA83" t="str">
        <f>IFERROR(HLOOKUP($CA$1,Table4[[#All],[India]:[Dominican Republic]],ROW(Table4[[#This Row],[Default]])-1,0),"True")</f>
        <v>True</v>
      </c>
      <c r="CB83" s="65" t="s">
        <v>1954</v>
      </c>
      <c r="CC83" s="65" t="s">
        <v>1953</v>
      </c>
      <c r="CD83" s="65" t="s">
        <v>1953</v>
      </c>
      <c r="CE83" s="65" t="s">
        <v>1953</v>
      </c>
      <c r="CF83" s="65" t="s">
        <v>1953</v>
      </c>
      <c r="CG83" s="65" t="s">
        <v>1953</v>
      </c>
      <c r="CH83" s="65" t="s">
        <v>1953</v>
      </c>
      <c r="CI83" s="65" t="s">
        <v>1953</v>
      </c>
      <c r="CJ83" s="65" t="s">
        <v>1953</v>
      </c>
      <c r="CK83" s="65" t="s">
        <v>1953</v>
      </c>
      <c r="CL83" s="65" t="s">
        <v>1953</v>
      </c>
      <c r="CM83" s="65" t="s">
        <v>1953</v>
      </c>
      <c r="CN83" s="65" t="s">
        <v>1953</v>
      </c>
      <c r="CO83" s="65" t="s">
        <v>1953</v>
      </c>
      <c r="CP83" s="65" t="s">
        <v>1953</v>
      </c>
      <c r="CQ83" s="65" t="s">
        <v>1953</v>
      </c>
      <c r="CR83" s="65" t="s">
        <v>1953</v>
      </c>
      <c r="CS83" s="65" t="s">
        <v>1953</v>
      </c>
      <c r="CT83" s="65" t="s">
        <v>1953</v>
      </c>
      <c r="CU83" s="65" t="s">
        <v>1953</v>
      </c>
      <c r="CV83" s="65" t="s">
        <v>1953</v>
      </c>
      <c r="CW83" s="65" t="s">
        <v>1953</v>
      </c>
      <c r="CX83" s="65" t="s">
        <v>1953</v>
      </c>
      <c r="CY83" s="65" t="s">
        <v>1953</v>
      </c>
      <c r="CZ83" s="65" t="s">
        <v>1953</v>
      </c>
      <c r="DA83" s="65" t="s">
        <v>1953</v>
      </c>
    </row>
    <row r="84" spans="48:105">
      <c r="AV84" t="s">
        <v>4669</v>
      </c>
      <c r="AW84" t="str">
        <f>IFERROR(HLOOKUP($AW$1,Table3[[#All],[India]:[Dominican Republic]],ROW(Table3[[#This Row],[Default]])-1,0),"True")</f>
        <v>False</v>
      </c>
      <c r="AX84" s="65" t="s">
        <v>1954</v>
      </c>
      <c r="AY84" s="65" t="s">
        <v>1954</v>
      </c>
      <c r="AZ84" s="65" t="s">
        <v>1954</v>
      </c>
      <c r="BA84" s="65" t="s">
        <v>1954</v>
      </c>
      <c r="BB84" s="65" t="s">
        <v>1954</v>
      </c>
      <c r="BC84" s="65" t="s">
        <v>1954</v>
      </c>
      <c r="BD84" s="65" t="s">
        <v>1954</v>
      </c>
      <c r="BE84" s="65" t="s">
        <v>1954</v>
      </c>
      <c r="BF84" s="65" t="s">
        <v>1954</v>
      </c>
      <c r="BG84" s="65" t="s">
        <v>1954</v>
      </c>
      <c r="BH84" s="65" t="s">
        <v>1954</v>
      </c>
      <c r="BI84" s="65" t="s">
        <v>1954</v>
      </c>
      <c r="BJ84" s="65" t="s">
        <v>1954</v>
      </c>
      <c r="BK84" s="65" t="s">
        <v>1954</v>
      </c>
      <c r="BL84" s="65" t="s">
        <v>1954</v>
      </c>
      <c r="BM84" s="65" t="s">
        <v>1954</v>
      </c>
      <c r="BN84" s="65" t="s">
        <v>1954</v>
      </c>
      <c r="BO84" s="65" t="s">
        <v>1953</v>
      </c>
      <c r="BP84" s="65" t="s">
        <v>1954</v>
      </c>
      <c r="BQ84" s="65" t="s">
        <v>1954</v>
      </c>
      <c r="BR84" s="65" t="s">
        <v>1954</v>
      </c>
      <c r="BS84" s="65" t="s">
        <v>1954</v>
      </c>
      <c r="BT84" s="65" t="s">
        <v>1954</v>
      </c>
      <c r="BU84" s="65" t="s">
        <v>1954</v>
      </c>
      <c r="BV84" s="65" t="s">
        <v>1954</v>
      </c>
      <c r="BW84" s="65" t="s">
        <v>1954</v>
      </c>
      <c r="BZ84" s="83" t="s">
        <v>5040</v>
      </c>
      <c r="CA84" t="str">
        <f>IFERROR(HLOOKUP($CA$1,Table4[[#All],[India]:[Dominican Republic]],ROW(Table4[[#This Row],[Default]])-1,0),"True")</f>
        <v>True</v>
      </c>
      <c r="CB84" s="65" t="s">
        <v>1954</v>
      </c>
      <c r="CC84" s="65" t="s">
        <v>1953</v>
      </c>
      <c r="CD84" s="65" t="s">
        <v>1954</v>
      </c>
      <c r="CE84" s="65" t="s">
        <v>1953</v>
      </c>
      <c r="CF84" s="65" t="s">
        <v>1953</v>
      </c>
      <c r="CG84" s="65" t="s">
        <v>1953</v>
      </c>
      <c r="CH84" s="65" t="s">
        <v>1954</v>
      </c>
      <c r="CI84" s="65" t="s">
        <v>1953</v>
      </c>
      <c r="CJ84" s="65" t="s">
        <v>1953</v>
      </c>
      <c r="CK84" s="65" t="s">
        <v>1953</v>
      </c>
      <c r="CL84" s="65" t="s">
        <v>1953</v>
      </c>
      <c r="CM84" s="65" t="s">
        <v>1953</v>
      </c>
      <c r="CN84" s="65" t="s">
        <v>1953</v>
      </c>
      <c r="CO84" s="65" t="s">
        <v>1953</v>
      </c>
      <c r="CP84" s="65" t="s">
        <v>1953</v>
      </c>
      <c r="CQ84" s="65" t="s">
        <v>1953</v>
      </c>
      <c r="CR84" s="65" t="s">
        <v>1953</v>
      </c>
      <c r="CS84" s="65" t="s">
        <v>1953</v>
      </c>
      <c r="CT84" s="65" t="s">
        <v>1953</v>
      </c>
      <c r="CU84" s="65" t="s">
        <v>1953</v>
      </c>
      <c r="CV84" s="65" t="s">
        <v>1953</v>
      </c>
      <c r="CW84" s="65" t="s">
        <v>1953</v>
      </c>
      <c r="CX84" s="65" t="s">
        <v>1953</v>
      </c>
      <c r="CY84" s="65" t="s">
        <v>1953</v>
      </c>
      <c r="CZ84" s="65" t="s">
        <v>1953</v>
      </c>
      <c r="DA84" s="65" t="s">
        <v>1953</v>
      </c>
    </row>
    <row r="85" spans="48:105">
      <c r="AV85" t="s">
        <v>4668</v>
      </c>
      <c r="AW85" t="str">
        <f>IFERROR(HLOOKUP($AW$1,Table3[[#All],[India]:[Dominican Republic]],ROW(Table3[[#This Row],[Default]])-1,0),"True")</f>
        <v>False</v>
      </c>
      <c r="AX85" s="65" t="s">
        <v>1954</v>
      </c>
      <c r="AY85" s="65" t="s">
        <v>1953</v>
      </c>
      <c r="AZ85" s="65" t="s">
        <v>1954</v>
      </c>
      <c r="BA85" s="65" t="s">
        <v>1954</v>
      </c>
      <c r="BB85" s="65" t="s">
        <v>1954</v>
      </c>
      <c r="BC85" s="65" t="s">
        <v>1953</v>
      </c>
      <c r="BD85" s="65" t="s">
        <v>1954</v>
      </c>
      <c r="BE85" s="65" t="s">
        <v>1954</v>
      </c>
      <c r="BF85" s="65" t="s">
        <v>1953</v>
      </c>
      <c r="BG85" s="65" t="s">
        <v>1954</v>
      </c>
      <c r="BH85" s="65" t="s">
        <v>1953</v>
      </c>
      <c r="BI85" s="65" t="s">
        <v>1953</v>
      </c>
      <c r="BJ85" s="65" t="s">
        <v>1953</v>
      </c>
      <c r="BK85" s="65" t="s">
        <v>1953</v>
      </c>
      <c r="BL85" s="65" t="s">
        <v>1953</v>
      </c>
      <c r="BM85" s="65" t="s">
        <v>1953</v>
      </c>
      <c r="BN85" s="65" t="s">
        <v>1953</v>
      </c>
      <c r="BO85" s="65" t="s">
        <v>1953</v>
      </c>
      <c r="BP85" s="65" t="s">
        <v>1953</v>
      </c>
      <c r="BQ85" s="65" t="s">
        <v>1953</v>
      </c>
      <c r="BR85" s="65" t="s">
        <v>1953</v>
      </c>
      <c r="BS85" s="65" t="s">
        <v>1953</v>
      </c>
      <c r="BT85" s="65" t="s">
        <v>1953</v>
      </c>
      <c r="BU85" s="65" t="s">
        <v>1953</v>
      </c>
      <c r="BV85" s="65" t="s">
        <v>1953</v>
      </c>
      <c r="BW85" s="65" t="s">
        <v>1953</v>
      </c>
      <c r="BZ85" s="83" t="s">
        <v>1911</v>
      </c>
      <c r="CA85" t="str">
        <f>IFERROR(HLOOKUP($CA$1,Table4[[#All],[India]:[Dominican Republic]],ROW(Table4[[#This Row],[Default]])-1,0),"True")</f>
        <v>True</v>
      </c>
      <c r="CB85" s="65" t="s">
        <v>1954</v>
      </c>
      <c r="CC85" s="65" t="s">
        <v>1953</v>
      </c>
      <c r="CD85" s="65" t="s">
        <v>1953</v>
      </c>
      <c r="CE85" s="65" t="s">
        <v>1953</v>
      </c>
      <c r="CF85" s="65" t="s">
        <v>1953</v>
      </c>
      <c r="CG85" s="65" t="s">
        <v>1953</v>
      </c>
      <c r="CH85" s="65" t="s">
        <v>1953</v>
      </c>
      <c r="CI85" s="65" t="s">
        <v>1953</v>
      </c>
      <c r="CJ85" s="65" t="s">
        <v>1953</v>
      </c>
      <c r="CK85" s="65" t="s">
        <v>1953</v>
      </c>
      <c r="CL85" s="65" t="s">
        <v>1953</v>
      </c>
      <c r="CM85" s="65" t="s">
        <v>1953</v>
      </c>
      <c r="CN85" s="65" t="s">
        <v>1953</v>
      </c>
      <c r="CO85" s="65" t="s">
        <v>1953</v>
      </c>
      <c r="CP85" s="65" t="s">
        <v>1953</v>
      </c>
      <c r="CQ85" s="65" t="s">
        <v>1953</v>
      </c>
      <c r="CR85" s="65" t="s">
        <v>1953</v>
      </c>
      <c r="CS85" s="65" t="s">
        <v>1953</v>
      </c>
      <c r="CT85" s="65" t="s">
        <v>1953</v>
      </c>
      <c r="CU85" s="65" t="s">
        <v>1953</v>
      </c>
      <c r="CV85" s="65" t="s">
        <v>1953</v>
      </c>
      <c r="CW85" s="65" t="s">
        <v>1953</v>
      </c>
      <c r="CX85" s="65" t="s">
        <v>1953</v>
      </c>
      <c r="CY85" s="65" t="s">
        <v>1953</v>
      </c>
      <c r="CZ85" s="65" t="s">
        <v>1953</v>
      </c>
      <c r="DA85" s="65" t="s">
        <v>1953</v>
      </c>
    </row>
    <row r="86" spans="48:105">
      <c r="AV86" t="s">
        <v>4678</v>
      </c>
      <c r="AW86" t="str">
        <f>IFERROR(HLOOKUP($AW$1,Table3[[#All],[India]:[Dominican Republic]],ROW(Table3[[#This Row],[Default]])-1,0),"True")</f>
        <v>False</v>
      </c>
      <c r="AX86" s="65" t="s">
        <v>1953</v>
      </c>
      <c r="AY86" s="65" t="s">
        <v>1954</v>
      </c>
      <c r="AZ86" s="65" t="s">
        <v>1953</v>
      </c>
      <c r="BA86" s="65" t="s">
        <v>1953</v>
      </c>
      <c r="BB86" s="65" t="s">
        <v>1953</v>
      </c>
      <c r="BC86" s="65" t="s">
        <v>1953</v>
      </c>
      <c r="BD86" s="65" t="s">
        <v>1954</v>
      </c>
      <c r="BE86" s="65" t="s">
        <v>1953</v>
      </c>
      <c r="BF86" s="65" t="s">
        <v>1953</v>
      </c>
      <c r="BG86" s="65" t="s">
        <v>1953</v>
      </c>
      <c r="BH86" s="65" t="s">
        <v>1953</v>
      </c>
      <c r="BI86" s="65" t="s">
        <v>1953</v>
      </c>
      <c r="BJ86" s="65" t="s">
        <v>1953</v>
      </c>
      <c r="BK86" s="65" t="s">
        <v>1953</v>
      </c>
      <c r="BL86" s="65" t="s">
        <v>1954</v>
      </c>
      <c r="BM86" s="65" t="s">
        <v>1953</v>
      </c>
      <c r="BN86" s="65" t="s">
        <v>1953</v>
      </c>
      <c r="BO86" s="65" t="s">
        <v>1953</v>
      </c>
      <c r="BP86" s="65" t="s">
        <v>1953</v>
      </c>
      <c r="BQ86" s="65" t="s">
        <v>1953</v>
      </c>
      <c r="BR86" s="65" t="s">
        <v>1953</v>
      </c>
      <c r="BS86" s="65" t="s">
        <v>1953</v>
      </c>
      <c r="BT86" s="65" t="s">
        <v>1953</v>
      </c>
      <c r="BU86" s="65" t="s">
        <v>1953</v>
      </c>
      <c r="BV86" s="65" t="s">
        <v>1953</v>
      </c>
      <c r="BW86" s="65" t="s">
        <v>1953</v>
      </c>
      <c r="BZ86" s="83" t="s">
        <v>5020</v>
      </c>
      <c r="CA86" t="str">
        <f>IFERROR(HLOOKUP($CA$1,Table4[[#All],[India]:[Dominican Republic]],ROW(Table4[[#This Row],[Default]])-1,0),"True")</f>
        <v>True</v>
      </c>
      <c r="CB86" s="65" t="s">
        <v>1954</v>
      </c>
      <c r="CC86" s="65" t="s">
        <v>1953</v>
      </c>
      <c r="CD86" s="65" t="s">
        <v>1953</v>
      </c>
      <c r="CE86" s="65" t="s">
        <v>1953</v>
      </c>
      <c r="CF86" s="65" t="s">
        <v>1953</v>
      </c>
      <c r="CG86" s="65" t="s">
        <v>1953</v>
      </c>
      <c r="CH86" s="65" t="s">
        <v>1953</v>
      </c>
      <c r="CI86" s="65" t="s">
        <v>1953</v>
      </c>
      <c r="CJ86" s="65" t="s">
        <v>1953</v>
      </c>
      <c r="CK86" s="65" t="s">
        <v>1953</v>
      </c>
      <c r="CL86" s="65" t="s">
        <v>1953</v>
      </c>
      <c r="CM86" s="65" t="s">
        <v>1953</v>
      </c>
      <c r="CN86" s="65" t="s">
        <v>1953</v>
      </c>
      <c r="CO86" s="65" t="s">
        <v>1953</v>
      </c>
      <c r="CP86" s="65" t="s">
        <v>1953</v>
      </c>
      <c r="CQ86" s="65" t="s">
        <v>1953</v>
      </c>
      <c r="CR86" s="65" t="s">
        <v>1953</v>
      </c>
      <c r="CS86" s="65" t="s">
        <v>1953</v>
      </c>
      <c r="CT86" s="65" t="s">
        <v>1953</v>
      </c>
      <c r="CU86" s="65" t="s">
        <v>1953</v>
      </c>
      <c r="CV86" s="65" t="s">
        <v>1953</v>
      </c>
      <c r="CW86" s="65" t="s">
        <v>1953</v>
      </c>
      <c r="CX86" s="65" t="s">
        <v>1953</v>
      </c>
      <c r="CY86" s="65" t="s">
        <v>1953</v>
      </c>
      <c r="CZ86" s="65" t="s">
        <v>1953</v>
      </c>
      <c r="DA86" s="65" t="s">
        <v>1953</v>
      </c>
    </row>
    <row r="87" spans="48:105">
      <c r="AV87" t="s">
        <v>4679</v>
      </c>
      <c r="AW87" t="str">
        <f>IFERROR(HLOOKUP($AW$1,Table3[[#All],[India]:[Dominican Republic]],ROW(Table3[[#This Row],[Default]])-1,0),"True")</f>
        <v>True</v>
      </c>
      <c r="AX87" s="65" t="s">
        <v>1953</v>
      </c>
      <c r="AY87" s="65" t="s">
        <v>1954</v>
      </c>
      <c r="AZ87" s="65" t="s">
        <v>1953</v>
      </c>
      <c r="BA87" s="65" t="s">
        <v>1953</v>
      </c>
      <c r="BB87" s="65" t="s">
        <v>1953</v>
      </c>
      <c r="BC87" s="65" t="s">
        <v>1953</v>
      </c>
      <c r="BD87" s="65" t="s">
        <v>1953</v>
      </c>
      <c r="BE87" s="65" t="s">
        <v>1953</v>
      </c>
      <c r="BF87" s="65" t="s">
        <v>1953</v>
      </c>
      <c r="BG87" s="65" t="s">
        <v>1953</v>
      </c>
      <c r="BH87" s="65" t="s">
        <v>1953</v>
      </c>
      <c r="BI87" s="65" t="s">
        <v>1953</v>
      </c>
      <c r="BJ87" s="65" t="s">
        <v>1953</v>
      </c>
      <c r="BK87" s="65" t="s">
        <v>1953</v>
      </c>
      <c r="BL87" s="65" t="s">
        <v>1953</v>
      </c>
      <c r="BM87" s="65" t="s">
        <v>1953</v>
      </c>
      <c r="BN87" s="65" t="s">
        <v>1953</v>
      </c>
      <c r="BO87" s="65" t="s">
        <v>1953</v>
      </c>
      <c r="BP87" s="65" t="s">
        <v>1953</v>
      </c>
      <c r="BQ87" s="65" t="s">
        <v>1953</v>
      </c>
      <c r="BR87" s="65" t="s">
        <v>1953</v>
      </c>
      <c r="BS87" s="65" t="s">
        <v>1953</v>
      </c>
      <c r="BT87" s="65" t="s">
        <v>1953</v>
      </c>
      <c r="BU87" s="65" t="s">
        <v>1953</v>
      </c>
      <c r="BV87" s="65" t="s">
        <v>1953</v>
      </c>
      <c r="BW87" s="65" t="s">
        <v>1953</v>
      </c>
      <c r="BZ87" t="s">
        <v>5021</v>
      </c>
      <c r="CA87" t="str">
        <f>IFERROR(HLOOKUP($CA$1,Table4[[#All],[India]:[Dominican Republic]],ROW(Table4[[#This Row],[Default]])-1,0),"True")</f>
        <v>True</v>
      </c>
      <c r="CB87" s="65" t="s">
        <v>1953</v>
      </c>
      <c r="CC87" s="65" t="s">
        <v>1954</v>
      </c>
      <c r="CD87" s="65" t="s">
        <v>1954</v>
      </c>
      <c r="CE87" s="65" t="s">
        <v>1953</v>
      </c>
      <c r="CF87" s="65" t="s">
        <v>1953</v>
      </c>
      <c r="CG87" s="65" t="s">
        <v>1953</v>
      </c>
      <c r="CH87" s="65" t="s">
        <v>1953</v>
      </c>
      <c r="CI87" s="65" t="s">
        <v>1954</v>
      </c>
      <c r="CJ87" s="65" t="s">
        <v>1954</v>
      </c>
      <c r="CK87" s="65" t="s">
        <v>1954</v>
      </c>
      <c r="CL87" s="65" t="s">
        <v>1953</v>
      </c>
      <c r="CM87" s="65" t="s">
        <v>1953</v>
      </c>
      <c r="CN87" s="65" t="s">
        <v>1953</v>
      </c>
      <c r="CO87" s="65" t="s">
        <v>1953</v>
      </c>
      <c r="CP87" s="65" t="s">
        <v>1953</v>
      </c>
      <c r="CQ87" s="65" t="s">
        <v>1953</v>
      </c>
      <c r="CR87" s="65" t="s">
        <v>1953</v>
      </c>
      <c r="CS87" s="65" t="s">
        <v>1953</v>
      </c>
      <c r="CT87" s="65" t="s">
        <v>1953</v>
      </c>
      <c r="CU87" s="65" t="s">
        <v>1953</v>
      </c>
      <c r="CV87" s="65" t="s">
        <v>1953</v>
      </c>
      <c r="CW87" s="65" t="s">
        <v>1953</v>
      </c>
      <c r="CX87" s="65" t="s">
        <v>1953</v>
      </c>
      <c r="CY87" s="65" t="s">
        <v>1953</v>
      </c>
      <c r="CZ87" s="65" t="s">
        <v>1953</v>
      </c>
      <c r="DA87" s="65" t="s">
        <v>1953</v>
      </c>
    </row>
    <row r="88" spans="48:105">
      <c r="AV88" t="s">
        <v>4681</v>
      </c>
      <c r="AW88" t="str">
        <f>IFERROR(HLOOKUP($AW$1,Table3[[#All],[India]:[Dominican Republic]],ROW(Table3[[#This Row],[Default]])-1,0),"True")</f>
        <v>True</v>
      </c>
      <c r="AX88" s="65" t="s">
        <v>1953</v>
      </c>
      <c r="AY88" s="65" t="s">
        <v>1954</v>
      </c>
      <c r="AZ88" s="65" t="s">
        <v>1953</v>
      </c>
      <c r="BA88" s="65" t="s">
        <v>1953</v>
      </c>
      <c r="BB88" s="65" t="s">
        <v>1953</v>
      </c>
      <c r="BC88" s="65" t="s">
        <v>1953</v>
      </c>
      <c r="BD88" s="65" t="s">
        <v>1953</v>
      </c>
      <c r="BE88" s="65" t="s">
        <v>1953</v>
      </c>
      <c r="BF88" s="65" t="s">
        <v>1953</v>
      </c>
      <c r="BG88" s="65" t="s">
        <v>1953</v>
      </c>
      <c r="BH88" s="65" t="s">
        <v>1953</v>
      </c>
      <c r="BI88" s="65" t="s">
        <v>1953</v>
      </c>
      <c r="BJ88" s="65" t="s">
        <v>1953</v>
      </c>
      <c r="BK88" s="65" t="s">
        <v>1953</v>
      </c>
      <c r="BL88" s="65" t="s">
        <v>1953</v>
      </c>
      <c r="BM88" s="65" t="s">
        <v>1953</v>
      </c>
      <c r="BN88" s="65" t="s">
        <v>1953</v>
      </c>
      <c r="BO88" s="65" t="s">
        <v>1953</v>
      </c>
      <c r="BP88" s="65" t="s">
        <v>1953</v>
      </c>
      <c r="BQ88" s="65" t="s">
        <v>1953</v>
      </c>
      <c r="BR88" s="65" t="s">
        <v>1953</v>
      </c>
      <c r="BS88" s="65" t="s">
        <v>1953</v>
      </c>
      <c r="BT88" s="65" t="s">
        <v>1953</v>
      </c>
      <c r="BU88" s="65" t="s">
        <v>1953</v>
      </c>
      <c r="BV88" s="65" t="s">
        <v>1953</v>
      </c>
      <c r="BW88" s="65" t="s">
        <v>1953</v>
      </c>
      <c r="BZ88" t="s">
        <v>5022</v>
      </c>
      <c r="CA88" t="str">
        <f>IFERROR(HLOOKUP($CA$1,Table4[[#All],[India]:[Dominican Republic]],ROW(Table4[[#This Row],[Default]])-1,0),"True")</f>
        <v>True</v>
      </c>
      <c r="CB88" s="65" t="s">
        <v>1953</v>
      </c>
      <c r="CC88" s="65" t="s">
        <v>1954</v>
      </c>
      <c r="CD88" s="65" t="s">
        <v>1954</v>
      </c>
      <c r="CE88" s="65" t="s">
        <v>1953</v>
      </c>
      <c r="CF88" s="65" t="s">
        <v>1953</v>
      </c>
      <c r="CG88" s="65" t="s">
        <v>1953</v>
      </c>
      <c r="CH88" s="65" t="s">
        <v>1953</v>
      </c>
      <c r="CI88" s="65" t="s">
        <v>1953</v>
      </c>
      <c r="CJ88" s="65" t="s">
        <v>1954</v>
      </c>
      <c r="CK88" s="65" t="s">
        <v>1954</v>
      </c>
      <c r="CL88" s="65" t="s">
        <v>1953</v>
      </c>
      <c r="CM88" s="65" t="s">
        <v>1953</v>
      </c>
      <c r="CN88" s="65" t="s">
        <v>1953</v>
      </c>
      <c r="CO88" s="65" t="s">
        <v>1953</v>
      </c>
      <c r="CP88" s="65" t="s">
        <v>1953</v>
      </c>
      <c r="CQ88" s="65" t="s">
        <v>1953</v>
      </c>
      <c r="CR88" s="65" t="s">
        <v>1953</v>
      </c>
      <c r="CS88" s="65" t="s">
        <v>1953</v>
      </c>
      <c r="CT88" s="65" t="s">
        <v>1953</v>
      </c>
      <c r="CU88" s="65" t="s">
        <v>1953</v>
      </c>
      <c r="CV88" s="65" t="s">
        <v>1953</v>
      </c>
      <c r="CW88" s="65" t="s">
        <v>1953</v>
      </c>
      <c r="CX88" s="65" t="s">
        <v>1953</v>
      </c>
      <c r="CY88" s="65" t="s">
        <v>1953</v>
      </c>
      <c r="CZ88" s="65" t="s">
        <v>1953</v>
      </c>
      <c r="DA88" s="65" t="s">
        <v>1953</v>
      </c>
    </row>
    <row r="89" spans="48:105">
      <c r="AV89" t="s">
        <v>4682</v>
      </c>
      <c r="AW89" t="str">
        <f>IFERROR(HLOOKUP($AW$1,Table3[[#All],[India]:[Dominican Republic]],ROW(Table3[[#This Row],[Default]])-1,0),"True")</f>
        <v>True</v>
      </c>
      <c r="AX89" s="65" t="s">
        <v>1953</v>
      </c>
      <c r="AY89" s="65" t="s">
        <v>1954</v>
      </c>
      <c r="AZ89" s="65" t="s">
        <v>1953</v>
      </c>
      <c r="BA89" s="65" t="s">
        <v>1953</v>
      </c>
      <c r="BB89" s="65" t="s">
        <v>1953</v>
      </c>
      <c r="BC89" s="65" t="s">
        <v>1953</v>
      </c>
      <c r="BD89" s="65" t="s">
        <v>1953</v>
      </c>
      <c r="BE89" s="65" t="s">
        <v>1953</v>
      </c>
      <c r="BF89" s="65" t="s">
        <v>1953</v>
      </c>
      <c r="BG89" s="65" t="s">
        <v>1953</v>
      </c>
      <c r="BH89" s="65" t="s">
        <v>1953</v>
      </c>
      <c r="BI89" s="65" t="s">
        <v>1953</v>
      </c>
      <c r="BJ89" s="65" t="s">
        <v>1953</v>
      </c>
      <c r="BK89" s="65" t="s">
        <v>1953</v>
      </c>
      <c r="BL89" s="65" t="s">
        <v>1953</v>
      </c>
      <c r="BM89" s="65" t="s">
        <v>1953</v>
      </c>
      <c r="BN89" s="65" t="s">
        <v>1953</v>
      </c>
      <c r="BO89" s="65" t="s">
        <v>1953</v>
      </c>
      <c r="BP89" s="65" t="s">
        <v>1953</v>
      </c>
      <c r="BQ89" s="65" t="s">
        <v>1953</v>
      </c>
      <c r="BR89" s="65" t="s">
        <v>1953</v>
      </c>
      <c r="BS89" s="65" t="s">
        <v>1953</v>
      </c>
      <c r="BT89" s="65" t="s">
        <v>1953</v>
      </c>
      <c r="BU89" s="65" t="s">
        <v>1953</v>
      </c>
      <c r="BV89" s="65" t="s">
        <v>1953</v>
      </c>
      <c r="BW89" s="65" t="s">
        <v>1953</v>
      </c>
      <c r="BZ89" t="s">
        <v>5023</v>
      </c>
      <c r="CA89" t="str">
        <f>IFERROR(HLOOKUP($CA$1,Table4[[#All],[India]:[Dominican Republic]],ROW(Table4[[#This Row],[Default]])-1,0),"True")</f>
        <v>True</v>
      </c>
      <c r="CB89" s="65" t="s">
        <v>1953</v>
      </c>
      <c r="CC89" s="65" t="s">
        <v>1954</v>
      </c>
      <c r="CD89" s="65" t="s">
        <v>1953</v>
      </c>
      <c r="CE89" s="65" t="s">
        <v>1953</v>
      </c>
      <c r="CF89" s="65" t="s">
        <v>1953</v>
      </c>
      <c r="CG89" s="65" t="s">
        <v>1953</v>
      </c>
      <c r="CH89" s="65" t="s">
        <v>1953</v>
      </c>
      <c r="CI89" s="65" t="s">
        <v>1953</v>
      </c>
      <c r="CJ89" s="65" t="s">
        <v>1953</v>
      </c>
      <c r="CK89" s="65" t="s">
        <v>1953</v>
      </c>
      <c r="CL89" s="65" t="s">
        <v>1953</v>
      </c>
      <c r="CM89" s="65" t="s">
        <v>1953</v>
      </c>
      <c r="CN89" s="65" t="s">
        <v>1953</v>
      </c>
      <c r="CO89" s="65" t="s">
        <v>1953</v>
      </c>
      <c r="CP89" s="65" t="s">
        <v>1953</v>
      </c>
      <c r="CQ89" s="65" t="s">
        <v>1953</v>
      </c>
      <c r="CR89" s="65" t="s">
        <v>1953</v>
      </c>
      <c r="CS89" s="65" t="s">
        <v>1953</v>
      </c>
      <c r="CT89" s="65" t="s">
        <v>1953</v>
      </c>
      <c r="CU89" s="65" t="s">
        <v>1953</v>
      </c>
      <c r="CV89" s="65" t="s">
        <v>1953</v>
      </c>
      <c r="CW89" s="65" t="s">
        <v>1953</v>
      </c>
      <c r="CX89" s="65" t="s">
        <v>1953</v>
      </c>
      <c r="CY89" s="65" t="s">
        <v>1953</v>
      </c>
      <c r="CZ89" s="65" t="s">
        <v>1953</v>
      </c>
      <c r="DA89" s="65" t="s">
        <v>1953</v>
      </c>
    </row>
    <row r="90" spans="48:105">
      <c r="AV90" t="s">
        <v>4680</v>
      </c>
      <c r="AW90" t="str">
        <f>IFERROR(HLOOKUP($AW$1,Table3[[#All],[India]:[Dominican Republic]],ROW(Table3[[#This Row],[Default]])-1,0),"True")</f>
        <v>True</v>
      </c>
      <c r="AX90" s="65" t="s">
        <v>1953</v>
      </c>
      <c r="AY90" s="65" t="s">
        <v>1954</v>
      </c>
      <c r="AZ90" s="65" t="s">
        <v>1953</v>
      </c>
      <c r="BA90" s="65" t="s">
        <v>1953</v>
      </c>
      <c r="BB90" s="65" t="s">
        <v>1953</v>
      </c>
      <c r="BC90" s="65" t="s">
        <v>1953</v>
      </c>
      <c r="BD90" s="65" t="s">
        <v>1953</v>
      </c>
      <c r="BE90" s="65" t="s">
        <v>1953</v>
      </c>
      <c r="BF90" s="65" t="s">
        <v>1953</v>
      </c>
      <c r="BG90" s="65" t="s">
        <v>1953</v>
      </c>
      <c r="BH90" s="65" t="s">
        <v>1953</v>
      </c>
      <c r="BI90" s="65" t="s">
        <v>1953</v>
      </c>
      <c r="BJ90" s="65" t="s">
        <v>1953</v>
      </c>
      <c r="BK90" s="65" t="s">
        <v>1953</v>
      </c>
      <c r="BL90" s="65" t="s">
        <v>1953</v>
      </c>
      <c r="BM90" s="65" t="s">
        <v>1953</v>
      </c>
      <c r="BN90" s="65" t="s">
        <v>1953</v>
      </c>
      <c r="BO90" s="65" t="s">
        <v>1953</v>
      </c>
      <c r="BP90" s="65" t="s">
        <v>1953</v>
      </c>
      <c r="BQ90" s="65" t="s">
        <v>1953</v>
      </c>
      <c r="BR90" s="65" t="s">
        <v>1953</v>
      </c>
      <c r="BS90" s="65" t="s">
        <v>1953</v>
      </c>
      <c r="BT90" s="65" t="s">
        <v>1953</v>
      </c>
      <c r="BU90" s="65" t="s">
        <v>1953</v>
      </c>
      <c r="BV90" s="65" t="s">
        <v>1953</v>
      </c>
      <c r="BW90" s="65" t="s">
        <v>1953</v>
      </c>
      <c r="BZ90" t="s">
        <v>5024</v>
      </c>
      <c r="CA90" t="str">
        <f>IFERROR(HLOOKUP($CA$1,Table4[[#All],[India]:[Dominican Republic]],ROW(Table4[[#This Row],[Default]])-1,0),"True")</f>
        <v>True</v>
      </c>
      <c r="CB90" s="65" t="s">
        <v>1953</v>
      </c>
      <c r="CC90" s="65" t="s">
        <v>1954</v>
      </c>
      <c r="CD90" s="65" t="s">
        <v>1953</v>
      </c>
      <c r="CE90" s="65" t="s">
        <v>1953</v>
      </c>
      <c r="CF90" s="65" t="s">
        <v>1953</v>
      </c>
      <c r="CG90" s="65" t="s">
        <v>1953</v>
      </c>
      <c r="CH90" s="65" t="s">
        <v>1953</v>
      </c>
      <c r="CI90" s="65" t="s">
        <v>1953</v>
      </c>
      <c r="CJ90" s="65" t="s">
        <v>1954</v>
      </c>
      <c r="CK90" s="65" t="s">
        <v>1953</v>
      </c>
      <c r="CL90" s="65" t="s">
        <v>1953</v>
      </c>
      <c r="CM90" s="65" t="s">
        <v>1953</v>
      </c>
      <c r="CN90" s="65" t="s">
        <v>1953</v>
      </c>
      <c r="CO90" s="65" t="s">
        <v>1953</v>
      </c>
      <c r="CP90" s="65" t="s">
        <v>1953</v>
      </c>
      <c r="CQ90" s="65" t="s">
        <v>1953</v>
      </c>
      <c r="CR90" s="65" t="s">
        <v>1953</v>
      </c>
      <c r="CS90" s="65" t="s">
        <v>1953</v>
      </c>
      <c r="CT90" s="65" t="s">
        <v>1953</v>
      </c>
      <c r="CU90" s="65" t="s">
        <v>1953</v>
      </c>
      <c r="CV90" s="65" t="s">
        <v>1953</v>
      </c>
      <c r="CW90" s="65" t="s">
        <v>1953</v>
      </c>
      <c r="CX90" s="65" t="s">
        <v>1953</v>
      </c>
      <c r="CY90" s="65" t="s">
        <v>1953</v>
      </c>
      <c r="CZ90" s="65" t="s">
        <v>1953</v>
      </c>
      <c r="DA90" s="65" t="s">
        <v>1953</v>
      </c>
    </row>
    <row r="91" spans="48:105">
      <c r="AV91" t="s">
        <v>4989</v>
      </c>
      <c r="AW91" t="str">
        <f>IFERROR(HLOOKUP($AW$1,Table3[[#All],[India]:[Dominican Republic]],ROW(Table3[[#This Row],[Default]])-1,0),"True")</f>
        <v>True</v>
      </c>
      <c r="AX91" s="65" t="s">
        <v>1953</v>
      </c>
      <c r="AY91" s="65" t="s">
        <v>1953</v>
      </c>
      <c r="AZ91" s="65" t="s">
        <v>1954</v>
      </c>
      <c r="BA91" s="65" t="s">
        <v>1953</v>
      </c>
      <c r="BB91" s="65" t="s">
        <v>1953</v>
      </c>
      <c r="BC91" s="65" t="s">
        <v>1953</v>
      </c>
      <c r="BD91" s="65" t="s">
        <v>1953</v>
      </c>
      <c r="BE91" s="65" t="s">
        <v>1953</v>
      </c>
      <c r="BF91" s="65" t="s">
        <v>1953</v>
      </c>
      <c r="BG91" s="65" t="s">
        <v>1953</v>
      </c>
      <c r="BH91" s="65" t="s">
        <v>1953</v>
      </c>
      <c r="BI91" s="65" t="s">
        <v>1953</v>
      </c>
      <c r="BJ91" s="65" t="s">
        <v>1953</v>
      </c>
      <c r="BK91" s="65" t="s">
        <v>1953</v>
      </c>
      <c r="BL91" s="65" t="s">
        <v>1953</v>
      </c>
      <c r="BM91" s="65" t="s">
        <v>1953</v>
      </c>
      <c r="BN91" s="65" t="s">
        <v>1953</v>
      </c>
      <c r="BO91" s="65" t="s">
        <v>1953</v>
      </c>
      <c r="BP91" s="65" t="s">
        <v>1953</v>
      </c>
      <c r="BQ91" s="65" t="s">
        <v>1953</v>
      </c>
      <c r="BR91" s="65" t="s">
        <v>1953</v>
      </c>
      <c r="BS91" s="65" t="s">
        <v>1953</v>
      </c>
      <c r="BT91" s="65" t="s">
        <v>1953</v>
      </c>
      <c r="BU91" s="65" t="s">
        <v>1953</v>
      </c>
      <c r="BV91" s="65" t="s">
        <v>1953</v>
      </c>
      <c r="BW91" s="65" t="s">
        <v>1953</v>
      </c>
      <c r="BZ91" t="s">
        <v>5025</v>
      </c>
      <c r="CA91" t="str">
        <f>IFERROR(HLOOKUP($CA$1,Table4[[#All],[India]:[Dominican Republic]],ROW(Table4[[#This Row],[Default]])-1,0),"True")</f>
        <v>True</v>
      </c>
      <c r="CB91" s="65" t="s">
        <v>1953</v>
      </c>
      <c r="CC91" s="65" t="s">
        <v>1954</v>
      </c>
      <c r="CD91" s="65" t="s">
        <v>1953</v>
      </c>
      <c r="CE91" s="65" t="s">
        <v>1953</v>
      </c>
      <c r="CF91" s="65" t="s">
        <v>1953</v>
      </c>
      <c r="CG91" s="65" t="s">
        <v>1953</v>
      </c>
      <c r="CH91" s="65" t="s">
        <v>1953</v>
      </c>
      <c r="CI91" s="65" t="s">
        <v>1953</v>
      </c>
      <c r="CJ91" s="65" t="s">
        <v>1954</v>
      </c>
      <c r="CK91" s="65" t="s">
        <v>1953</v>
      </c>
      <c r="CL91" s="65" t="s">
        <v>1953</v>
      </c>
      <c r="CM91" s="65" t="s">
        <v>1953</v>
      </c>
      <c r="CN91" s="65" t="s">
        <v>1953</v>
      </c>
      <c r="CO91" s="65" t="s">
        <v>1953</v>
      </c>
      <c r="CP91" s="65" t="s">
        <v>1953</v>
      </c>
      <c r="CQ91" s="65" t="s">
        <v>1953</v>
      </c>
      <c r="CR91" s="65" t="s">
        <v>1953</v>
      </c>
      <c r="CS91" s="65" t="s">
        <v>1953</v>
      </c>
      <c r="CT91" s="65" t="s">
        <v>1953</v>
      </c>
      <c r="CU91" s="65" t="s">
        <v>1953</v>
      </c>
      <c r="CV91" s="65" t="s">
        <v>1953</v>
      </c>
      <c r="CW91" s="65" t="s">
        <v>1953</v>
      </c>
      <c r="CX91" s="65" t="s">
        <v>1953</v>
      </c>
      <c r="CY91" s="65" t="s">
        <v>1953</v>
      </c>
      <c r="CZ91" s="65" t="s">
        <v>1953</v>
      </c>
      <c r="DA91" s="65" t="s">
        <v>1953</v>
      </c>
    </row>
    <row r="92" spans="48:105">
      <c r="AV92" t="s">
        <v>4999</v>
      </c>
      <c r="AW92" t="str">
        <f>IFERROR(HLOOKUP($AW$1,Table3[[#All],[India]:[Dominican Republic]],ROW(Table3[[#This Row],[Default]])-1,0),"True")</f>
        <v>True</v>
      </c>
      <c r="AX92" s="65" t="s">
        <v>1953</v>
      </c>
      <c r="AY92" s="65" t="s">
        <v>1953</v>
      </c>
      <c r="AZ92" s="65" t="s">
        <v>1953</v>
      </c>
      <c r="BA92" s="65" t="s">
        <v>1953</v>
      </c>
      <c r="BB92" s="65" t="s">
        <v>1954</v>
      </c>
      <c r="BC92" s="65" t="s">
        <v>1953</v>
      </c>
      <c r="BD92" s="65" t="s">
        <v>1953</v>
      </c>
      <c r="BE92" s="65" t="s">
        <v>1953</v>
      </c>
      <c r="BF92" s="65" t="s">
        <v>1953</v>
      </c>
      <c r="BG92" s="65" t="s">
        <v>1953</v>
      </c>
      <c r="BH92" s="65" t="s">
        <v>1953</v>
      </c>
      <c r="BI92" s="65" t="s">
        <v>1953</v>
      </c>
      <c r="BJ92" s="65" t="s">
        <v>1953</v>
      </c>
      <c r="BK92" s="65" t="s">
        <v>1953</v>
      </c>
      <c r="BL92" s="65" t="s">
        <v>1953</v>
      </c>
      <c r="BM92" s="65" t="s">
        <v>1953</v>
      </c>
      <c r="BN92" s="65" t="s">
        <v>1953</v>
      </c>
      <c r="BO92" s="65" t="s">
        <v>1953</v>
      </c>
      <c r="BP92" s="65" t="s">
        <v>1953</v>
      </c>
      <c r="BQ92" s="65" t="s">
        <v>1953</v>
      </c>
      <c r="BR92" s="65" t="s">
        <v>1953</v>
      </c>
      <c r="BS92" s="65" t="s">
        <v>1953</v>
      </c>
      <c r="BT92" s="65" t="s">
        <v>1953</v>
      </c>
      <c r="BU92" s="65" t="s">
        <v>1953</v>
      </c>
      <c r="BV92" s="65" t="s">
        <v>1953</v>
      </c>
      <c r="BW92" s="65" t="s">
        <v>1953</v>
      </c>
      <c r="BZ92" t="s">
        <v>5026</v>
      </c>
      <c r="CA92" t="str">
        <f>IFERROR(HLOOKUP($CA$1,Table4[[#All],[India]:[Dominican Republic]],ROW(Table4[[#This Row],[Default]])-1,0),"True")</f>
        <v>True</v>
      </c>
      <c r="CB92" s="65" t="s">
        <v>1953</v>
      </c>
      <c r="CC92" s="65" t="s">
        <v>1954</v>
      </c>
      <c r="CD92" s="65" t="s">
        <v>1953</v>
      </c>
      <c r="CE92" s="65" t="s">
        <v>1953</v>
      </c>
      <c r="CF92" s="65" t="s">
        <v>1953</v>
      </c>
      <c r="CG92" s="65" t="s">
        <v>1953</v>
      </c>
      <c r="CH92" s="65" t="s">
        <v>1953</v>
      </c>
      <c r="CI92" s="65" t="s">
        <v>1953</v>
      </c>
      <c r="CJ92" s="65" t="s">
        <v>1954</v>
      </c>
      <c r="CK92" s="65" t="s">
        <v>1953</v>
      </c>
      <c r="CL92" s="65" t="s">
        <v>1953</v>
      </c>
      <c r="CM92" s="65" t="s">
        <v>1953</v>
      </c>
      <c r="CN92" s="65" t="s">
        <v>1953</v>
      </c>
      <c r="CO92" s="65" t="s">
        <v>1953</v>
      </c>
      <c r="CP92" s="65" t="s">
        <v>1953</v>
      </c>
      <c r="CQ92" s="65" t="s">
        <v>1953</v>
      </c>
      <c r="CR92" s="65" t="s">
        <v>1953</v>
      </c>
      <c r="CS92" s="65" t="s">
        <v>1953</v>
      </c>
      <c r="CT92" s="65" t="s">
        <v>1953</v>
      </c>
      <c r="CU92" s="65" t="s">
        <v>1953</v>
      </c>
      <c r="CV92" s="65" t="s">
        <v>1953</v>
      </c>
      <c r="CW92" s="65" t="s">
        <v>1953</v>
      </c>
      <c r="CX92" s="65" t="s">
        <v>1953</v>
      </c>
      <c r="CY92" s="65" t="s">
        <v>1953</v>
      </c>
      <c r="CZ92" s="65" t="s">
        <v>1953</v>
      </c>
      <c r="DA92" s="65" t="s">
        <v>1953</v>
      </c>
    </row>
    <row r="93" spans="48:105">
      <c r="AV93" t="s">
        <v>5003</v>
      </c>
      <c r="AW93" t="str">
        <f>IFERROR(HLOOKUP($AW$1,Table3[[#All],[India]:[Dominican Republic]],ROW(Table3[[#This Row],[Default]])-1,0),"True")</f>
        <v>True</v>
      </c>
      <c r="AX93" s="65" t="s">
        <v>1953</v>
      </c>
      <c r="AY93" s="65" t="s">
        <v>1953</v>
      </c>
      <c r="AZ93" s="65" t="s">
        <v>1953</v>
      </c>
      <c r="BA93" s="65" t="s">
        <v>1953</v>
      </c>
      <c r="BB93" s="65" t="s">
        <v>1953</v>
      </c>
      <c r="BC93" s="65" t="s">
        <v>1954</v>
      </c>
      <c r="BD93" s="65" t="s">
        <v>1953</v>
      </c>
      <c r="BE93" s="65" t="s">
        <v>1953</v>
      </c>
      <c r="BF93" s="65" t="s">
        <v>1953</v>
      </c>
      <c r="BG93" s="65" t="s">
        <v>1953</v>
      </c>
      <c r="BH93" s="65" t="s">
        <v>1953</v>
      </c>
      <c r="BI93" s="65" t="s">
        <v>1953</v>
      </c>
      <c r="BJ93" s="65" t="s">
        <v>1953</v>
      </c>
      <c r="BK93" s="65" t="s">
        <v>1953</v>
      </c>
      <c r="BL93" s="65" t="s">
        <v>1953</v>
      </c>
      <c r="BM93" s="65" t="s">
        <v>1953</v>
      </c>
      <c r="BN93" s="65" t="s">
        <v>1953</v>
      </c>
      <c r="BO93" s="65" t="s">
        <v>1953</v>
      </c>
      <c r="BP93" s="65" t="s">
        <v>1953</v>
      </c>
      <c r="BQ93" s="65" t="s">
        <v>1953</v>
      </c>
      <c r="BR93" s="65" t="s">
        <v>1953</v>
      </c>
      <c r="BS93" s="65" t="s">
        <v>1953</v>
      </c>
      <c r="BT93" s="65" t="s">
        <v>1953</v>
      </c>
      <c r="BU93" s="65" t="s">
        <v>1953</v>
      </c>
      <c r="BV93" s="65" t="s">
        <v>1953</v>
      </c>
      <c r="BW93" s="65" t="s">
        <v>1953</v>
      </c>
      <c r="BZ93" t="s">
        <v>5029</v>
      </c>
      <c r="CA93" t="str">
        <f>IFERROR(HLOOKUP($CA$1,Table4[[#All],[India]:[Dominican Republic]],ROW(Table4[[#This Row],[Default]])-1,0),"True")</f>
        <v>True</v>
      </c>
      <c r="CB93" s="65" t="s">
        <v>1953</v>
      </c>
      <c r="CC93" s="65" t="s">
        <v>1953</v>
      </c>
      <c r="CD93" s="65" t="s">
        <v>1954</v>
      </c>
      <c r="CE93" s="65" t="s">
        <v>1954</v>
      </c>
      <c r="CF93" s="65" t="s">
        <v>1954</v>
      </c>
      <c r="CG93" s="65" t="s">
        <v>1954</v>
      </c>
      <c r="CH93" s="65" t="s">
        <v>1953</v>
      </c>
      <c r="CI93" s="65" t="s">
        <v>1953</v>
      </c>
      <c r="CJ93" s="65" t="s">
        <v>1953</v>
      </c>
      <c r="CK93" s="65" t="s">
        <v>1954</v>
      </c>
      <c r="CL93" s="65" t="s">
        <v>1953</v>
      </c>
      <c r="CM93" s="65" t="s">
        <v>1953</v>
      </c>
      <c r="CN93" s="65" t="s">
        <v>1953</v>
      </c>
      <c r="CO93" s="65" t="s">
        <v>1953</v>
      </c>
      <c r="CP93" s="65" t="s">
        <v>1953</v>
      </c>
      <c r="CQ93" s="65" t="s">
        <v>1953</v>
      </c>
      <c r="CR93" s="65" t="s">
        <v>1953</v>
      </c>
      <c r="CS93" s="65" t="s">
        <v>1953</v>
      </c>
      <c r="CT93" s="65" t="s">
        <v>1953</v>
      </c>
      <c r="CU93" s="65" t="s">
        <v>1953</v>
      </c>
      <c r="CV93" s="65" t="s">
        <v>1953</v>
      </c>
      <c r="CW93" s="65" t="s">
        <v>1953</v>
      </c>
      <c r="CX93" s="65" t="s">
        <v>1953</v>
      </c>
      <c r="CY93" s="65" t="s">
        <v>1953</v>
      </c>
      <c r="CZ93" s="65" t="s">
        <v>1953</v>
      </c>
      <c r="DA93" s="65" t="s">
        <v>1953</v>
      </c>
    </row>
    <row r="94" spans="48:105">
      <c r="AV94" t="s">
        <v>4690</v>
      </c>
      <c r="AW94" t="str">
        <f>IFERROR(HLOOKUP($AW$1,Table3[[#All],[India]:[Dominican Republic]],ROW(Table3[[#This Row],[Default]])-1,0),"True")</f>
        <v>True</v>
      </c>
      <c r="AX94" s="65" t="s">
        <v>1953</v>
      </c>
      <c r="AY94" s="65" t="s">
        <v>1953</v>
      </c>
      <c r="AZ94" s="65" t="s">
        <v>1953</v>
      </c>
      <c r="BA94" s="65" t="s">
        <v>1953</v>
      </c>
      <c r="BB94" s="65" t="s">
        <v>1953</v>
      </c>
      <c r="BC94" s="65" t="s">
        <v>1954</v>
      </c>
      <c r="BD94" s="65" t="s">
        <v>1953</v>
      </c>
      <c r="BE94" s="65" t="s">
        <v>1953</v>
      </c>
      <c r="BF94" s="65" t="s">
        <v>1953</v>
      </c>
      <c r="BG94" s="65" t="s">
        <v>1953</v>
      </c>
      <c r="BH94" s="65" t="s">
        <v>1953</v>
      </c>
      <c r="BI94" s="65" t="s">
        <v>1954</v>
      </c>
      <c r="BJ94" s="65" t="s">
        <v>1953</v>
      </c>
      <c r="BK94" s="65" t="s">
        <v>1953</v>
      </c>
      <c r="BL94" s="65" t="s">
        <v>1953</v>
      </c>
      <c r="BM94" s="65" t="s">
        <v>1953</v>
      </c>
      <c r="BN94" s="65" t="s">
        <v>1953</v>
      </c>
      <c r="BO94" s="65" t="s">
        <v>1953</v>
      </c>
      <c r="BP94" s="65" t="s">
        <v>1953</v>
      </c>
      <c r="BQ94" s="65" t="s">
        <v>1953</v>
      </c>
      <c r="BR94" s="65" t="s">
        <v>1953</v>
      </c>
      <c r="BS94" s="65" t="s">
        <v>1953</v>
      </c>
      <c r="BT94" s="65" t="s">
        <v>1953</v>
      </c>
      <c r="BU94" s="65" t="s">
        <v>1953</v>
      </c>
      <c r="BV94" s="65" t="s">
        <v>1953</v>
      </c>
      <c r="BW94" s="65" t="s">
        <v>1953</v>
      </c>
      <c r="BZ94" t="s">
        <v>5030</v>
      </c>
      <c r="CA94" t="str">
        <f>IFERROR(HLOOKUP($CA$1,Table4[[#All],[India]:[Dominican Republic]],ROW(Table4[[#This Row],[Default]])-1,0),"True")</f>
        <v>True</v>
      </c>
      <c r="CB94" s="65" t="s">
        <v>1953</v>
      </c>
      <c r="CC94" s="65" t="s">
        <v>1953</v>
      </c>
      <c r="CD94" s="65" t="s">
        <v>1954</v>
      </c>
      <c r="CE94" s="65" t="s">
        <v>1953</v>
      </c>
      <c r="CF94" s="65" t="s">
        <v>1953</v>
      </c>
      <c r="CG94" s="65" t="s">
        <v>1953</v>
      </c>
      <c r="CH94" s="65" t="s">
        <v>1953</v>
      </c>
      <c r="CI94" s="65" t="s">
        <v>1953</v>
      </c>
      <c r="CJ94" s="65" t="s">
        <v>1953</v>
      </c>
      <c r="CK94" s="65" t="s">
        <v>1953</v>
      </c>
      <c r="CL94" s="65" t="s">
        <v>1953</v>
      </c>
      <c r="CM94" s="65" t="s">
        <v>1953</v>
      </c>
      <c r="CN94" s="65" t="s">
        <v>1953</v>
      </c>
      <c r="CO94" s="65" t="s">
        <v>1953</v>
      </c>
      <c r="CP94" s="65" t="s">
        <v>1953</v>
      </c>
      <c r="CQ94" s="65" t="s">
        <v>1953</v>
      </c>
      <c r="CR94" s="65" t="s">
        <v>1953</v>
      </c>
      <c r="CS94" s="65" t="s">
        <v>1953</v>
      </c>
      <c r="CT94" s="65" t="s">
        <v>1953</v>
      </c>
      <c r="CU94" s="65" t="s">
        <v>1953</v>
      </c>
      <c r="CV94" s="65" t="s">
        <v>1953</v>
      </c>
      <c r="CW94" s="65" t="s">
        <v>1953</v>
      </c>
      <c r="CX94" s="65" t="s">
        <v>1953</v>
      </c>
      <c r="CY94" s="65" t="s">
        <v>1953</v>
      </c>
      <c r="CZ94" s="65" t="s">
        <v>1953</v>
      </c>
      <c r="DA94" s="65" t="s">
        <v>1953</v>
      </c>
    </row>
    <row r="95" spans="48:105">
      <c r="AV95" t="s">
        <v>5005</v>
      </c>
      <c r="AW95" t="str">
        <f>IFERROR(HLOOKUP($AW$1,Table3[[#All],[India]:[Dominican Republic]],ROW(Table3[[#This Row],[Default]])-1,0),"True")</f>
        <v>True</v>
      </c>
      <c r="AX95" s="65" t="s">
        <v>1953</v>
      </c>
      <c r="AY95" s="65" t="s">
        <v>1954</v>
      </c>
      <c r="AZ95" s="65" t="s">
        <v>1953</v>
      </c>
      <c r="BA95" s="65" t="s">
        <v>1953</v>
      </c>
      <c r="BB95" s="65" t="s">
        <v>1953</v>
      </c>
      <c r="BC95" s="65" t="s">
        <v>1954</v>
      </c>
      <c r="BD95" s="65" t="s">
        <v>1953</v>
      </c>
      <c r="BE95" s="65" t="s">
        <v>1953</v>
      </c>
      <c r="BF95" s="65" t="s">
        <v>1953</v>
      </c>
      <c r="BG95" s="65" t="s">
        <v>1953</v>
      </c>
      <c r="BH95" s="65" t="s">
        <v>1953</v>
      </c>
      <c r="BI95" s="65" t="s">
        <v>1953</v>
      </c>
      <c r="BJ95" s="65" t="s">
        <v>1953</v>
      </c>
      <c r="BK95" s="65" t="s">
        <v>1953</v>
      </c>
      <c r="BL95" s="65" t="s">
        <v>1953</v>
      </c>
      <c r="BM95" s="65" t="s">
        <v>1953</v>
      </c>
      <c r="BN95" s="65" t="s">
        <v>1953</v>
      </c>
      <c r="BO95" s="65" t="s">
        <v>1953</v>
      </c>
      <c r="BP95" s="65" t="s">
        <v>1953</v>
      </c>
      <c r="BQ95" s="65" t="s">
        <v>1953</v>
      </c>
      <c r="BR95" s="65" t="s">
        <v>1953</v>
      </c>
      <c r="BS95" s="65" t="s">
        <v>1953</v>
      </c>
      <c r="BT95" s="65" t="s">
        <v>1953</v>
      </c>
      <c r="BU95" s="65" t="s">
        <v>1953</v>
      </c>
      <c r="BV95" s="65" t="s">
        <v>1953</v>
      </c>
      <c r="BW95" s="65" t="s">
        <v>1953</v>
      </c>
      <c r="BZ95" t="s">
        <v>5031</v>
      </c>
      <c r="CA95" t="str">
        <f>IFERROR(HLOOKUP($CA$1,Table4[[#All],[India]:[Dominican Republic]],ROW(Table4[[#This Row],[Default]])-1,0),"True")</f>
        <v>True</v>
      </c>
      <c r="CB95" s="65" t="s">
        <v>1953</v>
      </c>
      <c r="CC95" s="65" t="s">
        <v>1953</v>
      </c>
      <c r="CD95" s="65" t="s">
        <v>1954</v>
      </c>
      <c r="CE95" s="65" t="s">
        <v>1953</v>
      </c>
      <c r="CF95" s="65" t="s">
        <v>1953</v>
      </c>
      <c r="CG95" s="65" t="s">
        <v>1953</v>
      </c>
      <c r="CH95" s="65" t="s">
        <v>1953</v>
      </c>
      <c r="CI95" s="65" t="s">
        <v>1953</v>
      </c>
      <c r="CJ95" s="65" t="s">
        <v>1953</v>
      </c>
      <c r="CK95" s="65" t="s">
        <v>1953</v>
      </c>
      <c r="CL95" s="65" t="s">
        <v>1953</v>
      </c>
      <c r="CM95" s="65" t="s">
        <v>1953</v>
      </c>
      <c r="CN95" s="65" t="s">
        <v>1953</v>
      </c>
      <c r="CO95" s="65" t="s">
        <v>1953</v>
      </c>
      <c r="CP95" s="65" t="s">
        <v>1953</v>
      </c>
      <c r="CQ95" s="65" t="s">
        <v>1953</v>
      </c>
      <c r="CR95" s="65" t="s">
        <v>1953</v>
      </c>
      <c r="CS95" s="65" t="s">
        <v>1953</v>
      </c>
      <c r="CT95" s="65" t="s">
        <v>1953</v>
      </c>
      <c r="CU95" s="65" t="s">
        <v>1953</v>
      </c>
      <c r="CV95" s="65" t="s">
        <v>1953</v>
      </c>
      <c r="CW95" s="65" t="s">
        <v>1953</v>
      </c>
      <c r="CX95" s="65" t="s">
        <v>1953</v>
      </c>
      <c r="CY95" s="65" t="s">
        <v>1953</v>
      </c>
      <c r="CZ95" s="65" t="s">
        <v>1953</v>
      </c>
      <c r="DA95" s="65" t="s">
        <v>1953</v>
      </c>
    </row>
    <row r="96" spans="48:105">
      <c r="AV96" t="s">
        <v>5008</v>
      </c>
      <c r="AW96" t="str">
        <f>IFERROR(HLOOKUP($AW$1,Table3[[#All],[India]:[Dominican Republic]],ROW(Table3[[#This Row],[Default]])-1,0),"True")</f>
        <v>False</v>
      </c>
      <c r="AX96" s="65" t="s">
        <v>1953</v>
      </c>
      <c r="AY96" s="65" t="s">
        <v>1953</v>
      </c>
      <c r="AZ96" s="65" t="s">
        <v>1953</v>
      </c>
      <c r="BA96" s="65" t="s">
        <v>1953</v>
      </c>
      <c r="BB96" s="65" t="s">
        <v>1953</v>
      </c>
      <c r="BC96" s="65" t="s">
        <v>1953</v>
      </c>
      <c r="BD96" s="65" t="s">
        <v>1954</v>
      </c>
      <c r="BE96" s="65" t="s">
        <v>1953</v>
      </c>
      <c r="BF96" s="65" t="s">
        <v>1953</v>
      </c>
      <c r="BG96" s="65" t="s">
        <v>1953</v>
      </c>
      <c r="BH96" s="65" t="s">
        <v>1953</v>
      </c>
      <c r="BI96" s="65" t="s">
        <v>1953</v>
      </c>
      <c r="BJ96" s="65" t="s">
        <v>1953</v>
      </c>
      <c r="BK96" s="65" t="s">
        <v>1953</v>
      </c>
      <c r="BL96" s="65" t="s">
        <v>1953</v>
      </c>
      <c r="BM96" s="65" t="s">
        <v>1953</v>
      </c>
      <c r="BN96" s="65" t="s">
        <v>1953</v>
      </c>
      <c r="BO96" s="65" t="s">
        <v>1953</v>
      </c>
      <c r="BP96" s="65" t="s">
        <v>1953</v>
      </c>
      <c r="BQ96" s="65" t="s">
        <v>1953</v>
      </c>
      <c r="BR96" s="65" t="s">
        <v>1953</v>
      </c>
      <c r="BS96" s="65" t="s">
        <v>1953</v>
      </c>
      <c r="BT96" s="65" t="s">
        <v>1953</v>
      </c>
      <c r="BU96" s="65" t="s">
        <v>1953</v>
      </c>
      <c r="BV96" s="65" t="s">
        <v>1953</v>
      </c>
      <c r="BW96" s="65" t="s">
        <v>1953</v>
      </c>
      <c r="BZ96" t="s">
        <v>2772</v>
      </c>
      <c r="CA96" t="str">
        <f>IFERROR(HLOOKUP($CA$1,Table4[[#All],[India]:[Dominican Republic]],ROW(Table4[[#This Row],[Default]])-1,0),"True")</f>
        <v>True</v>
      </c>
      <c r="CB96" s="65" t="s">
        <v>1953</v>
      </c>
      <c r="CC96" s="65" t="s">
        <v>1953</v>
      </c>
      <c r="CD96" s="65" t="s">
        <v>1954</v>
      </c>
      <c r="CE96" s="65" t="s">
        <v>1953</v>
      </c>
      <c r="CF96" s="65" t="s">
        <v>1953</v>
      </c>
      <c r="CG96" s="65" t="s">
        <v>1954</v>
      </c>
      <c r="CH96" s="65" t="s">
        <v>1953</v>
      </c>
      <c r="CI96" s="65" t="s">
        <v>1953</v>
      </c>
      <c r="CJ96" s="65" t="s">
        <v>1953</v>
      </c>
      <c r="CK96" s="65" t="s">
        <v>1953</v>
      </c>
      <c r="CL96" s="65" t="s">
        <v>1953</v>
      </c>
      <c r="CM96" s="65" t="s">
        <v>1953</v>
      </c>
      <c r="CN96" s="65" t="s">
        <v>1953</v>
      </c>
      <c r="CO96" s="65" t="s">
        <v>1953</v>
      </c>
      <c r="CP96" s="65" t="s">
        <v>1953</v>
      </c>
      <c r="CQ96" s="65" t="s">
        <v>1953</v>
      </c>
      <c r="CR96" s="65" t="s">
        <v>1953</v>
      </c>
      <c r="CS96" s="65" t="s">
        <v>1953</v>
      </c>
      <c r="CT96" s="65" t="s">
        <v>1953</v>
      </c>
      <c r="CU96" s="65" t="s">
        <v>1953</v>
      </c>
      <c r="CV96" s="65" t="s">
        <v>1953</v>
      </c>
      <c r="CW96" s="65" t="s">
        <v>1953</v>
      </c>
      <c r="CX96" s="65" t="s">
        <v>1953</v>
      </c>
      <c r="CY96" s="65" t="s">
        <v>1953</v>
      </c>
      <c r="CZ96" s="65" t="s">
        <v>1953</v>
      </c>
      <c r="DA96" s="65" t="s">
        <v>1953</v>
      </c>
    </row>
    <row r="97" spans="48:105">
      <c r="AV97" t="s">
        <v>7597</v>
      </c>
      <c r="AW97" t="str">
        <f>IFERROR(HLOOKUP($AW$1,Table3[[#All],[India]:[Dominican Republic]],ROW(Table3[[#This Row],[Default]])-1,0),"True")</f>
        <v>True</v>
      </c>
      <c r="AX97" s="65" t="s">
        <v>1953</v>
      </c>
      <c r="AY97" s="65" t="s">
        <v>1953</v>
      </c>
      <c r="AZ97" s="65" t="s">
        <v>1953</v>
      </c>
      <c r="BA97" s="65" t="s">
        <v>1953</v>
      </c>
      <c r="BB97" s="65" t="s">
        <v>1953</v>
      </c>
      <c r="BC97" s="65" t="s">
        <v>1953</v>
      </c>
      <c r="BD97" s="65" t="s">
        <v>1953</v>
      </c>
      <c r="BE97" s="65" t="s">
        <v>1954</v>
      </c>
      <c r="BF97" s="65" t="s">
        <v>1953</v>
      </c>
      <c r="BG97" s="65" t="s">
        <v>1953</v>
      </c>
      <c r="BH97" s="65" t="s">
        <v>1953</v>
      </c>
      <c r="BI97" s="65" t="s">
        <v>1953</v>
      </c>
      <c r="BJ97" s="65" t="s">
        <v>1953</v>
      </c>
      <c r="BK97" s="65" t="s">
        <v>1953</v>
      </c>
      <c r="BL97" s="65" t="s">
        <v>1953</v>
      </c>
      <c r="BM97" s="65" t="s">
        <v>1953</v>
      </c>
      <c r="BN97" s="65" t="s">
        <v>1953</v>
      </c>
      <c r="BO97" s="65" t="s">
        <v>1953</v>
      </c>
      <c r="BP97" s="65" t="s">
        <v>1953</v>
      </c>
      <c r="BQ97" s="65" t="s">
        <v>1953</v>
      </c>
      <c r="BR97" s="65" t="s">
        <v>1953</v>
      </c>
      <c r="BS97" s="65" t="s">
        <v>1953</v>
      </c>
      <c r="BT97" s="65" t="s">
        <v>1953</v>
      </c>
      <c r="BU97" s="65" t="s">
        <v>1953</v>
      </c>
      <c r="BV97" s="65" t="s">
        <v>1953</v>
      </c>
      <c r="BW97" s="65" t="s">
        <v>1953</v>
      </c>
      <c r="BZ97" t="s">
        <v>2773</v>
      </c>
      <c r="CA97" t="str">
        <f>IFERROR(HLOOKUP($CA$1,Table4[[#All],[India]:[Dominican Republic]],ROW(Table4[[#This Row],[Default]])-1,0),"True")</f>
        <v>True</v>
      </c>
      <c r="CB97" s="65" t="s">
        <v>1953</v>
      </c>
      <c r="CC97" s="65" t="s">
        <v>1953</v>
      </c>
      <c r="CD97" s="65" t="s">
        <v>1954</v>
      </c>
      <c r="CE97" s="65" t="s">
        <v>1953</v>
      </c>
      <c r="CF97" s="65" t="s">
        <v>1953</v>
      </c>
      <c r="CG97" s="65" t="s">
        <v>1953</v>
      </c>
      <c r="CH97" s="65" t="s">
        <v>1953</v>
      </c>
      <c r="CI97" s="65" t="s">
        <v>1953</v>
      </c>
      <c r="CJ97" s="65" t="s">
        <v>1953</v>
      </c>
      <c r="CK97" s="65" t="s">
        <v>1953</v>
      </c>
      <c r="CL97" s="65" t="s">
        <v>1953</v>
      </c>
      <c r="CM97" s="65" t="s">
        <v>1953</v>
      </c>
      <c r="CN97" s="65" t="s">
        <v>1953</v>
      </c>
      <c r="CO97" s="65" t="s">
        <v>1953</v>
      </c>
      <c r="CP97" s="65" t="s">
        <v>1953</v>
      </c>
      <c r="CQ97" s="65" t="s">
        <v>1953</v>
      </c>
      <c r="CR97" s="65" t="s">
        <v>1953</v>
      </c>
      <c r="CS97" s="65" t="s">
        <v>1953</v>
      </c>
      <c r="CT97" s="65" t="s">
        <v>1953</v>
      </c>
      <c r="CU97" s="65" t="s">
        <v>1953</v>
      </c>
      <c r="CV97" s="65" t="s">
        <v>1953</v>
      </c>
      <c r="CW97" s="65" t="s">
        <v>1953</v>
      </c>
      <c r="CX97" s="65" t="s">
        <v>1953</v>
      </c>
      <c r="CY97" s="65" t="s">
        <v>1953</v>
      </c>
      <c r="CZ97" s="65" t="s">
        <v>1953</v>
      </c>
      <c r="DA97" s="65" t="s">
        <v>1953</v>
      </c>
    </row>
    <row r="98" spans="48:105">
      <c r="AV98" t="s">
        <v>7623</v>
      </c>
      <c r="AW98" t="str">
        <f>IFERROR(HLOOKUP($AW$1,Table3[[#All],[India]:[Dominican Republic]],ROW(Table3[[#This Row],[Default]])-1,0),"True")</f>
        <v>True</v>
      </c>
      <c r="AX98" s="65" t="s">
        <v>1953</v>
      </c>
      <c r="AY98" s="65" t="s">
        <v>1953</v>
      </c>
      <c r="AZ98" s="65" t="s">
        <v>1953</v>
      </c>
      <c r="BA98" s="65" t="s">
        <v>1953</v>
      </c>
      <c r="BB98" s="65" t="s">
        <v>1953</v>
      </c>
      <c r="BC98" s="65" t="s">
        <v>1953</v>
      </c>
      <c r="BD98" s="65" t="s">
        <v>1953</v>
      </c>
      <c r="BE98" s="65" t="s">
        <v>1953</v>
      </c>
      <c r="BF98" s="65" t="s">
        <v>1953</v>
      </c>
      <c r="BG98" s="65" t="s">
        <v>1953</v>
      </c>
      <c r="BH98" s="65" t="s">
        <v>1953</v>
      </c>
      <c r="BI98" s="65" t="s">
        <v>1954</v>
      </c>
      <c r="BJ98" s="65" t="s">
        <v>1953</v>
      </c>
      <c r="BK98" s="65" t="s">
        <v>1953</v>
      </c>
      <c r="BL98" s="65" t="s">
        <v>1953</v>
      </c>
      <c r="BM98" s="65" t="s">
        <v>1953</v>
      </c>
      <c r="BN98" s="65" t="s">
        <v>1953</v>
      </c>
      <c r="BO98" s="65" t="s">
        <v>1953</v>
      </c>
      <c r="BP98" s="65" t="s">
        <v>1953</v>
      </c>
      <c r="BQ98" s="65" t="s">
        <v>1953</v>
      </c>
      <c r="BR98" s="65" t="s">
        <v>1953</v>
      </c>
      <c r="BS98" s="65" t="s">
        <v>1953</v>
      </c>
      <c r="BT98" s="65" t="s">
        <v>1953</v>
      </c>
      <c r="BU98" s="65" t="s">
        <v>1953</v>
      </c>
      <c r="BV98" s="65" t="s">
        <v>1953</v>
      </c>
      <c r="BW98" s="65" t="s">
        <v>1953</v>
      </c>
      <c r="BZ98" t="s">
        <v>5032</v>
      </c>
      <c r="CA98" t="str">
        <f>IFERROR(HLOOKUP($CA$1,Table4[[#All],[India]:[Dominican Republic]],ROW(Table4[[#This Row],[Default]])-1,0),"True")</f>
        <v>True</v>
      </c>
      <c r="CB98" s="65" t="s">
        <v>1953</v>
      </c>
      <c r="CC98" s="65" t="s">
        <v>1953</v>
      </c>
      <c r="CD98" s="65" t="s">
        <v>1954</v>
      </c>
      <c r="CE98" s="65" t="s">
        <v>1954</v>
      </c>
      <c r="CF98" s="65" t="s">
        <v>1953</v>
      </c>
      <c r="CG98" s="65" t="s">
        <v>1953</v>
      </c>
      <c r="CH98" s="65" t="s">
        <v>1953</v>
      </c>
      <c r="CI98" s="65" t="s">
        <v>1953</v>
      </c>
      <c r="CJ98" s="65" t="s">
        <v>1953</v>
      </c>
      <c r="CK98" s="65" t="s">
        <v>1953</v>
      </c>
      <c r="CL98" s="65" t="s">
        <v>1954</v>
      </c>
      <c r="CM98" s="65" t="s">
        <v>1954</v>
      </c>
      <c r="CN98" s="65" t="s">
        <v>1954</v>
      </c>
      <c r="CO98" s="65" t="s">
        <v>1953</v>
      </c>
      <c r="CP98" s="65" t="s">
        <v>1953</v>
      </c>
      <c r="CQ98" s="65" t="s">
        <v>1953</v>
      </c>
      <c r="CR98" s="65" t="s">
        <v>1953</v>
      </c>
      <c r="CS98" s="65" t="s">
        <v>1953</v>
      </c>
      <c r="CT98" s="65" t="s">
        <v>1953</v>
      </c>
      <c r="CU98" s="65" t="s">
        <v>1953</v>
      </c>
      <c r="CV98" s="65" t="s">
        <v>1953</v>
      </c>
      <c r="CW98" s="65" t="s">
        <v>1953</v>
      </c>
      <c r="CX98" s="65" t="s">
        <v>1953</v>
      </c>
      <c r="CY98" s="65" t="s">
        <v>1953</v>
      </c>
      <c r="CZ98" s="65" t="s">
        <v>1953</v>
      </c>
      <c r="DA98" s="65" t="s">
        <v>1953</v>
      </c>
    </row>
    <row r="99" spans="48:105">
      <c r="AV99" t="s">
        <v>7624</v>
      </c>
      <c r="AW99" t="str">
        <f>IFERROR(HLOOKUP($AW$1,Table3[[#All],[India]:[Dominican Republic]],ROW(Table3[[#This Row],[Default]])-1,0),"True")</f>
        <v>True</v>
      </c>
      <c r="AX99" s="65" t="s">
        <v>1953</v>
      </c>
      <c r="AY99" s="65" t="s">
        <v>1953</v>
      </c>
      <c r="AZ99" s="65" t="s">
        <v>1953</v>
      </c>
      <c r="BA99" s="65" t="s">
        <v>1953</v>
      </c>
      <c r="BB99" s="65" t="s">
        <v>1953</v>
      </c>
      <c r="BC99" s="65" t="s">
        <v>1953</v>
      </c>
      <c r="BD99" s="65" t="s">
        <v>1953</v>
      </c>
      <c r="BE99" s="65" t="s">
        <v>1953</v>
      </c>
      <c r="BF99" s="65" t="s">
        <v>1953</v>
      </c>
      <c r="BG99" s="65" t="s">
        <v>1953</v>
      </c>
      <c r="BH99" s="65" t="s">
        <v>1953</v>
      </c>
      <c r="BI99" s="65" t="s">
        <v>1954</v>
      </c>
      <c r="BJ99" s="65" t="s">
        <v>1953</v>
      </c>
      <c r="BK99" s="65" t="s">
        <v>1953</v>
      </c>
      <c r="BL99" s="65" t="s">
        <v>1954</v>
      </c>
      <c r="BM99" s="65" t="s">
        <v>1953</v>
      </c>
      <c r="BN99" s="65" t="s">
        <v>1953</v>
      </c>
      <c r="BO99" s="65" t="s">
        <v>1953</v>
      </c>
      <c r="BP99" s="65" t="s">
        <v>1953</v>
      </c>
      <c r="BQ99" s="65" t="s">
        <v>1953</v>
      </c>
      <c r="BR99" s="65" t="s">
        <v>1953</v>
      </c>
      <c r="BS99" s="65" t="s">
        <v>1953</v>
      </c>
      <c r="BT99" s="65" t="s">
        <v>1953</v>
      </c>
      <c r="BU99" s="65" t="s">
        <v>1953</v>
      </c>
      <c r="BV99" s="65" t="s">
        <v>1953</v>
      </c>
      <c r="BW99" s="65" t="s">
        <v>1953</v>
      </c>
      <c r="BZ99" t="s">
        <v>5033</v>
      </c>
      <c r="CA99" t="str">
        <f>IFERROR(HLOOKUP($CA$1,Table4[[#All],[India]:[Dominican Republic]],ROW(Table4[[#This Row],[Default]])-1,0),"True")</f>
        <v>True</v>
      </c>
      <c r="CB99" s="65" t="s">
        <v>1953</v>
      </c>
      <c r="CC99" s="65" t="s">
        <v>1953</v>
      </c>
      <c r="CD99" s="65" t="s">
        <v>1954</v>
      </c>
      <c r="CE99" s="65" t="s">
        <v>1953</v>
      </c>
      <c r="CF99" s="65" t="s">
        <v>1953</v>
      </c>
      <c r="CG99" s="65" t="s">
        <v>1953</v>
      </c>
      <c r="CH99" s="65" t="s">
        <v>1953</v>
      </c>
      <c r="CI99" s="65" t="s">
        <v>1953</v>
      </c>
      <c r="CJ99" s="65" t="s">
        <v>1953</v>
      </c>
      <c r="CK99" s="65" t="s">
        <v>1953</v>
      </c>
      <c r="CL99" s="65" t="s">
        <v>1954</v>
      </c>
      <c r="CM99" s="65" t="s">
        <v>1954</v>
      </c>
      <c r="CN99" s="65" t="s">
        <v>1953</v>
      </c>
      <c r="CO99" s="65" t="s">
        <v>1953</v>
      </c>
      <c r="CP99" s="65" t="s">
        <v>1953</v>
      </c>
      <c r="CQ99" s="65" t="s">
        <v>1953</v>
      </c>
      <c r="CR99" s="65" t="s">
        <v>1953</v>
      </c>
      <c r="CS99" s="65" t="s">
        <v>1953</v>
      </c>
      <c r="CT99" s="65" t="s">
        <v>1953</v>
      </c>
      <c r="CU99" s="65" t="s">
        <v>1953</v>
      </c>
      <c r="CV99" s="65" t="s">
        <v>1953</v>
      </c>
      <c r="CW99" s="65" t="s">
        <v>1953</v>
      </c>
      <c r="CX99" s="65" t="s">
        <v>1953</v>
      </c>
      <c r="CY99" s="65" t="s">
        <v>1953</v>
      </c>
      <c r="CZ99" s="65" t="s">
        <v>1953</v>
      </c>
      <c r="DA99" s="65" t="s">
        <v>1953</v>
      </c>
    </row>
    <row r="100" spans="48:105">
      <c r="AV100" t="s">
        <v>7625</v>
      </c>
      <c r="AW100" t="str">
        <f>IFERROR(HLOOKUP($AW$1,Table3[[#All],[India]:[Dominican Republic]],ROW(Table3[[#This Row],[Default]])-1,0),"True")</f>
        <v>True</v>
      </c>
      <c r="AX100" s="65" t="s">
        <v>1953</v>
      </c>
      <c r="AY100" s="65" t="s">
        <v>1953</v>
      </c>
      <c r="AZ100" s="65" t="s">
        <v>1953</v>
      </c>
      <c r="BA100" s="65" t="s">
        <v>1953</v>
      </c>
      <c r="BB100" s="65" t="s">
        <v>1953</v>
      </c>
      <c r="BC100" s="65" t="s">
        <v>1953</v>
      </c>
      <c r="BD100" s="65" t="s">
        <v>1953</v>
      </c>
      <c r="BE100" s="65" t="s">
        <v>1953</v>
      </c>
      <c r="BF100" s="65" t="s">
        <v>1953</v>
      </c>
      <c r="BG100" s="65" t="s">
        <v>1953</v>
      </c>
      <c r="BH100" s="65" t="s">
        <v>1953</v>
      </c>
      <c r="BI100" s="65" t="s">
        <v>1954</v>
      </c>
      <c r="BJ100" s="65" t="s">
        <v>1953</v>
      </c>
      <c r="BK100" s="65" t="s">
        <v>1953</v>
      </c>
      <c r="BL100" s="65" t="s">
        <v>1953</v>
      </c>
      <c r="BM100" s="65" t="s">
        <v>1953</v>
      </c>
      <c r="BN100" s="65" t="s">
        <v>1953</v>
      </c>
      <c r="BO100" s="65" t="s">
        <v>1953</v>
      </c>
      <c r="BP100" s="65" t="s">
        <v>1953</v>
      </c>
      <c r="BQ100" s="65" t="s">
        <v>1953</v>
      </c>
      <c r="BR100" s="65" t="s">
        <v>1953</v>
      </c>
      <c r="BS100" s="65" t="s">
        <v>1953</v>
      </c>
      <c r="BT100" s="65" t="s">
        <v>1953</v>
      </c>
      <c r="BU100" s="65" t="s">
        <v>1953</v>
      </c>
      <c r="BV100" s="65" t="s">
        <v>1953</v>
      </c>
      <c r="BW100" s="65" t="s">
        <v>1953</v>
      </c>
      <c r="BZ100" t="s">
        <v>5034</v>
      </c>
      <c r="CA100" t="str">
        <f>IFERROR(HLOOKUP($CA$1,Table4[[#All],[India]:[Dominican Republic]],ROW(Table4[[#This Row],[Default]])-1,0),"True")</f>
        <v>True</v>
      </c>
      <c r="CB100" s="65" t="s">
        <v>1953</v>
      </c>
      <c r="CC100" s="65" t="s">
        <v>1953</v>
      </c>
      <c r="CD100" s="65" t="s">
        <v>1954</v>
      </c>
      <c r="CE100" s="65" t="s">
        <v>1953</v>
      </c>
      <c r="CF100" s="65" t="s">
        <v>1953</v>
      </c>
      <c r="CG100" s="65" t="s">
        <v>1953</v>
      </c>
      <c r="CH100" s="65" t="s">
        <v>1954</v>
      </c>
      <c r="CI100" s="65" t="s">
        <v>1953</v>
      </c>
      <c r="CJ100" s="65" t="s">
        <v>1953</v>
      </c>
      <c r="CK100" s="65" t="s">
        <v>1953</v>
      </c>
      <c r="CL100" s="65" t="s">
        <v>1954</v>
      </c>
      <c r="CM100" s="65" t="s">
        <v>1954</v>
      </c>
      <c r="CN100" s="65" t="s">
        <v>1953</v>
      </c>
      <c r="CO100" s="65" t="s">
        <v>1953</v>
      </c>
      <c r="CP100" s="65" t="s">
        <v>1953</v>
      </c>
      <c r="CQ100" s="65" t="s">
        <v>1953</v>
      </c>
      <c r="CR100" s="65" t="s">
        <v>1953</v>
      </c>
      <c r="CS100" s="65" t="s">
        <v>1953</v>
      </c>
      <c r="CT100" s="65" t="s">
        <v>1953</v>
      </c>
      <c r="CU100" s="65" t="s">
        <v>1953</v>
      </c>
      <c r="CV100" s="65" t="s">
        <v>1953</v>
      </c>
      <c r="CW100" s="65" t="s">
        <v>1953</v>
      </c>
      <c r="CX100" s="65" t="s">
        <v>1953</v>
      </c>
      <c r="CY100" s="65" t="s">
        <v>1953</v>
      </c>
      <c r="CZ100" s="65" t="s">
        <v>1953</v>
      </c>
      <c r="DA100" s="65" t="s">
        <v>1953</v>
      </c>
    </row>
    <row r="101" spans="48:105">
      <c r="AV101" t="s">
        <v>7722</v>
      </c>
      <c r="AW101" t="str">
        <f>IFERROR(HLOOKUP($AW$1,Table3[[#All],[India]:[Dominican Republic]],ROW(Table3[[#This Row],[Default]])-1,0),"True")</f>
        <v>True</v>
      </c>
      <c r="AX101" s="65" t="s">
        <v>1953</v>
      </c>
      <c r="AY101" s="65" t="s">
        <v>1953</v>
      </c>
      <c r="AZ101" s="65" t="s">
        <v>1953</v>
      </c>
      <c r="BA101" s="65" t="s">
        <v>1953</v>
      </c>
      <c r="BB101" s="65" t="s">
        <v>1953</v>
      </c>
      <c r="BC101" s="65" t="s">
        <v>1953</v>
      </c>
      <c r="BD101" s="65" t="s">
        <v>1953</v>
      </c>
      <c r="BE101" s="65" t="s">
        <v>1953</v>
      </c>
      <c r="BF101" s="65" t="s">
        <v>1953</v>
      </c>
      <c r="BG101" s="65" t="s">
        <v>1953</v>
      </c>
      <c r="BH101" s="65" t="s">
        <v>1953</v>
      </c>
      <c r="BI101" s="65" t="s">
        <v>1953</v>
      </c>
      <c r="BJ101" s="65" t="s">
        <v>1954</v>
      </c>
      <c r="BK101" s="65" t="s">
        <v>1953</v>
      </c>
      <c r="BL101" s="65" t="s">
        <v>1953</v>
      </c>
      <c r="BM101" s="65" t="s">
        <v>1953</v>
      </c>
      <c r="BN101" s="65" t="s">
        <v>1953</v>
      </c>
      <c r="BO101" s="65" t="s">
        <v>1953</v>
      </c>
      <c r="BP101" s="65" t="s">
        <v>1953</v>
      </c>
      <c r="BQ101" s="65" t="s">
        <v>1953</v>
      </c>
      <c r="BR101" s="65" t="s">
        <v>1953</v>
      </c>
      <c r="BS101" s="65" t="s">
        <v>1953</v>
      </c>
      <c r="BT101" s="65" t="s">
        <v>1953</v>
      </c>
      <c r="BU101" s="65" t="s">
        <v>1953</v>
      </c>
      <c r="BV101" s="65" t="s">
        <v>1953</v>
      </c>
      <c r="BW101" s="65" t="s">
        <v>1953</v>
      </c>
      <c r="BZ101" t="s">
        <v>320</v>
      </c>
      <c r="CA101" t="str">
        <f>IFERROR(HLOOKUP($CA$1,Table4[[#All],[India]:[Dominican Republic]],ROW(Table4[[#This Row],[Default]])-1,0),"True")</f>
        <v>True</v>
      </c>
      <c r="CB101" s="65" t="s">
        <v>1953</v>
      </c>
      <c r="CC101" s="65" t="s">
        <v>1953</v>
      </c>
      <c r="CD101" s="65" t="s">
        <v>1954</v>
      </c>
      <c r="CE101" s="65" t="s">
        <v>1953</v>
      </c>
      <c r="CF101" s="65" t="s">
        <v>1953</v>
      </c>
      <c r="CG101" s="65" t="s">
        <v>1953</v>
      </c>
      <c r="CH101" s="65" t="s">
        <v>1953</v>
      </c>
      <c r="CI101" s="65" t="s">
        <v>1953</v>
      </c>
      <c r="CJ101" s="65" t="s">
        <v>1953</v>
      </c>
      <c r="CK101" s="65" t="s">
        <v>1953</v>
      </c>
      <c r="CL101" s="65" t="s">
        <v>1953</v>
      </c>
      <c r="CM101" s="65" t="s">
        <v>1954</v>
      </c>
      <c r="CN101" s="65" t="s">
        <v>1953</v>
      </c>
      <c r="CO101" s="65" t="s">
        <v>1953</v>
      </c>
      <c r="CP101" s="65" t="s">
        <v>1953</v>
      </c>
      <c r="CQ101" s="65" t="s">
        <v>1953</v>
      </c>
      <c r="CR101" s="65" t="s">
        <v>1953</v>
      </c>
      <c r="CS101" s="65" t="s">
        <v>1953</v>
      </c>
      <c r="CT101" s="65" t="s">
        <v>1953</v>
      </c>
      <c r="CU101" s="65" t="s">
        <v>1953</v>
      </c>
      <c r="CV101" s="65" t="s">
        <v>1953</v>
      </c>
      <c r="CW101" s="65" t="s">
        <v>1953</v>
      </c>
      <c r="CX101" s="65" t="s">
        <v>1953</v>
      </c>
      <c r="CY101" s="65" t="s">
        <v>1953</v>
      </c>
      <c r="CZ101" s="65" t="s">
        <v>1953</v>
      </c>
      <c r="DA101" s="65" t="s">
        <v>1953</v>
      </c>
    </row>
    <row r="102" spans="48:105">
      <c r="AV102" t="s">
        <v>7723</v>
      </c>
      <c r="AW102" t="str">
        <f>IFERROR(HLOOKUP($AW$1,Table3[[#All],[India]:[Dominican Republic]],ROW(Table3[[#This Row],[Default]])-1,0),"True")</f>
        <v>True</v>
      </c>
      <c r="AX102" s="65" t="s">
        <v>1953</v>
      </c>
      <c r="AY102" s="65" t="s">
        <v>1953</v>
      </c>
      <c r="AZ102" s="65" t="s">
        <v>1953</v>
      </c>
      <c r="BA102" s="65" t="s">
        <v>1953</v>
      </c>
      <c r="BB102" s="65" t="s">
        <v>1953</v>
      </c>
      <c r="BC102" s="65" t="s">
        <v>1953</v>
      </c>
      <c r="BD102" s="65" t="s">
        <v>1953</v>
      </c>
      <c r="BE102" s="65" t="s">
        <v>1953</v>
      </c>
      <c r="BF102" s="65" t="s">
        <v>1953</v>
      </c>
      <c r="BG102" s="65" t="s">
        <v>1953</v>
      </c>
      <c r="BH102" s="65" t="s">
        <v>1953</v>
      </c>
      <c r="BI102" s="65" t="s">
        <v>1953</v>
      </c>
      <c r="BJ102" s="65" t="s">
        <v>1954</v>
      </c>
      <c r="BK102" s="65" t="s">
        <v>1953</v>
      </c>
      <c r="BL102" s="65" t="s">
        <v>1953</v>
      </c>
      <c r="BM102" s="65" t="s">
        <v>1953</v>
      </c>
      <c r="BN102" s="65" t="s">
        <v>1953</v>
      </c>
      <c r="BO102" s="65" t="s">
        <v>1953</v>
      </c>
      <c r="BP102" s="65" t="s">
        <v>1953</v>
      </c>
      <c r="BQ102" s="65" t="s">
        <v>1953</v>
      </c>
      <c r="BR102" s="65" t="s">
        <v>1953</v>
      </c>
      <c r="BS102" s="65" t="s">
        <v>1953</v>
      </c>
      <c r="BT102" s="65" t="s">
        <v>1953</v>
      </c>
      <c r="BU102" s="65" t="s">
        <v>1953</v>
      </c>
      <c r="BV102" s="65" t="s">
        <v>1953</v>
      </c>
      <c r="BW102" s="65" t="s">
        <v>1953</v>
      </c>
      <c r="BZ102" t="s">
        <v>5035</v>
      </c>
      <c r="CA102" t="str">
        <f>IFERROR(HLOOKUP($CA$1,Table4[[#All],[India]:[Dominican Republic]],ROW(Table4[[#This Row],[Default]])-1,0),"True")</f>
        <v>True</v>
      </c>
      <c r="CB102" s="65" t="s">
        <v>1953</v>
      </c>
      <c r="CC102" s="65" t="s">
        <v>1953</v>
      </c>
      <c r="CD102" s="65" t="s">
        <v>1954</v>
      </c>
      <c r="CE102" s="65" t="s">
        <v>1953</v>
      </c>
      <c r="CF102" s="65" t="s">
        <v>1953</v>
      </c>
      <c r="CG102" s="65" t="s">
        <v>1953</v>
      </c>
      <c r="CH102" s="65" t="s">
        <v>1954</v>
      </c>
      <c r="CI102" s="65" t="s">
        <v>1953</v>
      </c>
      <c r="CJ102" s="65" t="s">
        <v>1953</v>
      </c>
      <c r="CK102" s="65" t="s">
        <v>1953</v>
      </c>
      <c r="CL102" s="65" t="s">
        <v>1954</v>
      </c>
      <c r="CM102" s="65" t="s">
        <v>1954</v>
      </c>
      <c r="CN102" s="65" t="s">
        <v>1953</v>
      </c>
      <c r="CO102" s="65" t="s">
        <v>1953</v>
      </c>
      <c r="CP102" s="65" t="s">
        <v>1953</v>
      </c>
      <c r="CQ102" s="65" t="s">
        <v>1953</v>
      </c>
      <c r="CR102" s="65" t="s">
        <v>1953</v>
      </c>
      <c r="CS102" s="65" t="s">
        <v>1953</v>
      </c>
      <c r="CT102" s="65" t="s">
        <v>1953</v>
      </c>
      <c r="CU102" s="65" t="s">
        <v>1953</v>
      </c>
      <c r="CV102" s="65" t="s">
        <v>1953</v>
      </c>
      <c r="CW102" s="65" t="s">
        <v>1953</v>
      </c>
      <c r="CX102" s="65" t="s">
        <v>1953</v>
      </c>
      <c r="CY102" s="65" t="s">
        <v>1953</v>
      </c>
      <c r="CZ102" s="65" t="s">
        <v>1953</v>
      </c>
      <c r="DA102" s="65" t="s">
        <v>1953</v>
      </c>
    </row>
    <row r="103" spans="48:105">
      <c r="AV103" t="s">
        <v>7724</v>
      </c>
      <c r="AW103" t="str">
        <f>IFERROR(HLOOKUP($AW$1,Table3[[#All],[India]:[Dominican Republic]],ROW(Table3[[#This Row],[Default]])-1,0),"True")</f>
        <v>True</v>
      </c>
      <c r="AX103" s="65" t="s">
        <v>1953</v>
      </c>
      <c r="AY103" s="65" t="s">
        <v>1953</v>
      </c>
      <c r="AZ103" s="65" t="s">
        <v>1953</v>
      </c>
      <c r="BA103" s="65" t="s">
        <v>1953</v>
      </c>
      <c r="BB103" s="65" t="s">
        <v>1953</v>
      </c>
      <c r="BC103" s="65" t="s">
        <v>1953</v>
      </c>
      <c r="BD103" s="65" t="s">
        <v>1953</v>
      </c>
      <c r="BE103" s="65" t="s">
        <v>1953</v>
      </c>
      <c r="BF103" s="65" t="s">
        <v>1953</v>
      </c>
      <c r="BG103" s="65" t="s">
        <v>1953</v>
      </c>
      <c r="BH103" s="65" t="s">
        <v>1953</v>
      </c>
      <c r="BI103" s="65" t="s">
        <v>1953</v>
      </c>
      <c r="BJ103" s="65" t="s">
        <v>1954</v>
      </c>
      <c r="BK103" s="65" t="s">
        <v>1953</v>
      </c>
      <c r="BL103" s="65" t="s">
        <v>1953</v>
      </c>
      <c r="BM103" s="65" t="s">
        <v>1953</v>
      </c>
      <c r="BN103" s="65" t="s">
        <v>1953</v>
      </c>
      <c r="BO103" s="65" t="s">
        <v>1953</v>
      </c>
      <c r="BP103" s="65" t="s">
        <v>1953</v>
      </c>
      <c r="BQ103" s="65" t="s">
        <v>1953</v>
      </c>
      <c r="BR103" s="65" t="s">
        <v>1953</v>
      </c>
      <c r="BS103" s="65" t="s">
        <v>1953</v>
      </c>
      <c r="BT103" s="65" t="s">
        <v>1953</v>
      </c>
      <c r="BU103" s="65" t="s">
        <v>1953</v>
      </c>
      <c r="BV103" s="65" t="s">
        <v>1953</v>
      </c>
      <c r="BW103" s="65" t="s">
        <v>1953</v>
      </c>
      <c r="BZ103" t="s">
        <v>5036</v>
      </c>
      <c r="CA103" t="str">
        <f>IFERROR(HLOOKUP($CA$1,Table4[[#All],[India]:[Dominican Republic]],ROW(Table4[[#This Row],[Default]])-1,0),"True")</f>
        <v>True</v>
      </c>
      <c r="CB103" s="65" t="s">
        <v>1953</v>
      </c>
      <c r="CC103" s="65" t="s">
        <v>1953</v>
      </c>
      <c r="CD103" s="65" t="s">
        <v>1954</v>
      </c>
      <c r="CE103" s="65" t="s">
        <v>1954</v>
      </c>
      <c r="CF103" s="65" t="s">
        <v>1953</v>
      </c>
      <c r="CG103" s="65" t="s">
        <v>1953</v>
      </c>
      <c r="CH103" s="65" t="s">
        <v>1953</v>
      </c>
      <c r="CI103" s="65" t="s">
        <v>1953</v>
      </c>
      <c r="CJ103" s="65" t="s">
        <v>1953</v>
      </c>
      <c r="CK103" s="65" t="s">
        <v>1953</v>
      </c>
      <c r="CL103" s="65" t="s">
        <v>1954</v>
      </c>
      <c r="CM103" s="65" t="s">
        <v>1953</v>
      </c>
      <c r="CN103" s="65" t="s">
        <v>1953</v>
      </c>
      <c r="CO103" s="65" t="s">
        <v>1953</v>
      </c>
      <c r="CP103" s="65" t="s">
        <v>1953</v>
      </c>
      <c r="CQ103" s="65" t="s">
        <v>1953</v>
      </c>
      <c r="CR103" s="65" t="s">
        <v>1953</v>
      </c>
      <c r="CS103" s="65" t="s">
        <v>1953</v>
      </c>
      <c r="CT103" s="65" t="s">
        <v>1953</v>
      </c>
      <c r="CU103" s="65" t="s">
        <v>1953</v>
      </c>
      <c r="CV103" s="65" t="s">
        <v>1953</v>
      </c>
      <c r="CW103" s="65" t="s">
        <v>1953</v>
      </c>
      <c r="CX103" s="65" t="s">
        <v>1953</v>
      </c>
      <c r="CY103" s="65" t="s">
        <v>1953</v>
      </c>
      <c r="CZ103" s="65" t="s">
        <v>1953</v>
      </c>
      <c r="DA103" s="65" t="s">
        <v>1953</v>
      </c>
    </row>
    <row r="104" spans="48:105">
      <c r="AV104" t="s">
        <v>7725</v>
      </c>
      <c r="AW104" t="str">
        <f>IFERROR(HLOOKUP($AW$1,Table3[[#All],[India]:[Dominican Republic]],ROW(Table3[[#This Row],[Default]])-1,0),"True")</f>
        <v>True</v>
      </c>
      <c r="AX104" s="65" t="s">
        <v>1953</v>
      </c>
      <c r="AY104" s="65" t="s">
        <v>1953</v>
      </c>
      <c r="AZ104" s="65" t="s">
        <v>1953</v>
      </c>
      <c r="BA104" s="65" t="s">
        <v>1953</v>
      </c>
      <c r="BB104" s="65" t="s">
        <v>1953</v>
      </c>
      <c r="BC104" s="65" t="s">
        <v>1953</v>
      </c>
      <c r="BD104" s="65" t="s">
        <v>1953</v>
      </c>
      <c r="BE104" s="65" t="s">
        <v>1953</v>
      </c>
      <c r="BF104" s="65" t="s">
        <v>1953</v>
      </c>
      <c r="BG104" s="65" t="s">
        <v>1953</v>
      </c>
      <c r="BH104" s="65" t="s">
        <v>1953</v>
      </c>
      <c r="BI104" s="65" t="s">
        <v>1953</v>
      </c>
      <c r="BJ104" s="65" t="s">
        <v>1954</v>
      </c>
      <c r="BK104" s="65" t="s">
        <v>1953</v>
      </c>
      <c r="BL104" s="65" t="s">
        <v>1953</v>
      </c>
      <c r="BM104" s="65" t="s">
        <v>1953</v>
      </c>
      <c r="BN104" s="65" t="s">
        <v>1953</v>
      </c>
      <c r="BO104" s="65" t="s">
        <v>1953</v>
      </c>
      <c r="BP104" s="65" t="s">
        <v>1953</v>
      </c>
      <c r="BQ104" s="65" t="s">
        <v>1953</v>
      </c>
      <c r="BR104" s="65" t="s">
        <v>1953</v>
      </c>
      <c r="BS104" s="65" t="s">
        <v>1953</v>
      </c>
      <c r="BT104" s="65" t="s">
        <v>1953</v>
      </c>
      <c r="BU104" s="65" t="s">
        <v>1953</v>
      </c>
      <c r="BV104" s="65" t="s">
        <v>1953</v>
      </c>
      <c r="BW104" s="65" t="s">
        <v>1953</v>
      </c>
      <c r="BZ104" t="s">
        <v>5037</v>
      </c>
      <c r="CA104" t="str">
        <f>IFERROR(HLOOKUP($CA$1,Table4[[#All],[India]:[Dominican Republic]],ROW(Table4[[#This Row],[Default]])-1,0),"True")</f>
        <v>True</v>
      </c>
      <c r="CB104" s="65" t="s">
        <v>1953</v>
      </c>
      <c r="CC104" s="65" t="s">
        <v>1953</v>
      </c>
      <c r="CD104" s="65" t="s">
        <v>1954</v>
      </c>
      <c r="CE104" s="65" t="s">
        <v>1953</v>
      </c>
      <c r="CF104" s="65" t="s">
        <v>1953</v>
      </c>
      <c r="CG104" s="65" t="s">
        <v>1953</v>
      </c>
      <c r="CH104" s="65" t="s">
        <v>1953</v>
      </c>
      <c r="CI104" s="65" t="s">
        <v>1953</v>
      </c>
      <c r="CJ104" s="65" t="s">
        <v>1953</v>
      </c>
      <c r="CK104" s="65" t="s">
        <v>1953</v>
      </c>
      <c r="CL104" s="65" t="s">
        <v>1953</v>
      </c>
      <c r="CM104" s="65" t="s">
        <v>1954</v>
      </c>
      <c r="CN104" s="65" t="s">
        <v>1953</v>
      </c>
      <c r="CO104" s="65" t="s">
        <v>1953</v>
      </c>
      <c r="CP104" s="65" t="s">
        <v>1953</v>
      </c>
      <c r="CQ104" s="65" t="s">
        <v>1953</v>
      </c>
      <c r="CR104" s="65" t="s">
        <v>1953</v>
      </c>
      <c r="CS104" s="65" t="s">
        <v>1953</v>
      </c>
      <c r="CT104" s="65" t="s">
        <v>1953</v>
      </c>
      <c r="CU104" s="65" t="s">
        <v>1953</v>
      </c>
      <c r="CV104" s="65" t="s">
        <v>1953</v>
      </c>
      <c r="CW104" s="65" t="s">
        <v>1953</v>
      </c>
      <c r="CX104" s="65" t="s">
        <v>1953</v>
      </c>
      <c r="CY104" s="65" t="s">
        <v>1953</v>
      </c>
      <c r="CZ104" s="65" t="s">
        <v>1953</v>
      </c>
      <c r="DA104" s="65" t="s">
        <v>1953</v>
      </c>
    </row>
    <row r="105" spans="48:105">
      <c r="AV105" t="s">
        <v>7726</v>
      </c>
      <c r="AW105" t="str">
        <f>IFERROR(HLOOKUP($AW$1,Table3[[#All],[India]:[Dominican Republic]],ROW(Table3[[#This Row],[Default]])-1,0),"True")</f>
        <v>True</v>
      </c>
      <c r="AX105" s="65" t="s">
        <v>1953</v>
      </c>
      <c r="AY105" s="65" t="s">
        <v>1953</v>
      </c>
      <c r="AZ105" s="65" t="s">
        <v>1953</v>
      </c>
      <c r="BA105" s="65" t="s">
        <v>1953</v>
      </c>
      <c r="BB105" s="65" t="s">
        <v>1953</v>
      </c>
      <c r="BC105" s="65" t="s">
        <v>1953</v>
      </c>
      <c r="BD105" s="65" t="s">
        <v>1953</v>
      </c>
      <c r="BE105" s="65" t="s">
        <v>1953</v>
      </c>
      <c r="BF105" s="65" t="s">
        <v>1953</v>
      </c>
      <c r="BG105" s="65" t="s">
        <v>1953</v>
      </c>
      <c r="BH105" s="65" t="s">
        <v>1953</v>
      </c>
      <c r="BI105" s="65" t="s">
        <v>1953</v>
      </c>
      <c r="BJ105" s="65" t="s">
        <v>1954</v>
      </c>
      <c r="BK105" s="65" t="s">
        <v>1953</v>
      </c>
      <c r="BL105" s="65" t="s">
        <v>1953</v>
      </c>
      <c r="BM105" s="65" t="s">
        <v>1953</v>
      </c>
      <c r="BN105" s="65" t="s">
        <v>1953</v>
      </c>
      <c r="BO105" s="65" t="s">
        <v>1953</v>
      </c>
      <c r="BP105" s="65" t="s">
        <v>1953</v>
      </c>
      <c r="BQ105" s="65" t="s">
        <v>1953</v>
      </c>
      <c r="BR105" s="65" t="s">
        <v>1953</v>
      </c>
      <c r="BS105" s="65" t="s">
        <v>1953</v>
      </c>
      <c r="BT105" s="65" t="s">
        <v>1953</v>
      </c>
      <c r="BU105" s="65" t="s">
        <v>1953</v>
      </c>
      <c r="BV105" s="65" t="s">
        <v>1953</v>
      </c>
      <c r="BW105" s="65" t="s">
        <v>1953</v>
      </c>
      <c r="BZ105" t="s">
        <v>5038</v>
      </c>
      <c r="CA105" t="str">
        <f>IFERROR(HLOOKUP($CA$1,Table4[[#All],[India]:[Dominican Republic]],ROW(Table4[[#This Row],[Default]])-1,0),"True")</f>
        <v>True</v>
      </c>
      <c r="CB105" s="65" t="s">
        <v>1953</v>
      </c>
      <c r="CC105" s="65" t="s">
        <v>1953</v>
      </c>
      <c r="CD105" s="65" t="s">
        <v>1954</v>
      </c>
      <c r="CE105" s="65" t="s">
        <v>1953</v>
      </c>
      <c r="CF105" s="65" t="s">
        <v>1953</v>
      </c>
      <c r="CG105" s="65" t="s">
        <v>1953</v>
      </c>
      <c r="CH105" s="65" t="s">
        <v>1953</v>
      </c>
      <c r="CI105" s="65" t="s">
        <v>1953</v>
      </c>
      <c r="CJ105" s="65" t="s">
        <v>1953</v>
      </c>
      <c r="CK105" s="65" t="s">
        <v>1953</v>
      </c>
      <c r="CL105" s="65" t="s">
        <v>1953</v>
      </c>
      <c r="CM105" s="65" t="s">
        <v>1954</v>
      </c>
      <c r="CN105" s="65" t="s">
        <v>1953</v>
      </c>
      <c r="CO105" s="65" t="s">
        <v>1953</v>
      </c>
      <c r="CP105" s="65" t="s">
        <v>1953</v>
      </c>
      <c r="CQ105" s="65" t="s">
        <v>1953</v>
      </c>
      <c r="CR105" s="65" t="s">
        <v>1953</v>
      </c>
      <c r="CS105" s="65" t="s">
        <v>1953</v>
      </c>
      <c r="CT105" s="65" t="s">
        <v>1953</v>
      </c>
      <c r="CU105" s="65" t="s">
        <v>1953</v>
      </c>
      <c r="CV105" s="65" t="s">
        <v>1953</v>
      </c>
      <c r="CW105" s="65" t="s">
        <v>1953</v>
      </c>
      <c r="CX105" s="65" t="s">
        <v>1953</v>
      </c>
      <c r="CY105" s="65" t="s">
        <v>1953</v>
      </c>
      <c r="CZ105" s="65" t="s">
        <v>1953</v>
      </c>
      <c r="DA105" s="65" t="s">
        <v>1953</v>
      </c>
    </row>
    <row r="106" spans="48:105">
      <c r="AV106" t="s">
        <v>7727</v>
      </c>
      <c r="AW106" t="str">
        <f>IFERROR(HLOOKUP($AW$1,Table3[[#All],[India]:[Dominican Republic]],ROW(Table3[[#This Row],[Default]])-1,0),"True")</f>
        <v>True</v>
      </c>
      <c r="AX106" s="65" t="s">
        <v>1953</v>
      </c>
      <c r="AY106" s="65" t="s">
        <v>1953</v>
      </c>
      <c r="AZ106" s="65" t="s">
        <v>1953</v>
      </c>
      <c r="BA106" s="65" t="s">
        <v>1953</v>
      </c>
      <c r="BB106" s="65" t="s">
        <v>1953</v>
      </c>
      <c r="BC106" s="65" t="s">
        <v>1953</v>
      </c>
      <c r="BD106" s="65" t="s">
        <v>1953</v>
      </c>
      <c r="BE106" s="65" t="s">
        <v>1953</v>
      </c>
      <c r="BF106" s="65" t="s">
        <v>1953</v>
      </c>
      <c r="BG106" s="65" t="s">
        <v>1953</v>
      </c>
      <c r="BH106" s="65" t="s">
        <v>1953</v>
      </c>
      <c r="BI106" s="65" t="s">
        <v>1953</v>
      </c>
      <c r="BJ106" s="65" t="s">
        <v>1954</v>
      </c>
      <c r="BK106" s="65" t="s">
        <v>1953</v>
      </c>
      <c r="BL106" s="65" t="s">
        <v>1953</v>
      </c>
      <c r="BM106" s="65" t="s">
        <v>1953</v>
      </c>
      <c r="BN106" s="65" t="s">
        <v>1953</v>
      </c>
      <c r="BO106" s="65" t="s">
        <v>1953</v>
      </c>
      <c r="BP106" s="65" t="s">
        <v>1953</v>
      </c>
      <c r="BQ106" s="65" t="s">
        <v>1953</v>
      </c>
      <c r="BR106" s="65" t="s">
        <v>1953</v>
      </c>
      <c r="BS106" s="65" t="s">
        <v>1953</v>
      </c>
      <c r="BT106" s="65" t="s">
        <v>1953</v>
      </c>
      <c r="BU106" s="65" t="s">
        <v>1953</v>
      </c>
      <c r="BV106" s="65" t="s">
        <v>1953</v>
      </c>
      <c r="BW106" s="65" t="s">
        <v>1953</v>
      </c>
      <c r="BZ106" t="s">
        <v>5039</v>
      </c>
      <c r="CA106" t="str">
        <f>IFERROR(HLOOKUP($CA$1,Table4[[#All],[India]:[Dominican Republic]],ROW(Table4[[#This Row],[Default]])-1,0),"True")</f>
        <v>True</v>
      </c>
      <c r="CB106" s="65" t="s">
        <v>1953</v>
      </c>
      <c r="CC106" s="65" t="s">
        <v>1953</v>
      </c>
      <c r="CD106" s="65" t="s">
        <v>1954</v>
      </c>
      <c r="CE106" s="65" t="s">
        <v>1953</v>
      </c>
      <c r="CF106" s="65" t="s">
        <v>1953</v>
      </c>
      <c r="CG106" s="65" t="s">
        <v>1953</v>
      </c>
      <c r="CH106" s="65" t="s">
        <v>1953</v>
      </c>
      <c r="CI106" s="65" t="s">
        <v>1953</v>
      </c>
      <c r="CJ106" s="65" t="s">
        <v>1953</v>
      </c>
      <c r="CK106" s="65" t="s">
        <v>1953</v>
      </c>
      <c r="CL106" s="65" t="s">
        <v>1953</v>
      </c>
      <c r="CM106" s="65" t="s">
        <v>1953</v>
      </c>
      <c r="CN106" s="65" t="s">
        <v>1953</v>
      </c>
      <c r="CO106" s="65" t="s">
        <v>1953</v>
      </c>
      <c r="CP106" s="65" t="s">
        <v>1953</v>
      </c>
      <c r="CQ106" s="65" t="s">
        <v>1953</v>
      </c>
      <c r="CR106" s="65" t="s">
        <v>1953</v>
      </c>
      <c r="CS106" s="65" t="s">
        <v>1953</v>
      </c>
      <c r="CT106" s="65" t="s">
        <v>1953</v>
      </c>
      <c r="CU106" s="65" t="s">
        <v>1953</v>
      </c>
      <c r="CV106" s="65" t="s">
        <v>1953</v>
      </c>
      <c r="CW106" s="65" t="s">
        <v>1953</v>
      </c>
      <c r="CX106" s="65" t="s">
        <v>1953</v>
      </c>
      <c r="CY106" s="65" t="s">
        <v>1953</v>
      </c>
      <c r="CZ106" s="65" t="s">
        <v>1953</v>
      </c>
      <c r="DA106" s="65" t="s">
        <v>1953</v>
      </c>
    </row>
    <row r="107" spans="48:105">
      <c r="AV107" t="s">
        <v>7728</v>
      </c>
      <c r="AW107" t="str">
        <f>IFERROR(HLOOKUP($AW$1,Table3[[#All],[India]:[Dominican Republic]],ROW(Table3[[#This Row],[Default]])-1,0),"True")</f>
        <v>True</v>
      </c>
      <c r="AX107" s="65" t="s">
        <v>1953</v>
      </c>
      <c r="AY107" s="65" t="s">
        <v>1953</v>
      </c>
      <c r="AZ107" s="65" t="s">
        <v>1953</v>
      </c>
      <c r="BA107" s="65" t="s">
        <v>1953</v>
      </c>
      <c r="BB107" s="65" t="s">
        <v>1953</v>
      </c>
      <c r="BC107" s="65" t="s">
        <v>1953</v>
      </c>
      <c r="BD107" s="65" t="s">
        <v>1953</v>
      </c>
      <c r="BE107" s="65" t="s">
        <v>1953</v>
      </c>
      <c r="BF107" s="65" t="s">
        <v>1953</v>
      </c>
      <c r="BG107" s="65" t="s">
        <v>1953</v>
      </c>
      <c r="BH107" s="65" t="s">
        <v>1953</v>
      </c>
      <c r="BI107" s="65" t="s">
        <v>1953</v>
      </c>
      <c r="BJ107" s="65" t="s">
        <v>1954</v>
      </c>
      <c r="BK107" s="65" t="s">
        <v>1953</v>
      </c>
      <c r="BL107" s="65" t="s">
        <v>1953</v>
      </c>
      <c r="BM107" s="65" t="s">
        <v>1953</v>
      </c>
      <c r="BN107" s="65" t="s">
        <v>1953</v>
      </c>
      <c r="BO107" s="65" t="s">
        <v>1953</v>
      </c>
      <c r="BP107" s="65" t="s">
        <v>1953</v>
      </c>
      <c r="BQ107" s="65" t="s">
        <v>1953</v>
      </c>
      <c r="BR107" s="65" t="s">
        <v>1953</v>
      </c>
      <c r="BS107" s="65" t="s">
        <v>1953</v>
      </c>
      <c r="BT107" s="65" t="s">
        <v>1953</v>
      </c>
      <c r="BU107" s="65" t="s">
        <v>1953</v>
      </c>
      <c r="BV107" s="65" t="s">
        <v>1953</v>
      </c>
      <c r="BW107" s="65" t="s">
        <v>1953</v>
      </c>
      <c r="BZ107" t="s">
        <v>5041</v>
      </c>
      <c r="CA107" t="str">
        <f>IFERROR(HLOOKUP($CA$1,Table4[[#All],[India]:[Dominican Republic]],ROW(Table4[[#This Row],[Default]])-1,0),"True")</f>
        <v>True</v>
      </c>
      <c r="CB107" s="65" t="s">
        <v>1953</v>
      </c>
      <c r="CC107" s="65" t="s">
        <v>1953</v>
      </c>
      <c r="CD107" s="65" t="s">
        <v>1954</v>
      </c>
      <c r="CE107" s="65" t="s">
        <v>1953</v>
      </c>
      <c r="CF107" s="65" t="s">
        <v>1953</v>
      </c>
      <c r="CG107" s="65" t="s">
        <v>1953</v>
      </c>
      <c r="CH107" s="65" t="s">
        <v>1953</v>
      </c>
      <c r="CI107" s="65" t="s">
        <v>1953</v>
      </c>
      <c r="CJ107" s="65" t="s">
        <v>1953</v>
      </c>
      <c r="CK107" s="65" t="s">
        <v>1953</v>
      </c>
      <c r="CL107" s="65" t="s">
        <v>1953</v>
      </c>
      <c r="CM107" s="65" t="s">
        <v>1953</v>
      </c>
      <c r="CN107" s="65" t="s">
        <v>1953</v>
      </c>
      <c r="CO107" s="65" t="s">
        <v>1953</v>
      </c>
      <c r="CP107" s="65" t="s">
        <v>1953</v>
      </c>
      <c r="CQ107" s="65" t="s">
        <v>1953</v>
      </c>
      <c r="CR107" s="65" t="s">
        <v>1953</v>
      </c>
      <c r="CS107" s="65" t="s">
        <v>1953</v>
      </c>
      <c r="CT107" s="65" t="s">
        <v>1953</v>
      </c>
      <c r="CU107" s="65" t="s">
        <v>1953</v>
      </c>
      <c r="CV107" s="65" t="s">
        <v>1953</v>
      </c>
      <c r="CW107" s="65" t="s">
        <v>1953</v>
      </c>
      <c r="CX107" s="65" t="s">
        <v>1953</v>
      </c>
      <c r="CY107" s="65" t="s">
        <v>1953</v>
      </c>
      <c r="CZ107" s="65" t="s">
        <v>1953</v>
      </c>
      <c r="DA107" s="65" t="s">
        <v>1953</v>
      </c>
    </row>
    <row r="108" spans="48:105">
      <c r="AV108" t="s">
        <v>7793</v>
      </c>
      <c r="AW108" s="96" t="str">
        <f>IFERROR(HLOOKUP($AW$1,Table3[[#All],[India]:[Dominican Republic]],ROW(Table3[[#This Row],[Default]])-1,0),"True")</f>
        <v>True</v>
      </c>
      <c r="AX108" s="65" t="s">
        <v>1953</v>
      </c>
      <c r="AY108" s="65" t="s">
        <v>1953</v>
      </c>
      <c r="AZ108" s="65" t="s">
        <v>1953</v>
      </c>
      <c r="BA108" s="65" t="s">
        <v>1953</v>
      </c>
      <c r="BB108" s="65" t="s">
        <v>1953</v>
      </c>
      <c r="BC108" s="65" t="s">
        <v>1953</v>
      </c>
      <c r="BD108" s="65" t="s">
        <v>1953</v>
      </c>
      <c r="BE108" s="65" t="s">
        <v>1953</v>
      </c>
      <c r="BF108" s="65" t="s">
        <v>1953</v>
      </c>
      <c r="BG108" s="65" t="s">
        <v>1953</v>
      </c>
      <c r="BH108" s="65" t="s">
        <v>1953</v>
      </c>
      <c r="BI108" s="65" t="s">
        <v>1953</v>
      </c>
      <c r="BJ108" s="65" t="s">
        <v>1953</v>
      </c>
      <c r="BK108" s="65" t="s">
        <v>1954</v>
      </c>
      <c r="BL108" s="65" t="s">
        <v>1953</v>
      </c>
      <c r="BM108" s="65" t="s">
        <v>1953</v>
      </c>
      <c r="BN108" s="65" t="s">
        <v>1953</v>
      </c>
      <c r="BO108" s="65" t="s">
        <v>1953</v>
      </c>
      <c r="BP108" s="65" t="s">
        <v>1953</v>
      </c>
      <c r="BQ108" s="65" t="s">
        <v>1953</v>
      </c>
      <c r="BR108" s="65" t="s">
        <v>1953</v>
      </c>
      <c r="BS108" s="65" t="s">
        <v>1953</v>
      </c>
      <c r="BT108" s="65" t="s">
        <v>1953</v>
      </c>
      <c r="BU108" s="65" t="s">
        <v>1953</v>
      </c>
      <c r="BV108" s="65" t="s">
        <v>1953</v>
      </c>
      <c r="BW108" s="65" t="s">
        <v>1953</v>
      </c>
      <c r="BZ108" t="s">
        <v>5042</v>
      </c>
      <c r="CA108" t="str">
        <f>IFERROR(HLOOKUP($CA$1,Table4[[#All],[India]:[Dominican Republic]],ROW(Table4[[#This Row],[Default]])-1,0),"True")</f>
        <v>True</v>
      </c>
      <c r="CB108" s="65" t="s">
        <v>1953</v>
      </c>
      <c r="CC108" s="65" t="s">
        <v>1953</v>
      </c>
      <c r="CD108" s="65" t="s">
        <v>1954</v>
      </c>
      <c r="CE108" s="65" t="s">
        <v>1953</v>
      </c>
      <c r="CF108" s="65" t="s">
        <v>1953</v>
      </c>
      <c r="CG108" s="65" t="s">
        <v>1953</v>
      </c>
      <c r="CH108" s="65" t="s">
        <v>1953</v>
      </c>
      <c r="CI108" s="65" t="s">
        <v>1953</v>
      </c>
      <c r="CJ108" s="65" t="s">
        <v>1953</v>
      </c>
      <c r="CK108" s="65" t="s">
        <v>1953</v>
      </c>
      <c r="CL108" s="65" t="s">
        <v>1953</v>
      </c>
      <c r="CM108" s="65" t="s">
        <v>1953</v>
      </c>
      <c r="CN108" s="65" t="s">
        <v>1953</v>
      </c>
      <c r="CO108" s="65" t="s">
        <v>1953</v>
      </c>
      <c r="CP108" s="65" t="s">
        <v>1953</v>
      </c>
      <c r="CQ108" s="65" t="s">
        <v>1953</v>
      </c>
      <c r="CR108" s="65" t="s">
        <v>1953</v>
      </c>
      <c r="CS108" s="65" t="s">
        <v>1953</v>
      </c>
      <c r="CT108" s="65" t="s">
        <v>1953</v>
      </c>
      <c r="CU108" s="65" t="s">
        <v>1953</v>
      </c>
      <c r="CV108" s="65" t="s">
        <v>1953</v>
      </c>
      <c r="CW108" s="65" t="s">
        <v>1953</v>
      </c>
      <c r="CX108" s="65" t="s">
        <v>1953</v>
      </c>
      <c r="CY108" s="65" t="s">
        <v>1953</v>
      </c>
      <c r="CZ108" s="65" t="s">
        <v>1953</v>
      </c>
      <c r="DA108" s="65" t="s">
        <v>1953</v>
      </c>
    </row>
    <row r="109" spans="48:105">
      <c r="AV109" t="s">
        <v>7804</v>
      </c>
      <c r="AW109" s="96" t="str">
        <f>IFERROR(HLOOKUP($AW$1,Table3[[#All],[India]:[Dominican Republic]],ROW(Table3[[#This Row],[Default]])-1,0),"True")</f>
        <v>True</v>
      </c>
      <c r="AX109" s="65" t="s">
        <v>1953</v>
      </c>
      <c r="AY109" s="65" t="s">
        <v>1953</v>
      </c>
      <c r="AZ109" s="65" t="s">
        <v>1953</v>
      </c>
      <c r="BA109" s="65" t="s">
        <v>1953</v>
      </c>
      <c r="BB109" s="65" t="s">
        <v>1953</v>
      </c>
      <c r="BC109" s="65" t="s">
        <v>1953</v>
      </c>
      <c r="BD109" s="65" t="s">
        <v>1953</v>
      </c>
      <c r="BE109" s="65" t="s">
        <v>1953</v>
      </c>
      <c r="BF109" s="65" t="s">
        <v>1953</v>
      </c>
      <c r="BG109" s="65" t="s">
        <v>1953</v>
      </c>
      <c r="BH109" s="65" t="s">
        <v>1953</v>
      </c>
      <c r="BI109" s="65" t="s">
        <v>1953</v>
      </c>
      <c r="BJ109" s="65" t="s">
        <v>1953</v>
      </c>
      <c r="BK109" s="65" t="s">
        <v>1953</v>
      </c>
      <c r="BL109" s="65" t="s">
        <v>1954</v>
      </c>
      <c r="BM109" s="65" t="s">
        <v>1953</v>
      </c>
      <c r="BN109" s="65" t="s">
        <v>1953</v>
      </c>
      <c r="BO109" s="65" t="s">
        <v>1953</v>
      </c>
      <c r="BP109" s="65" t="s">
        <v>1953</v>
      </c>
      <c r="BQ109" s="65" t="s">
        <v>1953</v>
      </c>
      <c r="BR109" s="65" t="s">
        <v>1953</v>
      </c>
      <c r="BS109" s="65" t="s">
        <v>1953</v>
      </c>
      <c r="BT109" s="65" t="s">
        <v>1953</v>
      </c>
      <c r="BU109" s="65" t="s">
        <v>1953</v>
      </c>
      <c r="BV109" s="65" t="s">
        <v>1953</v>
      </c>
      <c r="BW109" s="65" t="s">
        <v>1953</v>
      </c>
      <c r="BZ109" t="s">
        <v>5043</v>
      </c>
      <c r="CA109" t="str">
        <f>IFERROR(HLOOKUP($CA$1,Table4[[#All],[India]:[Dominican Republic]],ROW(Table4[[#This Row],[Default]])-1,0),"True")</f>
        <v>True</v>
      </c>
      <c r="CB109" s="65" t="s">
        <v>1953</v>
      </c>
      <c r="CC109" s="65" t="s">
        <v>1953</v>
      </c>
      <c r="CD109" s="65" t="s">
        <v>1954</v>
      </c>
      <c r="CE109" s="65" t="s">
        <v>1953</v>
      </c>
      <c r="CF109" s="65" t="s">
        <v>1953</v>
      </c>
      <c r="CG109" s="65" t="s">
        <v>1953</v>
      </c>
      <c r="CH109" s="65" t="s">
        <v>1953</v>
      </c>
      <c r="CI109" s="65" t="s">
        <v>1953</v>
      </c>
      <c r="CJ109" s="65" t="s">
        <v>1953</v>
      </c>
      <c r="CK109" s="65" t="s">
        <v>1953</v>
      </c>
      <c r="CL109" s="65" t="s">
        <v>1953</v>
      </c>
      <c r="CM109" s="65" t="s">
        <v>1953</v>
      </c>
      <c r="CN109" s="65" t="s">
        <v>1953</v>
      </c>
      <c r="CO109" s="65" t="s">
        <v>1953</v>
      </c>
      <c r="CP109" s="65" t="s">
        <v>1953</v>
      </c>
      <c r="CQ109" s="65" t="s">
        <v>1953</v>
      </c>
      <c r="CR109" s="65" t="s">
        <v>1953</v>
      </c>
      <c r="CS109" s="65" t="s">
        <v>1953</v>
      </c>
      <c r="CT109" s="65" t="s">
        <v>1953</v>
      </c>
      <c r="CU109" s="65" t="s">
        <v>1953</v>
      </c>
      <c r="CV109" s="65" t="s">
        <v>1953</v>
      </c>
      <c r="CW109" s="65" t="s">
        <v>1953</v>
      </c>
      <c r="CX109" s="65" t="s">
        <v>1953</v>
      </c>
      <c r="CY109" s="65" t="s">
        <v>1953</v>
      </c>
      <c r="CZ109" s="65" t="s">
        <v>1953</v>
      </c>
      <c r="DA109" s="65" t="s">
        <v>1953</v>
      </c>
    </row>
    <row r="110" spans="48:105">
      <c r="AV110" t="s">
        <v>7806</v>
      </c>
      <c r="AW110" s="96" t="str">
        <f>IFERROR(HLOOKUP($AW$1,Table3[[#All],[India]:[Dominican Republic]],ROW(Table3[[#This Row],[Default]])-1,0),"True")</f>
        <v>True</v>
      </c>
      <c r="AX110" s="65" t="s">
        <v>1953</v>
      </c>
      <c r="AY110" s="65" t="s">
        <v>1953</v>
      </c>
      <c r="AZ110" s="65" t="s">
        <v>1953</v>
      </c>
      <c r="BA110" s="65" t="s">
        <v>1953</v>
      </c>
      <c r="BB110" s="65" t="s">
        <v>1953</v>
      </c>
      <c r="BC110" s="65" t="s">
        <v>1953</v>
      </c>
      <c r="BD110" s="65" t="s">
        <v>1953</v>
      </c>
      <c r="BE110" s="65" t="s">
        <v>1953</v>
      </c>
      <c r="BF110" s="65" t="s">
        <v>1953</v>
      </c>
      <c r="BG110" s="65" t="s">
        <v>1953</v>
      </c>
      <c r="BH110" s="65" t="s">
        <v>1953</v>
      </c>
      <c r="BI110" s="65" t="s">
        <v>1953</v>
      </c>
      <c r="BJ110" s="65" t="s">
        <v>1953</v>
      </c>
      <c r="BK110" s="65" t="s">
        <v>1953</v>
      </c>
      <c r="BL110" s="65" t="s">
        <v>1954</v>
      </c>
      <c r="BM110" s="65" t="s">
        <v>1953</v>
      </c>
      <c r="BN110" s="65" t="s">
        <v>1953</v>
      </c>
      <c r="BO110" s="65" t="s">
        <v>1953</v>
      </c>
      <c r="BP110" s="65" t="s">
        <v>1953</v>
      </c>
      <c r="BQ110" s="65" t="s">
        <v>1953</v>
      </c>
      <c r="BR110" s="65" t="s">
        <v>1953</v>
      </c>
      <c r="BS110" s="65" t="s">
        <v>1953</v>
      </c>
      <c r="BT110" s="65" t="s">
        <v>1953</v>
      </c>
      <c r="BU110" s="65" t="s">
        <v>1953</v>
      </c>
      <c r="BV110" s="65" t="s">
        <v>1953</v>
      </c>
      <c r="BW110" s="65" t="s">
        <v>1953</v>
      </c>
      <c r="BZ110" t="s">
        <v>5044</v>
      </c>
      <c r="CA110" t="str">
        <f>IFERROR(HLOOKUP($CA$1,Table4[[#All],[India]:[Dominican Republic]],ROW(Table4[[#This Row],[Default]])-1,0),"True")</f>
        <v>True</v>
      </c>
      <c r="CB110" s="65" t="s">
        <v>1953</v>
      </c>
      <c r="CC110" s="65" t="s">
        <v>1953</v>
      </c>
      <c r="CD110" s="65" t="s">
        <v>1954</v>
      </c>
      <c r="CE110" s="65" t="s">
        <v>1953</v>
      </c>
      <c r="CF110" s="65" t="s">
        <v>1953</v>
      </c>
      <c r="CG110" s="65" t="s">
        <v>1953</v>
      </c>
      <c r="CH110" s="65" t="s">
        <v>1953</v>
      </c>
      <c r="CI110" s="65" t="s">
        <v>1953</v>
      </c>
      <c r="CJ110" s="65" t="s">
        <v>1953</v>
      </c>
      <c r="CK110" s="65" t="s">
        <v>1953</v>
      </c>
      <c r="CL110" s="65" t="s">
        <v>1953</v>
      </c>
      <c r="CM110" s="65" t="s">
        <v>1953</v>
      </c>
      <c r="CN110" s="65" t="s">
        <v>1953</v>
      </c>
      <c r="CO110" s="65" t="s">
        <v>1953</v>
      </c>
      <c r="CP110" s="65" t="s">
        <v>1953</v>
      </c>
      <c r="CQ110" s="65" t="s">
        <v>1953</v>
      </c>
      <c r="CR110" s="65" t="s">
        <v>1953</v>
      </c>
      <c r="CS110" s="65" t="s">
        <v>1953</v>
      </c>
      <c r="CT110" s="65" t="s">
        <v>1953</v>
      </c>
      <c r="CU110" s="65" t="s">
        <v>1953</v>
      </c>
      <c r="CV110" s="65" t="s">
        <v>1953</v>
      </c>
      <c r="CW110" s="65" t="s">
        <v>1953</v>
      </c>
      <c r="CX110" s="65" t="s">
        <v>1953</v>
      </c>
      <c r="CY110" s="65" t="s">
        <v>1953</v>
      </c>
      <c r="CZ110" s="65" t="s">
        <v>1953</v>
      </c>
      <c r="DA110" s="65" t="s">
        <v>1953</v>
      </c>
    </row>
    <row r="111" spans="48:105">
      <c r="AV111" t="s">
        <v>7807</v>
      </c>
      <c r="AW111" s="96" t="str">
        <f>IFERROR(HLOOKUP($AW$1,Table3[[#All],[India]:[Dominican Republic]],ROW(Table3[[#This Row],[Default]])-1,0),"True")</f>
        <v>True</v>
      </c>
      <c r="AX111" s="65" t="s">
        <v>1953</v>
      </c>
      <c r="AY111" s="65" t="s">
        <v>1953</v>
      </c>
      <c r="AZ111" s="65" t="s">
        <v>1953</v>
      </c>
      <c r="BA111" s="65" t="s">
        <v>1953</v>
      </c>
      <c r="BB111" s="65" t="s">
        <v>1953</v>
      </c>
      <c r="BC111" s="65" t="s">
        <v>1953</v>
      </c>
      <c r="BD111" s="65" t="s">
        <v>1953</v>
      </c>
      <c r="BE111" s="65" t="s">
        <v>1953</v>
      </c>
      <c r="BF111" s="65" t="s">
        <v>1953</v>
      </c>
      <c r="BG111" s="65" t="s">
        <v>1953</v>
      </c>
      <c r="BH111" s="65" t="s">
        <v>1953</v>
      </c>
      <c r="BI111" s="65" t="s">
        <v>1953</v>
      </c>
      <c r="BJ111" s="65" t="s">
        <v>1953</v>
      </c>
      <c r="BK111" s="65" t="s">
        <v>1953</v>
      </c>
      <c r="BL111" s="65" t="s">
        <v>1954</v>
      </c>
      <c r="BM111" s="65" t="s">
        <v>1953</v>
      </c>
      <c r="BN111" s="65" t="s">
        <v>1953</v>
      </c>
      <c r="BO111" s="65" t="s">
        <v>1953</v>
      </c>
      <c r="BP111" s="65" t="s">
        <v>1953</v>
      </c>
      <c r="BQ111" s="65" t="s">
        <v>1953</v>
      </c>
      <c r="BR111" s="65" t="s">
        <v>1953</v>
      </c>
      <c r="BS111" s="65" t="s">
        <v>1953</v>
      </c>
      <c r="BT111" s="65" t="s">
        <v>1953</v>
      </c>
      <c r="BU111" s="65" t="s">
        <v>1953</v>
      </c>
      <c r="BV111" s="65" t="s">
        <v>1953</v>
      </c>
      <c r="BW111" s="65" t="s">
        <v>1953</v>
      </c>
      <c r="BZ111" t="s">
        <v>5045</v>
      </c>
      <c r="CA111" t="str">
        <f>IFERROR(HLOOKUP($CA$1,Table4[[#All],[India]:[Dominican Republic]],ROW(Table4[[#This Row],[Default]])-1,0),"True")</f>
        <v>True</v>
      </c>
      <c r="CB111" s="65" t="s">
        <v>1953</v>
      </c>
      <c r="CC111" s="65" t="s">
        <v>1953</v>
      </c>
      <c r="CD111" s="65" t="s">
        <v>1954</v>
      </c>
      <c r="CE111" s="65" t="s">
        <v>1953</v>
      </c>
      <c r="CF111" s="65" t="s">
        <v>1953</v>
      </c>
      <c r="CG111" s="65" t="s">
        <v>1953</v>
      </c>
      <c r="CH111" s="65" t="s">
        <v>1953</v>
      </c>
      <c r="CI111" s="65" t="s">
        <v>1953</v>
      </c>
      <c r="CJ111" s="65" t="s">
        <v>1953</v>
      </c>
      <c r="CK111" s="65" t="s">
        <v>1953</v>
      </c>
      <c r="CL111" s="65" t="s">
        <v>1953</v>
      </c>
      <c r="CM111" s="65" t="s">
        <v>1953</v>
      </c>
      <c r="CN111" s="65" t="s">
        <v>1953</v>
      </c>
      <c r="CO111" s="65" t="s">
        <v>1953</v>
      </c>
      <c r="CP111" s="65" t="s">
        <v>1953</v>
      </c>
      <c r="CQ111" s="65" t="s">
        <v>1953</v>
      </c>
      <c r="CR111" s="65" t="s">
        <v>1953</v>
      </c>
      <c r="CS111" s="65" t="s">
        <v>1953</v>
      </c>
      <c r="CT111" s="65" t="s">
        <v>1953</v>
      </c>
      <c r="CU111" s="65" t="s">
        <v>1953</v>
      </c>
      <c r="CV111" s="65" t="s">
        <v>1953</v>
      </c>
      <c r="CW111" s="65" t="s">
        <v>1953</v>
      </c>
      <c r="CX111" s="65" t="s">
        <v>1953</v>
      </c>
      <c r="CY111" s="65" t="s">
        <v>1953</v>
      </c>
      <c r="CZ111" s="65" t="s">
        <v>1953</v>
      </c>
      <c r="DA111" s="65" t="s">
        <v>1953</v>
      </c>
    </row>
    <row r="112" spans="48:105">
      <c r="AV112" t="s">
        <v>7808</v>
      </c>
      <c r="AW112" s="96" t="str">
        <f>IFERROR(HLOOKUP($AW$1,Table3[[#All],[India]:[Dominican Republic]],ROW(Table3[[#This Row],[Default]])-1,0),"True")</f>
        <v>True</v>
      </c>
      <c r="AX112" s="65" t="s">
        <v>1953</v>
      </c>
      <c r="AY112" s="65" t="s">
        <v>1953</v>
      </c>
      <c r="AZ112" s="65" t="s">
        <v>1953</v>
      </c>
      <c r="BA112" s="65" t="s">
        <v>1953</v>
      </c>
      <c r="BB112" s="65" t="s">
        <v>1953</v>
      </c>
      <c r="BC112" s="65" t="s">
        <v>1953</v>
      </c>
      <c r="BD112" s="65" t="s">
        <v>1953</v>
      </c>
      <c r="BE112" s="65" t="s">
        <v>1953</v>
      </c>
      <c r="BF112" s="65" t="s">
        <v>1953</v>
      </c>
      <c r="BG112" s="65" t="s">
        <v>1953</v>
      </c>
      <c r="BH112" s="65" t="s">
        <v>1953</v>
      </c>
      <c r="BI112" s="65" t="s">
        <v>1953</v>
      </c>
      <c r="BJ112" s="65" t="s">
        <v>1953</v>
      </c>
      <c r="BK112" s="65" t="s">
        <v>1953</v>
      </c>
      <c r="BL112" s="65" t="s">
        <v>1954</v>
      </c>
      <c r="BM112" s="65" t="s">
        <v>1953</v>
      </c>
      <c r="BN112" s="65" t="s">
        <v>1953</v>
      </c>
      <c r="BO112" s="65" t="s">
        <v>1953</v>
      </c>
      <c r="BP112" s="65" t="s">
        <v>1953</v>
      </c>
      <c r="BQ112" s="65" t="s">
        <v>1953</v>
      </c>
      <c r="BR112" s="65" t="s">
        <v>1953</v>
      </c>
      <c r="BS112" s="65" t="s">
        <v>1953</v>
      </c>
      <c r="BT112" s="65" t="s">
        <v>1953</v>
      </c>
      <c r="BU112" s="65" t="s">
        <v>1953</v>
      </c>
      <c r="BV112" s="65" t="s">
        <v>1953</v>
      </c>
      <c r="BW112" s="65" t="s">
        <v>1953</v>
      </c>
      <c r="BZ112" t="s">
        <v>5046</v>
      </c>
      <c r="CA112" t="str">
        <f>IFERROR(HLOOKUP($CA$1,Table4[[#All],[India]:[Dominican Republic]],ROW(Table4[[#This Row],[Default]])-1,0),"True")</f>
        <v>True</v>
      </c>
      <c r="CB112" s="65" t="s">
        <v>1953</v>
      </c>
      <c r="CC112" s="65" t="s">
        <v>1953</v>
      </c>
      <c r="CD112" s="65" t="s">
        <v>1954</v>
      </c>
      <c r="CE112" s="65" t="s">
        <v>1953</v>
      </c>
      <c r="CF112" s="65" t="s">
        <v>1953</v>
      </c>
      <c r="CG112" s="65" t="s">
        <v>1953</v>
      </c>
      <c r="CH112" s="65" t="s">
        <v>1953</v>
      </c>
      <c r="CI112" s="65" t="s">
        <v>1953</v>
      </c>
      <c r="CJ112" s="65" t="s">
        <v>1953</v>
      </c>
      <c r="CK112" s="65" t="s">
        <v>1953</v>
      </c>
      <c r="CL112" s="65" t="s">
        <v>1953</v>
      </c>
      <c r="CM112" s="65" t="s">
        <v>1953</v>
      </c>
      <c r="CN112" s="65" t="s">
        <v>1953</v>
      </c>
      <c r="CO112" s="65" t="s">
        <v>1953</v>
      </c>
      <c r="CP112" s="65" t="s">
        <v>1953</v>
      </c>
      <c r="CQ112" s="65" t="s">
        <v>1953</v>
      </c>
      <c r="CR112" s="65" t="s">
        <v>1953</v>
      </c>
      <c r="CS112" s="65" t="s">
        <v>1953</v>
      </c>
      <c r="CT112" s="65" t="s">
        <v>1953</v>
      </c>
      <c r="CU112" s="65" t="s">
        <v>1953</v>
      </c>
      <c r="CV112" s="65" t="s">
        <v>1953</v>
      </c>
      <c r="CW112" s="65" t="s">
        <v>1953</v>
      </c>
      <c r="CX112" s="65" t="s">
        <v>1953</v>
      </c>
      <c r="CY112" s="65" t="s">
        <v>1953</v>
      </c>
      <c r="CZ112" s="65" t="s">
        <v>1953</v>
      </c>
      <c r="DA112" s="65" t="s">
        <v>1953</v>
      </c>
    </row>
    <row r="113" spans="48:105">
      <c r="AV113" t="s">
        <v>7809</v>
      </c>
      <c r="AW113" s="96" t="str">
        <f>IFERROR(HLOOKUP($AW$1,Table3[[#All],[India]:[Dominican Republic]],ROW(Table3[[#This Row],[Default]])-1,0),"True")</f>
        <v>True</v>
      </c>
      <c r="AX113" s="65" t="s">
        <v>1953</v>
      </c>
      <c r="AY113" s="65" t="s">
        <v>1953</v>
      </c>
      <c r="AZ113" s="65" t="s">
        <v>1953</v>
      </c>
      <c r="BA113" s="65" t="s">
        <v>1953</v>
      </c>
      <c r="BB113" s="65" t="s">
        <v>1953</v>
      </c>
      <c r="BC113" s="65" t="s">
        <v>1953</v>
      </c>
      <c r="BD113" s="65" t="s">
        <v>1953</v>
      </c>
      <c r="BE113" s="65" t="s">
        <v>1953</v>
      </c>
      <c r="BF113" s="65" t="s">
        <v>1953</v>
      </c>
      <c r="BG113" s="65" t="s">
        <v>1953</v>
      </c>
      <c r="BH113" s="65" t="s">
        <v>1953</v>
      </c>
      <c r="BI113" s="65" t="s">
        <v>1953</v>
      </c>
      <c r="BJ113" s="65" t="s">
        <v>1953</v>
      </c>
      <c r="BK113" s="65" t="s">
        <v>1953</v>
      </c>
      <c r="BL113" s="65" t="s">
        <v>1954</v>
      </c>
      <c r="BM113" s="65" t="s">
        <v>1953</v>
      </c>
      <c r="BN113" s="65" t="s">
        <v>1953</v>
      </c>
      <c r="BO113" s="65" t="s">
        <v>1953</v>
      </c>
      <c r="BP113" s="65" t="s">
        <v>1953</v>
      </c>
      <c r="BQ113" s="65" t="s">
        <v>1953</v>
      </c>
      <c r="BR113" s="65" t="s">
        <v>1953</v>
      </c>
      <c r="BS113" s="65" t="s">
        <v>1953</v>
      </c>
      <c r="BT113" s="65" t="s">
        <v>1953</v>
      </c>
      <c r="BU113" s="65" t="s">
        <v>1953</v>
      </c>
      <c r="BV113" s="65" t="s">
        <v>1953</v>
      </c>
      <c r="BW113" s="65" t="s">
        <v>1953</v>
      </c>
      <c r="BZ113" t="s">
        <v>5047</v>
      </c>
      <c r="CA113" t="str">
        <f>IFERROR(HLOOKUP($CA$1,Table4[[#All],[India]:[Dominican Republic]],ROW(Table4[[#This Row],[Default]])-1,0),"True")</f>
        <v>True</v>
      </c>
      <c r="CB113" s="65" t="s">
        <v>1953</v>
      </c>
      <c r="CC113" s="65" t="s">
        <v>1953</v>
      </c>
      <c r="CD113" s="65" t="s">
        <v>1954</v>
      </c>
      <c r="CE113" s="65" t="s">
        <v>1953</v>
      </c>
      <c r="CF113" s="65" t="s">
        <v>1953</v>
      </c>
      <c r="CG113" s="65" t="s">
        <v>1953</v>
      </c>
      <c r="CH113" s="65" t="s">
        <v>1953</v>
      </c>
      <c r="CI113" s="65" t="s">
        <v>1953</v>
      </c>
      <c r="CJ113" s="65" t="s">
        <v>1953</v>
      </c>
      <c r="CK113" s="65" t="s">
        <v>1953</v>
      </c>
      <c r="CL113" s="65" t="s">
        <v>1953</v>
      </c>
      <c r="CM113" s="65" t="s">
        <v>1953</v>
      </c>
      <c r="CN113" s="65" t="s">
        <v>1953</v>
      </c>
      <c r="CO113" s="65" t="s">
        <v>1953</v>
      </c>
      <c r="CP113" s="65" t="s">
        <v>1953</v>
      </c>
      <c r="CQ113" s="65" t="s">
        <v>1953</v>
      </c>
      <c r="CR113" s="65" t="s">
        <v>1953</v>
      </c>
      <c r="CS113" s="65" t="s">
        <v>1953</v>
      </c>
      <c r="CT113" s="65" t="s">
        <v>1953</v>
      </c>
      <c r="CU113" s="65" t="s">
        <v>1953</v>
      </c>
      <c r="CV113" s="65" t="s">
        <v>1953</v>
      </c>
      <c r="CW113" s="65" t="s">
        <v>1953</v>
      </c>
      <c r="CX113" s="65" t="s">
        <v>1953</v>
      </c>
      <c r="CY113" s="65" t="s">
        <v>1953</v>
      </c>
      <c r="CZ113" s="65" t="s">
        <v>1953</v>
      </c>
      <c r="DA113" s="65" t="s">
        <v>1953</v>
      </c>
    </row>
    <row r="114" spans="48:105">
      <c r="AV114" t="s">
        <v>7813</v>
      </c>
      <c r="AW114" s="96" t="str">
        <f>IFERROR(HLOOKUP($AW$1,Table3[[#All],[India]:[Dominican Republic]],ROW(Table3[[#This Row],[Default]])-1,0),"True")</f>
        <v>True</v>
      </c>
      <c r="AX114" s="65" t="s">
        <v>1953</v>
      </c>
      <c r="AY114" s="65" t="s">
        <v>1953</v>
      </c>
      <c r="AZ114" s="65" t="s">
        <v>1953</v>
      </c>
      <c r="BA114" s="65" t="s">
        <v>1953</v>
      </c>
      <c r="BB114" s="65" t="s">
        <v>1953</v>
      </c>
      <c r="BC114" s="65" t="s">
        <v>1953</v>
      </c>
      <c r="BD114" s="65" t="s">
        <v>1953</v>
      </c>
      <c r="BE114" s="65" t="s">
        <v>1953</v>
      </c>
      <c r="BF114" s="65" t="s">
        <v>1953</v>
      </c>
      <c r="BG114" s="65" t="s">
        <v>1953</v>
      </c>
      <c r="BH114" s="65" t="s">
        <v>1953</v>
      </c>
      <c r="BI114" s="65" t="s">
        <v>1953</v>
      </c>
      <c r="BJ114" s="65" t="s">
        <v>1953</v>
      </c>
      <c r="BK114" s="65" t="s">
        <v>1953</v>
      </c>
      <c r="BL114" s="65" t="s">
        <v>1954</v>
      </c>
      <c r="BM114" s="65" t="s">
        <v>1953</v>
      </c>
      <c r="BN114" s="65" t="s">
        <v>1953</v>
      </c>
      <c r="BO114" s="65" t="s">
        <v>1953</v>
      </c>
      <c r="BP114" s="65" t="s">
        <v>1953</v>
      </c>
      <c r="BQ114" s="65" t="s">
        <v>1953</v>
      </c>
      <c r="BR114" s="65" t="s">
        <v>1953</v>
      </c>
      <c r="BS114" s="65" t="s">
        <v>1953</v>
      </c>
      <c r="BT114" s="65" t="s">
        <v>1953</v>
      </c>
      <c r="BU114" s="65" t="s">
        <v>1953</v>
      </c>
      <c r="BV114" s="65" t="s">
        <v>1953</v>
      </c>
      <c r="BW114" s="65" t="s">
        <v>1953</v>
      </c>
      <c r="BZ114" t="s">
        <v>5048</v>
      </c>
      <c r="CA114" t="str">
        <f>IFERROR(HLOOKUP($CA$1,Table4[[#All],[India]:[Dominican Republic]],ROW(Table4[[#This Row],[Default]])-1,0),"True")</f>
        <v>True</v>
      </c>
      <c r="CB114" s="65" t="s">
        <v>1953</v>
      </c>
      <c r="CC114" s="65" t="s">
        <v>1953</v>
      </c>
      <c r="CD114" s="65" t="s">
        <v>1953</v>
      </c>
      <c r="CE114" s="65" t="s">
        <v>1954</v>
      </c>
      <c r="CF114" s="65" t="s">
        <v>1954</v>
      </c>
      <c r="CG114" s="65" t="s">
        <v>1953</v>
      </c>
      <c r="CH114" s="65" t="s">
        <v>1953</v>
      </c>
      <c r="CI114" s="65" t="s">
        <v>1953</v>
      </c>
      <c r="CJ114" s="65" t="s">
        <v>1953</v>
      </c>
      <c r="CK114" s="65" t="s">
        <v>1953</v>
      </c>
      <c r="CL114" s="65" t="s">
        <v>1953</v>
      </c>
      <c r="CM114" s="65" t="s">
        <v>1953</v>
      </c>
      <c r="CN114" s="65" t="s">
        <v>1953</v>
      </c>
      <c r="CO114" s="65" t="s">
        <v>1953</v>
      </c>
      <c r="CP114" s="65" t="s">
        <v>1953</v>
      </c>
      <c r="CQ114" s="65" t="s">
        <v>1953</v>
      </c>
      <c r="CR114" s="65" t="s">
        <v>1953</v>
      </c>
      <c r="CS114" s="65" t="s">
        <v>1953</v>
      </c>
      <c r="CT114" s="65" t="s">
        <v>1953</v>
      </c>
      <c r="CU114" s="65" t="s">
        <v>1953</v>
      </c>
      <c r="CV114" s="65" t="s">
        <v>1953</v>
      </c>
      <c r="CW114" s="65" t="s">
        <v>1953</v>
      </c>
      <c r="CX114" s="65" t="s">
        <v>1953</v>
      </c>
      <c r="CY114" s="65" t="s">
        <v>1953</v>
      </c>
      <c r="CZ114" s="65" t="s">
        <v>1953</v>
      </c>
      <c r="DA114" s="65" t="s">
        <v>1953</v>
      </c>
    </row>
    <row r="115" spans="48:105">
      <c r="AV115" t="s">
        <v>7814</v>
      </c>
      <c r="AW115" s="96" t="str">
        <f>IFERROR(HLOOKUP($AW$1,Table3[[#All],[India]:[Dominican Republic]],ROW(Table3[[#This Row],[Default]])-1,0),"True")</f>
        <v>True</v>
      </c>
      <c r="AX115" s="65" t="s">
        <v>1953</v>
      </c>
      <c r="AY115" s="65" t="s">
        <v>1953</v>
      </c>
      <c r="AZ115" s="65" t="s">
        <v>1953</v>
      </c>
      <c r="BA115" s="65" t="s">
        <v>1953</v>
      </c>
      <c r="BB115" s="65" t="s">
        <v>1953</v>
      </c>
      <c r="BC115" s="65" t="s">
        <v>1953</v>
      </c>
      <c r="BD115" s="65" t="s">
        <v>1953</v>
      </c>
      <c r="BE115" s="65" t="s">
        <v>1953</v>
      </c>
      <c r="BF115" s="65" t="s">
        <v>1953</v>
      </c>
      <c r="BG115" s="65" t="s">
        <v>1953</v>
      </c>
      <c r="BH115" s="65" t="s">
        <v>1953</v>
      </c>
      <c r="BI115" s="65" t="s">
        <v>1953</v>
      </c>
      <c r="BJ115" s="65" t="s">
        <v>1953</v>
      </c>
      <c r="BK115" s="65" t="s">
        <v>1953</v>
      </c>
      <c r="BL115" s="65" t="s">
        <v>1954</v>
      </c>
      <c r="BM115" s="65" t="s">
        <v>1953</v>
      </c>
      <c r="BN115" s="65" t="s">
        <v>1953</v>
      </c>
      <c r="BO115" s="65" t="s">
        <v>1953</v>
      </c>
      <c r="BP115" s="65" t="s">
        <v>1953</v>
      </c>
      <c r="BQ115" s="65" t="s">
        <v>1953</v>
      </c>
      <c r="BR115" s="65" t="s">
        <v>1953</v>
      </c>
      <c r="BS115" s="65" t="s">
        <v>1953</v>
      </c>
      <c r="BT115" s="65" t="s">
        <v>1953</v>
      </c>
      <c r="BU115" s="65" t="s">
        <v>1953</v>
      </c>
      <c r="BV115" s="65" t="s">
        <v>1953</v>
      </c>
      <c r="BW115" s="65" t="s">
        <v>1953</v>
      </c>
      <c r="BZ115" t="s">
        <v>5061</v>
      </c>
      <c r="CA115" t="str">
        <f>IFERROR(HLOOKUP($CA$1,Table4[[#All],[India]:[Dominican Republic]],ROW(Table4[[#This Row],[Default]])-1,0),"True")</f>
        <v>True</v>
      </c>
      <c r="CB115" s="65" t="s">
        <v>1953</v>
      </c>
      <c r="CC115" s="65" t="s">
        <v>1953</v>
      </c>
      <c r="CD115" s="65" t="s">
        <v>1953</v>
      </c>
      <c r="CE115" s="65" t="s">
        <v>1954</v>
      </c>
      <c r="CF115" s="65" t="s">
        <v>1953</v>
      </c>
      <c r="CG115" s="65" t="s">
        <v>1953</v>
      </c>
      <c r="CH115" s="65" t="s">
        <v>1953</v>
      </c>
      <c r="CI115" s="65" t="s">
        <v>1953</v>
      </c>
      <c r="CJ115" s="65" t="s">
        <v>1953</v>
      </c>
      <c r="CK115" s="65" t="s">
        <v>1953</v>
      </c>
      <c r="CL115" s="65" t="s">
        <v>1953</v>
      </c>
      <c r="CM115" s="65" t="s">
        <v>1953</v>
      </c>
      <c r="CN115" s="65" t="s">
        <v>1953</v>
      </c>
      <c r="CO115" s="65" t="s">
        <v>1953</v>
      </c>
      <c r="CP115" s="65" t="s">
        <v>1953</v>
      </c>
      <c r="CQ115" s="65" t="s">
        <v>1953</v>
      </c>
      <c r="CR115" s="65" t="s">
        <v>1953</v>
      </c>
      <c r="CS115" s="65" t="s">
        <v>1953</v>
      </c>
      <c r="CT115" s="65" t="s">
        <v>1953</v>
      </c>
      <c r="CU115" s="65" t="s">
        <v>1953</v>
      </c>
      <c r="CV115" s="65" t="s">
        <v>1953</v>
      </c>
      <c r="CW115" s="65" t="s">
        <v>1953</v>
      </c>
      <c r="CX115" s="65" t="s">
        <v>1953</v>
      </c>
      <c r="CY115" s="65" t="s">
        <v>1953</v>
      </c>
      <c r="CZ115" s="65" t="s">
        <v>1953</v>
      </c>
      <c r="DA115" s="65" t="s">
        <v>1953</v>
      </c>
    </row>
    <row r="116" spans="48:105">
      <c r="AV116" t="s">
        <v>7815</v>
      </c>
      <c r="AW116" s="96" t="str">
        <f>IFERROR(HLOOKUP($AW$1,Table3[[#All],[India]:[Dominican Republic]],ROW(Table3[[#This Row],[Default]])-1,0),"True")</f>
        <v>True</v>
      </c>
      <c r="AX116" s="65" t="s">
        <v>1953</v>
      </c>
      <c r="AY116" s="65" t="s">
        <v>1953</v>
      </c>
      <c r="AZ116" s="65" t="s">
        <v>1953</v>
      </c>
      <c r="BA116" s="65" t="s">
        <v>1953</v>
      </c>
      <c r="BB116" s="65" t="s">
        <v>1953</v>
      </c>
      <c r="BC116" s="65" t="s">
        <v>1953</v>
      </c>
      <c r="BD116" s="65" t="s">
        <v>1953</v>
      </c>
      <c r="BE116" s="65" t="s">
        <v>1953</v>
      </c>
      <c r="BF116" s="65" t="s">
        <v>1953</v>
      </c>
      <c r="BG116" s="65" t="s">
        <v>1953</v>
      </c>
      <c r="BH116" s="65" t="s">
        <v>1953</v>
      </c>
      <c r="BI116" s="65" t="s">
        <v>1953</v>
      </c>
      <c r="BJ116" s="65" t="s">
        <v>1953</v>
      </c>
      <c r="BK116" s="65" t="s">
        <v>1953</v>
      </c>
      <c r="BL116" s="65" t="s">
        <v>1954</v>
      </c>
      <c r="BM116" s="65" t="s">
        <v>1953</v>
      </c>
      <c r="BN116" s="65" t="s">
        <v>1953</v>
      </c>
      <c r="BO116" s="65" t="s">
        <v>1953</v>
      </c>
      <c r="BP116" s="65" t="s">
        <v>1953</v>
      </c>
      <c r="BQ116" s="65" t="s">
        <v>1953</v>
      </c>
      <c r="BR116" s="65" t="s">
        <v>1953</v>
      </c>
      <c r="BS116" s="65" t="s">
        <v>1953</v>
      </c>
      <c r="BT116" s="65" t="s">
        <v>1953</v>
      </c>
      <c r="BU116" s="65" t="s">
        <v>1953</v>
      </c>
      <c r="BV116" s="65" t="s">
        <v>1953</v>
      </c>
      <c r="BW116" s="65" t="s">
        <v>1953</v>
      </c>
      <c r="BZ116" t="s">
        <v>5062</v>
      </c>
      <c r="CA116" t="str">
        <f>IFERROR(HLOOKUP($CA$1,Table4[[#All],[India]:[Dominican Republic]],ROW(Table4[[#This Row],[Default]])-1,0),"True")</f>
        <v>True</v>
      </c>
      <c r="CB116" s="65" t="s">
        <v>1953</v>
      </c>
      <c r="CC116" s="65" t="s">
        <v>1953</v>
      </c>
      <c r="CD116" s="65" t="s">
        <v>1953</v>
      </c>
      <c r="CE116" s="65" t="s">
        <v>1954</v>
      </c>
      <c r="CF116" s="65" t="s">
        <v>1953</v>
      </c>
      <c r="CG116" s="65" t="s">
        <v>1953</v>
      </c>
      <c r="CH116" s="65" t="s">
        <v>1953</v>
      </c>
      <c r="CI116" s="65" t="s">
        <v>1953</v>
      </c>
      <c r="CJ116" s="65" t="s">
        <v>1953</v>
      </c>
      <c r="CK116" s="65" t="s">
        <v>1953</v>
      </c>
      <c r="CL116" s="65" t="s">
        <v>1953</v>
      </c>
      <c r="CM116" s="65" t="s">
        <v>1953</v>
      </c>
      <c r="CN116" s="65" t="s">
        <v>1953</v>
      </c>
      <c r="CO116" s="65" t="s">
        <v>1953</v>
      </c>
      <c r="CP116" s="65" t="s">
        <v>1953</v>
      </c>
      <c r="CQ116" s="65" t="s">
        <v>1953</v>
      </c>
      <c r="CR116" s="65" t="s">
        <v>1953</v>
      </c>
      <c r="CS116" s="65" t="s">
        <v>1953</v>
      </c>
      <c r="CT116" s="65" t="s">
        <v>1953</v>
      </c>
      <c r="CU116" s="65" t="s">
        <v>1953</v>
      </c>
      <c r="CV116" s="65" t="s">
        <v>1953</v>
      </c>
      <c r="CW116" s="65" t="s">
        <v>1953</v>
      </c>
      <c r="CX116" s="65" t="s">
        <v>1953</v>
      </c>
      <c r="CY116" s="65" t="s">
        <v>1953</v>
      </c>
      <c r="CZ116" s="65" t="s">
        <v>1953</v>
      </c>
      <c r="DA116" s="65" t="s">
        <v>1953</v>
      </c>
    </row>
    <row r="117" spans="48:105">
      <c r="AV117" t="s">
        <v>7864</v>
      </c>
      <c r="AW117" s="96" t="str">
        <f>IFERROR(HLOOKUP($AW$1,Table3[[#All],[India]:[Dominican Republic]],ROW(Table3[[#This Row],[Default]])-1,0),"True")</f>
        <v>True</v>
      </c>
      <c r="AX117" s="65" t="s">
        <v>1953</v>
      </c>
      <c r="AY117" s="65" t="s">
        <v>1953</v>
      </c>
      <c r="AZ117" s="65" t="s">
        <v>1953</v>
      </c>
      <c r="BA117" s="65" t="s">
        <v>1953</v>
      </c>
      <c r="BB117" s="65" t="s">
        <v>1953</v>
      </c>
      <c r="BC117" s="65" t="s">
        <v>1953</v>
      </c>
      <c r="BD117" s="65" t="s">
        <v>1953</v>
      </c>
      <c r="BE117" s="65" t="s">
        <v>1953</v>
      </c>
      <c r="BF117" s="65" t="s">
        <v>1953</v>
      </c>
      <c r="BG117" s="65" t="s">
        <v>1953</v>
      </c>
      <c r="BH117" s="65" t="s">
        <v>1953</v>
      </c>
      <c r="BI117" s="65" t="s">
        <v>1953</v>
      </c>
      <c r="BJ117" s="65" t="s">
        <v>1953</v>
      </c>
      <c r="BK117" s="65" t="s">
        <v>1953</v>
      </c>
      <c r="BL117" s="65" t="s">
        <v>1954</v>
      </c>
      <c r="BM117" s="65" t="s">
        <v>1953</v>
      </c>
      <c r="BN117" s="65" t="s">
        <v>1954</v>
      </c>
      <c r="BO117" s="65" t="s">
        <v>1953</v>
      </c>
      <c r="BP117" s="65" t="s">
        <v>1953</v>
      </c>
      <c r="BQ117" s="65" t="s">
        <v>1954</v>
      </c>
      <c r="BR117" s="65" t="s">
        <v>1953</v>
      </c>
      <c r="BS117" s="65" t="s">
        <v>1953</v>
      </c>
      <c r="BT117" s="65" t="s">
        <v>1954</v>
      </c>
      <c r="BU117" s="65" t="s">
        <v>1954</v>
      </c>
      <c r="BV117" s="65" t="s">
        <v>1954</v>
      </c>
      <c r="BW117" s="65" t="s">
        <v>1953</v>
      </c>
      <c r="BZ117" t="s">
        <v>5063</v>
      </c>
      <c r="CA117" t="str">
        <f>IFERROR(HLOOKUP($CA$1,Table4[[#All],[India]:[Dominican Republic]],ROW(Table4[[#This Row],[Default]])-1,0),"True")</f>
        <v>True</v>
      </c>
      <c r="CB117" s="65" t="s">
        <v>1953</v>
      </c>
      <c r="CC117" s="65" t="s">
        <v>1953</v>
      </c>
      <c r="CD117" s="65" t="s">
        <v>1953</v>
      </c>
      <c r="CE117" s="65" t="s">
        <v>1954</v>
      </c>
      <c r="CF117" s="65" t="s">
        <v>1953</v>
      </c>
      <c r="CG117" s="65" t="s">
        <v>1953</v>
      </c>
      <c r="CH117" s="65" t="s">
        <v>1953</v>
      </c>
      <c r="CI117" s="65" t="s">
        <v>1953</v>
      </c>
      <c r="CJ117" s="65" t="s">
        <v>1953</v>
      </c>
      <c r="CK117" s="65" t="s">
        <v>1953</v>
      </c>
      <c r="CL117" s="65" t="s">
        <v>1953</v>
      </c>
      <c r="CM117" s="65" t="s">
        <v>1953</v>
      </c>
      <c r="CN117" s="65" t="s">
        <v>1953</v>
      </c>
      <c r="CO117" s="65" t="s">
        <v>1953</v>
      </c>
      <c r="CP117" s="65" t="s">
        <v>1953</v>
      </c>
      <c r="CQ117" s="65" t="s">
        <v>1953</v>
      </c>
      <c r="CR117" s="65" t="s">
        <v>1953</v>
      </c>
      <c r="CS117" s="65" t="s">
        <v>1953</v>
      </c>
      <c r="CT117" s="65" t="s">
        <v>1953</v>
      </c>
      <c r="CU117" s="65" t="s">
        <v>1953</v>
      </c>
      <c r="CV117" s="65" t="s">
        <v>1953</v>
      </c>
      <c r="CW117" s="65" t="s">
        <v>1953</v>
      </c>
      <c r="CX117" s="65" t="s">
        <v>1953</v>
      </c>
      <c r="CY117" s="65" t="s">
        <v>1953</v>
      </c>
      <c r="CZ117" s="65" t="s">
        <v>1953</v>
      </c>
      <c r="DA117" s="65" t="s">
        <v>1953</v>
      </c>
    </row>
    <row r="118" spans="48:105">
      <c r="AV118" t="s">
        <v>7865</v>
      </c>
      <c r="AW118" s="96" t="str">
        <f>IFERROR(HLOOKUP($AW$1,Table3[[#All],[India]:[Dominican Republic]],ROW(Table3[[#This Row],[Default]])-1,0),"True")</f>
        <v>True</v>
      </c>
      <c r="AX118" s="65" t="s">
        <v>1953</v>
      </c>
      <c r="AY118" s="65" t="s">
        <v>1953</v>
      </c>
      <c r="AZ118" s="65" t="s">
        <v>1953</v>
      </c>
      <c r="BA118" s="65" t="s">
        <v>1953</v>
      </c>
      <c r="BB118" s="65" t="s">
        <v>1953</v>
      </c>
      <c r="BC118" s="65" t="s">
        <v>1953</v>
      </c>
      <c r="BD118" s="65" t="s">
        <v>1953</v>
      </c>
      <c r="BE118" s="65" t="s">
        <v>1953</v>
      </c>
      <c r="BF118" s="65" t="s">
        <v>1953</v>
      </c>
      <c r="BG118" s="65" t="s">
        <v>1953</v>
      </c>
      <c r="BH118" s="65" t="s">
        <v>1953</v>
      </c>
      <c r="BI118" s="65" t="s">
        <v>1953</v>
      </c>
      <c r="BJ118" s="65" t="s">
        <v>1953</v>
      </c>
      <c r="BK118" s="65" t="s">
        <v>1953</v>
      </c>
      <c r="BL118" s="65" t="s">
        <v>1954</v>
      </c>
      <c r="BM118" s="65" t="s">
        <v>1953</v>
      </c>
      <c r="BN118" s="65" t="s">
        <v>1954</v>
      </c>
      <c r="BO118" s="65" t="s">
        <v>1953</v>
      </c>
      <c r="BP118" s="65" t="s">
        <v>1953</v>
      </c>
      <c r="BQ118" s="65" t="s">
        <v>1954</v>
      </c>
      <c r="BR118" s="65" t="s">
        <v>1954</v>
      </c>
      <c r="BS118" s="65" t="s">
        <v>1953</v>
      </c>
      <c r="BT118" s="65" t="s">
        <v>1954</v>
      </c>
      <c r="BU118" s="65" t="s">
        <v>1954</v>
      </c>
      <c r="BV118" s="65" t="s">
        <v>1954</v>
      </c>
      <c r="BW118" s="65" t="s">
        <v>1953</v>
      </c>
      <c r="BZ118" t="s">
        <v>5064</v>
      </c>
      <c r="CA118" t="str">
        <f>IFERROR(HLOOKUP($CA$1,Table4[[#All],[India]:[Dominican Republic]],ROW(Table4[[#This Row],[Default]])-1,0),"True")</f>
        <v>True</v>
      </c>
      <c r="CB118" s="65" t="s">
        <v>1953</v>
      </c>
      <c r="CC118" s="65" t="s">
        <v>1953</v>
      </c>
      <c r="CD118" s="65" t="s">
        <v>1953</v>
      </c>
      <c r="CE118" s="65" t="s">
        <v>1954</v>
      </c>
      <c r="CF118" s="65" t="s">
        <v>1953</v>
      </c>
      <c r="CG118" s="65" t="s">
        <v>1953</v>
      </c>
      <c r="CH118" s="65" t="s">
        <v>1953</v>
      </c>
      <c r="CI118" s="65" t="s">
        <v>1953</v>
      </c>
      <c r="CJ118" s="65" t="s">
        <v>1953</v>
      </c>
      <c r="CK118" s="65" t="s">
        <v>1953</v>
      </c>
      <c r="CL118" s="65" t="s">
        <v>1953</v>
      </c>
      <c r="CM118" s="65" t="s">
        <v>1954</v>
      </c>
      <c r="CN118" s="65" t="s">
        <v>1953</v>
      </c>
      <c r="CO118" s="65" t="s">
        <v>1953</v>
      </c>
      <c r="CP118" s="65" t="s">
        <v>1953</v>
      </c>
      <c r="CQ118" s="65" t="s">
        <v>1953</v>
      </c>
      <c r="CR118" s="65" t="s">
        <v>1953</v>
      </c>
      <c r="CS118" s="65" t="s">
        <v>1953</v>
      </c>
      <c r="CT118" s="65" t="s">
        <v>1953</v>
      </c>
      <c r="CU118" s="65" t="s">
        <v>1953</v>
      </c>
      <c r="CV118" s="65" t="s">
        <v>1953</v>
      </c>
      <c r="CW118" s="65" t="s">
        <v>1953</v>
      </c>
      <c r="CX118" s="65" t="s">
        <v>1953</v>
      </c>
      <c r="CY118" s="65" t="s">
        <v>1953</v>
      </c>
      <c r="CZ118" s="65" t="s">
        <v>1953</v>
      </c>
      <c r="DA118" s="65" t="s">
        <v>1953</v>
      </c>
    </row>
    <row r="119" spans="48:105">
      <c r="AV119" t="s">
        <v>7884</v>
      </c>
      <c r="AW119" s="96" t="str">
        <f>IFERROR(HLOOKUP($AW$1,Table3[[#All],[India]:[Dominican Republic]],ROW(Table3[[#This Row],[Default]])-1,0),"True")</f>
        <v>True</v>
      </c>
      <c r="AX119" s="65" t="s">
        <v>1953</v>
      </c>
      <c r="AY119" s="65" t="s">
        <v>1953</v>
      </c>
      <c r="AZ119" s="65" t="s">
        <v>1953</v>
      </c>
      <c r="BA119" s="65" t="s">
        <v>1953</v>
      </c>
      <c r="BB119" s="65" t="s">
        <v>1953</v>
      </c>
      <c r="BC119" s="65" t="s">
        <v>1953</v>
      </c>
      <c r="BD119" s="65" t="s">
        <v>1953</v>
      </c>
      <c r="BE119" s="65" t="s">
        <v>1953</v>
      </c>
      <c r="BF119" s="65" t="s">
        <v>1953</v>
      </c>
      <c r="BG119" s="65" t="s">
        <v>1953</v>
      </c>
      <c r="BH119" s="65" t="s">
        <v>1953</v>
      </c>
      <c r="BI119" s="65" t="s">
        <v>1953</v>
      </c>
      <c r="BJ119" s="65" t="s">
        <v>1953</v>
      </c>
      <c r="BK119" s="65" t="s">
        <v>1953</v>
      </c>
      <c r="BL119" s="65" t="s">
        <v>1953</v>
      </c>
      <c r="BM119" s="65" t="s">
        <v>1953</v>
      </c>
      <c r="BN119" s="65" t="s">
        <v>1953</v>
      </c>
      <c r="BO119" s="65" t="s">
        <v>1954</v>
      </c>
      <c r="BP119" s="65" t="s">
        <v>1953</v>
      </c>
      <c r="BQ119" s="65" t="s">
        <v>1953</v>
      </c>
      <c r="BR119" s="65" t="s">
        <v>1953</v>
      </c>
      <c r="BS119" s="65" t="s">
        <v>1953</v>
      </c>
      <c r="BT119" s="65" t="s">
        <v>1953</v>
      </c>
      <c r="BU119" s="65" t="s">
        <v>1953</v>
      </c>
      <c r="BV119" s="65" t="s">
        <v>1953</v>
      </c>
      <c r="BW119" s="65" t="s">
        <v>1953</v>
      </c>
      <c r="BZ119" t="s">
        <v>5065</v>
      </c>
      <c r="CA119" t="str">
        <f>IFERROR(HLOOKUP($CA$1,Table4[[#All],[India]:[Dominican Republic]],ROW(Table4[[#This Row],[Default]])-1,0),"True")</f>
        <v>True</v>
      </c>
      <c r="CB119" s="65" t="s">
        <v>1953</v>
      </c>
      <c r="CC119" s="65" t="s">
        <v>1953</v>
      </c>
      <c r="CD119" s="65" t="s">
        <v>1953</v>
      </c>
      <c r="CE119" s="65" t="s">
        <v>1954</v>
      </c>
      <c r="CF119" s="65" t="s">
        <v>1953</v>
      </c>
      <c r="CG119" s="65" t="s">
        <v>1953</v>
      </c>
      <c r="CH119" s="65" t="s">
        <v>1953</v>
      </c>
      <c r="CI119" s="65" t="s">
        <v>1953</v>
      </c>
      <c r="CJ119" s="65" t="s">
        <v>1953</v>
      </c>
      <c r="CK119" s="65" t="s">
        <v>1953</v>
      </c>
      <c r="CL119" s="65" t="s">
        <v>1953</v>
      </c>
      <c r="CM119" s="65" t="s">
        <v>1953</v>
      </c>
      <c r="CN119" s="65" t="s">
        <v>1953</v>
      </c>
      <c r="CO119" s="65" t="s">
        <v>1953</v>
      </c>
      <c r="CP119" s="65" t="s">
        <v>1953</v>
      </c>
      <c r="CQ119" s="65" t="s">
        <v>1953</v>
      </c>
      <c r="CR119" s="65" t="s">
        <v>1953</v>
      </c>
      <c r="CS119" s="65" t="s">
        <v>1953</v>
      </c>
      <c r="CT119" s="65" t="s">
        <v>1953</v>
      </c>
      <c r="CU119" s="65" t="s">
        <v>1953</v>
      </c>
      <c r="CV119" s="65" t="s">
        <v>1953</v>
      </c>
      <c r="CW119" s="65" t="s">
        <v>1953</v>
      </c>
      <c r="CX119" s="65" t="s">
        <v>1953</v>
      </c>
      <c r="CY119" s="65" t="s">
        <v>1953</v>
      </c>
      <c r="CZ119" s="65" t="s">
        <v>1953</v>
      </c>
      <c r="DA119" s="65" t="s">
        <v>1953</v>
      </c>
    </row>
    <row r="120" spans="48:105">
      <c r="AV120" t="s">
        <v>7900</v>
      </c>
      <c r="AW120" s="96" t="str">
        <f>IFERROR(HLOOKUP($AW$1,Table3[[#All],[India]:[Dominican Republic]],ROW(Table3[[#This Row],[Default]])-1,0),"True")</f>
        <v>True</v>
      </c>
      <c r="AX120" s="65" t="s">
        <v>1953</v>
      </c>
      <c r="AY120" s="65" t="s">
        <v>1953</v>
      </c>
      <c r="AZ120" s="65" t="s">
        <v>1953</v>
      </c>
      <c r="BA120" s="65" t="s">
        <v>1953</v>
      </c>
      <c r="BB120" s="65" t="s">
        <v>1953</v>
      </c>
      <c r="BC120" s="65" t="s">
        <v>1953</v>
      </c>
      <c r="BD120" s="65" t="s">
        <v>1953</v>
      </c>
      <c r="BE120" s="65" t="s">
        <v>1953</v>
      </c>
      <c r="BF120" s="65" t="s">
        <v>1953</v>
      </c>
      <c r="BG120" s="65" t="s">
        <v>1953</v>
      </c>
      <c r="BH120" s="65" t="s">
        <v>1953</v>
      </c>
      <c r="BI120" s="65" t="s">
        <v>1953</v>
      </c>
      <c r="BJ120" s="65" t="s">
        <v>1953</v>
      </c>
      <c r="BK120" s="65" t="s">
        <v>1953</v>
      </c>
      <c r="BL120" s="65" t="s">
        <v>1953</v>
      </c>
      <c r="BM120" s="65" t="s">
        <v>1953</v>
      </c>
      <c r="BN120" s="65" t="s">
        <v>1953</v>
      </c>
      <c r="BO120" s="65" t="s">
        <v>1953</v>
      </c>
      <c r="BP120" s="65" t="s">
        <v>1954</v>
      </c>
      <c r="BQ120" s="65" t="s">
        <v>1953</v>
      </c>
      <c r="BR120" s="65" t="s">
        <v>1953</v>
      </c>
      <c r="BS120" s="65" t="s">
        <v>1953</v>
      </c>
      <c r="BT120" s="65" t="s">
        <v>1953</v>
      </c>
      <c r="BU120" s="65" t="s">
        <v>1953</v>
      </c>
      <c r="BV120" s="65" t="s">
        <v>1953</v>
      </c>
      <c r="BW120" s="65" t="s">
        <v>1953</v>
      </c>
      <c r="BZ120" t="s">
        <v>2989</v>
      </c>
      <c r="CA120" t="str">
        <f>IFERROR(HLOOKUP($CA$1,Table4[[#All],[India]:[Dominican Republic]],ROW(Table4[[#This Row],[Default]])-1,0),"True")</f>
        <v>True</v>
      </c>
      <c r="CB120" s="65" t="s">
        <v>1953</v>
      </c>
      <c r="CC120" s="65" t="s">
        <v>1953</v>
      </c>
      <c r="CD120" s="65" t="s">
        <v>1953</v>
      </c>
      <c r="CE120" s="65" t="s">
        <v>1954</v>
      </c>
      <c r="CF120" s="65" t="s">
        <v>1953</v>
      </c>
      <c r="CG120" s="65" t="s">
        <v>1953</v>
      </c>
      <c r="CH120" s="65" t="s">
        <v>1953</v>
      </c>
      <c r="CI120" s="65" t="s">
        <v>1953</v>
      </c>
      <c r="CJ120" s="65" t="s">
        <v>1953</v>
      </c>
      <c r="CK120" s="65" t="s">
        <v>1953</v>
      </c>
      <c r="CL120" s="65" t="s">
        <v>1953</v>
      </c>
      <c r="CM120" s="65" t="s">
        <v>1953</v>
      </c>
      <c r="CN120" s="65" t="s">
        <v>1953</v>
      </c>
      <c r="CO120" s="65" t="s">
        <v>1953</v>
      </c>
      <c r="CP120" s="65" t="s">
        <v>1953</v>
      </c>
      <c r="CQ120" s="65" t="s">
        <v>1953</v>
      </c>
      <c r="CR120" s="65" t="s">
        <v>1953</v>
      </c>
      <c r="CS120" s="65" t="s">
        <v>1953</v>
      </c>
      <c r="CT120" s="65" t="s">
        <v>1953</v>
      </c>
      <c r="CU120" s="65" t="s">
        <v>1953</v>
      </c>
      <c r="CV120" s="65" t="s">
        <v>1953</v>
      </c>
      <c r="CW120" s="65" t="s">
        <v>1953</v>
      </c>
      <c r="CX120" s="65" t="s">
        <v>1953</v>
      </c>
      <c r="CY120" s="65" t="s">
        <v>1953</v>
      </c>
      <c r="CZ120" s="65" t="s">
        <v>1953</v>
      </c>
      <c r="DA120" s="65" t="s">
        <v>1953</v>
      </c>
    </row>
    <row r="121" spans="48:105">
      <c r="AV121" t="s">
        <v>7901</v>
      </c>
      <c r="AW121" s="96" t="str">
        <f>IFERROR(HLOOKUP($AW$1,Table3[[#All],[India]:[Dominican Republic]],ROW(Table3[[#This Row],[Default]])-1,0),"True")</f>
        <v>True</v>
      </c>
      <c r="AX121" s="65" t="s">
        <v>1953</v>
      </c>
      <c r="AY121" s="65" t="s">
        <v>1953</v>
      </c>
      <c r="AZ121" s="65" t="s">
        <v>1953</v>
      </c>
      <c r="BA121" s="65" t="s">
        <v>1953</v>
      </c>
      <c r="BB121" s="65" t="s">
        <v>1953</v>
      </c>
      <c r="BC121" s="65" t="s">
        <v>1953</v>
      </c>
      <c r="BD121" s="65" t="s">
        <v>1953</v>
      </c>
      <c r="BE121" s="65" t="s">
        <v>1953</v>
      </c>
      <c r="BF121" s="65" t="s">
        <v>1953</v>
      </c>
      <c r="BG121" s="65" t="s">
        <v>1953</v>
      </c>
      <c r="BH121" s="65" t="s">
        <v>1953</v>
      </c>
      <c r="BI121" s="65" t="s">
        <v>1953</v>
      </c>
      <c r="BJ121" s="65" t="s">
        <v>1953</v>
      </c>
      <c r="BK121" s="65" t="s">
        <v>1953</v>
      </c>
      <c r="BL121" s="65" t="s">
        <v>1953</v>
      </c>
      <c r="BM121" s="65" t="s">
        <v>1953</v>
      </c>
      <c r="BN121" s="65" t="s">
        <v>1953</v>
      </c>
      <c r="BO121" s="65" t="s">
        <v>1953</v>
      </c>
      <c r="BP121" s="65" t="s">
        <v>1954</v>
      </c>
      <c r="BQ121" s="65" t="s">
        <v>1953</v>
      </c>
      <c r="BR121" s="65" t="s">
        <v>1953</v>
      </c>
      <c r="BS121" s="65" t="s">
        <v>1953</v>
      </c>
      <c r="BT121" s="65" t="s">
        <v>1953</v>
      </c>
      <c r="BU121" s="65" t="s">
        <v>1953</v>
      </c>
      <c r="BV121" s="65" t="s">
        <v>1953</v>
      </c>
      <c r="BW121" s="65" t="s">
        <v>1953</v>
      </c>
      <c r="BZ121" t="s">
        <v>5066</v>
      </c>
      <c r="CA121" t="str">
        <f>IFERROR(HLOOKUP($CA$1,Table4[[#All],[India]:[Dominican Republic]],ROW(Table4[[#This Row],[Default]])-1,0),"True")</f>
        <v>True</v>
      </c>
      <c r="CB121" s="65" t="s">
        <v>1953</v>
      </c>
      <c r="CC121" s="65" t="s">
        <v>1953</v>
      </c>
      <c r="CD121" s="65" t="s">
        <v>1953</v>
      </c>
      <c r="CE121" s="65" t="s">
        <v>1954</v>
      </c>
      <c r="CF121" s="65" t="s">
        <v>1953</v>
      </c>
      <c r="CG121" s="65" t="s">
        <v>1953</v>
      </c>
      <c r="CH121" s="65" t="s">
        <v>1953</v>
      </c>
      <c r="CI121" s="65" t="s">
        <v>1953</v>
      </c>
      <c r="CJ121" s="65" t="s">
        <v>1953</v>
      </c>
      <c r="CK121" s="65" t="s">
        <v>1953</v>
      </c>
      <c r="CL121" s="65" t="s">
        <v>1953</v>
      </c>
      <c r="CM121" s="65" t="s">
        <v>1953</v>
      </c>
      <c r="CN121" s="65" t="s">
        <v>1953</v>
      </c>
      <c r="CO121" s="65" t="s">
        <v>1953</v>
      </c>
      <c r="CP121" s="65" t="s">
        <v>1953</v>
      </c>
      <c r="CQ121" s="65" t="s">
        <v>1953</v>
      </c>
      <c r="CR121" s="65" t="s">
        <v>1953</v>
      </c>
      <c r="CS121" s="65" t="s">
        <v>1953</v>
      </c>
      <c r="CT121" s="65" t="s">
        <v>1953</v>
      </c>
      <c r="CU121" s="65" t="s">
        <v>1953</v>
      </c>
      <c r="CV121" s="65" t="s">
        <v>1953</v>
      </c>
      <c r="CW121" s="65" t="s">
        <v>1953</v>
      </c>
      <c r="CX121" s="65" t="s">
        <v>1953</v>
      </c>
      <c r="CY121" s="65" t="s">
        <v>1953</v>
      </c>
      <c r="CZ121" s="65" t="s">
        <v>1953</v>
      </c>
      <c r="DA121" s="65" t="s">
        <v>1953</v>
      </c>
    </row>
    <row r="122" spans="48:105">
      <c r="AV122" t="s">
        <v>7914</v>
      </c>
      <c r="AW122" s="96" t="str">
        <f>IFERROR(HLOOKUP($AW$1,Table3[[#All],[India]:[Dominican Republic]],ROW(Table3[[#This Row],[Default]])-1,0),"True")</f>
        <v>True</v>
      </c>
      <c r="AX122" s="65" t="s">
        <v>1953</v>
      </c>
      <c r="AY122" s="65" t="s">
        <v>1953</v>
      </c>
      <c r="AZ122" s="65" t="s">
        <v>1953</v>
      </c>
      <c r="BA122" s="65" t="s">
        <v>1953</v>
      </c>
      <c r="BB122" s="65" t="s">
        <v>1953</v>
      </c>
      <c r="BC122" s="65" t="s">
        <v>1953</v>
      </c>
      <c r="BD122" s="65" t="s">
        <v>1953</v>
      </c>
      <c r="BE122" s="65" t="s">
        <v>1953</v>
      </c>
      <c r="BF122" s="65" t="s">
        <v>1953</v>
      </c>
      <c r="BG122" s="65" t="s">
        <v>1953</v>
      </c>
      <c r="BH122" s="65" t="s">
        <v>1953</v>
      </c>
      <c r="BI122" s="65" t="s">
        <v>1953</v>
      </c>
      <c r="BJ122" s="65" t="s">
        <v>1953</v>
      </c>
      <c r="BK122" s="65" t="s">
        <v>1953</v>
      </c>
      <c r="BL122" s="65" t="s">
        <v>1953</v>
      </c>
      <c r="BM122" s="65" t="s">
        <v>1953</v>
      </c>
      <c r="BN122" s="65" t="s">
        <v>1953</v>
      </c>
      <c r="BO122" s="65" t="s">
        <v>1953</v>
      </c>
      <c r="BP122" s="65" t="s">
        <v>1953</v>
      </c>
      <c r="BQ122" s="65" t="s">
        <v>1954</v>
      </c>
      <c r="BR122" s="65" t="s">
        <v>1954</v>
      </c>
      <c r="BS122" s="65" t="s">
        <v>1954</v>
      </c>
      <c r="BT122" s="65" t="s">
        <v>1953</v>
      </c>
      <c r="BU122" s="65" t="s">
        <v>1953</v>
      </c>
      <c r="BV122" s="65" t="s">
        <v>1953</v>
      </c>
      <c r="BW122" s="65" t="s">
        <v>1953</v>
      </c>
      <c r="BZ122" t="s">
        <v>5067</v>
      </c>
      <c r="CA122" t="str">
        <f>IFERROR(HLOOKUP($CA$1,Table4[[#All],[India]:[Dominican Republic]],ROW(Table4[[#This Row],[Default]])-1,0),"True")</f>
        <v>True</v>
      </c>
      <c r="CB122" s="65" t="s">
        <v>1953</v>
      </c>
      <c r="CC122" s="65" t="s">
        <v>1953</v>
      </c>
      <c r="CD122" s="65" t="s">
        <v>1953</v>
      </c>
      <c r="CE122" s="65" t="s">
        <v>1954</v>
      </c>
      <c r="CF122" s="65" t="s">
        <v>1953</v>
      </c>
      <c r="CG122" s="65" t="s">
        <v>1953</v>
      </c>
      <c r="CH122" s="65" t="s">
        <v>1953</v>
      </c>
      <c r="CI122" s="65" t="s">
        <v>1953</v>
      </c>
      <c r="CJ122" s="65" t="s">
        <v>1953</v>
      </c>
      <c r="CK122" s="65" t="s">
        <v>1953</v>
      </c>
      <c r="CL122" s="65" t="s">
        <v>1953</v>
      </c>
      <c r="CM122" s="65" t="s">
        <v>1953</v>
      </c>
      <c r="CN122" s="65" t="s">
        <v>1953</v>
      </c>
      <c r="CO122" s="65" t="s">
        <v>1953</v>
      </c>
      <c r="CP122" s="65" t="s">
        <v>1953</v>
      </c>
      <c r="CQ122" s="65" t="s">
        <v>1953</v>
      </c>
      <c r="CR122" s="65" t="s">
        <v>1953</v>
      </c>
      <c r="CS122" s="65" t="s">
        <v>1953</v>
      </c>
      <c r="CT122" s="65" t="s">
        <v>1953</v>
      </c>
      <c r="CU122" s="65" t="s">
        <v>1953</v>
      </c>
      <c r="CV122" s="65" t="s">
        <v>1953</v>
      </c>
      <c r="CW122" s="65" t="s">
        <v>1953</v>
      </c>
      <c r="CX122" s="65" t="s">
        <v>1953</v>
      </c>
      <c r="CY122" s="65" t="s">
        <v>1953</v>
      </c>
      <c r="CZ122" s="65" t="s">
        <v>1953</v>
      </c>
      <c r="DA122" s="65" t="s">
        <v>1953</v>
      </c>
    </row>
    <row r="123" spans="48:105">
      <c r="AV123" t="s">
        <v>7927</v>
      </c>
      <c r="AW123" s="96" t="str">
        <f>IFERROR(HLOOKUP($AW$1,Table3[[#All],[India]:[Dominican Republic]],ROW(Table3[[#This Row],[Default]])-1,0),"True")</f>
        <v>True</v>
      </c>
      <c r="AX123" s="65" t="s">
        <v>1953</v>
      </c>
      <c r="AY123" s="65" t="s">
        <v>1953</v>
      </c>
      <c r="AZ123" s="65" t="s">
        <v>1953</v>
      </c>
      <c r="BA123" s="65" t="s">
        <v>1953</v>
      </c>
      <c r="BB123" s="65" t="s">
        <v>1953</v>
      </c>
      <c r="BC123" s="65" t="s">
        <v>1953</v>
      </c>
      <c r="BD123" s="65" t="s">
        <v>1953</v>
      </c>
      <c r="BE123" s="65" t="s">
        <v>1953</v>
      </c>
      <c r="BF123" s="65" t="s">
        <v>1953</v>
      </c>
      <c r="BG123" s="65" t="s">
        <v>1953</v>
      </c>
      <c r="BH123" s="65" t="s">
        <v>1953</v>
      </c>
      <c r="BI123" s="65" t="s">
        <v>1953</v>
      </c>
      <c r="BJ123" s="65" t="s">
        <v>1953</v>
      </c>
      <c r="BK123" s="65" t="s">
        <v>1953</v>
      </c>
      <c r="BL123" s="65" t="s">
        <v>1953</v>
      </c>
      <c r="BM123" s="65" t="s">
        <v>1953</v>
      </c>
      <c r="BN123" s="65" t="s">
        <v>1953</v>
      </c>
      <c r="BO123" s="65" t="s">
        <v>1953</v>
      </c>
      <c r="BP123" s="65" t="s">
        <v>1953</v>
      </c>
      <c r="BQ123" s="65" t="s">
        <v>1953</v>
      </c>
      <c r="BR123" s="65" t="s">
        <v>1953</v>
      </c>
      <c r="BS123" s="65" t="s">
        <v>1954</v>
      </c>
      <c r="BT123" s="65" t="s">
        <v>1953</v>
      </c>
      <c r="BU123" s="65" t="s">
        <v>1953</v>
      </c>
      <c r="BV123" s="65" t="s">
        <v>1953</v>
      </c>
      <c r="BW123" s="65" t="s">
        <v>1953</v>
      </c>
      <c r="BZ123" t="s">
        <v>5068</v>
      </c>
      <c r="CA123" t="str">
        <f>IFERROR(HLOOKUP($CA$1,Table4[[#All],[India]:[Dominican Republic]],ROW(Table4[[#This Row],[Default]])-1,0),"True")</f>
        <v>True</v>
      </c>
      <c r="CB123" s="65" t="s">
        <v>1953</v>
      </c>
      <c r="CC123" s="65" t="s">
        <v>1953</v>
      </c>
      <c r="CD123" s="65" t="s">
        <v>1953</v>
      </c>
      <c r="CE123" s="65" t="s">
        <v>1954</v>
      </c>
      <c r="CF123" s="65" t="s">
        <v>1953</v>
      </c>
      <c r="CG123" s="65" t="s">
        <v>1953</v>
      </c>
      <c r="CH123" s="65" t="s">
        <v>1953</v>
      </c>
      <c r="CI123" s="65" t="s">
        <v>1953</v>
      </c>
      <c r="CJ123" s="65" t="s">
        <v>1953</v>
      </c>
      <c r="CK123" s="65" t="s">
        <v>1953</v>
      </c>
      <c r="CL123" s="65" t="s">
        <v>1953</v>
      </c>
      <c r="CM123" s="65" t="s">
        <v>1953</v>
      </c>
      <c r="CN123" s="65" t="s">
        <v>1953</v>
      </c>
      <c r="CO123" s="65" t="s">
        <v>1953</v>
      </c>
      <c r="CP123" s="65" t="s">
        <v>1953</v>
      </c>
      <c r="CQ123" s="65" t="s">
        <v>1953</v>
      </c>
      <c r="CR123" s="65" t="s">
        <v>1953</v>
      </c>
      <c r="CS123" s="65" t="s">
        <v>1953</v>
      </c>
      <c r="CT123" s="65" t="s">
        <v>1953</v>
      </c>
      <c r="CU123" s="65" t="s">
        <v>1953</v>
      </c>
      <c r="CV123" s="65" t="s">
        <v>1953</v>
      </c>
      <c r="CW123" s="65" t="s">
        <v>1953</v>
      </c>
      <c r="CX123" s="65" t="s">
        <v>1953</v>
      </c>
      <c r="CY123" s="65" t="s">
        <v>1953</v>
      </c>
      <c r="CZ123" s="65" t="s">
        <v>1953</v>
      </c>
      <c r="DA123" s="65" t="s">
        <v>1953</v>
      </c>
    </row>
    <row r="124" spans="48:105">
      <c r="AV124" t="s">
        <v>7931</v>
      </c>
      <c r="AW124" s="96" t="str">
        <f>IFERROR(HLOOKUP($AW$1,Table3[[#All],[India]:[Dominican Republic]],ROW(Table3[[#This Row],[Default]])-1,0),"True")</f>
        <v>True</v>
      </c>
      <c r="AX124" s="65" t="s">
        <v>1953</v>
      </c>
      <c r="AY124" s="65" t="s">
        <v>1953</v>
      </c>
      <c r="AZ124" s="65" t="s">
        <v>1953</v>
      </c>
      <c r="BA124" s="65" t="s">
        <v>1953</v>
      </c>
      <c r="BB124" s="65" t="s">
        <v>1953</v>
      </c>
      <c r="BC124" s="65" t="s">
        <v>1953</v>
      </c>
      <c r="BD124" s="65" t="s">
        <v>1953</v>
      </c>
      <c r="BE124" s="65" t="s">
        <v>1953</v>
      </c>
      <c r="BF124" s="65" t="s">
        <v>1953</v>
      </c>
      <c r="BG124" s="65" t="s">
        <v>1953</v>
      </c>
      <c r="BH124" s="65" t="s">
        <v>1953</v>
      </c>
      <c r="BI124" s="65" t="s">
        <v>1953</v>
      </c>
      <c r="BJ124" s="65" t="s">
        <v>1953</v>
      </c>
      <c r="BK124" s="65" t="s">
        <v>1953</v>
      </c>
      <c r="BL124" s="65" t="s">
        <v>1953</v>
      </c>
      <c r="BM124" s="65" t="s">
        <v>1953</v>
      </c>
      <c r="BN124" s="65" t="s">
        <v>1953</v>
      </c>
      <c r="BO124" s="65" t="s">
        <v>1953</v>
      </c>
      <c r="BP124" s="65" t="s">
        <v>1953</v>
      </c>
      <c r="BQ124" s="65" t="s">
        <v>1953</v>
      </c>
      <c r="BR124" s="65" t="s">
        <v>1953</v>
      </c>
      <c r="BS124" s="65" t="s">
        <v>1953</v>
      </c>
      <c r="BT124" s="65" t="s">
        <v>1954</v>
      </c>
      <c r="BU124" s="65" t="s">
        <v>1953</v>
      </c>
      <c r="BV124" s="65" t="s">
        <v>1953</v>
      </c>
      <c r="BW124" s="65" t="s">
        <v>1953</v>
      </c>
      <c r="BZ124" t="s">
        <v>5069</v>
      </c>
      <c r="CA124" t="str">
        <f>IFERROR(HLOOKUP($CA$1,Table4[[#All],[India]:[Dominican Republic]],ROW(Table4[[#This Row],[Default]])-1,0),"True")</f>
        <v>True</v>
      </c>
      <c r="CB124" s="65" t="s">
        <v>1953</v>
      </c>
      <c r="CC124" s="65" t="s">
        <v>1953</v>
      </c>
      <c r="CD124" s="65" t="s">
        <v>1953</v>
      </c>
      <c r="CE124" s="65" t="s">
        <v>1954</v>
      </c>
      <c r="CF124" s="65" t="s">
        <v>1953</v>
      </c>
      <c r="CG124" s="65" t="s">
        <v>1953</v>
      </c>
      <c r="CH124" s="65" t="s">
        <v>1953</v>
      </c>
      <c r="CI124" s="65" t="s">
        <v>1953</v>
      </c>
      <c r="CJ124" s="65" t="s">
        <v>1953</v>
      </c>
      <c r="CK124" s="65" t="s">
        <v>1953</v>
      </c>
      <c r="CL124" s="65" t="s">
        <v>1953</v>
      </c>
      <c r="CM124" s="65" t="s">
        <v>1954</v>
      </c>
      <c r="CN124" s="65" t="s">
        <v>1953</v>
      </c>
      <c r="CO124" s="65" t="s">
        <v>1953</v>
      </c>
      <c r="CP124" s="65" t="s">
        <v>1953</v>
      </c>
      <c r="CQ124" s="65" t="s">
        <v>1953</v>
      </c>
      <c r="CR124" s="65" t="s">
        <v>1953</v>
      </c>
      <c r="CS124" s="65" t="s">
        <v>1953</v>
      </c>
      <c r="CT124" s="65" t="s">
        <v>1953</v>
      </c>
      <c r="CU124" s="65" t="s">
        <v>1953</v>
      </c>
      <c r="CV124" s="65" t="s">
        <v>1953</v>
      </c>
      <c r="CW124" s="65" t="s">
        <v>1953</v>
      </c>
      <c r="CX124" s="65" t="s">
        <v>1953</v>
      </c>
      <c r="CY124" s="65" t="s">
        <v>1953</v>
      </c>
      <c r="CZ124" s="65" t="s">
        <v>1953</v>
      </c>
      <c r="DA124" s="65" t="s">
        <v>1953</v>
      </c>
    </row>
    <row r="125" spans="48:105">
      <c r="AV125" t="s">
        <v>7933</v>
      </c>
      <c r="AW125" s="96" t="str">
        <f>IFERROR(HLOOKUP($AW$1,Table3[[#All],[India]:[Dominican Republic]],ROW(Table3[[#This Row],[Default]])-1,0),"True")</f>
        <v>True</v>
      </c>
      <c r="AX125" s="65" t="s">
        <v>1953</v>
      </c>
      <c r="AY125" s="65" t="s">
        <v>1953</v>
      </c>
      <c r="AZ125" s="65" t="s">
        <v>1953</v>
      </c>
      <c r="BA125" s="65" t="s">
        <v>1953</v>
      </c>
      <c r="BB125" s="65" t="s">
        <v>1953</v>
      </c>
      <c r="BC125" s="65" t="s">
        <v>1953</v>
      </c>
      <c r="BD125" s="65" t="s">
        <v>1953</v>
      </c>
      <c r="BE125" s="65" t="s">
        <v>1953</v>
      </c>
      <c r="BF125" s="65" t="s">
        <v>1953</v>
      </c>
      <c r="BG125" s="65" t="s">
        <v>1953</v>
      </c>
      <c r="BH125" s="65" t="s">
        <v>1953</v>
      </c>
      <c r="BI125" s="65" t="s">
        <v>1953</v>
      </c>
      <c r="BJ125" s="65" t="s">
        <v>1953</v>
      </c>
      <c r="BK125" s="65" t="s">
        <v>1953</v>
      </c>
      <c r="BL125" s="65" t="s">
        <v>1953</v>
      </c>
      <c r="BM125" s="65" t="s">
        <v>1953</v>
      </c>
      <c r="BN125" s="65" t="s">
        <v>1953</v>
      </c>
      <c r="BO125" s="65" t="s">
        <v>1953</v>
      </c>
      <c r="BP125" s="65" t="s">
        <v>1953</v>
      </c>
      <c r="BQ125" s="65" t="s">
        <v>1953</v>
      </c>
      <c r="BR125" s="65" t="s">
        <v>1953</v>
      </c>
      <c r="BS125" s="65" t="s">
        <v>1953</v>
      </c>
      <c r="BT125" s="65" t="s">
        <v>1954</v>
      </c>
      <c r="BU125" s="65" t="s">
        <v>1954</v>
      </c>
      <c r="BV125" s="65" t="s">
        <v>1953</v>
      </c>
      <c r="BW125" s="65" t="s">
        <v>1953</v>
      </c>
      <c r="BZ125" t="s">
        <v>5070</v>
      </c>
      <c r="CA125" t="str">
        <f>IFERROR(HLOOKUP($CA$1,Table4[[#All],[India]:[Dominican Republic]],ROW(Table4[[#This Row],[Default]])-1,0),"True")</f>
        <v>True</v>
      </c>
      <c r="CB125" s="65" t="s">
        <v>1953</v>
      </c>
      <c r="CC125" s="65" t="s">
        <v>1953</v>
      </c>
      <c r="CD125" s="65" t="s">
        <v>1953</v>
      </c>
      <c r="CE125" s="65" t="s">
        <v>1954</v>
      </c>
      <c r="CF125" s="65" t="s">
        <v>1953</v>
      </c>
      <c r="CG125" s="65" t="s">
        <v>1953</v>
      </c>
      <c r="CH125" s="65" t="s">
        <v>1953</v>
      </c>
      <c r="CI125" s="65" t="s">
        <v>1953</v>
      </c>
      <c r="CJ125" s="65" t="s">
        <v>1953</v>
      </c>
      <c r="CK125" s="65" t="s">
        <v>1953</v>
      </c>
      <c r="CL125" s="65" t="s">
        <v>1953</v>
      </c>
      <c r="CM125" s="65" t="s">
        <v>1953</v>
      </c>
      <c r="CN125" s="65" t="s">
        <v>1953</v>
      </c>
      <c r="CO125" s="65" t="s">
        <v>1953</v>
      </c>
      <c r="CP125" s="65" t="s">
        <v>1953</v>
      </c>
      <c r="CQ125" s="65" t="s">
        <v>1953</v>
      </c>
      <c r="CR125" s="65" t="s">
        <v>1953</v>
      </c>
      <c r="CS125" s="65" t="s">
        <v>1953</v>
      </c>
      <c r="CT125" s="65" t="s">
        <v>1953</v>
      </c>
      <c r="CU125" s="65" t="s">
        <v>1953</v>
      </c>
      <c r="CV125" s="65" t="s">
        <v>1953</v>
      </c>
      <c r="CW125" s="65" t="s">
        <v>1953</v>
      </c>
      <c r="CX125" s="65" t="s">
        <v>1953</v>
      </c>
      <c r="CY125" s="65" t="s">
        <v>1953</v>
      </c>
      <c r="CZ125" s="65" t="s">
        <v>1953</v>
      </c>
      <c r="DA125" s="65" t="s">
        <v>1953</v>
      </c>
    </row>
    <row r="126" spans="48:105">
      <c r="AV126" t="s">
        <v>7934</v>
      </c>
      <c r="AW126" s="96" t="str">
        <f>IFERROR(HLOOKUP($AW$1,Table3[[#All],[India]:[Dominican Republic]],ROW(Table3[[#This Row],[Default]])-1,0),"True")</f>
        <v>True</v>
      </c>
      <c r="AX126" s="65" t="s">
        <v>1953</v>
      </c>
      <c r="AY126" s="65" t="s">
        <v>1953</v>
      </c>
      <c r="AZ126" s="65" t="s">
        <v>1953</v>
      </c>
      <c r="BA126" s="65" t="s">
        <v>1953</v>
      </c>
      <c r="BB126" s="65" t="s">
        <v>1953</v>
      </c>
      <c r="BC126" s="65" t="s">
        <v>1953</v>
      </c>
      <c r="BD126" s="65" t="s">
        <v>1953</v>
      </c>
      <c r="BE126" s="65" t="s">
        <v>1953</v>
      </c>
      <c r="BF126" s="65" t="s">
        <v>1953</v>
      </c>
      <c r="BG126" s="65" t="s">
        <v>1953</v>
      </c>
      <c r="BH126" s="65" t="s">
        <v>1953</v>
      </c>
      <c r="BI126" s="65" t="s">
        <v>1953</v>
      </c>
      <c r="BJ126" s="65" t="s">
        <v>1953</v>
      </c>
      <c r="BK126" s="65" t="s">
        <v>1953</v>
      </c>
      <c r="BL126" s="65" t="s">
        <v>1953</v>
      </c>
      <c r="BM126" s="65" t="s">
        <v>1953</v>
      </c>
      <c r="BN126" s="65" t="s">
        <v>1953</v>
      </c>
      <c r="BO126" s="65" t="s">
        <v>1953</v>
      </c>
      <c r="BP126" s="65" t="s">
        <v>1953</v>
      </c>
      <c r="BQ126" s="65" t="s">
        <v>1953</v>
      </c>
      <c r="BR126" s="65" t="s">
        <v>1953</v>
      </c>
      <c r="BS126" s="65" t="s">
        <v>1953</v>
      </c>
      <c r="BT126" s="65" t="s">
        <v>1954</v>
      </c>
      <c r="BU126" s="65" t="s">
        <v>1954</v>
      </c>
      <c r="BV126" s="65" t="s">
        <v>1953</v>
      </c>
      <c r="BW126" s="65" t="s">
        <v>1953</v>
      </c>
      <c r="BZ126" t="s">
        <v>5071</v>
      </c>
      <c r="CA126" t="str">
        <f>IFERROR(HLOOKUP($CA$1,Table4[[#All],[India]:[Dominican Republic]],ROW(Table4[[#This Row],[Default]])-1,0),"True")</f>
        <v>True</v>
      </c>
      <c r="CB126" s="65" t="s">
        <v>1953</v>
      </c>
      <c r="CC126" s="65" t="s">
        <v>1953</v>
      </c>
      <c r="CD126" s="65" t="s">
        <v>1953</v>
      </c>
      <c r="CE126" s="65" t="s">
        <v>1953</v>
      </c>
      <c r="CF126" s="65" t="s">
        <v>1954</v>
      </c>
      <c r="CG126" s="65" t="s">
        <v>1953</v>
      </c>
      <c r="CH126" s="65" t="s">
        <v>1953</v>
      </c>
      <c r="CI126" s="65" t="s">
        <v>1953</v>
      </c>
      <c r="CJ126" s="65" t="s">
        <v>1953</v>
      </c>
      <c r="CK126" s="65" t="s">
        <v>1953</v>
      </c>
      <c r="CL126" s="65" t="s">
        <v>1953</v>
      </c>
      <c r="CM126" s="65" t="s">
        <v>1953</v>
      </c>
      <c r="CN126" s="65" t="s">
        <v>1953</v>
      </c>
      <c r="CO126" s="65" t="s">
        <v>1953</v>
      </c>
      <c r="CP126" s="65" t="s">
        <v>1953</v>
      </c>
      <c r="CQ126" s="65" t="s">
        <v>1953</v>
      </c>
      <c r="CR126" s="65" t="s">
        <v>1953</v>
      </c>
      <c r="CS126" s="65" t="s">
        <v>1953</v>
      </c>
      <c r="CT126" s="65" t="s">
        <v>1953</v>
      </c>
      <c r="CU126" s="65" t="s">
        <v>1953</v>
      </c>
      <c r="CV126" s="65" t="s">
        <v>1953</v>
      </c>
      <c r="CW126" s="65" t="s">
        <v>1953</v>
      </c>
      <c r="CX126" s="65" t="s">
        <v>1953</v>
      </c>
      <c r="CY126" s="65" t="s">
        <v>1953</v>
      </c>
      <c r="CZ126" s="65" t="s">
        <v>1953</v>
      </c>
      <c r="DA126" s="65" t="s">
        <v>1953</v>
      </c>
    </row>
    <row r="127" spans="48:105">
      <c r="AV127" t="s">
        <v>8499</v>
      </c>
      <c r="AW127" s="96" t="str">
        <f>IFERROR(HLOOKUP($AW$1,Table3[[#All],[India]:[Dominican Republic]],ROW(Table3[[#This Row],[Default]])-1,0),"True")</f>
        <v>True</v>
      </c>
      <c r="AX127" s="65" t="s">
        <v>1953</v>
      </c>
      <c r="AY127" s="65" t="s">
        <v>1954</v>
      </c>
      <c r="AZ127" s="65" t="s">
        <v>1953</v>
      </c>
      <c r="BA127" s="65" t="s">
        <v>1953</v>
      </c>
      <c r="BB127" s="65" t="s">
        <v>1953</v>
      </c>
      <c r="BC127" s="65" t="s">
        <v>1953</v>
      </c>
      <c r="BD127" s="65" t="s">
        <v>1953</v>
      </c>
      <c r="BE127" s="65" t="s">
        <v>1953</v>
      </c>
      <c r="BF127" s="65" t="s">
        <v>1953</v>
      </c>
      <c r="BG127" s="65" t="s">
        <v>1953</v>
      </c>
      <c r="BH127" s="65" t="s">
        <v>1953</v>
      </c>
      <c r="BI127" s="65" t="s">
        <v>1954</v>
      </c>
      <c r="BJ127" s="65" t="s">
        <v>1953</v>
      </c>
      <c r="BK127" s="65" t="s">
        <v>1953</v>
      </c>
      <c r="BL127" s="65" t="s">
        <v>1953</v>
      </c>
      <c r="BM127" s="65" t="s">
        <v>1953</v>
      </c>
      <c r="BN127" s="65" t="s">
        <v>1953</v>
      </c>
      <c r="BO127" s="65" t="s">
        <v>1953</v>
      </c>
      <c r="BP127" s="65" t="s">
        <v>1953</v>
      </c>
      <c r="BQ127" s="65" t="s">
        <v>1953</v>
      </c>
      <c r="BR127" s="65" t="s">
        <v>1953</v>
      </c>
      <c r="BS127" s="65" t="s">
        <v>1953</v>
      </c>
      <c r="BT127" s="65" t="s">
        <v>1953</v>
      </c>
      <c r="BU127" s="65" t="s">
        <v>1953</v>
      </c>
      <c r="BV127" s="65" t="s">
        <v>1953</v>
      </c>
      <c r="BW127" s="65" t="s">
        <v>1953</v>
      </c>
      <c r="BZ127" t="s">
        <v>5072</v>
      </c>
      <c r="CA127" t="str">
        <f>IFERROR(HLOOKUP($CA$1,Table4[[#All],[India]:[Dominican Republic]],ROW(Table4[[#This Row],[Default]])-1,0),"True")</f>
        <v>True</v>
      </c>
      <c r="CB127" s="65" t="s">
        <v>1953</v>
      </c>
      <c r="CC127" s="65" t="s">
        <v>1953</v>
      </c>
      <c r="CD127" s="65" t="s">
        <v>1953</v>
      </c>
      <c r="CE127" s="65" t="s">
        <v>1953</v>
      </c>
      <c r="CF127" s="65" t="s">
        <v>1954</v>
      </c>
      <c r="CG127" s="65" t="s">
        <v>1953</v>
      </c>
      <c r="CH127" s="65" t="s">
        <v>1953</v>
      </c>
      <c r="CI127" s="65" t="s">
        <v>1953</v>
      </c>
      <c r="CJ127" s="65" t="s">
        <v>1953</v>
      </c>
      <c r="CK127" s="65" t="s">
        <v>1953</v>
      </c>
      <c r="CL127" s="65" t="s">
        <v>1953</v>
      </c>
      <c r="CM127" s="65" t="s">
        <v>1953</v>
      </c>
      <c r="CN127" s="65" t="s">
        <v>1953</v>
      </c>
      <c r="CO127" s="65" t="s">
        <v>1953</v>
      </c>
      <c r="CP127" s="65" t="s">
        <v>1953</v>
      </c>
      <c r="CQ127" s="65" t="s">
        <v>1953</v>
      </c>
      <c r="CR127" s="65" t="s">
        <v>1953</v>
      </c>
      <c r="CS127" s="65" t="s">
        <v>1953</v>
      </c>
      <c r="CT127" s="65" t="s">
        <v>1953</v>
      </c>
      <c r="CU127" s="65" t="s">
        <v>1953</v>
      </c>
      <c r="CV127" s="65" t="s">
        <v>1953</v>
      </c>
      <c r="CW127" s="65" t="s">
        <v>1953</v>
      </c>
      <c r="CX127" s="65" t="s">
        <v>1953</v>
      </c>
      <c r="CY127" s="65" t="s">
        <v>1953</v>
      </c>
      <c r="CZ127" s="65" t="s">
        <v>1953</v>
      </c>
      <c r="DA127" s="65" t="s">
        <v>1953</v>
      </c>
    </row>
    <row r="128" spans="48:105">
      <c r="AV128" t="s">
        <v>8500</v>
      </c>
      <c r="AW128" s="96" t="str">
        <f>IFERROR(HLOOKUP($AW$1,Table3[[#All],[India]:[Dominican Republic]],ROW(Table3[[#This Row],[Default]])-1,0),"True")</f>
        <v>True</v>
      </c>
      <c r="AX128" s="65" t="s">
        <v>1953</v>
      </c>
      <c r="AY128" s="65" t="s">
        <v>1954</v>
      </c>
      <c r="AZ128" s="65" t="s">
        <v>1953</v>
      </c>
      <c r="BA128" s="65" t="s">
        <v>1953</v>
      </c>
      <c r="BB128" s="65" t="s">
        <v>1953</v>
      </c>
      <c r="BC128" s="65" t="s">
        <v>1953</v>
      </c>
      <c r="BD128" s="65" t="s">
        <v>1953</v>
      </c>
      <c r="BE128" s="65" t="s">
        <v>1953</v>
      </c>
      <c r="BF128" s="65" t="s">
        <v>1953</v>
      </c>
      <c r="BG128" s="65" t="s">
        <v>1953</v>
      </c>
      <c r="BH128" s="65" t="s">
        <v>1953</v>
      </c>
      <c r="BI128" s="65" t="s">
        <v>1954</v>
      </c>
      <c r="BJ128" s="65" t="s">
        <v>1953</v>
      </c>
      <c r="BK128" s="65" t="s">
        <v>1953</v>
      </c>
      <c r="BL128" s="65" t="s">
        <v>1953</v>
      </c>
      <c r="BM128" s="65" t="s">
        <v>1953</v>
      </c>
      <c r="BN128" s="65" t="s">
        <v>1953</v>
      </c>
      <c r="BO128" s="65" t="s">
        <v>1953</v>
      </c>
      <c r="BP128" s="65" t="s">
        <v>1953</v>
      </c>
      <c r="BQ128" s="65" t="s">
        <v>1953</v>
      </c>
      <c r="BR128" s="65" t="s">
        <v>1953</v>
      </c>
      <c r="BS128" s="65" t="s">
        <v>1953</v>
      </c>
      <c r="BT128" s="65" t="s">
        <v>1953</v>
      </c>
      <c r="BU128" s="65" t="s">
        <v>1953</v>
      </c>
      <c r="BV128" s="65" t="s">
        <v>1953</v>
      </c>
      <c r="BW128" s="65" t="s">
        <v>1953</v>
      </c>
      <c r="BZ128" t="s">
        <v>4989</v>
      </c>
      <c r="CA128" t="str">
        <f>IFERROR(HLOOKUP($CA$1,Table4[[#All],[India]:[Dominican Republic]],ROW(Table4[[#This Row],[Default]])-1,0),"True")</f>
        <v>True</v>
      </c>
      <c r="CB128" s="65" t="s">
        <v>1953</v>
      </c>
      <c r="CC128" s="65" t="s">
        <v>1953</v>
      </c>
      <c r="CD128" s="65" t="s">
        <v>1953</v>
      </c>
      <c r="CE128" s="65" t="s">
        <v>1953</v>
      </c>
      <c r="CF128" s="65" t="s">
        <v>1953</v>
      </c>
      <c r="CG128" s="65" t="s">
        <v>1954</v>
      </c>
      <c r="CH128" s="65" t="s">
        <v>1953</v>
      </c>
      <c r="CI128" s="65" t="s">
        <v>1953</v>
      </c>
      <c r="CJ128" s="65" t="s">
        <v>1953</v>
      </c>
      <c r="CK128" s="65" t="s">
        <v>1953</v>
      </c>
      <c r="CL128" s="65" t="s">
        <v>1953</v>
      </c>
      <c r="CM128" s="65" t="s">
        <v>1953</v>
      </c>
      <c r="CN128" s="65" t="s">
        <v>1953</v>
      </c>
      <c r="CO128" s="65" t="s">
        <v>1953</v>
      </c>
      <c r="CP128" s="65" t="s">
        <v>1953</v>
      </c>
      <c r="CQ128" s="65" t="s">
        <v>1953</v>
      </c>
      <c r="CR128" s="65" t="s">
        <v>1953</v>
      </c>
      <c r="CS128" s="65" t="s">
        <v>1953</v>
      </c>
      <c r="CT128" s="65" t="s">
        <v>1953</v>
      </c>
      <c r="CU128" s="65" t="s">
        <v>1953</v>
      </c>
      <c r="CV128" s="65" t="s">
        <v>1953</v>
      </c>
      <c r="CW128" s="65" t="s">
        <v>1953</v>
      </c>
      <c r="CX128" s="65" t="s">
        <v>1953</v>
      </c>
      <c r="CY128" s="65" t="s">
        <v>1953</v>
      </c>
      <c r="CZ128" s="65" t="s">
        <v>1953</v>
      </c>
      <c r="DA128" s="65" t="s">
        <v>1953</v>
      </c>
    </row>
    <row r="129" spans="48:105">
      <c r="AV129" t="s">
        <v>8501</v>
      </c>
      <c r="AW129" s="96" t="str">
        <f>IFERROR(HLOOKUP($AW$1,Table3[[#All],[India]:[Dominican Republic]],ROW(Table3[[#This Row],[Default]])-1,0),"True")</f>
        <v>True</v>
      </c>
      <c r="AX129" s="65" t="s">
        <v>1953</v>
      </c>
      <c r="AY129" s="65" t="s">
        <v>1954</v>
      </c>
      <c r="AZ129" s="65" t="s">
        <v>1953</v>
      </c>
      <c r="BA129" s="65" t="s">
        <v>1953</v>
      </c>
      <c r="BB129" s="65" t="s">
        <v>1953</v>
      </c>
      <c r="BC129" s="65" t="s">
        <v>1953</v>
      </c>
      <c r="BD129" s="65" t="s">
        <v>1953</v>
      </c>
      <c r="BE129" s="65" t="s">
        <v>1953</v>
      </c>
      <c r="BF129" s="65" t="s">
        <v>1953</v>
      </c>
      <c r="BG129" s="65" t="s">
        <v>1953</v>
      </c>
      <c r="BH129" s="65" t="s">
        <v>1953</v>
      </c>
      <c r="BI129" s="65" t="s">
        <v>1953</v>
      </c>
      <c r="BJ129" s="65" t="s">
        <v>1953</v>
      </c>
      <c r="BK129" s="65" t="s">
        <v>1953</v>
      </c>
      <c r="BL129" s="65" t="s">
        <v>1953</v>
      </c>
      <c r="BM129" s="65" t="s">
        <v>1953</v>
      </c>
      <c r="BN129" s="65" t="s">
        <v>1953</v>
      </c>
      <c r="BO129" s="65" t="s">
        <v>1953</v>
      </c>
      <c r="BP129" s="65" t="s">
        <v>1953</v>
      </c>
      <c r="BQ129" s="65" t="s">
        <v>1953</v>
      </c>
      <c r="BR129" s="65" t="s">
        <v>1953</v>
      </c>
      <c r="BS129" s="65" t="s">
        <v>1953</v>
      </c>
      <c r="BT129" s="65" t="s">
        <v>1953</v>
      </c>
      <c r="BU129" s="65" t="s">
        <v>1953</v>
      </c>
      <c r="BV129" s="65" t="s">
        <v>1953</v>
      </c>
      <c r="BW129" s="65" t="s">
        <v>1953</v>
      </c>
      <c r="BZ129" t="s">
        <v>5091</v>
      </c>
      <c r="CA129" t="str">
        <f>IFERROR(HLOOKUP($CA$1,Table4[[#All],[India]:[Dominican Republic]],ROW(Table4[[#This Row],[Default]])-1,0),"True")</f>
        <v>True</v>
      </c>
      <c r="CB129" s="65" t="s">
        <v>1953</v>
      </c>
      <c r="CC129" s="65" t="s">
        <v>1953</v>
      </c>
      <c r="CD129" s="65" t="s">
        <v>1953</v>
      </c>
      <c r="CE129" s="65" t="s">
        <v>1953</v>
      </c>
      <c r="CF129" s="65" t="s">
        <v>1953</v>
      </c>
      <c r="CG129" s="65" t="s">
        <v>1954</v>
      </c>
      <c r="CH129" s="65" t="s">
        <v>1953</v>
      </c>
      <c r="CI129" s="65" t="s">
        <v>1953</v>
      </c>
      <c r="CJ129" s="65" t="s">
        <v>1953</v>
      </c>
      <c r="CK129" s="65" t="s">
        <v>1953</v>
      </c>
      <c r="CL129" s="65" t="s">
        <v>1953</v>
      </c>
      <c r="CM129" s="65" t="s">
        <v>1953</v>
      </c>
      <c r="CN129" s="65" t="s">
        <v>1953</v>
      </c>
      <c r="CO129" s="65" t="s">
        <v>1953</v>
      </c>
      <c r="CP129" s="65" t="s">
        <v>1953</v>
      </c>
      <c r="CQ129" s="65" t="s">
        <v>1953</v>
      </c>
      <c r="CR129" s="65" t="s">
        <v>1953</v>
      </c>
      <c r="CS129" s="65" t="s">
        <v>1953</v>
      </c>
      <c r="CT129" s="65" t="s">
        <v>1953</v>
      </c>
      <c r="CU129" s="65" t="s">
        <v>1953</v>
      </c>
      <c r="CV129" s="65" t="s">
        <v>1953</v>
      </c>
      <c r="CW129" s="65" t="s">
        <v>1953</v>
      </c>
      <c r="CX129" s="65" t="s">
        <v>1953</v>
      </c>
      <c r="CY129" s="65" t="s">
        <v>1953</v>
      </c>
      <c r="CZ129" s="65" t="s">
        <v>1953</v>
      </c>
      <c r="DA129" s="65" t="s">
        <v>1953</v>
      </c>
    </row>
    <row r="130" spans="48:105">
      <c r="AV130" t="s">
        <v>8502</v>
      </c>
      <c r="AW130" s="96" t="str">
        <f>IFERROR(HLOOKUP($AW$1,Table3[[#All],[India]:[Dominican Republic]],ROW(Table3[[#This Row],[Default]])-1,0),"True")</f>
        <v>True</v>
      </c>
      <c r="AX130" s="65" t="s">
        <v>1953</v>
      </c>
      <c r="AY130" s="65" t="s">
        <v>1954</v>
      </c>
      <c r="AZ130" s="65" t="s">
        <v>1953</v>
      </c>
      <c r="BA130" s="65" t="s">
        <v>1953</v>
      </c>
      <c r="BB130" s="65" t="s">
        <v>1953</v>
      </c>
      <c r="BC130" s="65" t="s">
        <v>1953</v>
      </c>
      <c r="BD130" s="65" t="s">
        <v>1953</v>
      </c>
      <c r="BE130" s="65" t="s">
        <v>1953</v>
      </c>
      <c r="BF130" s="65" t="s">
        <v>1953</v>
      </c>
      <c r="BG130" s="65" t="s">
        <v>1953</v>
      </c>
      <c r="BH130" s="65" t="s">
        <v>1953</v>
      </c>
      <c r="BI130" s="65" t="s">
        <v>1953</v>
      </c>
      <c r="BJ130" s="65" t="s">
        <v>1953</v>
      </c>
      <c r="BK130" s="65" t="s">
        <v>1953</v>
      </c>
      <c r="BL130" s="65" t="s">
        <v>1953</v>
      </c>
      <c r="BM130" s="65" t="s">
        <v>1953</v>
      </c>
      <c r="BN130" s="65" t="s">
        <v>1953</v>
      </c>
      <c r="BO130" s="65" t="s">
        <v>1953</v>
      </c>
      <c r="BP130" s="65" t="s">
        <v>1953</v>
      </c>
      <c r="BQ130" s="65" t="s">
        <v>1953</v>
      </c>
      <c r="BR130" s="65" t="s">
        <v>1953</v>
      </c>
      <c r="BS130" s="65" t="s">
        <v>1953</v>
      </c>
      <c r="BT130" s="65" t="s">
        <v>1953</v>
      </c>
      <c r="BU130" s="65" t="s">
        <v>1953</v>
      </c>
      <c r="BV130" s="65" t="s">
        <v>1953</v>
      </c>
      <c r="BW130" s="65" t="s">
        <v>1953</v>
      </c>
      <c r="BZ130" t="s">
        <v>4424</v>
      </c>
      <c r="CA130" t="str">
        <f>IFERROR(HLOOKUP($CA$1,Table4[[#All],[India]:[Dominican Republic]],ROW(Table4[[#This Row],[Default]])-1,0),"True")</f>
        <v>True</v>
      </c>
      <c r="CB130" s="65" t="s">
        <v>1953</v>
      </c>
      <c r="CC130" s="65" t="s">
        <v>1953</v>
      </c>
      <c r="CD130" s="65" t="s">
        <v>1953</v>
      </c>
      <c r="CE130" s="65" t="s">
        <v>1953</v>
      </c>
      <c r="CF130" s="65" t="s">
        <v>1953</v>
      </c>
      <c r="CG130" s="65" t="s">
        <v>1954</v>
      </c>
      <c r="CH130" s="65" t="s">
        <v>1953</v>
      </c>
      <c r="CI130" s="65" t="s">
        <v>1953</v>
      </c>
      <c r="CJ130" s="65" t="s">
        <v>1953</v>
      </c>
      <c r="CK130" s="65" t="s">
        <v>1953</v>
      </c>
      <c r="CL130" s="65" t="s">
        <v>1953</v>
      </c>
      <c r="CM130" s="65" t="s">
        <v>1953</v>
      </c>
      <c r="CN130" s="65" t="s">
        <v>1953</v>
      </c>
      <c r="CO130" s="65" t="s">
        <v>1953</v>
      </c>
      <c r="CP130" s="65" t="s">
        <v>1953</v>
      </c>
      <c r="CQ130" s="65" t="s">
        <v>1953</v>
      </c>
      <c r="CR130" s="65" t="s">
        <v>1953</v>
      </c>
      <c r="CS130" s="65" t="s">
        <v>1953</v>
      </c>
      <c r="CT130" s="65" t="s">
        <v>1953</v>
      </c>
      <c r="CU130" s="65" t="s">
        <v>1953</v>
      </c>
      <c r="CV130" s="65" t="s">
        <v>1953</v>
      </c>
      <c r="CW130" s="65" t="s">
        <v>1953</v>
      </c>
      <c r="CX130" s="65" t="s">
        <v>1953</v>
      </c>
      <c r="CY130" s="65" t="s">
        <v>1953</v>
      </c>
      <c r="CZ130" s="65" t="s">
        <v>1953</v>
      </c>
      <c r="DA130" s="65" t="s">
        <v>1953</v>
      </c>
    </row>
    <row r="131" spans="48:105">
      <c r="BZ131" t="s">
        <v>5092</v>
      </c>
      <c r="CA131" t="str">
        <f>IFERROR(HLOOKUP($CA$1,Table4[[#All],[India]:[Dominican Republic]],ROW(Table4[[#This Row],[Default]])-1,0),"True")</f>
        <v>True</v>
      </c>
      <c r="CB131" s="65" t="s">
        <v>1953</v>
      </c>
      <c r="CC131" s="65" t="s">
        <v>1953</v>
      </c>
      <c r="CD131" s="65" t="s">
        <v>1953</v>
      </c>
      <c r="CE131" s="65" t="s">
        <v>1953</v>
      </c>
      <c r="CF131" s="65" t="s">
        <v>1953</v>
      </c>
      <c r="CG131" s="65" t="s">
        <v>1954</v>
      </c>
      <c r="CH131" s="65" t="s">
        <v>1953</v>
      </c>
      <c r="CI131" s="65" t="s">
        <v>1953</v>
      </c>
      <c r="CJ131" s="65" t="s">
        <v>1953</v>
      </c>
      <c r="CK131" s="65" t="s">
        <v>1953</v>
      </c>
      <c r="CL131" s="65" t="s">
        <v>1953</v>
      </c>
      <c r="CM131" s="65" t="s">
        <v>1953</v>
      </c>
      <c r="CN131" s="65" t="s">
        <v>1953</v>
      </c>
      <c r="CO131" s="65" t="s">
        <v>1953</v>
      </c>
      <c r="CP131" s="65" t="s">
        <v>1953</v>
      </c>
      <c r="CQ131" s="65" t="s">
        <v>1953</v>
      </c>
      <c r="CR131" s="65" t="s">
        <v>1953</v>
      </c>
      <c r="CS131" s="65" t="s">
        <v>1953</v>
      </c>
      <c r="CT131" s="65" t="s">
        <v>1953</v>
      </c>
      <c r="CU131" s="65" t="s">
        <v>1953</v>
      </c>
      <c r="CV131" s="65" t="s">
        <v>1953</v>
      </c>
      <c r="CW131" s="65" t="s">
        <v>1953</v>
      </c>
      <c r="CX131" s="65" t="s">
        <v>1953</v>
      </c>
      <c r="CY131" s="65" t="s">
        <v>1953</v>
      </c>
      <c r="CZ131" s="65" t="s">
        <v>1953</v>
      </c>
      <c r="DA131" s="65" t="s">
        <v>1953</v>
      </c>
    </row>
    <row r="132" spans="48:105">
      <c r="BZ132" t="s">
        <v>5093</v>
      </c>
      <c r="CA132" t="str">
        <f>IFERROR(HLOOKUP($CA$1,Table4[[#All],[India]:[Dominican Republic]],ROW(Table4[[#This Row],[Default]])-1,0),"True")</f>
        <v>True</v>
      </c>
      <c r="CB132" s="65" t="s">
        <v>1953</v>
      </c>
      <c r="CC132" s="65" t="s">
        <v>1953</v>
      </c>
      <c r="CD132" s="65" t="s">
        <v>1953</v>
      </c>
      <c r="CE132" s="65" t="s">
        <v>1953</v>
      </c>
      <c r="CF132" s="65" t="s">
        <v>1953</v>
      </c>
      <c r="CG132" s="65" t="s">
        <v>1954</v>
      </c>
      <c r="CH132" s="65" t="s">
        <v>1953</v>
      </c>
      <c r="CI132" s="65" t="s">
        <v>1953</v>
      </c>
      <c r="CJ132" s="65" t="s">
        <v>1953</v>
      </c>
      <c r="CK132" s="65" t="s">
        <v>1953</v>
      </c>
      <c r="CL132" s="65" t="s">
        <v>1953</v>
      </c>
      <c r="CM132" s="65" t="s">
        <v>1953</v>
      </c>
      <c r="CN132" s="65" t="s">
        <v>1953</v>
      </c>
      <c r="CO132" s="65" t="s">
        <v>1953</v>
      </c>
      <c r="CP132" s="65" t="s">
        <v>1953</v>
      </c>
      <c r="CQ132" s="65" t="s">
        <v>1953</v>
      </c>
      <c r="CR132" s="65" t="s">
        <v>1953</v>
      </c>
      <c r="CS132" s="65" t="s">
        <v>1953</v>
      </c>
      <c r="CT132" s="65" t="s">
        <v>1953</v>
      </c>
      <c r="CU132" s="65" t="s">
        <v>1953</v>
      </c>
      <c r="CV132" s="65" t="s">
        <v>1953</v>
      </c>
      <c r="CW132" s="65" t="s">
        <v>1953</v>
      </c>
      <c r="CX132" s="65" t="s">
        <v>1953</v>
      </c>
      <c r="CY132" s="65" t="s">
        <v>1953</v>
      </c>
      <c r="CZ132" s="65" t="s">
        <v>1953</v>
      </c>
      <c r="DA132" s="65" t="s">
        <v>1953</v>
      </c>
    </row>
    <row r="133" spans="48:105">
      <c r="BZ133" t="s">
        <v>835</v>
      </c>
      <c r="CA133" t="str">
        <f>IFERROR(HLOOKUP($CA$1,Table4[[#All],[India]:[Dominican Republic]],ROW(Table4[[#This Row],[Default]])-1,0),"True")</f>
        <v>True</v>
      </c>
      <c r="CB133" s="65" t="s">
        <v>1953</v>
      </c>
      <c r="CC133" s="65" t="s">
        <v>1953</v>
      </c>
      <c r="CD133" s="65" t="s">
        <v>1953</v>
      </c>
      <c r="CE133" s="65" t="s">
        <v>1953</v>
      </c>
      <c r="CF133" s="65" t="s">
        <v>1953</v>
      </c>
      <c r="CG133" s="65" t="s">
        <v>1954</v>
      </c>
      <c r="CH133" s="65" t="s">
        <v>1953</v>
      </c>
      <c r="CI133" s="65" t="s">
        <v>1953</v>
      </c>
      <c r="CJ133" s="65" t="s">
        <v>1953</v>
      </c>
      <c r="CK133" s="65" t="s">
        <v>1953</v>
      </c>
      <c r="CL133" s="65" t="s">
        <v>1953</v>
      </c>
      <c r="CM133" s="65" t="s">
        <v>1953</v>
      </c>
      <c r="CN133" s="65" t="s">
        <v>1953</v>
      </c>
      <c r="CO133" s="65" t="s">
        <v>1953</v>
      </c>
      <c r="CP133" s="65" t="s">
        <v>1953</v>
      </c>
      <c r="CQ133" s="65" t="s">
        <v>1953</v>
      </c>
      <c r="CR133" s="65" t="s">
        <v>1953</v>
      </c>
      <c r="CS133" s="65" t="s">
        <v>1953</v>
      </c>
      <c r="CT133" s="65" t="s">
        <v>1953</v>
      </c>
      <c r="CU133" s="65" t="s">
        <v>1953</v>
      </c>
      <c r="CV133" s="65" t="s">
        <v>1953</v>
      </c>
      <c r="CW133" s="65" t="s">
        <v>1953</v>
      </c>
      <c r="CX133" s="65" t="s">
        <v>1953</v>
      </c>
      <c r="CY133" s="65" t="s">
        <v>1953</v>
      </c>
      <c r="CZ133" s="65" t="s">
        <v>1953</v>
      </c>
      <c r="DA133" s="65" t="s">
        <v>1953</v>
      </c>
    </row>
    <row r="134" spans="48:105">
      <c r="BZ134" t="s">
        <v>5094</v>
      </c>
      <c r="CA134" t="str">
        <f>IFERROR(HLOOKUP($CA$1,Table4[[#All],[India]:[Dominican Republic]],ROW(Table4[[#This Row],[Default]])-1,0),"True")</f>
        <v>True</v>
      </c>
      <c r="CB134" s="65" t="s">
        <v>1953</v>
      </c>
      <c r="CC134" s="65" t="s">
        <v>1953</v>
      </c>
      <c r="CD134" s="65" t="s">
        <v>1953</v>
      </c>
      <c r="CE134" s="65" t="s">
        <v>1953</v>
      </c>
      <c r="CF134" s="65" t="s">
        <v>1953</v>
      </c>
      <c r="CG134" s="65" t="s">
        <v>1954</v>
      </c>
      <c r="CH134" s="65" t="s">
        <v>1953</v>
      </c>
      <c r="CI134" s="65" t="s">
        <v>1953</v>
      </c>
      <c r="CJ134" s="65" t="s">
        <v>1953</v>
      </c>
      <c r="CK134" s="65" t="s">
        <v>1953</v>
      </c>
      <c r="CL134" s="65" t="s">
        <v>1953</v>
      </c>
      <c r="CM134" s="65" t="s">
        <v>1953</v>
      </c>
      <c r="CN134" s="65" t="s">
        <v>1953</v>
      </c>
      <c r="CO134" s="65" t="s">
        <v>1953</v>
      </c>
      <c r="CP134" s="65" t="s">
        <v>1953</v>
      </c>
      <c r="CQ134" s="65" t="s">
        <v>1953</v>
      </c>
      <c r="CR134" s="65" t="s">
        <v>1953</v>
      </c>
      <c r="CS134" s="65" t="s">
        <v>1953</v>
      </c>
      <c r="CT134" s="65" t="s">
        <v>1953</v>
      </c>
      <c r="CU134" s="65" t="s">
        <v>1953</v>
      </c>
      <c r="CV134" s="65" t="s">
        <v>1953</v>
      </c>
      <c r="CW134" s="65" t="s">
        <v>1953</v>
      </c>
      <c r="CX134" s="65" t="s">
        <v>1953</v>
      </c>
      <c r="CY134" s="65" t="s">
        <v>1953</v>
      </c>
      <c r="CZ134" s="65" t="s">
        <v>1953</v>
      </c>
      <c r="DA134" s="65" t="s">
        <v>1953</v>
      </c>
    </row>
    <row r="135" spans="48:105">
      <c r="BZ135" t="s">
        <v>2795</v>
      </c>
      <c r="CA135" t="str">
        <f>IFERROR(HLOOKUP($CA$1,Table4[[#All],[India]:[Dominican Republic]],ROW(Table4[[#This Row],[Default]])-1,0),"True")</f>
        <v>True</v>
      </c>
      <c r="CB135" s="65" t="s">
        <v>1953</v>
      </c>
      <c r="CC135" s="65" t="s">
        <v>1953</v>
      </c>
      <c r="CD135" s="65" t="s">
        <v>1953</v>
      </c>
      <c r="CE135" s="65" t="s">
        <v>1953</v>
      </c>
      <c r="CF135" s="65" t="s">
        <v>1953</v>
      </c>
      <c r="CG135" s="65" t="s">
        <v>1954</v>
      </c>
      <c r="CH135" s="65" t="s">
        <v>1953</v>
      </c>
      <c r="CI135" s="65" t="s">
        <v>1953</v>
      </c>
      <c r="CJ135" s="65" t="s">
        <v>1953</v>
      </c>
      <c r="CK135" s="65" t="s">
        <v>1953</v>
      </c>
      <c r="CL135" s="65" t="s">
        <v>1953</v>
      </c>
      <c r="CM135" s="65" t="s">
        <v>1953</v>
      </c>
      <c r="CN135" s="65" t="s">
        <v>1953</v>
      </c>
      <c r="CO135" s="65" t="s">
        <v>1953</v>
      </c>
      <c r="CP135" s="65" t="s">
        <v>1953</v>
      </c>
      <c r="CQ135" s="65" t="s">
        <v>1953</v>
      </c>
      <c r="CR135" s="65" t="s">
        <v>1953</v>
      </c>
      <c r="CS135" s="65" t="s">
        <v>1953</v>
      </c>
      <c r="CT135" s="65" t="s">
        <v>1953</v>
      </c>
      <c r="CU135" s="65" t="s">
        <v>1953</v>
      </c>
      <c r="CV135" s="65" t="s">
        <v>1953</v>
      </c>
      <c r="CW135" s="65" t="s">
        <v>1953</v>
      </c>
      <c r="CX135" s="65" t="s">
        <v>1953</v>
      </c>
      <c r="CY135" s="65" t="s">
        <v>1953</v>
      </c>
      <c r="CZ135" s="65" t="s">
        <v>1953</v>
      </c>
      <c r="DA135" s="65" t="s">
        <v>1953</v>
      </c>
    </row>
    <row r="136" spans="48:105">
      <c r="BZ136" t="s">
        <v>5095</v>
      </c>
      <c r="CA136" t="str">
        <f>IFERROR(HLOOKUP($CA$1,Table4[[#All],[India]:[Dominican Republic]],ROW(Table4[[#This Row],[Default]])-1,0),"True")</f>
        <v>True</v>
      </c>
      <c r="CB136" s="65" t="s">
        <v>1953</v>
      </c>
      <c r="CC136" s="65" t="s">
        <v>1953</v>
      </c>
      <c r="CD136" s="65" t="s">
        <v>1953</v>
      </c>
      <c r="CE136" s="65" t="s">
        <v>1953</v>
      </c>
      <c r="CF136" s="65" t="s">
        <v>1953</v>
      </c>
      <c r="CG136" s="65" t="s">
        <v>1954</v>
      </c>
      <c r="CH136" s="65" t="s">
        <v>1953</v>
      </c>
      <c r="CI136" s="65" t="s">
        <v>1953</v>
      </c>
      <c r="CJ136" s="65" t="s">
        <v>1953</v>
      </c>
      <c r="CK136" s="65" t="s">
        <v>1953</v>
      </c>
      <c r="CL136" s="65" t="s">
        <v>1953</v>
      </c>
      <c r="CM136" s="65" t="s">
        <v>1953</v>
      </c>
      <c r="CN136" s="65" t="s">
        <v>1953</v>
      </c>
      <c r="CO136" s="65" t="s">
        <v>1953</v>
      </c>
      <c r="CP136" s="65" t="s">
        <v>1953</v>
      </c>
      <c r="CQ136" s="65" t="s">
        <v>1953</v>
      </c>
      <c r="CR136" s="65" t="s">
        <v>1953</v>
      </c>
      <c r="CS136" s="65" t="s">
        <v>1953</v>
      </c>
      <c r="CT136" s="65" t="s">
        <v>1953</v>
      </c>
      <c r="CU136" s="65" t="s">
        <v>1953</v>
      </c>
      <c r="CV136" s="65" t="s">
        <v>1953</v>
      </c>
      <c r="CW136" s="65" t="s">
        <v>1953</v>
      </c>
      <c r="CX136" s="65" t="s">
        <v>1953</v>
      </c>
      <c r="CY136" s="65" t="s">
        <v>1953</v>
      </c>
      <c r="CZ136" s="65" t="s">
        <v>1953</v>
      </c>
      <c r="DA136" s="65" t="s">
        <v>1953</v>
      </c>
    </row>
    <row r="137" spans="48:105">
      <c r="BZ137" t="s">
        <v>5096</v>
      </c>
      <c r="CA137" t="str">
        <f>IFERROR(HLOOKUP($CA$1,Table4[[#All],[India]:[Dominican Republic]],ROW(Table4[[#This Row],[Default]])-1,0),"True")</f>
        <v>True</v>
      </c>
      <c r="CB137" s="65" t="s">
        <v>1953</v>
      </c>
      <c r="CC137" s="65" t="s">
        <v>1953</v>
      </c>
      <c r="CD137" s="65" t="s">
        <v>1953</v>
      </c>
      <c r="CE137" s="65" t="s">
        <v>1953</v>
      </c>
      <c r="CF137" s="65" t="s">
        <v>1953</v>
      </c>
      <c r="CG137" s="65" t="s">
        <v>1954</v>
      </c>
      <c r="CH137" s="65" t="s">
        <v>1953</v>
      </c>
      <c r="CI137" s="65" t="s">
        <v>1953</v>
      </c>
      <c r="CJ137" s="65" t="s">
        <v>1953</v>
      </c>
      <c r="CK137" s="65" t="s">
        <v>1953</v>
      </c>
      <c r="CL137" s="65" t="s">
        <v>1953</v>
      </c>
      <c r="CM137" s="65" t="s">
        <v>1953</v>
      </c>
      <c r="CN137" s="65" t="s">
        <v>1953</v>
      </c>
      <c r="CO137" s="65" t="s">
        <v>1953</v>
      </c>
      <c r="CP137" s="65" t="s">
        <v>1953</v>
      </c>
      <c r="CQ137" s="65" t="s">
        <v>1953</v>
      </c>
      <c r="CR137" s="65" t="s">
        <v>1953</v>
      </c>
      <c r="CS137" s="65" t="s">
        <v>1953</v>
      </c>
      <c r="CT137" s="65" t="s">
        <v>1953</v>
      </c>
      <c r="CU137" s="65" t="s">
        <v>1953</v>
      </c>
      <c r="CV137" s="65" t="s">
        <v>1953</v>
      </c>
      <c r="CW137" s="65" t="s">
        <v>1953</v>
      </c>
      <c r="CX137" s="65" t="s">
        <v>1953</v>
      </c>
      <c r="CY137" s="65" t="s">
        <v>1953</v>
      </c>
      <c r="CZ137" s="65" t="s">
        <v>1953</v>
      </c>
      <c r="DA137" s="65" t="s">
        <v>1953</v>
      </c>
    </row>
    <row r="138" spans="48:105">
      <c r="BZ138" t="s">
        <v>5097</v>
      </c>
      <c r="CA138" t="str">
        <f>IFERROR(HLOOKUP($CA$1,Table4[[#All],[India]:[Dominican Republic]],ROW(Table4[[#This Row],[Default]])-1,0),"True")</f>
        <v>True</v>
      </c>
      <c r="CB138" s="65" t="s">
        <v>1953</v>
      </c>
      <c r="CC138" s="65" t="s">
        <v>1953</v>
      </c>
      <c r="CD138" s="65" t="s">
        <v>1953</v>
      </c>
      <c r="CE138" s="65" t="s">
        <v>1953</v>
      </c>
      <c r="CF138" s="65" t="s">
        <v>1953</v>
      </c>
      <c r="CG138" s="65" t="s">
        <v>1954</v>
      </c>
      <c r="CH138" s="65" t="s">
        <v>1953</v>
      </c>
      <c r="CI138" s="65" t="s">
        <v>1953</v>
      </c>
      <c r="CJ138" s="65" t="s">
        <v>1953</v>
      </c>
      <c r="CK138" s="65" t="s">
        <v>1953</v>
      </c>
      <c r="CL138" s="65" t="s">
        <v>1953</v>
      </c>
      <c r="CM138" s="65" t="s">
        <v>1953</v>
      </c>
      <c r="CN138" s="65" t="s">
        <v>1953</v>
      </c>
      <c r="CO138" s="65" t="s">
        <v>1953</v>
      </c>
      <c r="CP138" s="65" t="s">
        <v>1953</v>
      </c>
      <c r="CQ138" s="65" t="s">
        <v>1953</v>
      </c>
      <c r="CR138" s="65" t="s">
        <v>1953</v>
      </c>
      <c r="CS138" s="65" t="s">
        <v>1953</v>
      </c>
      <c r="CT138" s="65" t="s">
        <v>1953</v>
      </c>
      <c r="CU138" s="65" t="s">
        <v>1953</v>
      </c>
      <c r="CV138" s="65" t="s">
        <v>1953</v>
      </c>
      <c r="CW138" s="65" t="s">
        <v>1953</v>
      </c>
      <c r="CX138" s="65" t="s">
        <v>1953</v>
      </c>
      <c r="CY138" s="65" t="s">
        <v>1953</v>
      </c>
      <c r="CZ138" s="65" t="s">
        <v>1953</v>
      </c>
      <c r="DA138" s="65" t="s">
        <v>1953</v>
      </c>
    </row>
    <row r="139" spans="48:105">
      <c r="BZ139" t="s">
        <v>5098</v>
      </c>
      <c r="CA139" t="str">
        <f>IFERROR(HLOOKUP($CA$1,Table4[[#All],[India]:[Dominican Republic]],ROW(Table4[[#This Row],[Default]])-1,0),"True")</f>
        <v>True</v>
      </c>
      <c r="CB139" s="65" t="s">
        <v>1953</v>
      </c>
      <c r="CC139" s="65" t="s">
        <v>1953</v>
      </c>
      <c r="CD139" s="65" t="s">
        <v>1953</v>
      </c>
      <c r="CE139" s="65" t="s">
        <v>1953</v>
      </c>
      <c r="CF139" s="65" t="s">
        <v>1953</v>
      </c>
      <c r="CG139" s="65" t="s">
        <v>1954</v>
      </c>
      <c r="CH139" s="65" t="s">
        <v>1953</v>
      </c>
      <c r="CI139" s="65" t="s">
        <v>1953</v>
      </c>
      <c r="CJ139" s="65" t="s">
        <v>1953</v>
      </c>
      <c r="CK139" s="65" t="s">
        <v>1953</v>
      </c>
      <c r="CL139" s="65" t="s">
        <v>1953</v>
      </c>
      <c r="CM139" s="65" t="s">
        <v>1953</v>
      </c>
      <c r="CN139" s="65" t="s">
        <v>1953</v>
      </c>
      <c r="CO139" s="65" t="s">
        <v>1953</v>
      </c>
      <c r="CP139" s="65" t="s">
        <v>1953</v>
      </c>
      <c r="CQ139" s="65" t="s">
        <v>1953</v>
      </c>
      <c r="CR139" s="65" t="s">
        <v>1953</v>
      </c>
      <c r="CS139" s="65" t="s">
        <v>1953</v>
      </c>
      <c r="CT139" s="65" t="s">
        <v>1953</v>
      </c>
      <c r="CU139" s="65" t="s">
        <v>1953</v>
      </c>
      <c r="CV139" s="65" t="s">
        <v>1953</v>
      </c>
      <c r="CW139" s="65" t="s">
        <v>1953</v>
      </c>
      <c r="CX139" s="65" t="s">
        <v>1953</v>
      </c>
      <c r="CY139" s="65" t="s">
        <v>1953</v>
      </c>
      <c r="CZ139" s="65" t="s">
        <v>1953</v>
      </c>
      <c r="DA139" s="65" t="s">
        <v>1953</v>
      </c>
    </row>
    <row r="140" spans="48:105">
      <c r="BZ140" t="s">
        <v>5099</v>
      </c>
      <c r="CA140" t="str">
        <f>IFERROR(HLOOKUP($CA$1,Table4[[#All],[India]:[Dominican Republic]],ROW(Table4[[#This Row],[Default]])-1,0),"True")</f>
        <v>True</v>
      </c>
      <c r="CB140" s="65" t="s">
        <v>1953</v>
      </c>
      <c r="CC140" s="65" t="s">
        <v>1953</v>
      </c>
      <c r="CD140" s="65" t="s">
        <v>1953</v>
      </c>
      <c r="CE140" s="65" t="s">
        <v>1953</v>
      </c>
      <c r="CF140" s="65" t="s">
        <v>1953</v>
      </c>
      <c r="CG140" s="65" t="s">
        <v>1954</v>
      </c>
      <c r="CH140" s="65" t="s">
        <v>1953</v>
      </c>
      <c r="CI140" s="65" t="s">
        <v>1953</v>
      </c>
      <c r="CJ140" s="65" t="s">
        <v>1953</v>
      </c>
      <c r="CK140" s="65" t="s">
        <v>1953</v>
      </c>
      <c r="CL140" s="65" t="s">
        <v>1953</v>
      </c>
      <c r="CM140" s="65" t="s">
        <v>1953</v>
      </c>
      <c r="CN140" s="65" t="s">
        <v>1953</v>
      </c>
      <c r="CO140" s="65" t="s">
        <v>1953</v>
      </c>
      <c r="CP140" s="65" t="s">
        <v>1953</v>
      </c>
      <c r="CQ140" s="65" t="s">
        <v>1953</v>
      </c>
      <c r="CR140" s="65" t="s">
        <v>1953</v>
      </c>
      <c r="CS140" s="65" t="s">
        <v>1953</v>
      </c>
      <c r="CT140" s="65" t="s">
        <v>1953</v>
      </c>
      <c r="CU140" s="65" t="s">
        <v>1953</v>
      </c>
      <c r="CV140" s="65" t="s">
        <v>1953</v>
      </c>
      <c r="CW140" s="65" t="s">
        <v>1953</v>
      </c>
      <c r="CX140" s="65" t="s">
        <v>1953</v>
      </c>
      <c r="CY140" s="65" t="s">
        <v>1953</v>
      </c>
      <c r="CZ140" s="65" t="s">
        <v>1953</v>
      </c>
      <c r="DA140" s="65" t="s">
        <v>1953</v>
      </c>
    </row>
    <row r="141" spans="48:105">
      <c r="BZ141" t="s">
        <v>5096</v>
      </c>
      <c r="CA141" t="str">
        <f>IFERROR(HLOOKUP($CA$1,Table4[[#All],[India]:[Dominican Republic]],ROW(Table4[[#This Row],[Default]])-1,0),"True")</f>
        <v>True</v>
      </c>
      <c r="CB141" s="65" t="s">
        <v>1953</v>
      </c>
      <c r="CC141" s="65" t="s">
        <v>1953</v>
      </c>
      <c r="CD141" s="65" t="s">
        <v>1953</v>
      </c>
      <c r="CE141" s="65" t="s">
        <v>1953</v>
      </c>
      <c r="CF141" s="65" t="s">
        <v>1953</v>
      </c>
      <c r="CG141" s="65" t="s">
        <v>1954</v>
      </c>
      <c r="CH141" s="65" t="s">
        <v>1953</v>
      </c>
      <c r="CI141" s="65" t="s">
        <v>1953</v>
      </c>
      <c r="CJ141" s="65" t="s">
        <v>1953</v>
      </c>
      <c r="CK141" s="65" t="s">
        <v>1953</v>
      </c>
      <c r="CL141" s="65" t="s">
        <v>1953</v>
      </c>
      <c r="CM141" s="65" t="s">
        <v>1953</v>
      </c>
      <c r="CN141" s="65" t="s">
        <v>1953</v>
      </c>
      <c r="CO141" s="65" t="s">
        <v>1953</v>
      </c>
      <c r="CP141" s="65" t="s">
        <v>1953</v>
      </c>
      <c r="CQ141" s="65" t="s">
        <v>1953</v>
      </c>
      <c r="CR141" s="65" t="s">
        <v>1953</v>
      </c>
      <c r="CS141" s="65" t="s">
        <v>1953</v>
      </c>
      <c r="CT141" s="65" t="s">
        <v>1953</v>
      </c>
      <c r="CU141" s="65" t="s">
        <v>1953</v>
      </c>
      <c r="CV141" s="65" t="s">
        <v>1953</v>
      </c>
      <c r="CW141" s="65" t="s">
        <v>1953</v>
      </c>
      <c r="CX141" s="65" t="s">
        <v>1953</v>
      </c>
      <c r="CY141" s="65" t="s">
        <v>1953</v>
      </c>
      <c r="CZ141" s="65" t="s">
        <v>1953</v>
      </c>
      <c r="DA141" s="65" t="s">
        <v>1953</v>
      </c>
    </row>
    <row r="142" spans="48:105">
      <c r="BZ142" t="s">
        <v>5097</v>
      </c>
      <c r="CA142" t="str">
        <f>IFERROR(HLOOKUP($CA$1,Table4[[#All],[India]:[Dominican Republic]],ROW(Table4[[#This Row],[Default]])-1,0),"True")</f>
        <v>True</v>
      </c>
      <c r="CB142" s="65" t="s">
        <v>1953</v>
      </c>
      <c r="CC142" s="65" t="s">
        <v>1953</v>
      </c>
      <c r="CD142" s="65" t="s">
        <v>1953</v>
      </c>
      <c r="CE142" s="65" t="s">
        <v>1953</v>
      </c>
      <c r="CF142" s="65" t="s">
        <v>1953</v>
      </c>
      <c r="CG142" s="65" t="s">
        <v>1954</v>
      </c>
      <c r="CH142" s="65" t="s">
        <v>1953</v>
      </c>
      <c r="CI142" s="65" t="s">
        <v>1953</v>
      </c>
      <c r="CJ142" s="65" t="s">
        <v>1953</v>
      </c>
      <c r="CK142" s="65" t="s">
        <v>1953</v>
      </c>
      <c r="CL142" s="65" t="s">
        <v>1953</v>
      </c>
      <c r="CM142" s="65" t="s">
        <v>1953</v>
      </c>
      <c r="CN142" s="65" t="s">
        <v>1953</v>
      </c>
      <c r="CO142" s="65" t="s">
        <v>1953</v>
      </c>
      <c r="CP142" s="65" t="s">
        <v>1953</v>
      </c>
      <c r="CQ142" s="65" t="s">
        <v>1953</v>
      </c>
      <c r="CR142" s="65" t="s">
        <v>1953</v>
      </c>
      <c r="CS142" s="65" t="s">
        <v>1953</v>
      </c>
      <c r="CT142" s="65" t="s">
        <v>1953</v>
      </c>
      <c r="CU142" s="65" t="s">
        <v>1953</v>
      </c>
      <c r="CV142" s="65" t="s">
        <v>1953</v>
      </c>
      <c r="CW142" s="65" t="s">
        <v>1953</v>
      </c>
      <c r="CX142" s="65" t="s">
        <v>1953</v>
      </c>
      <c r="CY142" s="65" t="s">
        <v>1953</v>
      </c>
      <c r="CZ142" s="65" t="s">
        <v>1953</v>
      </c>
      <c r="DA142" s="65" t="s">
        <v>1953</v>
      </c>
    </row>
    <row r="143" spans="48:105">
      <c r="BZ143" t="s">
        <v>5100</v>
      </c>
      <c r="CA143" t="str">
        <f>IFERROR(HLOOKUP($CA$1,Table4[[#All],[India]:[Dominican Republic]],ROW(Table4[[#This Row],[Default]])-1,0),"True")</f>
        <v>True</v>
      </c>
      <c r="CB143" s="65" t="s">
        <v>1953</v>
      </c>
      <c r="CC143" s="65" t="s">
        <v>1953</v>
      </c>
      <c r="CD143" s="65" t="s">
        <v>1953</v>
      </c>
      <c r="CE143" s="65" t="s">
        <v>1953</v>
      </c>
      <c r="CF143" s="65" t="s">
        <v>1953</v>
      </c>
      <c r="CG143" s="65" t="s">
        <v>1954</v>
      </c>
      <c r="CH143" s="65" t="s">
        <v>1953</v>
      </c>
      <c r="CI143" s="65" t="s">
        <v>1953</v>
      </c>
      <c r="CJ143" s="65" t="s">
        <v>1953</v>
      </c>
      <c r="CK143" s="65" t="s">
        <v>1953</v>
      </c>
      <c r="CL143" s="65" t="s">
        <v>1953</v>
      </c>
      <c r="CM143" s="65" t="s">
        <v>1953</v>
      </c>
      <c r="CN143" s="65" t="s">
        <v>1953</v>
      </c>
      <c r="CO143" s="65" t="s">
        <v>1953</v>
      </c>
      <c r="CP143" s="65" t="s">
        <v>1953</v>
      </c>
      <c r="CQ143" s="65" t="s">
        <v>1953</v>
      </c>
      <c r="CR143" s="65" t="s">
        <v>1953</v>
      </c>
      <c r="CS143" s="65" t="s">
        <v>1953</v>
      </c>
      <c r="CT143" s="65" t="s">
        <v>1953</v>
      </c>
      <c r="CU143" s="65" t="s">
        <v>1953</v>
      </c>
      <c r="CV143" s="65" t="s">
        <v>1953</v>
      </c>
      <c r="CW143" s="65" t="s">
        <v>1953</v>
      </c>
      <c r="CX143" s="65" t="s">
        <v>1953</v>
      </c>
      <c r="CY143" s="65" t="s">
        <v>1953</v>
      </c>
      <c r="CZ143" s="65" t="s">
        <v>1953</v>
      </c>
      <c r="DA143" s="65" t="s">
        <v>1953</v>
      </c>
    </row>
    <row r="144" spans="48:105">
      <c r="BZ144" t="s">
        <v>5101</v>
      </c>
      <c r="CA144" t="str">
        <f>IFERROR(HLOOKUP($CA$1,Table4[[#All],[India]:[Dominican Republic]],ROW(Table4[[#This Row],[Default]])-1,0),"True")</f>
        <v>True</v>
      </c>
      <c r="CB144" s="65" t="s">
        <v>1953</v>
      </c>
      <c r="CC144" s="65" t="s">
        <v>1953</v>
      </c>
      <c r="CD144" s="65" t="s">
        <v>1953</v>
      </c>
      <c r="CE144" s="65" t="s">
        <v>1953</v>
      </c>
      <c r="CF144" s="65" t="s">
        <v>1953</v>
      </c>
      <c r="CG144" s="65" t="s">
        <v>1954</v>
      </c>
      <c r="CH144" s="65" t="s">
        <v>1953</v>
      </c>
      <c r="CI144" s="65" t="s">
        <v>1953</v>
      </c>
      <c r="CJ144" s="65" t="s">
        <v>1953</v>
      </c>
      <c r="CK144" s="65" t="s">
        <v>1953</v>
      </c>
      <c r="CL144" s="65" t="s">
        <v>1953</v>
      </c>
      <c r="CM144" s="65" t="s">
        <v>1953</v>
      </c>
      <c r="CN144" s="65" t="s">
        <v>1953</v>
      </c>
      <c r="CO144" s="65" t="s">
        <v>1953</v>
      </c>
      <c r="CP144" s="65" t="s">
        <v>1953</v>
      </c>
      <c r="CQ144" s="65" t="s">
        <v>1953</v>
      </c>
      <c r="CR144" s="65" t="s">
        <v>1953</v>
      </c>
      <c r="CS144" s="65" t="s">
        <v>1953</v>
      </c>
      <c r="CT144" s="65" t="s">
        <v>1953</v>
      </c>
      <c r="CU144" s="65" t="s">
        <v>1953</v>
      </c>
      <c r="CV144" s="65" t="s">
        <v>1953</v>
      </c>
      <c r="CW144" s="65" t="s">
        <v>1953</v>
      </c>
      <c r="CX144" s="65" t="s">
        <v>1953</v>
      </c>
      <c r="CY144" s="65" t="s">
        <v>1953</v>
      </c>
      <c r="CZ144" s="65" t="s">
        <v>1953</v>
      </c>
      <c r="DA144" s="65" t="s">
        <v>1953</v>
      </c>
    </row>
    <row r="145" spans="78:105">
      <c r="BZ145" t="s">
        <v>5096</v>
      </c>
      <c r="CA145" t="str">
        <f>IFERROR(HLOOKUP($CA$1,Table4[[#All],[India]:[Dominican Republic]],ROW(Table4[[#This Row],[Default]])-1,0),"True")</f>
        <v>True</v>
      </c>
      <c r="CB145" s="65" t="s">
        <v>1953</v>
      </c>
      <c r="CC145" s="65" t="s">
        <v>1953</v>
      </c>
      <c r="CD145" s="65" t="s">
        <v>1953</v>
      </c>
      <c r="CE145" s="65" t="s">
        <v>1953</v>
      </c>
      <c r="CF145" s="65" t="s">
        <v>1953</v>
      </c>
      <c r="CG145" s="65" t="s">
        <v>1954</v>
      </c>
      <c r="CH145" s="65" t="s">
        <v>1953</v>
      </c>
      <c r="CI145" s="65" t="s">
        <v>1953</v>
      </c>
      <c r="CJ145" s="65" t="s">
        <v>1953</v>
      </c>
      <c r="CK145" s="65" t="s">
        <v>1953</v>
      </c>
      <c r="CL145" s="65" t="s">
        <v>1953</v>
      </c>
      <c r="CM145" s="65" t="s">
        <v>1953</v>
      </c>
      <c r="CN145" s="65" t="s">
        <v>1953</v>
      </c>
      <c r="CO145" s="65" t="s">
        <v>1953</v>
      </c>
      <c r="CP145" s="65" t="s">
        <v>1953</v>
      </c>
      <c r="CQ145" s="65" t="s">
        <v>1953</v>
      </c>
      <c r="CR145" s="65" t="s">
        <v>1953</v>
      </c>
      <c r="CS145" s="65" t="s">
        <v>1953</v>
      </c>
      <c r="CT145" s="65" t="s">
        <v>1953</v>
      </c>
      <c r="CU145" s="65" t="s">
        <v>1953</v>
      </c>
      <c r="CV145" s="65" t="s">
        <v>1953</v>
      </c>
      <c r="CW145" s="65" t="s">
        <v>1953</v>
      </c>
      <c r="CX145" s="65" t="s">
        <v>1953</v>
      </c>
      <c r="CY145" s="65" t="s">
        <v>1953</v>
      </c>
      <c r="CZ145" s="65" t="s">
        <v>1953</v>
      </c>
      <c r="DA145" s="65" t="s">
        <v>1953</v>
      </c>
    </row>
    <row r="146" spans="78:105">
      <c r="BZ146" t="s">
        <v>5097</v>
      </c>
      <c r="CA146" t="str">
        <f>IFERROR(HLOOKUP($CA$1,Table4[[#All],[India]:[Dominican Republic]],ROW(Table4[[#This Row],[Default]])-1,0),"True")</f>
        <v>True</v>
      </c>
      <c r="CB146" s="65" t="s">
        <v>1953</v>
      </c>
      <c r="CC146" s="65" t="s">
        <v>1953</v>
      </c>
      <c r="CD146" s="65" t="s">
        <v>1953</v>
      </c>
      <c r="CE146" s="65" t="s">
        <v>1953</v>
      </c>
      <c r="CF146" s="65" t="s">
        <v>1953</v>
      </c>
      <c r="CG146" s="65" t="s">
        <v>1954</v>
      </c>
      <c r="CH146" s="65" t="s">
        <v>1953</v>
      </c>
      <c r="CI146" s="65" t="s">
        <v>1953</v>
      </c>
      <c r="CJ146" s="65" t="s">
        <v>1953</v>
      </c>
      <c r="CK146" s="65" t="s">
        <v>1953</v>
      </c>
      <c r="CL146" s="65" t="s">
        <v>1953</v>
      </c>
      <c r="CM146" s="65" t="s">
        <v>1953</v>
      </c>
      <c r="CN146" s="65" t="s">
        <v>1953</v>
      </c>
      <c r="CO146" s="65" t="s">
        <v>1953</v>
      </c>
      <c r="CP146" s="65" t="s">
        <v>1953</v>
      </c>
      <c r="CQ146" s="65" t="s">
        <v>1953</v>
      </c>
      <c r="CR146" s="65" t="s">
        <v>1953</v>
      </c>
      <c r="CS146" s="65" t="s">
        <v>1953</v>
      </c>
      <c r="CT146" s="65" t="s">
        <v>1953</v>
      </c>
      <c r="CU146" s="65" t="s">
        <v>1953</v>
      </c>
      <c r="CV146" s="65" t="s">
        <v>1953</v>
      </c>
      <c r="CW146" s="65" t="s">
        <v>1953</v>
      </c>
      <c r="CX146" s="65" t="s">
        <v>1953</v>
      </c>
      <c r="CY146" s="65" t="s">
        <v>1953</v>
      </c>
      <c r="CZ146" s="65" t="s">
        <v>1953</v>
      </c>
      <c r="DA146" s="65" t="s">
        <v>1953</v>
      </c>
    </row>
    <row r="147" spans="78:105">
      <c r="BZ147" t="s">
        <v>5102</v>
      </c>
      <c r="CA147" t="str">
        <f>IFERROR(HLOOKUP($CA$1,Table4[[#All],[India]:[Dominican Republic]],ROW(Table4[[#This Row],[Default]])-1,0),"True")</f>
        <v>True</v>
      </c>
      <c r="CB147" s="65" t="s">
        <v>1953</v>
      </c>
      <c r="CC147" s="65" t="s">
        <v>1953</v>
      </c>
      <c r="CD147" s="65" t="s">
        <v>1953</v>
      </c>
      <c r="CE147" s="65" t="s">
        <v>1953</v>
      </c>
      <c r="CF147" s="65" t="s">
        <v>1953</v>
      </c>
      <c r="CG147" s="65" t="s">
        <v>1954</v>
      </c>
      <c r="CH147" s="65" t="s">
        <v>1953</v>
      </c>
      <c r="CI147" s="65" t="s">
        <v>1953</v>
      </c>
      <c r="CJ147" s="65" t="s">
        <v>1953</v>
      </c>
      <c r="CK147" s="65" t="s">
        <v>1953</v>
      </c>
      <c r="CL147" s="65" t="s">
        <v>1953</v>
      </c>
      <c r="CM147" s="65" t="s">
        <v>1953</v>
      </c>
      <c r="CN147" s="65" t="s">
        <v>1953</v>
      </c>
      <c r="CO147" s="65" t="s">
        <v>1953</v>
      </c>
      <c r="CP147" s="65" t="s">
        <v>1953</v>
      </c>
      <c r="CQ147" s="65" t="s">
        <v>1953</v>
      </c>
      <c r="CR147" s="65" t="s">
        <v>1953</v>
      </c>
      <c r="CS147" s="65" t="s">
        <v>1953</v>
      </c>
      <c r="CT147" s="65" t="s">
        <v>1953</v>
      </c>
      <c r="CU147" s="65" t="s">
        <v>1953</v>
      </c>
      <c r="CV147" s="65" t="s">
        <v>1953</v>
      </c>
      <c r="CW147" s="65" t="s">
        <v>1953</v>
      </c>
      <c r="CX147" s="65" t="s">
        <v>1953</v>
      </c>
      <c r="CY147" s="65" t="s">
        <v>1953</v>
      </c>
      <c r="CZ147" s="65" t="s">
        <v>1953</v>
      </c>
      <c r="DA147" s="65" t="s">
        <v>1953</v>
      </c>
    </row>
    <row r="148" spans="78:105">
      <c r="BZ148" t="s">
        <v>5103</v>
      </c>
      <c r="CA148" t="str">
        <f>IFERROR(HLOOKUP($CA$1,Table4[[#All],[India]:[Dominican Republic]],ROW(Table4[[#This Row],[Default]])-1,0),"True")</f>
        <v>True</v>
      </c>
      <c r="CB148" s="65" t="s">
        <v>1953</v>
      </c>
      <c r="CC148" s="65" t="s">
        <v>1953</v>
      </c>
      <c r="CD148" s="65" t="s">
        <v>1953</v>
      </c>
      <c r="CE148" s="65" t="s">
        <v>1953</v>
      </c>
      <c r="CF148" s="65" t="s">
        <v>1953</v>
      </c>
      <c r="CG148" s="65" t="s">
        <v>1954</v>
      </c>
      <c r="CH148" s="65" t="s">
        <v>1953</v>
      </c>
      <c r="CI148" s="65" t="s">
        <v>1953</v>
      </c>
      <c r="CJ148" s="65" t="s">
        <v>1953</v>
      </c>
      <c r="CK148" s="65" t="s">
        <v>1953</v>
      </c>
      <c r="CL148" s="65" t="s">
        <v>1953</v>
      </c>
      <c r="CM148" s="65" t="s">
        <v>1953</v>
      </c>
      <c r="CN148" s="65" t="s">
        <v>1953</v>
      </c>
      <c r="CO148" s="65" t="s">
        <v>1953</v>
      </c>
      <c r="CP148" s="65" t="s">
        <v>1953</v>
      </c>
      <c r="CQ148" s="65" t="s">
        <v>1953</v>
      </c>
      <c r="CR148" s="65" t="s">
        <v>1953</v>
      </c>
      <c r="CS148" s="65" t="s">
        <v>1953</v>
      </c>
      <c r="CT148" s="65" t="s">
        <v>1953</v>
      </c>
      <c r="CU148" s="65" t="s">
        <v>1953</v>
      </c>
      <c r="CV148" s="65" t="s">
        <v>1953</v>
      </c>
      <c r="CW148" s="65" t="s">
        <v>1953</v>
      </c>
      <c r="CX148" s="65" t="s">
        <v>1953</v>
      </c>
      <c r="CY148" s="65" t="s">
        <v>1953</v>
      </c>
      <c r="CZ148" s="65" t="s">
        <v>1953</v>
      </c>
      <c r="DA148" s="65" t="s">
        <v>1953</v>
      </c>
    </row>
    <row r="149" spans="78:105">
      <c r="BZ149" t="s">
        <v>5104</v>
      </c>
      <c r="CA149" t="str">
        <f>IFERROR(HLOOKUP($CA$1,Table4[[#All],[India]:[Dominican Republic]],ROW(Table4[[#This Row],[Default]])-1,0),"True")</f>
        <v>True</v>
      </c>
      <c r="CB149" s="65" t="s">
        <v>1953</v>
      </c>
      <c r="CC149" s="65" t="s">
        <v>1953</v>
      </c>
      <c r="CD149" s="65" t="s">
        <v>1953</v>
      </c>
      <c r="CE149" s="65" t="s">
        <v>1953</v>
      </c>
      <c r="CF149" s="65" t="s">
        <v>1953</v>
      </c>
      <c r="CG149" s="65" t="s">
        <v>1954</v>
      </c>
      <c r="CH149" s="65" t="s">
        <v>1953</v>
      </c>
      <c r="CI149" s="65" t="s">
        <v>1953</v>
      </c>
      <c r="CJ149" s="65" t="s">
        <v>1953</v>
      </c>
      <c r="CK149" s="65" t="s">
        <v>1953</v>
      </c>
      <c r="CL149" s="65" t="s">
        <v>1953</v>
      </c>
      <c r="CM149" s="65" t="s">
        <v>1953</v>
      </c>
      <c r="CN149" s="65" t="s">
        <v>1953</v>
      </c>
      <c r="CO149" s="65" t="s">
        <v>1953</v>
      </c>
      <c r="CP149" s="65" t="s">
        <v>1953</v>
      </c>
      <c r="CQ149" s="65" t="s">
        <v>1953</v>
      </c>
      <c r="CR149" s="65" t="s">
        <v>1953</v>
      </c>
      <c r="CS149" s="65" t="s">
        <v>1953</v>
      </c>
      <c r="CT149" s="65" t="s">
        <v>1953</v>
      </c>
      <c r="CU149" s="65" t="s">
        <v>1953</v>
      </c>
      <c r="CV149" s="65" t="s">
        <v>1953</v>
      </c>
      <c r="CW149" s="65" t="s">
        <v>1953</v>
      </c>
      <c r="CX149" s="65" t="s">
        <v>1953</v>
      </c>
      <c r="CY149" s="65" t="s">
        <v>1953</v>
      </c>
      <c r="CZ149" s="65" t="s">
        <v>1953</v>
      </c>
      <c r="DA149" s="65" t="s">
        <v>1953</v>
      </c>
    </row>
    <row r="150" spans="78:105">
      <c r="BZ150" t="s">
        <v>5106</v>
      </c>
      <c r="CA150" t="str">
        <f>IFERROR(HLOOKUP($CA$1,Table4[[#All],[India]:[Dominican Republic]],ROW(Table4[[#This Row],[Default]])-1,0),"True")</f>
        <v>True</v>
      </c>
      <c r="CB150" s="65" t="s">
        <v>1953</v>
      </c>
      <c r="CC150" s="65" t="s">
        <v>1953</v>
      </c>
      <c r="CD150" s="65" t="s">
        <v>1953</v>
      </c>
      <c r="CE150" s="65" t="s">
        <v>1953</v>
      </c>
      <c r="CF150" s="65" t="s">
        <v>1953</v>
      </c>
      <c r="CG150" s="65" t="s">
        <v>1953</v>
      </c>
      <c r="CH150" s="65" t="s">
        <v>1954</v>
      </c>
      <c r="CI150" s="65" t="s">
        <v>1953</v>
      </c>
      <c r="CJ150" s="65" t="s">
        <v>1953</v>
      </c>
      <c r="CK150" s="65" t="s">
        <v>1954</v>
      </c>
      <c r="CL150" s="65" t="s">
        <v>1953</v>
      </c>
      <c r="CM150" s="65" t="s">
        <v>1953</v>
      </c>
      <c r="CN150" s="65" t="s">
        <v>1953</v>
      </c>
      <c r="CO150" s="65" t="s">
        <v>1953</v>
      </c>
      <c r="CP150" s="65" t="s">
        <v>1953</v>
      </c>
      <c r="CQ150" s="65" t="s">
        <v>1953</v>
      </c>
      <c r="CR150" s="65" t="s">
        <v>1953</v>
      </c>
      <c r="CS150" s="65" t="s">
        <v>1953</v>
      </c>
      <c r="CT150" s="65" t="s">
        <v>1953</v>
      </c>
      <c r="CU150" s="65" t="s">
        <v>1953</v>
      </c>
      <c r="CV150" s="65" t="s">
        <v>1953</v>
      </c>
      <c r="CW150" s="65" t="s">
        <v>1953</v>
      </c>
      <c r="CX150" s="65" t="s">
        <v>1953</v>
      </c>
      <c r="CY150" s="65" t="s">
        <v>1953</v>
      </c>
      <c r="CZ150" s="65" t="s">
        <v>1953</v>
      </c>
      <c r="DA150" s="65" t="s">
        <v>1953</v>
      </c>
    </row>
    <row r="151" spans="78:105">
      <c r="BZ151" t="s">
        <v>5107</v>
      </c>
      <c r="CA151" t="str">
        <f>IFERROR(HLOOKUP($CA$1,Table4[[#All],[India]:[Dominican Republic]],ROW(Table4[[#This Row],[Default]])-1,0),"True")</f>
        <v>True</v>
      </c>
      <c r="CB151" s="65" t="s">
        <v>1953</v>
      </c>
      <c r="CC151" s="65" t="s">
        <v>1953</v>
      </c>
      <c r="CD151" s="65" t="s">
        <v>1953</v>
      </c>
      <c r="CE151" s="65" t="s">
        <v>1953</v>
      </c>
      <c r="CF151" s="65" t="s">
        <v>1953</v>
      </c>
      <c r="CG151" s="65" t="s">
        <v>1953</v>
      </c>
      <c r="CH151" s="65" t="s">
        <v>1954</v>
      </c>
      <c r="CI151" s="65" t="s">
        <v>1953</v>
      </c>
      <c r="CJ151" s="65" t="s">
        <v>1953</v>
      </c>
      <c r="CK151" s="65" t="s">
        <v>1953</v>
      </c>
      <c r="CL151" s="65" t="s">
        <v>1953</v>
      </c>
      <c r="CM151" s="65" t="s">
        <v>1953</v>
      </c>
      <c r="CN151" s="65" t="s">
        <v>1953</v>
      </c>
      <c r="CO151" s="65" t="s">
        <v>1953</v>
      </c>
      <c r="CP151" s="65" t="s">
        <v>1953</v>
      </c>
      <c r="CQ151" s="65" t="s">
        <v>1953</v>
      </c>
      <c r="CR151" s="65" t="s">
        <v>1953</v>
      </c>
      <c r="CS151" s="65" t="s">
        <v>1953</v>
      </c>
      <c r="CT151" s="65" t="s">
        <v>1953</v>
      </c>
      <c r="CU151" s="65" t="s">
        <v>1953</v>
      </c>
      <c r="CV151" s="65" t="s">
        <v>1953</v>
      </c>
      <c r="CW151" s="65" t="s">
        <v>1953</v>
      </c>
      <c r="CX151" s="65" t="s">
        <v>1953</v>
      </c>
      <c r="CY151" s="65" t="s">
        <v>1953</v>
      </c>
      <c r="CZ151" s="65" t="s">
        <v>1953</v>
      </c>
      <c r="DA151" s="65" t="s">
        <v>1953</v>
      </c>
    </row>
    <row r="152" spans="78:105">
      <c r="BZ152" t="s">
        <v>5108</v>
      </c>
      <c r="CA152" t="str">
        <f>IFERROR(HLOOKUP($CA$1,Table4[[#All],[India]:[Dominican Republic]],ROW(Table4[[#This Row],[Default]])-1,0),"True")</f>
        <v>True</v>
      </c>
      <c r="CB152" s="65" t="s">
        <v>1953</v>
      </c>
      <c r="CC152" s="65" t="s">
        <v>1953</v>
      </c>
      <c r="CD152" s="65" t="s">
        <v>1953</v>
      </c>
      <c r="CE152" s="65" t="s">
        <v>1953</v>
      </c>
      <c r="CF152" s="65" t="s">
        <v>1953</v>
      </c>
      <c r="CG152" s="65" t="s">
        <v>1953</v>
      </c>
      <c r="CH152" s="65" t="s">
        <v>1954</v>
      </c>
      <c r="CI152" s="65" t="s">
        <v>1953</v>
      </c>
      <c r="CJ152" s="65" t="s">
        <v>1953</v>
      </c>
      <c r="CK152" s="65" t="s">
        <v>1953</v>
      </c>
      <c r="CL152" s="65" t="s">
        <v>1953</v>
      </c>
      <c r="CM152" s="65" t="s">
        <v>1953</v>
      </c>
      <c r="CN152" s="65" t="s">
        <v>1953</v>
      </c>
      <c r="CO152" s="65" t="s">
        <v>1953</v>
      </c>
      <c r="CP152" s="65" t="s">
        <v>1953</v>
      </c>
      <c r="CQ152" s="65" t="s">
        <v>1953</v>
      </c>
      <c r="CR152" s="65" t="s">
        <v>1953</v>
      </c>
      <c r="CS152" s="65" t="s">
        <v>1953</v>
      </c>
      <c r="CT152" s="65" t="s">
        <v>1953</v>
      </c>
      <c r="CU152" s="65" t="s">
        <v>1953</v>
      </c>
      <c r="CV152" s="65" t="s">
        <v>1953</v>
      </c>
      <c r="CW152" s="65" t="s">
        <v>1953</v>
      </c>
      <c r="CX152" s="65" t="s">
        <v>1953</v>
      </c>
      <c r="CY152" s="65" t="s">
        <v>1953</v>
      </c>
      <c r="CZ152" s="65" t="s">
        <v>1953</v>
      </c>
      <c r="DA152" s="65" t="s">
        <v>1953</v>
      </c>
    </row>
    <row r="153" spans="78:105">
      <c r="BZ153" t="s">
        <v>5105</v>
      </c>
      <c r="CA153" t="str">
        <f>IFERROR(HLOOKUP($CA$1,Table4[[#All],[India]:[Dominican Republic]],ROW(Table4[[#This Row],[Default]])-1,0),"True")</f>
        <v>True</v>
      </c>
      <c r="CB153" s="65" t="s">
        <v>1953</v>
      </c>
      <c r="CC153" s="65" t="s">
        <v>1953</v>
      </c>
      <c r="CD153" s="65" t="s">
        <v>1953</v>
      </c>
      <c r="CE153" s="65" t="s">
        <v>1953</v>
      </c>
      <c r="CF153" s="65" t="s">
        <v>1953</v>
      </c>
      <c r="CG153" s="65" t="s">
        <v>1953</v>
      </c>
      <c r="CH153" s="65" t="s">
        <v>1954</v>
      </c>
      <c r="CI153" s="65" t="s">
        <v>1953</v>
      </c>
      <c r="CJ153" s="65" t="s">
        <v>1953</v>
      </c>
      <c r="CK153" s="65" t="s">
        <v>1953</v>
      </c>
      <c r="CL153" s="65" t="s">
        <v>1953</v>
      </c>
      <c r="CM153" s="65" t="s">
        <v>1953</v>
      </c>
      <c r="CN153" s="65" t="s">
        <v>1953</v>
      </c>
      <c r="CO153" s="65" t="s">
        <v>1953</v>
      </c>
      <c r="CP153" s="65" t="s">
        <v>1953</v>
      </c>
      <c r="CQ153" s="65" t="s">
        <v>1953</v>
      </c>
      <c r="CR153" s="65" t="s">
        <v>1953</v>
      </c>
      <c r="CS153" s="65" t="s">
        <v>1953</v>
      </c>
      <c r="CT153" s="65" t="s">
        <v>1953</v>
      </c>
      <c r="CU153" s="65" t="s">
        <v>1953</v>
      </c>
      <c r="CV153" s="65" t="s">
        <v>1953</v>
      </c>
      <c r="CW153" s="65" t="s">
        <v>1953</v>
      </c>
      <c r="CX153" s="65" t="s">
        <v>1953</v>
      </c>
      <c r="CY153" s="65" t="s">
        <v>1953</v>
      </c>
      <c r="CZ153" s="65" t="s">
        <v>1953</v>
      </c>
      <c r="DA153" s="65" t="s">
        <v>1953</v>
      </c>
    </row>
    <row r="154" spans="78:105">
      <c r="BZ154" t="s">
        <v>5109</v>
      </c>
      <c r="CA154" t="str">
        <f>IFERROR(HLOOKUP($CA$1,Table4[[#All],[India]:[Dominican Republic]],ROW(Table4[[#This Row],[Default]])-1,0),"True")</f>
        <v>True</v>
      </c>
      <c r="CB154" s="65" t="s">
        <v>1953</v>
      </c>
      <c r="CC154" s="65" t="s">
        <v>1953</v>
      </c>
      <c r="CD154" s="65" t="s">
        <v>1953</v>
      </c>
      <c r="CE154" s="65" t="s">
        <v>1953</v>
      </c>
      <c r="CF154" s="65" t="s">
        <v>1953</v>
      </c>
      <c r="CG154" s="65" t="s">
        <v>1953</v>
      </c>
      <c r="CH154" s="65" t="s">
        <v>1954</v>
      </c>
      <c r="CI154" s="65" t="s">
        <v>1953</v>
      </c>
      <c r="CJ154" s="65" t="s">
        <v>1953</v>
      </c>
      <c r="CK154" s="65" t="s">
        <v>1953</v>
      </c>
      <c r="CL154" s="65" t="s">
        <v>1953</v>
      </c>
      <c r="CM154" s="65" t="s">
        <v>1953</v>
      </c>
      <c r="CN154" s="65" t="s">
        <v>1953</v>
      </c>
      <c r="CO154" s="65" t="s">
        <v>1953</v>
      </c>
      <c r="CP154" s="65" t="s">
        <v>1953</v>
      </c>
      <c r="CQ154" s="65" t="s">
        <v>1953</v>
      </c>
      <c r="CR154" s="65" t="s">
        <v>1953</v>
      </c>
      <c r="CS154" s="65" t="s">
        <v>1953</v>
      </c>
      <c r="CT154" s="65" t="s">
        <v>1953</v>
      </c>
      <c r="CU154" s="65" t="s">
        <v>1953</v>
      </c>
      <c r="CV154" s="65" t="s">
        <v>1953</v>
      </c>
      <c r="CW154" s="65" t="s">
        <v>1953</v>
      </c>
      <c r="CX154" s="65" t="s">
        <v>1953</v>
      </c>
      <c r="CY154" s="65" t="s">
        <v>1953</v>
      </c>
      <c r="CZ154" s="65" t="s">
        <v>1953</v>
      </c>
      <c r="DA154" s="65" t="s">
        <v>1953</v>
      </c>
    </row>
    <row r="155" spans="78:105">
      <c r="BZ155" t="s">
        <v>5110</v>
      </c>
      <c r="CA155" t="str">
        <f>IFERROR(HLOOKUP($CA$1,Table4[[#All],[India]:[Dominican Republic]],ROW(Table4[[#This Row],[Default]])-1,0),"True")</f>
        <v>True</v>
      </c>
      <c r="CB155" s="65" t="s">
        <v>1953</v>
      </c>
      <c r="CC155" s="65" t="s">
        <v>1953</v>
      </c>
      <c r="CD155" s="65" t="s">
        <v>1953</v>
      </c>
      <c r="CE155" s="65" t="s">
        <v>1953</v>
      </c>
      <c r="CF155" s="65" t="s">
        <v>1953</v>
      </c>
      <c r="CG155" s="65" t="s">
        <v>1953</v>
      </c>
      <c r="CH155" s="65" t="s">
        <v>1954</v>
      </c>
      <c r="CI155" s="65" t="s">
        <v>1953</v>
      </c>
      <c r="CJ155" s="65" t="s">
        <v>1953</v>
      </c>
      <c r="CK155" s="65" t="s">
        <v>1953</v>
      </c>
      <c r="CL155" s="65" t="s">
        <v>1953</v>
      </c>
      <c r="CM155" s="65" t="s">
        <v>1953</v>
      </c>
      <c r="CN155" s="65" t="s">
        <v>1953</v>
      </c>
      <c r="CO155" s="65" t="s">
        <v>1953</v>
      </c>
      <c r="CP155" s="65" t="s">
        <v>1953</v>
      </c>
      <c r="CQ155" s="65" t="s">
        <v>1953</v>
      </c>
      <c r="CR155" s="65" t="s">
        <v>1953</v>
      </c>
      <c r="CS155" s="65" t="s">
        <v>1953</v>
      </c>
      <c r="CT155" s="65" t="s">
        <v>1953</v>
      </c>
      <c r="CU155" s="65" t="s">
        <v>1953</v>
      </c>
      <c r="CV155" s="65" t="s">
        <v>1953</v>
      </c>
      <c r="CW155" s="65" t="s">
        <v>1953</v>
      </c>
      <c r="CX155" s="65" t="s">
        <v>1953</v>
      </c>
      <c r="CY155" s="65" t="s">
        <v>1953</v>
      </c>
      <c r="CZ155" s="65" t="s">
        <v>1953</v>
      </c>
      <c r="DA155" s="65" t="s">
        <v>1953</v>
      </c>
    </row>
    <row r="156" spans="78:105">
      <c r="BZ156" t="s">
        <v>5111</v>
      </c>
      <c r="CA156" t="str">
        <f>IFERROR(HLOOKUP($CA$1,Table4[[#All],[India]:[Dominican Republic]],ROW(Table4[[#This Row],[Default]])-1,0),"True")</f>
        <v>True</v>
      </c>
      <c r="CB156" s="65" t="s">
        <v>1953</v>
      </c>
      <c r="CC156" s="65" t="s">
        <v>1953</v>
      </c>
      <c r="CD156" s="65" t="s">
        <v>1953</v>
      </c>
      <c r="CE156" s="65" t="s">
        <v>1953</v>
      </c>
      <c r="CF156" s="65" t="s">
        <v>1953</v>
      </c>
      <c r="CG156" s="65" t="s">
        <v>1953</v>
      </c>
      <c r="CH156" s="65" t="s">
        <v>1954</v>
      </c>
      <c r="CI156" s="65" t="s">
        <v>1953</v>
      </c>
      <c r="CJ156" s="65" t="s">
        <v>1953</v>
      </c>
      <c r="CK156" s="65" t="s">
        <v>1953</v>
      </c>
      <c r="CL156" s="65" t="s">
        <v>1953</v>
      </c>
      <c r="CM156" s="65" t="s">
        <v>1953</v>
      </c>
      <c r="CN156" s="65" t="s">
        <v>1953</v>
      </c>
      <c r="CO156" s="65" t="s">
        <v>1953</v>
      </c>
      <c r="CP156" s="65" t="s">
        <v>1953</v>
      </c>
      <c r="CQ156" s="65" t="s">
        <v>1953</v>
      </c>
      <c r="CR156" s="65" t="s">
        <v>1953</v>
      </c>
      <c r="CS156" s="65" t="s">
        <v>1953</v>
      </c>
      <c r="CT156" s="65" t="s">
        <v>1953</v>
      </c>
      <c r="CU156" s="65" t="s">
        <v>1953</v>
      </c>
      <c r="CV156" s="65" t="s">
        <v>1953</v>
      </c>
      <c r="CW156" s="65" t="s">
        <v>1953</v>
      </c>
      <c r="CX156" s="65" t="s">
        <v>1953</v>
      </c>
      <c r="CY156" s="65" t="s">
        <v>1953</v>
      </c>
      <c r="CZ156" s="65" t="s">
        <v>1953</v>
      </c>
      <c r="DA156" s="65" t="s">
        <v>1953</v>
      </c>
    </row>
    <row r="157" spans="78:105">
      <c r="BZ157" t="s">
        <v>5112</v>
      </c>
      <c r="CA157" t="str">
        <f>IFERROR(HLOOKUP($CA$1,Table4[[#All],[India]:[Dominican Republic]],ROW(Table4[[#This Row],[Default]])-1,0),"True")</f>
        <v>True</v>
      </c>
      <c r="CB157" s="65" t="s">
        <v>1953</v>
      </c>
      <c r="CC157" s="65" t="s">
        <v>1953</v>
      </c>
      <c r="CD157" s="65" t="s">
        <v>1953</v>
      </c>
      <c r="CE157" s="65" t="s">
        <v>1953</v>
      </c>
      <c r="CF157" s="65" t="s">
        <v>1953</v>
      </c>
      <c r="CG157" s="65" t="s">
        <v>1953</v>
      </c>
      <c r="CH157" s="65" t="s">
        <v>1954</v>
      </c>
      <c r="CI157" s="65" t="s">
        <v>1953</v>
      </c>
      <c r="CJ157" s="65" t="s">
        <v>1953</v>
      </c>
      <c r="CK157" s="65" t="s">
        <v>1953</v>
      </c>
      <c r="CL157" s="65" t="s">
        <v>1953</v>
      </c>
      <c r="CM157" s="65" t="s">
        <v>1953</v>
      </c>
      <c r="CN157" s="65" t="s">
        <v>1953</v>
      </c>
      <c r="CO157" s="65" t="s">
        <v>1953</v>
      </c>
      <c r="CP157" s="65" t="s">
        <v>1953</v>
      </c>
      <c r="CQ157" s="65" t="s">
        <v>1953</v>
      </c>
      <c r="CR157" s="65" t="s">
        <v>1953</v>
      </c>
      <c r="CS157" s="65" t="s">
        <v>1953</v>
      </c>
      <c r="CT157" s="65" t="s">
        <v>1953</v>
      </c>
      <c r="CU157" s="65" t="s">
        <v>1953</v>
      </c>
      <c r="CV157" s="65" t="s">
        <v>1953</v>
      </c>
      <c r="CW157" s="65" t="s">
        <v>1953</v>
      </c>
      <c r="CX157" s="65" t="s">
        <v>1953</v>
      </c>
      <c r="CY157" s="65" t="s">
        <v>1953</v>
      </c>
      <c r="CZ157" s="65" t="s">
        <v>1953</v>
      </c>
      <c r="DA157" s="65" t="s">
        <v>1953</v>
      </c>
    </row>
    <row r="158" spans="78:105" ht="30">
      <c r="BZ158" s="29" t="s">
        <v>7618</v>
      </c>
      <c r="CA158" t="str">
        <f>IFERROR(HLOOKUP($CA$1,Table4[[#All],[India]:[Dominican Republic]],ROW(Table4[[#This Row],[Default]])-1,0),"True")</f>
        <v>True</v>
      </c>
      <c r="CB158" s="65" t="s">
        <v>1953</v>
      </c>
      <c r="CC158" s="65" t="s">
        <v>1953</v>
      </c>
      <c r="CD158" s="65" t="s">
        <v>1953</v>
      </c>
      <c r="CE158" s="65" t="s">
        <v>1953</v>
      </c>
      <c r="CF158" s="65" t="s">
        <v>1953</v>
      </c>
      <c r="CG158" s="65" t="s">
        <v>1953</v>
      </c>
      <c r="CH158" s="65" t="s">
        <v>1953</v>
      </c>
      <c r="CI158" s="65" t="s">
        <v>1953</v>
      </c>
      <c r="CJ158" s="65" t="s">
        <v>1953</v>
      </c>
      <c r="CK158" s="65" t="s">
        <v>1953</v>
      </c>
      <c r="CL158" s="65" t="s">
        <v>1954</v>
      </c>
      <c r="CM158" s="65" t="s">
        <v>1953</v>
      </c>
      <c r="CN158" s="65" t="s">
        <v>1953</v>
      </c>
      <c r="CO158" s="65" t="s">
        <v>1953</v>
      </c>
      <c r="CP158" s="65" t="s">
        <v>1953</v>
      </c>
      <c r="CQ158" s="65" t="s">
        <v>1953</v>
      </c>
      <c r="CR158" s="65" t="s">
        <v>1953</v>
      </c>
      <c r="CS158" s="65" t="s">
        <v>1953</v>
      </c>
      <c r="CT158" s="65" t="s">
        <v>1953</v>
      </c>
      <c r="CU158" s="65" t="s">
        <v>1953</v>
      </c>
      <c r="CV158" s="65" t="s">
        <v>1953</v>
      </c>
      <c r="CW158" s="65" t="s">
        <v>1953</v>
      </c>
      <c r="CX158" s="65" t="s">
        <v>1953</v>
      </c>
      <c r="CY158" s="65" t="s">
        <v>1953</v>
      </c>
      <c r="CZ158" s="65" t="s">
        <v>1953</v>
      </c>
      <c r="DA158" s="65" t="s">
        <v>1953</v>
      </c>
    </row>
    <row r="159" spans="78:105">
      <c r="BZ159" t="s">
        <v>7619</v>
      </c>
      <c r="CA159" t="str">
        <f>IFERROR(HLOOKUP($CA$1,Table4[[#All],[India]:[Dominican Republic]],ROW(Table4[[#This Row],[Default]])-1,0),"True")</f>
        <v>True</v>
      </c>
      <c r="CB159" s="65" t="s">
        <v>1953</v>
      </c>
      <c r="CC159" s="65" t="s">
        <v>1953</v>
      </c>
      <c r="CD159" s="65" t="s">
        <v>1953</v>
      </c>
      <c r="CE159" s="65" t="s">
        <v>1953</v>
      </c>
      <c r="CF159" s="65" t="s">
        <v>1953</v>
      </c>
      <c r="CG159" s="65" t="s">
        <v>1953</v>
      </c>
      <c r="CH159" s="65" t="s">
        <v>1953</v>
      </c>
      <c r="CI159" s="65" t="s">
        <v>1953</v>
      </c>
      <c r="CJ159" s="65" t="s">
        <v>1953</v>
      </c>
      <c r="CK159" s="65" t="s">
        <v>1953</v>
      </c>
      <c r="CL159" s="65" t="s">
        <v>1954</v>
      </c>
      <c r="CM159" s="65" t="s">
        <v>1953</v>
      </c>
      <c r="CN159" s="65" t="s">
        <v>1953</v>
      </c>
      <c r="CO159" s="65" t="s">
        <v>1953</v>
      </c>
      <c r="CP159" s="65" t="s">
        <v>1953</v>
      </c>
      <c r="CQ159" s="65" t="s">
        <v>1953</v>
      </c>
      <c r="CR159" s="65" t="s">
        <v>1953</v>
      </c>
      <c r="CS159" s="65" t="s">
        <v>1953</v>
      </c>
      <c r="CT159" s="65" t="s">
        <v>1953</v>
      </c>
      <c r="CU159" s="65" t="s">
        <v>1953</v>
      </c>
      <c r="CV159" s="65" t="s">
        <v>1953</v>
      </c>
      <c r="CW159" s="65" t="s">
        <v>1953</v>
      </c>
      <c r="CX159" s="65" t="s">
        <v>1953</v>
      </c>
      <c r="CY159" s="65" t="s">
        <v>1953</v>
      </c>
      <c r="CZ159" s="65" t="s">
        <v>1953</v>
      </c>
      <c r="DA159" s="65" t="s">
        <v>1953</v>
      </c>
    </row>
    <row r="160" spans="78:105">
      <c r="BZ160" t="s">
        <v>7745</v>
      </c>
      <c r="CA160" t="str">
        <f>IFERROR(HLOOKUP($CA$1,Table4[[#All],[India]:[Dominican Republic]],ROW(Table4[[#This Row],[Default]])-1,0),"True")</f>
        <v>True</v>
      </c>
      <c r="CB160" s="65" t="s">
        <v>1953</v>
      </c>
      <c r="CC160" s="65" t="s">
        <v>1953</v>
      </c>
      <c r="CD160" s="65" t="s">
        <v>1953</v>
      </c>
      <c r="CE160" s="65" t="s">
        <v>1953</v>
      </c>
      <c r="CF160" s="65" t="s">
        <v>1953</v>
      </c>
      <c r="CG160" s="65" t="s">
        <v>1953</v>
      </c>
      <c r="CH160" s="65" t="s">
        <v>1953</v>
      </c>
      <c r="CI160" s="65" t="s">
        <v>1953</v>
      </c>
      <c r="CJ160" s="65" t="s">
        <v>1953</v>
      </c>
      <c r="CK160" s="65" t="s">
        <v>1953</v>
      </c>
      <c r="CL160" s="65" t="s">
        <v>1954</v>
      </c>
      <c r="CM160" s="65" t="s">
        <v>1953</v>
      </c>
      <c r="CN160" s="65" t="s">
        <v>1953</v>
      </c>
      <c r="CO160" s="65" t="s">
        <v>1953</v>
      </c>
      <c r="CP160" s="65" t="s">
        <v>1953</v>
      </c>
      <c r="CQ160" s="65" t="s">
        <v>1953</v>
      </c>
      <c r="CR160" s="65" t="s">
        <v>1953</v>
      </c>
      <c r="CS160" s="65" t="s">
        <v>1953</v>
      </c>
      <c r="CT160" s="65" t="s">
        <v>1953</v>
      </c>
      <c r="CU160" s="65" t="s">
        <v>1953</v>
      </c>
      <c r="CV160" s="65" t="s">
        <v>1953</v>
      </c>
      <c r="CW160" s="65" t="s">
        <v>1953</v>
      </c>
      <c r="CX160" s="65" t="s">
        <v>1953</v>
      </c>
      <c r="CY160" s="65" t="s">
        <v>1953</v>
      </c>
      <c r="CZ160" s="65" t="s">
        <v>1953</v>
      </c>
      <c r="DA160" s="65" t="s">
        <v>1953</v>
      </c>
    </row>
    <row r="161" spans="78:105">
      <c r="BZ161" t="s">
        <v>5032</v>
      </c>
      <c r="CA161" t="str">
        <f>IFERROR(HLOOKUP($CA$1,Table4[[#All],[India]:[Dominican Republic]],ROW(Table4[[#This Row],[Default]])-1,0),"True")</f>
        <v>True</v>
      </c>
      <c r="CB161" s="65" t="s">
        <v>1953</v>
      </c>
      <c r="CC161" s="65" t="s">
        <v>1953</v>
      </c>
      <c r="CD161" s="65" t="s">
        <v>1953</v>
      </c>
      <c r="CE161" s="65" t="s">
        <v>1953</v>
      </c>
      <c r="CF161" s="65" t="s">
        <v>1953</v>
      </c>
      <c r="CG161" s="65" t="s">
        <v>1953</v>
      </c>
      <c r="CH161" s="65" t="s">
        <v>1953</v>
      </c>
      <c r="CI161" s="65" t="s">
        <v>1953</v>
      </c>
      <c r="CJ161" s="65" t="s">
        <v>1953</v>
      </c>
      <c r="CK161" s="65" t="s">
        <v>1953</v>
      </c>
      <c r="CL161" s="65" t="s">
        <v>1954</v>
      </c>
      <c r="CM161" s="65" t="s">
        <v>1954</v>
      </c>
      <c r="CN161" s="65" t="s">
        <v>1953</v>
      </c>
      <c r="CO161" s="65" t="s">
        <v>1953</v>
      </c>
      <c r="CP161" s="65" t="s">
        <v>1953</v>
      </c>
      <c r="CQ161" s="65" t="s">
        <v>1953</v>
      </c>
      <c r="CR161" s="65" t="s">
        <v>1953</v>
      </c>
      <c r="CS161" s="65" t="s">
        <v>1953</v>
      </c>
      <c r="CT161" s="65" t="s">
        <v>1953</v>
      </c>
      <c r="CU161" s="65" t="s">
        <v>1953</v>
      </c>
      <c r="CV161" s="65" t="s">
        <v>1953</v>
      </c>
      <c r="CW161" s="65" t="s">
        <v>1953</v>
      </c>
      <c r="CX161" s="65" t="s">
        <v>1953</v>
      </c>
      <c r="CY161" s="65" t="s">
        <v>1953</v>
      </c>
      <c r="CZ161" s="65" t="s">
        <v>1953</v>
      </c>
      <c r="DA161" s="65" t="s">
        <v>1953</v>
      </c>
    </row>
    <row r="162" spans="78:105">
      <c r="BZ162" t="s">
        <v>7746</v>
      </c>
      <c r="CA162" t="str">
        <f>IFERROR(HLOOKUP($CA$1,Table4[[#All],[India]:[Dominican Republic]],ROW(Table4[[#This Row],[Default]])-1,0),"True")</f>
        <v>True</v>
      </c>
      <c r="CB162" s="65" t="s">
        <v>1953</v>
      </c>
      <c r="CC162" s="65" t="s">
        <v>1953</v>
      </c>
      <c r="CD162" s="65" t="s">
        <v>1953</v>
      </c>
      <c r="CE162" s="65" t="s">
        <v>1953</v>
      </c>
      <c r="CF162" s="65" t="s">
        <v>1953</v>
      </c>
      <c r="CG162" s="65" t="s">
        <v>1953</v>
      </c>
      <c r="CH162" s="65" t="s">
        <v>1953</v>
      </c>
      <c r="CI162" s="65" t="s">
        <v>1953</v>
      </c>
      <c r="CJ162" s="65" t="s">
        <v>1953</v>
      </c>
      <c r="CK162" s="65" t="s">
        <v>1953</v>
      </c>
      <c r="CL162" s="65" t="s">
        <v>1954</v>
      </c>
      <c r="CM162" s="65" t="s">
        <v>1953</v>
      </c>
      <c r="CN162" s="65" t="s">
        <v>1953</v>
      </c>
      <c r="CO162" s="65" t="s">
        <v>1953</v>
      </c>
      <c r="CP162" s="65" t="s">
        <v>1953</v>
      </c>
      <c r="CQ162" s="65" t="s">
        <v>1953</v>
      </c>
      <c r="CR162" s="65" t="s">
        <v>1953</v>
      </c>
      <c r="CS162" s="65" t="s">
        <v>1953</v>
      </c>
      <c r="CT162" s="65" t="s">
        <v>1953</v>
      </c>
      <c r="CU162" s="65" t="s">
        <v>1953</v>
      </c>
      <c r="CV162" s="65" t="s">
        <v>1953</v>
      </c>
      <c r="CW162" s="65" t="s">
        <v>1953</v>
      </c>
      <c r="CX162" s="65" t="s">
        <v>1953</v>
      </c>
      <c r="CY162" s="65" t="s">
        <v>1953</v>
      </c>
      <c r="CZ162" s="65" t="s">
        <v>1953</v>
      </c>
      <c r="DA162" s="65" t="s">
        <v>1953</v>
      </c>
    </row>
    <row r="163" spans="78:105">
      <c r="BZ163" t="s">
        <v>7747</v>
      </c>
      <c r="CA163" t="str">
        <f>IFERROR(HLOOKUP($CA$1,Table4[[#All],[India]:[Dominican Republic]],ROW(Table4[[#This Row],[Default]])-1,0),"True")</f>
        <v>True</v>
      </c>
      <c r="CB163" s="65" t="s">
        <v>1953</v>
      </c>
      <c r="CC163" s="65" t="s">
        <v>1953</v>
      </c>
      <c r="CD163" s="65" t="s">
        <v>1953</v>
      </c>
      <c r="CE163" s="65" t="s">
        <v>1953</v>
      </c>
      <c r="CF163" s="65" t="s">
        <v>1953</v>
      </c>
      <c r="CG163" s="65" t="s">
        <v>1953</v>
      </c>
      <c r="CH163" s="65" t="s">
        <v>1953</v>
      </c>
      <c r="CI163" s="65" t="s">
        <v>1953</v>
      </c>
      <c r="CJ163" s="65" t="s">
        <v>1953</v>
      </c>
      <c r="CK163" s="65" t="s">
        <v>1953</v>
      </c>
      <c r="CL163" s="65" t="s">
        <v>1954</v>
      </c>
      <c r="CM163" s="65" t="s">
        <v>1953</v>
      </c>
      <c r="CN163" s="65" t="s">
        <v>1953</v>
      </c>
      <c r="CO163" s="65" t="s">
        <v>1953</v>
      </c>
      <c r="CP163" s="65" t="s">
        <v>1953</v>
      </c>
      <c r="CQ163" s="65" t="s">
        <v>1953</v>
      </c>
      <c r="CR163" s="65" t="s">
        <v>1953</v>
      </c>
      <c r="CS163" s="65" t="s">
        <v>1953</v>
      </c>
      <c r="CT163" s="65" t="s">
        <v>1953</v>
      </c>
      <c r="CU163" s="65" t="s">
        <v>1953</v>
      </c>
      <c r="CV163" s="65" t="s">
        <v>1953</v>
      </c>
      <c r="CW163" s="65" t="s">
        <v>1953</v>
      </c>
      <c r="CX163" s="65" t="s">
        <v>1953</v>
      </c>
      <c r="CY163" s="65" t="s">
        <v>1953</v>
      </c>
      <c r="CZ163" s="65" t="s">
        <v>1953</v>
      </c>
      <c r="DA163" s="65" t="s">
        <v>1953</v>
      </c>
    </row>
    <row r="164" spans="78:105">
      <c r="BZ164" t="s">
        <v>7748</v>
      </c>
      <c r="CA164" t="str">
        <f>IFERROR(HLOOKUP($CA$1,Table4[[#All],[India]:[Dominican Republic]],ROW(Table4[[#This Row],[Default]])-1,0),"True")</f>
        <v>True</v>
      </c>
      <c r="CB164" s="65" t="s">
        <v>1953</v>
      </c>
      <c r="CC164" s="65" t="s">
        <v>1953</v>
      </c>
      <c r="CD164" s="65" t="s">
        <v>1953</v>
      </c>
      <c r="CE164" s="65" t="s">
        <v>1953</v>
      </c>
      <c r="CF164" s="65" t="s">
        <v>1953</v>
      </c>
      <c r="CG164" s="65" t="s">
        <v>1953</v>
      </c>
      <c r="CH164" s="65" t="s">
        <v>1953</v>
      </c>
      <c r="CI164" s="65" t="s">
        <v>1953</v>
      </c>
      <c r="CJ164" s="65" t="s">
        <v>1953</v>
      </c>
      <c r="CK164" s="65" t="s">
        <v>1953</v>
      </c>
      <c r="CL164" s="65" t="s">
        <v>1954</v>
      </c>
      <c r="CM164" s="65" t="s">
        <v>1953</v>
      </c>
      <c r="CN164" s="65" t="s">
        <v>1953</v>
      </c>
      <c r="CO164" s="65" t="s">
        <v>1953</v>
      </c>
      <c r="CP164" s="65" t="s">
        <v>1953</v>
      </c>
      <c r="CQ164" s="65" t="s">
        <v>1953</v>
      </c>
      <c r="CR164" s="65" t="s">
        <v>1953</v>
      </c>
      <c r="CS164" s="65" t="s">
        <v>1953</v>
      </c>
      <c r="CT164" s="65" t="s">
        <v>1953</v>
      </c>
      <c r="CU164" s="65" t="s">
        <v>1953</v>
      </c>
      <c r="CV164" s="65" t="s">
        <v>1953</v>
      </c>
      <c r="CW164" s="65" t="s">
        <v>1953</v>
      </c>
      <c r="CX164" s="65" t="s">
        <v>1953</v>
      </c>
      <c r="CY164" s="65" t="s">
        <v>1953</v>
      </c>
      <c r="CZ164" s="65" t="s">
        <v>1953</v>
      </c>
      <c r="DA164" s="65" t="s">
        <v>1953</v>
      </c>
    </row>
    <row r="165" spans="78:105">
      <c r="BZ165" t="s">
        <v>7749</v>
      </c>
      <c r="CA165" t="str">
        <f>IFERROR(HLOOKUP($CA$1,Table4[[#All],[India]:[Dominican Republic]],ROW(Table4[[#This Row],[Default]])-1,0),"True")</f>
        <v>True</v>
      </c>
      <c r="CB165" s="65" t="s">
        <v>1953</v>
      </c>
      <c r="CC165" s="65" t="s">
        <v>1953</v>
      </c>
      <c r="CD165" s="65" t="s">
        <v>1953</v>
      </c>
      <c r="CE165" s="65" t="s">
        <v>1953</v>
      </c>
      <c r="CF165" s="65" t="s">
        <v>1953</v>
      </c>
      <c r="CG165" s="65" t="s">
        <v>1953</v>
      </c>
      <c r="CH165" s="65" t="s">
        <v>1953</v>
      </c>
      <c r="CI165" s="65" t="s">
        <v>1953</v>
      </c>
      <c r="CJ165" s="65" t="s">
        <v>1953</v>
      </c>
      <c r="CK165" s="65" t="s">
        <v>1953</v>
      </c>
      <c r="CL165" s="65" t="s">
        <v>1954</v>
      </c>
      <c r="CM165" s="65" t="s">
        <v>1953</v>
      </c>
      <c r="CN165" s="65" t="s">
        <v>1953</v>
      </c>
      <c r="CO165" s="65" t="s">
        <v>1953</v>
      </c>
      <c r="CP165" s="65" t="s">
        <v>1953</v>
      </c>
      <c r="CQ165" s="65" t="s">
        <v>1953</v>
      </c>
      <c r="CR165" s="65" t="s">
        <v>1953</v>
      </c>
      <c r="CS165" s="65" t="s">
        <v>1953</v>
      </c>
      <c r="CT165" s="65" t="s">
        <v>1953</v>
      </c>
      <c r="CU165" s="65" t="s">
        <v>1953</v>
      </c>
      <c r="CV165" s="65" t="s">
        <v>1953</v>
      </c>
      <c r="CW165" s="65" t="s">
        <v>1953</v>
      </c>
      <c r="CX165" s="65" t="s">
        <v>1953</v>
      </c>
      <c r="CY165" s="65" t="s">
        <v>1953</v>
      </c>
      <c r="CZ165" s="65" t="s">
        <v>1953</v>
      </c>
      <c r="DA165" s="65" t="s">
        <v>1953</v>
      </c>
    </row>
    <row r="166" spans="78:105">
      <c r="BZ166" t="s">
        <v>7750</v>
      </c>
      <c r="CA166" t="str">
        <f>IFERROR(HLOOKUP($CA$1,Table4[[#All],[India]:[Dominican Republic]],ROW(Table4[[#This Row],[Default]])-1,0),"True")</f>
        <v>True</v>
      </c>
      <c r="CB166" s="65" t="s">
        <v>1953</v>
      </c>
      <c r="CC166" s="65" t="s">
        <v>1953</v>
      </c>
      <c r="CD166" s="65" t="s">
        <v>1953</v>
      </c>
      <c r="CE166" s="65" t="s">
        <v>1953</v>
      </c>
      <c r="CF166" s="65" t="s">
        <v>1953</v>
      </c>
      <c r="CG166" s="65" t="s">
        <v>1953</v>
      </c>
      <c r="CH166" s="65" t="s">
        <v>1953</v>
      </c>
      <c r="CI166" s="65" t="s">
        <v>1953</v>
      </c>
      <c r="CJ166" s="65" t="s">
        <v>1953</v>
      </c>
      <c r="CK166" s="65" t="s">
        <v>1953</v>
      </c>
      <c r="CL166" s="65" t="s">
        <v>1954</v>
      </c>
      <c r="CM166" s="65" t="s">
        <v>1953</v>
      </c>
      <c r="CN166" s="65" t="s">
        <v>1953</v>
      </c>
      <c r="CO166" s="65" t="s">
        <v>1953</v>
      </c>
      <c r="CP166" s="65" t="s">
        <v>1953</v>
      </c>
      <c r="CQ166" s="65" t="s">
        <v>1953</v>
      </c>
      <c r="CR166" s="65" t="s">
        <v>1953</v>
      </c>
      <c r="CS166" s="65" t="s">
        <v>1953</v>
      </c>
      <c r="CT166" s="65" t="s">
        <v>1953</v>
      </c>
      <c r="CU166" s="65" t="s">
        <v>1953</v>
      </c>
      <c r="CV166" s="65" t="s">
        <v>1953</v>
      </c>
      <c r="CW166" s="65" t="s">
        <v>1953</v>
      </c>
      <c r="CX166" s="65" t="s">
        <v>1953</v>
      </c>
      <c r="CY166" s="65" t="s">
        <v>1953</v>
      </c>
      <c r="CZ166" s="65" t="s">
        <v>1953</v>
      </c>
      <c r="DA166" s="65" t="s">
        <v>1953</v>
      </c>
    </row>
    <row r="167" spans="78:105">
      <c r="BZ167" t="s">
        <v>7751</v>
      </c>
      <c r="CA167" t="str">
        <f>IFERROR(HLOOKUP($CA$1,Table4[[#All],[India]:[Dominican Republic]],ROW(Table4[[#This Row],[Default]])-1,0),"True")</f>
        <v>True</v>
      </c>
      <c r="CB167" s="65" t="s">
        <v>1953</v>
      </c>
      <c r="CC167" s="65" t="s">
        <v>1953</v>
      </c>
      <c r="CD167" s="65" t="s">
        <v>1953</v>
      </c>
      <c r="CE167" s="65" t="s">
        <v>1953</v>
      </c>
      <c r="CF167" s="65" t="s">
        <v>1953</v>
      </c>
      <c r="CG167" s="65" t="s">
        <v>1953</v>
      </c>
      <c r="CH167" s="65" t="s">
        <v>1953</v>
      </c>
      <c r="CI167" s="65" t="s">
        <v>1953</v>
      </c>
      <c r="CJ167" s="65" t="s">
        <v>1953</v>
      </c>
      <c r="CK167" s="65" t="s">
        <v>1953</v>
      </c>
      <c r="CL167" s="65" t="s">
        <v>1954</v>
      </c>
      <c r="CM167" s="65" t="s">
        <v>1953</v>
      </c>
      <c r="CN167" s="65" t="s">
        <v>1953</v>
      </c>
      <c r="CO167" s="65" t="s">
        <v>1953</v>
      </c>
      <c r="CP167" s="65" t="s">
        <v>1953</v>
      </c>
      <c r="CQ167" s="65" t="s">
        <v>1953</v>
      </c>
      <c r="CR167" s="65" t="s">
        <v>1953</v>
      </c>
      <c r="CS167" s="65" t="s">
        <v>1953</v>
      </c>
      <c r="CT167" s="65" t="s">
        <v>1953</v>
      </c>
      <c r="CU167" s="65" t="s">
        <v>1953</v>
      </c>
      <c r="CV167" s="65" t="s">
        <v>1953</v>
      </c>
      <c r="CW167" s="65" t="s">
        <v>1953</v>
      </c>
      <c r="CX167" s="65" t="s">
        <v>1953</v>
      </c>
      <c r="CY167" s="65" t="s">
        <v>1953</v>
      </c>
      <c r="CZ167" s="65" t="s">
        <v>1953</v>
      </c>
      <c r="DA167" s="65" t="s">
        <v>1953</v>
      </c>
    </row>
    <row r="168" spans="78:105">
      <c r="BZ168" t="s">
        <v>5032</v>
      </c>
      <c r="CA168" t="str">
        <f>IFERROR(HLOOKUP($CA$1,Table4[[#All],[India]:[Dominican Republic]],ROW(Table4[[#This Row],[Default]])-1,0),"True")</f>
        <v>True</v>
      </c>
      <c r="CB168" s="65" t="s">
        <v>1953</v>
      </c>
      <c r="CC168" s="65" t="s">
        <v>1953</v>
      </c>
      <c r="CD168" s="65" t="s">
        <v>1953</v>
      </c>
      <c r="CE168" s="65" t="s">
        <v>1953</v>
      </c>
      <c r="CF168" s="65" t="s">
        <v>1953</v>
      </c>
      <c r="CG168" s="65" t="s">
        <v>1953</v>
      </c>
      <c r="CH168" s="65" t="s">
        <v>1953</v>
      </c>
      <c r="CI168" s="65" t="s">
        <v>1953</v>
      </c>
      <c r="CJ168" s="65" t="s">
        <v>1953</v>
      </c>
      <c r="CK168" s="65" t="s">
        <v>1953</v>
      </c>
      <c r="CL168" s="65" t="s">
        <v>1954</v>
      </c>
      <c r="CM168" s="65" t="s">
        <v>1953</v>
      </c>
      <c r="CN168" s="65" t="s">
        <v>1953</v>
      </c>
      <c r="CO168" s="65" t="s">
        <v>1953</v>
      </c>
      <c r="CP168" s="65" t="s">
        <v>1953</v>
      </c>
      <c r="CQ168" s="65" t="s">
        <v>1953</v>
      </c>
      <c r="CR168" s="65" t="s">
        <v>1953</v>
      </c>
      <c r="CS168" s="65" t="s">
        <v>1953</v>
      </c>
      <c r="CT168" s="65" t="s">
        <v>1953</v>
      </c>
      <c r="CU168" s="65" t="s">
        <v>1953</v>
      </c>
      <c r="CV168" s="65" t="s">
        <v>1953</v>
      </c>
      <c r="CW168" s="65" t="s">
        <v>1953</v>
      </c>
      <c r="CX168" s="65" t="s">
        <v>1953</v>
      </c>
      <c r="CY168" s="65" t="s">
        <v>1953</v>
      </c>
      <c r="CZ168" s="65" t="s">
        <v>1953</v>
      </c>
      <c r="DA168" s="65" t="s">
        <v>1953</v>
      </c>
    </row>
    <row r="169" spans="78:105">
      <c r="BZ169" t="s">
        <v>7746</v>
      </c>
      <c r="CA169" t="str">
        <f>IFERROR(HLOOKUP($CA$1,Table4[[#All],[India]:[Dominican Republic]],ROW(Table4[[#This Row],[Default]])-1,0),"True")</f>
        <v>True</v>
      </c>
      <c r="CB169" s="65" t="s">
        <v>1953</v>
      </c>
      <c r="CC169" s="65" t="s">
        <v>1953</v>
      </c>
      <c r="CD169" s="65" t="s">
        <v>1953</v>
      </c>
      <c r="CE169" s="65" t="s">
        <v>1953</v>
      </c>
      <c r="CF169" s="65" t="s">
        <v>1953</v>
      </c>
      <c r="CG169" s="65" t="s">
        <v>1953</v>
      </c>
      <c r="CH169" s="65" t="s">
        <v>1953</v>
      </c>
      <c r="CI169" s="65" t="s">
        <v>1953</v>
      </c>
      <c r="CJ169" s="65" t="s">
        <v>1953</v>
      </c>
      <c r="CK169" s="65" t="s">
        <v>1953</v>
      </c>
      <c r="CL169" s="65" t="s">
        <v>1954</v>
      </c>
      <c r="CM169" s="65" t="s">
        <v>1953</v>
      </c>
      <c r="CN169" s="65" t="s">
        <v>1953</v>
      </c>
      <c r="CO169" s="65" t="s">
        <v>1953</v>
      </c>
      <c r="CP169" s="65" t="s">
        <v>1953</v>
      </c>
      <c r="CQ169" s="65" t="s">
        <v>1953</v>
      </c>
      <c r="CR169" s="65" t="s">
        <v>1953</v>
      </c>
      <c r="CS169" s="65" t="s">
        <v>1953</v>
      </c>
      <c r="CT169" s="65" t="s">
        <v>1953</v>
      </c>
      <c r="CU169" s="65" t="s">
        <v>1953</v>
      </c>
      <c r="CV169" s="65" t="s">
        <v>1953</v>
      </c>
      <c r="CW169" s="65" t="s">
        <v>1953</v>
      </c>
      <c r="CX169" s="65" t="s">
        <v>1953</v>
      </c>
      <c r="CY169" s="65" t="s">
        <v>1953</v>
      </c>
      <c r="CZ169" s="65" t="s">
        <v>1953</v>
      </c>
      <c r="DA169" s="65" t="s">
        <v>1953</v>
      </c>
    </row>
    <row r="170" spans="78:105">
      <c r="BZ170" t="s">
        <v>7748</v>
      </c>
      <c r="CA170" t="str">
        <f>IFERROR(HLOOKUP($CA$1,Table4[[#All],[India]:[Dominican Republic]],ROW(Table4[[#This Row],[Default]])-1,0),"True")</f>
        <v>True</v>
      </c>
      <c r="CB170" s="65" t="s">
        <v>1953</v>
      </c>
      <c r="CC170" s="65" t="s">
        <v>1953</v>
      </c>
      <c r="CD170" s="65" t="s">
        <v>1953</v>
      </c>
      <c r="CE170" s="65" t="s">
        <v>1953</v>
      </c>
      <c r="CF170" s="65" t="s">
        <v>1953</v>
      </c>
      <c r="CG170" s="65" t="s">
        <v>1953</v>
      </c>
      <c r="CH170" s="65" t="s">
        <v>1953</v>
      </c>
      <c r="CI170" s="65" t="s">
        <v>1953</v>
      </c>
      <c r="CJ170" s="65" t="s">
        <v>1953</v>
      </c>
      <c r="CK170" s="65" t="s">
        <v>1953</v>
      </c>
      <c r="CL170" s="65" t="s">
        <v>1954</v>
      </c>
      <c r="CM170" s="65" t="s">
        <v>1953</v>
      </c>
      <c r="CN170" s="65" t="s">
        <v>1953</v>
      </c>
      <c r="CO170" s="65" t="s">
        <v>1953</v>
      </c>
      <c r="CP170" s="65" t="s">
        <v>1953</v>
      </c>
      <c r="CQ170" s="65" t="s">
        <v>1953</v>
      </c>
      <c r="CR170" s="65" t="s">
        <v>1953</v>
      </c>
      <c r="CS170" s="65" t="s">
        <v>1953</v>
      </c>
      <c r="CT170" s="65" t="s">
        <v>1953</v>
      </c>
      <c r="CU170" s="65" t="s">
        <v>1953</v>
      </c>
      <c r="CV170" s="65" t="s">
        <v>1953</v>
      </c>
      <c r="CW170" s="65" t="s">
        <v>1953</v>
      </c>
      <c r="CX170" s="65" t="s">
        <v>1953</v>
      </c>
      <c r="CY170" s="65" t="s">
        <v>1953</v>
      </c>
      <c r="CZ170" s="65" t="s">
        <v>1953</v>
      </c>
      <c r="DA170" s="65" t="s">
        <v>1953</v>
      </c>
    </row>
    <row r="171" spans="78:105">
      <c r="BZ171" t="s">
        <v>7749</v>
      </c>
      <c r="CA171" t="str">
        <f>IFERROR(HLOOKUP($CA$1,Table4[[#All],[India]:[Dominican Republic]],ROW(Table4[[#This Row],[Default]])-1,0),"True")</f>
        <v>True</v>
      </c>
      <c r="CB171" s="65" t="s">
        <v>1953</v>
      </c>
      <c r="CC171" s="65" t="s">
        <v>1953</v>
      </c>
      <c r="CD171" s="65" t="s">
        <v>1953</v>
      </c>
      <c r="CE171" s="65" t="s">
        <v>1953</v>
      </c>
      <c r="CF171" s="65" t="s">
        <v>1953</v>
      </c>
      <c r="CG171" s="65" t="s">
        <v>1953</v>
      </c>
      <c r="CH171" s="65" t="s">
        <v>1953</v>
      </c>
      <c r="CI171" s="65" t="s">
        <v>1953</v>
      </c>
      <c r="CJ171" s="65" t="s">
        <v>1953</v>
      </c>
      <c r="CK171" s="65" t="s">
        <v>1953</v>
      </c>
      <c r="CL171" s="65" t="s">
        <v>1954</v>
      </c>
      <c r="CM171" s="65" t="s">
        <v>1953</v>
      </c>
      <c r="CN171" s="65" t="s">
        <v>1953</v>
      </c>
      <c r="CO171" s="65" t="s">
        <v>1953</v>
      </c>
      <c r="CP171" s="65" t="s">
        <v>1953</v>
      </c>
      <c r="CQ171" s="65" t="s">
        <v>1953</v>
      </c>
      <c r="CR171" s="65" t="s">
        <v>1953</v>
      </c>
      <c r="CS171" s="65" t="s">
        <v>1953</v>
      </c>
      <c r="CT171" s="65" t="s">
        <v>1953</v>
      </c>
      <c r="CU171" s="65" t="s">
        <v>1953</v>
      </c>
      <c r="CV171" s="65" t="s">
        <v>1953</v>
      </c>
      <c r="CW171" s="65" t="s">
        <v>1953</v>
      </c>
      <c r="CX171" s="65" t="s">
        <v>1953</v>
      </c>
      <c r="CY171" s="65" t="s">
        <v>1953</v>
      </c>
      <c r="CZ171" s="65" t="s">
        <v>1953</v>
      </c>
      <c r="DA171" s="65" t="s">
        <v>1953</v>
      </c>
    </row>
    <row r="172" spans="78:105">
      <c r="BZ172" t="s">
        <v>7750</v>
      </c>
      <c r="CA172" t="str">
        <f>IFERROR(HLOOKUP($CA$1,Table4[[#All],[India]:[Dominican Republic]],ROW(Table4[[#This Row],[Default]])-1,0),"True")</f>
        <v>True</v>
      </c>
      <c r="CB172" s="65" t="s">
        <v>1953</v>
      </c>
      <c r="CC172" s="65" t="s">
        <v>1953</v>
      </c>
      <c r="CD172" s="65" t="s">
        <v>1953</v>
      </c>
      <c r="CE172" s="65" t="s">
        <v>1953</v>
      </c>
      <c r="CF172" s="65" t="s">
        <v>1953</v>
      </c>
      <c r="CG172" s="65" t="s">
        <v>1953</v>
      </c>
      <c r="CH172" s="65" t="s">
        <v>1953</v>
      </c>
      <c r="CI172" s="65" t="s">
        <v>1953</v>
      </c>
      <c r="CJ172" s="65" t="s">
        <v>1953</v>
      </c>
      <c r="CK172" s="65" t="s">
        <v>1953</v>
      </c>
      <c r="CL172" s="65" t="s">
        <v>1954</v>
      </c>
      <c r="CM172" s="65" t="s">
        <v>1953</v>
      </c>
      <c r="CN172" s="65" t="s">
        <v>1953</v>
      </c>
      <c r="CO172" s="65" t="s">
        <v>1953</v>
      </c>
      <c r="CP172" s="65" t="s">
        <v>1953</v>
      </c>
      <c r="CQ172" s="65" t="s">
        <v>1953</v>
      </c>
      <c r="CR172" s="65" t="s">
        <v>1953</v>
      </c>
      <c r="CS172" s="65" t="s">
        <v>1953</v>
      </c>
      <c r="CT172" s="65" t="s">
        <v>1953</v>
      </c>
      <c r="CU172" s="65" t="s">
        <v>1953</v>
      </c>
      <c r="CV172" s="65" t="s">
        <v>1953</v>
      </c>
      <c r="CW172" s="65" t="s">
        <v>1953</v>
      </c>
      <c r="CX172" s="65" t="s">
        <v>1953</v>
      </c>
      <c r="CY172" s="65" t="s">
        <v>1953</v>
      </c>
      <c r="CZ172" s="65" t="s">
        <v>1953</v>
      </c>
      <c r="DA172" s="65" t="s">
        <v>1953</v>
      </c>
    </row>
    <row r="173" spans="78:105">
      <c r="BZ173" t="s">
        <v>7752</v>
      </c>
      <c r="CA173" t="str">
        <f>IFERROR(HLOOKUP($CA$1,Table4[[#All],[India]:[Dominican Republic]],ROW(Table4[[#This Row],[Default]])-1,0),"True")</f>
        <v>True</v>
      </c>
      <c r="CB173" s="65" t="s">
        <v>1953</v>
      </c>
      <c r="CC173" s="65" t="s">
        <v>1953</v>
      </c>
      <c r="CD173" s="65" t="s">
        <v>1953</v>
      </c>
      <c r="CE173" s="65" t="s">
        <v>1953</v>
      </c>
      <c r="CF173" s="65" t="s">
        <v>1953</v>
      </c>
      <c r="CG173" s="65" t="s">
        <v>1953</v>
      </c>
      <c r="CH173" s="65" t="s">
        <v>1953</v>
      </c>
      <c r="CI173" s="65" t="s">
        <v>1953</v>
      </c>
      <c r="CJ173" s="65" t="s">
        <v>1953</v>
      </c>
      <c r="CK173" s="65" t="s">
        <v>1953</v>
      </c>
      <c r="CL173" s="65" t="s">
        <v>1954</v>
      </c>
      <c r="CM173" s="65" t="s">
        <v>1953</v>
      </c>
      <c r="CN173" s="65" t="s">
        <v>1953</v>
      </c>
      <c r="CO173" s="65" t="s">
        <v>1953</v>
      </c>
      <c r="CP173" s="65" t="s">
        <v>1953</v>
      </c>
      <c r="CQ173" s="65" t="s">
        <v>1953</v>
      </c>
      <c r="CR173" s="65" t="s">
        <v>1953</v>
      </c>
      <c r="CS173" s="65" t="s">
        <v>1953</v>
      </c>
      <c r="CT173" s="65" t="s">
        <v>1953</v>
      </c>
      <c r="CU173" s="65" t="s">
        <v>1953</v>
      </c>
      <c r="CV173" s="65" t="s">
        <v>1953</v>
      </c>
      <c r="CW173" s="65" t="s">
        <v>1953</v>
      </c>
      <c r="CX173" s="65" t="s">
        <v>1953</v>
      </c>
      <c r="CY173" s="65" t="s">
        <v>1953</v>
      </c>
      <c r="CZ173" s="65" t="s">
        <v>1953</v>
      </c>
      <c r="DA173" s="65" t="s">
        <v>1953</v>
      </c>
    </row>
    <row r="174" spans="78:105">
      <c r="BZ174" t="s">
        <v>5032</v>
      </c>
      <c r="CA174" t="str">
        <f>IFERROR(HLOOKUP($CA$1,Table4[[#All],[India]:[Dominican Republic]],ROW(Table4[[#This Row],[Default]])-1,0),"True")</f>
        <v>True</v>
      </c>
      <c r="CB174" s="65" t="s">
        <v>1953</v>
      </c>
      <c r="CC174" s="65" t="s">
        <v>1953</v>
      </c>
      <c r="CD174" s="65" t="s">
        <v>1953</v>
      </c>
      <c r="CE174" s="65" t="s">
        <v>1953</v>
      </c>
      <c r="CF174" s="65" t="s">
        <v>1953</v>
      </c>
      <c r="CG174" s="65" t="s">
        <v>1953</v>
      </c>
      <c r="CH174" s="65" t="s">
        <v>1953</v>
      </c>
      <c r="CI174" s="65" t="s">
        <v>1953</v>
      </c>
      <c r="CJ174" s="65" t="s">
        <v>1953</v>
      </c>
      <c r="CK174" s="65" t="s">
        <v>1953</v>
      </c>
      <c r="CL174" s="65" t="s">
        <v>1954</v>
      </c>
      <c r="CM174" s="65" t="s">
        <v>1953</v>
      </c>
      <c r="CN174" s="65" t="s">
        <v>1953</v>
      </c>
      <c r="CO174" s="65" t="s">
        <v>1953</v>
      </c>
      <c r="CP174" s="65" t="s">
        <v>1953</v>
      </c>
      <c r="CQ174" s="65" t="s">
        <v>1953</v>
      </c>
      <c r="CR174" s="65" t="s">
        <v>1953</v>
      </c>
      <c r="CS174" s="65" t="s">
        <v>1953</v>
      </c>
      <c r="CT174" s="65" t="s">
        <v>1953</v>
      </c>
      <c r="CU174" s="65" t="s">
        <v>1953</v>
      </c>
      <c r="CV174" s="65" t="s">
        <v>1953</v>
      </c>
      <c r="CW174" s="65" t="s">
        <v>1953</v>
      </c>
      <c r="CX174" s="65" t="s">
        <v>1953</v>
      </c>
      <c r="CY174" s="65" t="s">
        <v>1953</v>
      </c>
      <c r="CZ174" s="65" t="s">
        <v>1953</v>
      </c>
      <c r="DA174" s="65" t="s">
        <v>1953</v>
      </c>
    </row>
    <row r="175" spans="78:105">
      <c r="BZ175" t="s">
        <v>7746</v>
      </c>
      <c r="CA175" t="str">
        <f>IFERROR(HLOOKUP($CA$1,Table4[[#All],[India]:[Dominican Republic]],ROW(Table4[[#This Row],[Default]])-1,0),"True")</f>
        <v>True</v>
      </c>
      <c r="CB175" s="65" t="s">
        <v>1953</v>
      </c>
      <c r="CC175" s="65" t="s">
        <v>1953</v>
      </c>
      <c r="CD175" s="65" t="s">
        <v>1953</v>
      </c>
      <c r="CE175" s="65" t="s">
        <v>1953</v>
      </c>
      <c r="CF175" s="65" t="s">
        <v>1953</v>
      </c>
      <c r="CG175" s="65" t="s">
        <v>1953</v>
      </c>
      <c r="CH175" s="65" t="s">
        <v>1953</v>
      </c>
      <c r="CI175" s="65" t="s">
        <v>1953</v>
      </c>
      <c r="CJ175" s="65" t="s">
        <v>1953</v>
      </c>
      <c r="CK175" s="65" t="s">
        <v>1953</v>
      </c>
      <c r="CL175" s="65" t="s">
        <v>1954</v>
      </c>
      <c r="CM175" s="65" t="s">
        <v>1953</v>
      </c>
      <c r="CN175" s="65" t="s">
        <v>1953</v>
      </c>
      <c r="CO175" s="65" t="s">
        <v>1953</v>
      </c>
      <c r="CP175" s="65" t="s">
        <v>1953</v>
      </c>
      <c r="CQ175" s="65" t="s">
        <v>1953</v>
      </c>
      <c r="CR175" s="65" t="s">
        <v>1953</v>
      </c>
      <c r="CS175" s="65" t="s">
        <v>1953</v>
      </c>
      <c r="CT175" s="65" t="s">
        <v>1953</v>
      </c>
      <c r="CU175" s="65" t="s">
        <v>1953</v>
      </c>
      <c r="CV175" s="65" t="s">
        <v>1953</v>
      </c>
      <c r="CW175" s="65" t="s">
        <v>1953</v>
      </c>
      <c r="CX175" s="65" t="s">
        <v>1953</v>
      </c>
      <c r="CY175" s="65" t="s">
        <v>1953</v>
      </c>
      <c r="CZ175" s="65" t="s">
        <v>1953</v>
      </c>
      <c r="DA175" s="65" t="s">
        <v>1953</v>
      </c>
    </row>
    <row r="176" spans="78:105">
      <c r="BZ176" t="s">
        <v>7749</v>
      </c>
      <c r="CA176" t="str">
        <f>IFERROR(HLOOKUP($CA$1,Table4[[#All],[India]:[Dominican Republic]],ROW(Table4[[#This Row],[Default]])-1,0),"True")</f>
        <v>True</v>
      </c>
      <c r="CB176" s="65" t="s">
        <v>1953</v>
      </c>
      <c r="CC176" s="65" t="s">
        <v>1953</v>
      </c>
      <c r="CD176" s="65" t="s">
        <v>1953</v>
      </c>
      <c r="CE176" s="65" t="s">
        <v>1953</v>
      </c>
      <c r="CF176" s="65" t="s">
        <v>1953</v>
      </c>
      <c r="CG176" s="65" t="s">
        <v>1953</v>
      </c>
      <c r="CH176" s="65" t="s">
        <v>1953</v>
      </c>
      <c r="CI176" s="65" t="s">
        <v>1953</v>
      </c>
      <c r="CJ176" s="65" t="s">
        <v>1953</v>
      </c>
      <c r="CK176" s="65" t="s">
        <v>1953</v>
      </c>
      <c r="CL176" s="65" t="s">
        <v>1954</v>
      </c>
      <c r="CM176" s="65" t="s">
        <v>1953</v>
      </c>
      <c r="CN176" s="65" t="s">
        <v>1953</v>
      </c>
      <c r="CO176" s="65" t="s">
        <v>1953</v>
      </c>
      <c r="CP176" s="65" t="s">
        <v>1953</v>
      </c>
      <c r="CQ176" s="65" t="s">
        <v>1953</v>
      </c>
      <c r="CR176" s="65" t="s">
        <v>1953</v>
      </c>
      <c r="CS176" s="65" t="s">
        <v>1953</v>
      </c>
      <c r="CT176" s="65" t="s">
        <v>1953</v>
      </c>
      <c r="CU176" s="65" t="s">
        <v>1953</v>
      </c>
      <c r="CV176" s="65" t="s">
        <v>1953</v>
      </c>
      <c r="CW176" s="65" t="s">
        <v>1953</v>
      </c>
      <c r="CX176" s="65" t="s">
        <v>1953</v>
      </c>
      <c r="CY176" s="65" t="s">
        <v>1953</v>
      </c>
      <c r="CZ176" s="65" t="s">
        <v>1953</v>
      </c>
      <c r="DA176" s="65" t="s">
        <v>1953</v>
      </c>
    </row>
    <row r="177" spans="78:105">
      <c r="BZ177" t="s">
        <v>7750</v>
      </c>
      <c r="CA177" t="str">
        <f>IFERROR(HLOOKUP($CA$1,Table4[[#All],[India]:[Dominican Republic]],ROW(Table4[[#This Row],[Default]])-1,0),"True")</f>
        <v>True</v>
      </c>
      <c r="CB177" s="65" t="s">
        <v>1953</v>
      </c>
      <c r="CC177" s="65" t="s">
        <v>1953</v>
      </c>
      <c r="CD177" s="65" t="s">
        <v>1953</v>
      </c>
      <c r="CE177" s="65" t="s">
        <v>1953</v>
      </c>
      <c r="CF177" s="65" t="s">
        <v>1953</v>
      </c>
      <c r="CG177" s="65" t="s">
        <v>1953</v>
      </c>
      <c r="CH177" s="65" t="s">
        <v>1953</v>
      </c>
      <c r="CI177" s="65" t="s">
        <v>1953</v>
      </c>
      <c r="CJ177" s="65" t="s">
        <v>1953</v>
      </c>
      <c r="CK177" s="65" t="s">
        <v>1953</v>
      </c>
      <c r="CL177" s="65" t="s">
        <v>1954</v>
      </c>
      <c r="CM177" s="65" t="s">
        <v>1953</v>
      </c>
      <c r="CN177" s="65" t="s">
        <v>1953</v>
      </c>
      <c r="CO177" s="65" t="s">
        <v>1953</v>
      </c>
      <c r="CP177" s="65" t="s">
        <v>1953</v>
      </c>
      <c r="CQ177" s="65" t="s">
        <v>1953</v>
      </c>
      <c r="CR177" s="65" t="s">
        <v>1953</v>
      </c>
      <c r="CS177" s="65" t="s">
        <v>1953</v>
      </c>
      <c r="CT177" s="65" t="s">
        <v>1953</v>
      </c>
      <c r="CU177" s="65" t="s">
        <v>1953</v>
      </c>
      <c r="CV177" s="65" t="s">
        <v>1953</v>
      </c>
      <c r="CW177" s="65" t="s">
        <v>1953</v>
      </c>
      <c r="CX177" s="65" t="s">
        <v>1953</v>
      </c>
      <c r="CY177" s="65" t="s">
        <v>1953</v>
      </c>
      <c r="CZ177" s="65" t="s">
        <v>1953</v>
      </c>
      <c r="DA177" s="65" t="s">
        <v>1953</v>
      </c>
    </row>
    <row r="178" spans="78:105">
      <c r="BZ178" t="s">
        <v>7753</v>
      </c>
      <c r="CA178" t="str">
        <f>IFERROR(HLOOKUP($CA$1,Table4[[#All],[India]:[Dominican Republic]],ROW(Table4[[#This Row],[Default]])-1,0),"True")</f>
        <v>True</v>
      </c>
      <c r="CB178" s="65" t="s">
        <v>1953</v>
      </c>
      <c r="CC178" s="65" t="s">
        <v>1953</v>
      </c>
      <c r="CD178" s="65" t="s">
        <v>1953</v>
      </c>
      <c r="CE178" s="65" t="s">
        <v>1953</v>
      </c>
      <c r="CF178" s="65" t="s">
        <v>1953</v>
      </c>
      <c r="CG178" s="65" t="s">
        <v>1953</v>
      </c>
      <c r="CH178" s="65" t="s">
        <v>1953</v>
      </c>
      <c r="CI178" s="65" t="s">
        <v>1953</v>
      </c>
      <c r="CJ178" s="65" t="s">
        <v>1953</v>
      </c>
      <c r="CK178" s="65" t="s">
        <v>1953</v>
      </c>
      <c r="CL178" s="65" t="s">
        <v>1954</v>
      </c>
      <c r="CM178" s="65" t="s">
        <v>1953</v>
      </c>
      <c r="CN178" s="65" t="s">
        <v>1953</v>
      </c>
      <c r="CO178" s="65" t="s">
        <v>1953</v>
      </c>
      <c r="CP178" s="65" t="s">
        <v>1953</v>
      </c>
      <c r="CQ178" s="65" t="s">
        <v>1953</v>
      </c>
      <c r="CR178" s="65" t="s">
        <v>1953</v>
      </c>
      <c r="CS178" s="65" t="s">
        <v>1953</v>
      </c>
      <c r="CT178" s="65" t="s">
        <v>1953</v>
      </c>
      <c r="CU178" s="65" t="s">
        <v>1953</v>
      </c>
      <c r="CV178" s="65" t="s">
        <v>1953</v>
      </c>
      <c r="CW178" s="65" t="s">
        <v>1953</v>
      </c>
      <c r="CX178" s="65" t="s">
        <v>1953</v>
      </c>
      <c r="CY178" s="65" t="s">
        <v>1953</v>
      </c>
      <c r="CZ178" s="65" t="s">
        <v>1953</v>
      </c>
      <c r="DA178" s="65" t="s">
        <v>1953</v>
      </c>
    </row>
    <row r="179" spans="78:105">
      <c r="BZ179" t="s">
        <v>5032</v>
      </c>
      <c r="CA179" t="str">
        <f>IFERROR(HLOOKUP($CA$1,Table4[[#All],[India]:[Dominican Republic]],ROW(Table4[[#This Row],[Default]])-1,0),"True")</f>
        <v>True</v>
      </c>
      <c r="CB179" s="65" t="s">
        <v>1953</v>
      </c>
      <c r="CC179" s="65" t="s">
        <v>1953</v>
      </c>
      <c r="CD179" s="65" t="s">
        <v>1953</v>
      </c>
      <c r="CE179" s="65" t="s">
        <v>1953</v>
      </c>
      <c r="CF179" s="65" t="s">
        <v>1953</v>
      </c>
      <c r="CG179" s="65" t="s">
        <v>1953</v>
      </c>
      <c r="CH179" s="65" t="s">
        <v>1953</v>
      </c>
      <c r="CI179" s="65" t="s">
        <v>1953</v>
      </c>
      <c r="CJ179" s="65" t="s">
        <v>1953</v>
      </c>
      <c r="CK179" s="65" t="s">
        <v>1953</v>
      </c>
      <c r="CL179" s="65" t="s">
        <v>1954</v>
      </c>
      <c r="CM179" s="65" t="s">
        <v>1953</v>
      </c>
      <c r="CN179" s="65" t="s">
        <v>1953</v>
      </c>
      <c r="CO179" s="65" t="s">
        <v>1953</v>
      </c>
      <c r="CP179" s="65" t="s">
        <v>1953</v>
      </c>
      <c r="CQ179" s="65" t="s">
        <v>1953</v>
      </c>
      <c r="CR179" s="65" t="s">
        <v>1953</v>
      </c>
      <c r="CS179" s="65" t="s">
        <v>1953</v>
      </c>
      <c r="CT179" s="65" t="s">
        <v>1953</v>
      </c>
      <c r="CU179" s="65" t="s">
        <v>1953</v>
      </c>
      <c r="CV179" s="65" t="s">
        <v>1953</v>
      </c>
      <c r="CW179" s="65" t="s">
        <v>1953</v>
      </c>
      <c r="CX179" s="65" t="s">
        <v>1953</v>
      </c>
      <c r="CY179" s="65" t="s">
        <v>1953</v>
      </c>
      <c r="CZ179" s="65" t="s">
        <v>1953</v>
      </c>
      <c r="DA179" s="65" t="s">
        <v>1953</v>
      </c>
    </row>
    <row r="180" spans="78:105">
      <c r="BZ180" t="s">
        <v>7746</v>
      </c>
      <c r="CA180" t="str">
        <f>IFERROR(HLOOKUP($CA$1,Table4[[#All],[India]:[Dominican Republic]],ROW(Table4[[#This Row],[Default]])-1,0),"True")</f>
        <v>True</v>
      </c>
      <c r="CB180" s="65" t="s">
        <v>1953</v>
      </c>
      <c r="CC180" s="65" t="s">
        <v>1953</v>
      </c>
      <c r="CD180" s="65" t="s">
        <v>1953</v>
      </c>
      <c r="CE180" s="65" t="s">
        <v>1953</v>
      </c>
      <c r="CF180" s="65" t="s">
        <v>1953</v>
      </c>
      <c r="CG180" s="65" t="s">
        <v>1953</v>
      </c>
      <c r="CH180" s="65" t="s">
        <v>1953</v>
      </c>
      <c r="CI180" s="65" t="s">
        <v>1953</v>
      </c>
      <c r="CJ180" s="65" t="s">
        <v>1953</v>
      </c>
      <c r="CK180" s="65" t="s">
        <v>1953</v>
      </c>
      <c r="CL180" s="65" t="s">
        <v>1954</v>
      </c>
      <c r="CM180" s="65" t="s">
        <v>1953</v>
      </c>
      <c r="CN180" s="65" t="s">
        <v>1953</v>
      </c>
      <c r="CO180" s="65" t="s">
        <v>1953</v>
      </c>
      <c r="CP180" s="65" t="s">
        <v>1953</v>
      </c>
      <c r="CQ180" s="65" t="s">
        <v>1953</v>
      </c>
      <c r="CR180" s="65" t="s">
        <v>1953</v>
      </c>
      <c r="CS180" s="65" t="s">
        <v>1953</v>
      </c>
      <c r="CT180" s="65" t="s">
        <v>1953</v>
      </c>
      <c r="CU180" s="65" t="s">
        <v>1953</v>
      </c>
      <c r="CV180" s="65" t="s">
        <v>1953</v>
      </c>
      <c r="CW180" s="65" t="s">
        <v>1953</v>
      </c>
      <c r="CX180" s="65" t="s">
        <v>1953</v>
      </c>
      <c r="CY180" s="65" t="s">
        <v>1953</v>
      </c>
      <c r="CZ180" s="65" t="s">
        <v>1953</v>
      </c>
      <c r="DA180" s="65" t="s">
        <v>1953</v>
      </c>
    </row>
    <row r="181" spans="78:105">
      <c r="BZ181" t="s">
        <v>7749</v>
      </c>
      <c r="CA181" t="str">
        <f>IFERROR(HLOOKUP($CA$1,Table4[[#All],[India]:[Dominican Republic]],ROW(Table4[[#This Row],[Default]])-1,0),"True")</f>
        <v>True</v>
      </c>
      <c r="CB181" s="65" t="s">
        <v>1953</v>
      </c>
      <c r="CC181" s="65" t="s">
        <v>1953</v>
      </c>
      <c r="CD181" s="65" t="s">
        <v>1953</v>
      </c>
      <c r="CE181" s="65" t="s">
        <v>1953</v>
      </c>
      <c r="CF181" s="65" t="s">
        <v>1953</v>
      </c>
      <c r="CG181" s="65" t="s">
        <v>1953</v>
      </c>
      <c r="CH181" s="65" t="s">
        <v>1953</v>
      </c>
      <c r="CI181" s="65" t="s">
        <v>1953</v>
      </c>
      <c r="CJ181" s="65" t="s">
        <v>1953</v>
      </c>
      <c r="CK181" s="65" t="s">
        <v>1953</v>
      </c>
      <c r="CL181" s="65" t="s">
        <v>1954</v>
      </c>
      <c r="CM181" s="65" t="s">
        <v>1953</v>
      </c>
      <c r="CN181" s="65" t="s">
        <v>1953</v>
      </c>
      <c r="CO181" s="65" t="s">
        <v>1953</v>
      </c>
      <c r="CP181" s="65" t="s">
        <v>1953</v>
      </c>
      <c r="CQ181" s="65" t="s">
        <v>1953</v>
      </c>
      <c r="CR181" s="65" t="s">
        <v>1953</v>
      </c>
      <c r="CS181" s="65" t="s">
        <v>1953</v>
      </c>
      <c r="CT181" s="65" t="s">
        <v>1953</v>
      </c>
      <c r="CU181" s="65" t="s">
        <v>1953</v>
      </c>
      <c r="CV181" s="65" t="s">
        <v>1953</v>
      </c>
      <c r="CW181" s="65" t="s">
        <v>1953</v>
      </c>
      <c r="CX181" s="65" t="s">
        <v>1953</v>
      </c>
      <c r="CY181" s="65" t="s">
        <v>1953</v>
      </c>
      <c r="CZ181" s="65" t="s">
        <v>1953</v>
      </c>
      <c r="DA181" s="65" t="s">
        <v>1953</v>
      </c>
    </row>
    <row r="182" spans="78:105">
      <c r="BZ182" t="s">
        <v>7754</v>
      </c>
      <c r="CA182" t="str">
        <f>IFERROR(HLOOKUP($CA$1,Table4[[#All],[India]:[Dominican Republic]],ROW(Table4[[#This Row],[Default]])-1,0),"True")</f>
        <v>True</v>
      </c>
      <c r="CB182" s="65" t="s">
        <v>1953</v>
      </c>
      <c r="CC182" s="65" t="s">
        <v>1953</v>
      </c>
      <c r="CD182" s="65" t="s">
        <v>1953</v>
      </c>
      <c r="CE182" s="65" t="s">
        <v>1953</v>
      </c>
      <c r="CF182" s="65" t="s">
        <v>1953</v>
      </c>
      <c r="CG182" s="65" t="s">
        <v>1953</v>
      </c>
      <c r="CH182" s="65" t="s">
        <v>1953</v>
      </c>
      <c r="CI182" s="65" t="s">
        <v>1953</v>
      </c>
      <c r="CJ182" s="65" t="s">
        <v>1953</v>
      </c>
      <c r="CK182" s="65" t="s">
        <v>1953</v>
      </c>
      <c r="CL182" s="65" t="s">
        <v>1954</v>
      </c>
      <c r="CM182" s="65" t="s">
        <v>1953</v>
      </c>
      <c r="CN182" s="65" t="s">
        <v>1953</v>
      </c>
      <c r="CO182" s="65" t="s">
        <v>1953</v>
      </c>
      <c r="CP182" s="65" t="s">
        <v>1953</v>
      </c>
      <c r="CQ182" s="65" t="s">
        <v>1953</v>
      </c>
      <c r="CR182" s="65" t="s">
        <v>1953</v>
      </c>
      <c r="CS182" s="65" t="s">
        <v>1953</v>
      </c>
      <c r="CT182" s="65" t="s">
        <v>1953</v>
      </c>
      <c r="CU182" s="65" t="s">
        <v>1953</v>
      </c>
      <c r="CV182" s="65" t="s">
        <v>1953</v>
      </c>
      <c r="CW182" s="65" t="s">
        <v>1953</v>
      </c>
      <c r="CX182" s="65" t="s">
        <v>1953</v>
      </c>
      <c r="CY182" s="65" t="s">
        <v>1953</v>
      </c>
      <c r="CZ182" s="65" t="s">
        <v>1953</v>
      </c>
      <c r="DA182" s="65" t="s">
        <v>1953</v>
      </c>
    </row>
    <row r="183" spans="78:105">
      <c r="BZ183" t="s">
        <v>5032</v>
      </c>
      <c r="CA183" t="str">
        <f>IFERROR(HLOOKUP($CA$1,Table4[[#All],[India]:[Dominican Republic]],ROW(Table4[[#This Row],[Default]])-1,0),"True")</f>
        <v>True</v>
      </c>
      <c r="CB183" s="65" t="s">
        <v>1953</v>
      </c>
      <c r="CC183" s="65" t="s">
        <v>1953</v>
      </c>
      <c r="CD183" s="65" t="s">
        <v>1953</v>
      </c>
      <c r="CE183" s="65" t="s">
        <v>1953</v>
      </c>
      <c r="CF183" s="65" t="s">
        <v>1953</v>
      </c>
      <c r="CG183" s="65" t="s">
        <v>1953</v>
      </c>
      <c r="CH183" s="65" t="s">
        <v>1953</v>
      </c>
      <c r="CI183" s="65" t="s">
        <v>1953</v>
      </c>
      <c r="CJ183" s="65" t="s">
        <v>1953</v>
      </c>
      <c r="CK183" s="65" t="s">
        <v>1953</v>
      </c>
      <c r="CL183" s="65" t="s">
        <v>1954</v>
      </c>
      <c r="CM183" s="65" t="s">
        <v>1953</v>
      </c>
      <c r="CN183" s="65" t="s">
        <v>1953</v>
      </c>
      <c r="CO183" s="65" t="s">
        <v>1953</v>
      </c>
      <c r="CP183" s="65" t="s">
        <v>1953</v>
      </c>
      <c r="CQ183" s="65" t="s">
        <v>1953</v>
      </c>
      <c r="CR183" s="65" t="s">
        <v>1953</v>
      </c>
      <c r="CS183" s="65" t="s">
        <v>1953</v>
      </c>
      <c r="CT183" s="65" t="s">
        <v>1953</v>
      </c>
      <c r="CU183" s="65" t="s">
        <v>1953</v>
      </c>
      <c r="CV183" s="65" t="s">
        <v>1953</v>
      </c>
      <c r="CW183" s="65" t="s">
        <v>1953</v>
      </c>
      <c r="CX183" s="65" t="s">
        <v>1953</v>
      </c>
      <c r="CY183" s="65" t="s">
        <v>1953</v>
      </c>
      <c r="CZ183" s="65" t="s">
        <v>1953</v>
      </c>
      <c r="DA183" s="65" t="s">
        <v>1953</v>
      </c>
    </row>
    <row r="184" spans="78:105">
      <c r="BZ184" t="s">
        <v>7755</v>
      </c>
      <c r="CA184" t="str">
        <f>IFERROR(HLOOKUP($CA$1,Table4[[#All],[India]:[Dominican Republic]],ROW(Table4[[#This Row],[Default]])-1,0),"True")</f>
        <v>True</v>
      </c>
      <c r="CB184" s="65" t="s">
        <v>1953</v>
      </c>
      <c r="CC184" s="65" t="s">
        <v>1953</v>
      </c>
      <c r="CD184" s="65" t="s">
        <v>1953</v>
      </c>
      <c r="CE184" s="65" t="s">
        <v>1953</v>
      </c>
      <c r="CF184" s="65" t="s">
        <v>1953</v>
      </c>
      <c r="CG184" s="65" t="s">
        <v>1953</v>
      </c>
      <c r="CH184" s="65" t="s">
        <v>1953</v>
      </c>
      <c r="CI184" s="65" t="s">
        <v>1953</v>
      </c>
      <c r="CJ184" s="65" t="s">
        <v>1953</v>
      </c>
      <c r="CK184" s="65" t="s">
        <v>1953</v>
      </c>
      <c r="CL184" s="65" t="s">
        <v>1954</v>
      </c>
      <c r="CM184" s="65" t="s">
        <v>1953</v>
      </c>
      <c r="CN184" s="65" t="s">
        <v>1953</v>
      </c>
      <c r="CO184" s="65" t="s">
        <v>1953</v>
      </c>
      <c r="CP184" s="65" t="s">
        <v>1953</v>
      </c>
      <c r="CQ184" s="65" t="s">
        <v>1953</v>
      </c>
      <c r="CR184" s="65" t="s">
        <v>1953</v>
      </c>
      <c r="CS184" s="65" t="s">
        <v>1953</v>
      </c>
      <c r="CT184" s="65" t="s">
        <v>1953</v>
      </c>
      <c r="CU184" s="65" t="s">
        <v>1953</v>
      </c>
      <c r="CV184" s="65" t="s">
        <v>1953</v>
      </c>
      <c r="CW184" s="65" t="s">
        <v>1953</v>
      </c>
      <c r="CX184" s="65" t="s">
        <v>1953</v>
      </c>
      <c r="CY184" s="65" t="s">
        <v>1953</v>
      </c>
      <c r="CZ184" s="65" t="s">
        <v>1953</v>
      </c>
      <c r="DA184" s="65" t="s">
        <v>1953</v>
      </c>
    </row>
    <row r="185" spans="78:105">
      <c r="BZ185" t="s">
        <v>7756</v>
      </c>
      <c r="CA185" t="str">
        <f>IFERROR(HLOOKUP($CA$1,Table4[[#All],[India]:[Dominican Republic]],ROW(Table4[[#This Row],[Default]])-1,0),"True")</f>
        <v>True</v>
      </c>
      <c r="CB185" s="65" t="s">
        <v>1953</v>
      </c>
      <c r="CC185" s="65" t="s">
        <v>1953</v>
      </c>
      <c r="CD185" s="65" t="s">
        <v>1953</v>
      </c>
      <c r="CE185" s="65" t="s">
        <v>1953</v>
      </c>
      <c r="CF185" s="65" t="s">
        <v>1953</v>
      </c>
      <c r="CG185" s="65" t="s">
        <v>1953</v>
      </c>
      <c r="CH185" s="65" t="s">
        <v>1953</v>
      </c>
      <c r="CI185" s="65" t="s">
        <v>1953</v>
      </c>
      <c r="CJ185" s="65" t="s">
        <v>1953</v>
      </c>
      <c r="CK185" s="65" t="s">
        <v>1953</v>
      </c>
      <c r="CL185" s="65" t="s">
        <v>1954</v>
      </c>
      <c r="CM185" s="65" t="s">
        <v>1953</v>
      </c>
      <c r="CN185" s="65" t="s">
        <v>1953</v>
      </c>
      <c r="CO185" s="65" t="s">
        <v>1953</v>
      </c>
      <c r="CP185" s="65" t="s">
        <v>1953</v>
      </c>
      <c r="CQ185" s="65" t="s">
        <v>1953</v>
      </c>
      <c r="CR185" s="65" t="s">
        <v>1953</v>
      </c>
      <c r="CS185" s="65" t="s">
        <v>1953</v>
      </c>
      <c r="CT185" s="65" t="s">
        <v>1953</v>
      </c>
      <c r="CU185" s="65" t="s">
        <v>1953</v>
      </c>
      <c r="CV185" s="65" t="s">
        <v>1953</v>
      </c>
      <c r="CW185" s="65" t="s">
        <v>1953</v>
      </c>
      <c r="CX185" s="65" t="s">
        <v>1953</v>
      </c>
      <c r="CY185" s="65" t="s">
        <v>1953</v>
      </c>
      <c r="CZ185" s="65" t="s">
        <v>1953</v>
      </c>
      <c r="DA185" s="65" t="s">
        <v>1953</v>
      </c>
    </row>
    <row r="186" spans="78:105">
      <c r="BZ186" t="s">
        <v>7757</v>
      </c>
      <c r="CA186" t="str">
        <f>IFERROR(HLOOKUP($CA$1,Table4[[#All],[India]:[Dominican Republic]],ROW(Table4[[#This Row],[Default]])-1,0),"True")</f>
        <v>True</v>
      </c>
      <c r="CB186" s="65" t="s">
        <v>1953</v>
      </c>
      <c r="CC186" s="65" t="s">
        <v>1953</v>
      </c>
      <c r="CD186" s="65" t="s">
        <v>1953</v>
      </c>
      <c r="CE186" s="65" t="s">
        <v>1953</v>
      </c>
      <c r="CF186" s="65" t="s">
        <v>1953</v>
      </c>
      <c r="CG186" s="65" t="s">
        <v>1953</v>
      </c>
      <c r="CH186" s="65" t="s">
        <v>1953</v>
      </c>
      <c r="CI186" s="65" t="s">
        <v>1953</v>
      </c>
      <c r="CJ186" s="65" t="s">
        <v>1953</v>
      </c>
      <c r="CK186" s="65" t="s">
        <v>1953</v>
      </c>
      <c r="CL186" s="65" t="s">
        <v>1954</v>
      </c>
      <c r="CM186" s="65" t="s">
        <v>1953</v>
      </c>
      <c r="CN186" s="65" t="s">
        <v>1953</v>
      </c>
      <c r="CO186" s="65" t="s">
        <v>1953</v>
      </c>
      <c r="CP186" s="65" t="s">
        <v>1953</v>
      </c>
      <c r="CQ186" s="65" t="s">
        <v>1953</v>
      </c>
      <c r="CR186" s="65" t="s">
        <v>1953</v>
      </c>
      <c r="CS186" s="65" t="s">
        <v>1953</v>
      </c>
      <c r="CT186" s="65" t="s">
        <v>1953</v>
      </c>
      <c r="CU186" s="65" t="s">
        <v>1953</v>
      </c>
      <c r="CV186" s="65" t="s">
        <v>1953</v>
      </c>
      <c r="CW186" s="65" t="s">
        <v>1953</v>
      </c>
      <c r="CX186" s="65" t="s">
        <v>1953</v>
      </c>
      <c r="CY186" s="65" t="s">
        <v>1953</v>
      </c>
      <c r="CZ186" s="65" t="s">
        <v>1953</v>
      </c>
      <c r="DA186" s="65" t="s">
        <v>1953</v>
      </c>
    </row>
    <row r="187" spans="78:105">
      <c r="BZ187" t="s">
        <v>7758</v>
      </c>
      <c r="CA187" t="str">
        <f>IFERROR(HLOOKUP($CA$1,Table4[[#All],[India]:[Dominican Republic]],ROW(Table4[[#This Row],[Default]])-1,0),"True")</f>
        <v>True</v>
      </c>
      <c r="CB187" s="65" t="s">
        <v>1953</v>
      </c>
      <c r="CC187" s="65" t="s">
        <v>1953</v>
      </c>
      <c r="CD187" s="65" t="s">
        <v>1953</v>
      </c>
      <c r="CE187" s="65" t="s">
        <v>1953</v>
      </c>
      <c r="CF187" s="65" t="s">
        <v>1953</v>
      </c>
      <c r="CG187" s="65" t="s">
        <v>1953</v>
      </c>
      <c r="CH187" s="65" t="s">
        <v>1953</v>
      </c>
      <c r="CI187" s="65" t="s">
        <v>1953</v>
      </c>
      <c r="CJ187" s="65" t="s">
        <v>1953</v>
      </c>
      <c r="CK187" s="65" t="s">
        <v>1953</v>
      </c>
      <c r="CL187" s="65" t="s">
        <v>1954</v>
      </c>
      <c r="CM187" s="65" t="s">
        <v>1953</v>
      </c>
      <c r="CN187" s="65" t="s">
        <v>1954</v>
      </c>
      <c r="CO187" s="65" t="s">
        <v>1953</v>
      </c>
      <c r="CP187" s="65" t="s">
        <v>1953</v>
      </c>
      <c r="CQ187" s="65" t="s">
        <v>1953</v>
      </c>
      <c r="CR187" s="65" t="s">
        <v>1953</v>
      </c>
      <c r="CS187" s="65" t="s">
        <v>1953</v>
      </c>
      <c r="CT187" s="65" t="s">
        <v>1953</v>
      </c>
      <c r="CU187" s="65" t="s">
        <v>1953</v>
      </c>
      <c r="CV187" s="65" t="s">
        <v>1953</v>
      </c>
      <c r="CW187" s="65" t="s">
        <v>1953</v>
      </c>
      <c r="CX187" s="65" t="s">
        <v>1953</v>
      </c>
      <c r="CY187" s="65" t="s">
        <v>1953</v>
      </c>
      <c r="CZ187" s="65" t="s">
        <v>1953</v>
      </c>
      <c r="DA187" s="65" t="s">
        <v>1953</v>
      </c>
    </row>
    <row r="188" spans="78:105">
      <c r="BZ188" t="s">
        <v>7759</v>
      </c>
      <c r="CA188" t="str">
        <f>IFERROR(HLOOKUP($CA$1,Table4[[#All],[India]:[Dominican Republic]],ROW(Table4[[#This Row],[Default]])-1,0),"True")</f>
        <v>True</v>
      </c>
      <c r="CB188" s="65" t="s">
        <v>1953</v>
      </c>
      <c r="CC188" s="65" t="s">
        <v>1953</v>
      </c>
      <c r="CD188" s="65" t="s">
        <v>1953</v>
      </c>
      <c r="CE188" s="65" t="s">
        <v>1953</v>
      </c>
      <c r="CF188" s="65" t="s">
        <v>1953</v>
      </c>
      <c r="CG188" s="65" t="s">
        <v>1953</v>
      </c>
      <c r="CH188" s="65" t="s">
        <v>1953</v>
      </c>
      <c r="CI188" s="65" t="s">
        <v>1953</v>
      </c>
      <c r="CJ188" s="65" t="s">
        <v>1953</v>
      </c>
      <c r="CK188" s="65" t="s">
        <v>1953</v>
      </c>
      <c r="CL188" s="65" t="s">
        <v>1954</v>
      </c>
      <c r="CM188" s="65" t="s">
        <v>1953</v>
      </c>
      <c r="CN188" s="65" t="s">
        <v>1953</v>
      </c>
      <c r="CO188" s="65" t="s">
        <v>1953</v>
      </c>
      <c r="CP188" s="65" t="s">
        <v>1953</v>
      </c>
      <c r="CQ188" s="65" t="s">
        <v>1953</v>
      </c>
      <c r="CR188" s="65" t="s">
        <v>1953</v>
      </c>
      <c r="CS188" s="65" t="s">
        <v>1953</v>
      </c>
      <c r="CT188" s="65" t="s">
        <v>1953</v>
      </c>
      <c r="CU188" s="65" t="s">
        <v>1953</v>
      </c>
      <c r="CV188" s="65" t="s">
        <v>1953</v>
      </c>
      <c r="CW188" s="65" t="s">
        <v>1953</v>
      </c>
      <c r="CX188" s="65" t="s">
        <v>1953</v>
      </c>
      <c r="CY188" s="65" t="s">
        <v>1953</v>
      </c>
      <c r="CZ188" s="65" t="s">
        <v>1953</v>
      </c>
      <c r="DA188" s="65" t="s">
        <v>1953</v>
      </c>
    </row>
    <row r="189" spans="78:105">
      <c r="BZ189" t="s">
        <v>5032</v>
      </c>
      <c r="CA189" t="str">
        <f>IFERROR(HLOOKUP($CA$1,Table4[[#All],[India]:[Dominican Republic]],ROW(Table4[[#This Row],[Default]])-1,0),"True")</f>
        <v>True</v>
      </c>
      <c r="CB189" s="65" t="s">
        <v>1953</v>
      </c>
      <c r="CC189" s="65" t="s">
        <v>1953</v>
      </c>
      <c r="CD189" s="65" t="s">
        <v>1953</v>
      </c>
      <c r="CE189" s="65" t="s">
        <v>1953</v>
      </c>
      <c r="CF189" s="65" t="s">
        <v>1953</v>
      </c>
      <c r="CG189" s="65" t="s">
        <v>1953</v>
      </c>
      <c r="CH189" s="65" t="s">
        <v>1953</v>
      </c>
      <c r="CI189" s="65" t="s">
        <v>1953</v>
      </c>
      <c r="CJ189" s="65" t="s">
        <v>1953</v>
      </c>
      <c r="CK189" s="65" t="s">
        <v>1953</v>
      </c>
      <c r="CL189" s="65" t="s">
        <v>1954</v>
      </c>
      <c r="CM189" s="65" t="s">
        <v>1953</v>
      </c>
      <c r="CN189" s="65" t="s">
        <v>1953</v>
      </c>
      <c r="CO189" s="65" t="s">
        <v>1953</v>
      </c>
      <c r="CP189" s="65" t="s">
        <v>1953</v>
      </c>
      <c r="CQ189" s="65" t="s">
        <v>1953</v>
      </c>
      <c r="CR189" s="65" t="s">
        <v>1953</v>
      </c>
      <c r="CS189" s="65" t="s">
        <v>1953</v>
      </c>
      <c r="CT189" s="65" t="s">
        <v>1953</v>
      </c>
      <c r="CU189" s="65" t="s">
        <v>1953</v>
      </c>
      <c r="CV189" s="65" t="s">
        <v>1953</v>
      </c>
      <c r="CW189" s="65" t="s">
        <v>1953</v>
      </c>
      <c r="CX189" s="65" t="s">
        <v>1953</v>
      </c>
      <c r="CY189" s="65" t="s">
        <v>1953</v>
      </c>
      <c r="CZ189" s="65" t="s">
        <v>1953</v>
      </c>
      <c r="DA189" s="65" t="s">
        <v>1953</v>
      </c>
    </row>
    <row r="190" spans="78:105">
      <c r="BZ190" t="s">
        <v>7755</v>
      </c>
      <c r="CA190" t="str">
        <f>IFERROR(HLOOKUP($CA$1,Table4[[#All],[India]:[Dominican Republic]],ROW(Table4[[#This Row],[Default]])-1,0),"True")</f>
        <v>True</v>
      </c>
      <c r="CB190" s="65" t="s">
        <v>1953</v>
      </c>
      <c r="CC190" s="65" t="s">
        <v>1953</v>
      </c>
      <c r="CD190" s="65" t="s">
        <v>1953</v>
      </c>
      <c r="CE190" s="65" t="s">
        <v>1953</v>
      </c>
      <c r="CF190" s="65" t="s">
        <v>1953</v>
      </c>
      <c r="CG190" s="65" t="s">
        <v>1953</v>
      </c>
      <c r="CH190" s="65" t="s">
        <v>1953</v>
      </c>
      <c r="CI190" s="65" t="s">
        <v>1953</v>
      </c>
      <c r="CJ190" s="65" t="s">
        <v>1953</v>
      </c>
      <c r="CK190" s="65" t="s">
        <v>1953</v>
      </c>
      <c r="CL190" s="65" t="s">
        <v>1954</v>
      </c>
      <c r="CM190" s="65" t="s">
        <v>1953</v>
      </c>
      <c r="CN190" s="65" t="s">
        <v>1953</v>
      </c>
      <c r="CO190" s="65" t="s">
        <v>1953</v>
      </c>
      <c r="CP190" s="65" t="s">
        <v>1953</v>
      </c>
      <c r="CQ190" s="65" t="s">
        <v>1953</v>
      </c>
      <c r="CR190" s="65" t="s">
        <v>1953</v>
      </c>
      <c r="CS190" s="65" t="s">
        <v>1953</v>
      </c>
      <c r="CT190" s="65" t="s">
        <v>1953</v>
      </c>
      <c r="CU190" s="65" t="s">
        <v>1953</v>
      </c>
      <c r="CV190" s="65" t="s">
        <v>1953</v>
      </c>
      <c r="CW190" s="65" t="s">
        <v>1953</v>
      </c>
      <c r="CX190" s="65" t="s">
        <v>1953</v>
      </c>
      <c r="CY190" s="65" t="s">
        <v>1953</v>
      </c>
      <c r="CZ190" s="65" t="s">
        <v>1953</v>
      </c>
      <c r="DA190" s="65" t="s">
        <v>1953</v>
      </c>
    </row>
    <row r="191" spans="78:105">
      <c r="BZ191" t="s">
        <v>7756</v>
      </c>
      <c r="CA191" t="str">
        <f>IFERROR(HLOOKUP($CA$1,Table4[[#All],[India]:[Dominican Republic]],ROW(Table4[[#This Row],[Default]])-1,0),"True")</f>
        <v>True</v>
      </c>
      <c r="CB191" s="65" t="s">
        <v>1953</v>
      </c>
      <c r="CC191" s="65" t="s">
        <v>1953</v>
      </c>
      <c r="CD191" s="65" t="s">
        <v>1953</v>
      </c>
      <c r="CE191" s="65" t="s">
        <v>1953</v>
      </c>
      <c r="CF191" s="65" t="s">
        <v>1953</v>
      </c>
      <c r="CG191" s="65" t="s">
        <v>1953</v>
      </c>
      <c r="CH191" s="65" t="s">
        <v>1953</v>
      </c>
      <c r="CI191" s="65" t="s">
        <v>1953</v>
      </c>
      <c r="CJ191" s="65" t="s">
        <v>1953</v>
      </c>
      <c r="CK191" s="65" t="s">
        <v>1953</v>
      </c>
      <c r="CL191" s="65" t="s">
        <v>1954</v>
      </c>
      <c r="CM191" s="65" t="s">
        <v>1953</v>
      </c>
      <c r="CN191" s="65" t="s">
        <v>1953</v>
      </c>
      <c r="CO191" s="65" t="s">
        <v>1953</v>
      </c>
      <c r="CP191" s="65" t="s">
        <v>1953</v>
      </c>
      <c r="CQ191" s="65" t="s">
        <v>1953</v>
      </c>
      <c r="CR191" s="65" t="s">
        <v>1953</v>
      </c>
      <c r="CS191" s="65" t="s">
        <v>1953</v>
      </c>
      <c r="CT191" s="65" t="s">
        <v>1953</v>
      </c>
      <c r="CU191" s="65" t="s">
        <v>1953</v>
      </c>
      <c r="CV191" s="65" t="s">
        <v>1953</v>
      </c>
      <c r="CW191" s="65" t="s">
        <v>1953</v>
      </c>
      <c r="CX191" s="65" t="s">
        <v>1953</v>
      </c>
      <c r="CY191" s="65" t="s">
        <v>1953</v>
      </c>
      <c r="CZ191" s="65" t="s">
        <v>1953</v>
      </c>
      <c r="DA191" s="65" t="s">
        <v>1953</v>
      </c>
    </row>
    <row r="192" spans="78:105">
      <c r="BZ192" t="s">
        <v>7757</v>
      </c>
      <c r="CA192" t="str">
        <f>IFERROR(HLOOKUP($CA$1,Table4[[#All],[India]:[Dominican Republic]],ROW(Table4[[#This Row],[Default]])-1,0),"True")</f>
        <v>True</v>
      </c>
      <c r="CB192" s="65" t="s">
        <v>1953</v>
      </c>
      <c r="CC192" s="65" t="s">
        <v>1953</v>
      </c>
      <c r="CD192" s="65" t="s">
        <v>1953</v>
      </c>
      <c r="CE192" s="65" t="s">
        <v>1953</v>
      </c>
      <c r="CF192" s="65" t="s">
        <v>1953</v>
      </c>
      <c r="CG192" s="65" t="s">
        <v>1953</v>
      </c>
      <c r="CH192" s="65" t="s">
        <v>1953</v>
      </c>
      <c r="CI192" s="65" t="s">
        <v>1953</v>
      </c>
      <c r="CJ192" s="65" t="s">
        <v>1953</v>
      </c>
      <c r="CK192" s="65" t="s">
        <v>1953</v>
      </c>
      <c r="CL192" s="65" t="s">
        <v>1954</v>
      </c>
      <c r="CM192" s="65" t="s">
        <v>1953</v>
      </c>
      <c r="CN192" s="65" t="s">
        <v>1953</v>
      </c>
      <c r="CO192" s="65" t="s">
        <v>1953</v>
      </c>
      <c r="CP192" s="65" t="s">
        <v>1953</v>
      </c>
      <c r="CQ192" s="65" t="s">
        <v>1953</v>
      </c>
      <c r="CR192" s="65" t="s">
        <v>1953</v>
      </c>
      <c r="CS192" s="65" t="s">
        <v>1953</v>
      </c>
      <c r="CT192" s="65" t="s">
        <v>1953</v>
      </c>
      <c r="CU192" s="65" t="s">
        <v>1953</v>
      </c>
      <c r="CV192" s="65" t="s">
        <v>1953</v>
      </c>
      <c r="CW192" s="65" t="s">
        <v>1953</v>
      </c>
      <c r="CX192" s="65" t="s">
        <v>1953</v>
      </c>
      <c r="CY192" s="65" t="s">
        <v>1953</v>
      </c>
      <c r="CZ192" s="65" t="s">
        <v>1953</v>
      </c>
      <c r="DA192" s="65" t="s">
        <v>1953</v>
      </c>
    </row>
    <row r="193" spans="78:105">
      <c r="BZ193" t="s">
        <v>7758</v>
      </c>
      <c r="CA193" t="str">
        <f>IFERROR(HLOOKUP($CA$1,Table4[[#All],[India]:[Dominican Republic]],ROW(Table4[[#This Row],[Default]])-1,0),"True")</f>
        <v>True</v>
      </c>
      <c r="CB193" s="65" t="s">
        <v>1953</v>
      </c>
      <c r="CC193" s="65" t="s">
        <v>1953</v>
      </c>
      <c r="CD193" s="65" t="s">
        <v>1953</v>
      </c>
      <c r="CE193" s="65" t="s">
        <v>1953</v>
      </c>
      <c r="CF193" s="65" t="s">
        <v>1953</v>
      </c>
      <c r="CG193" s="65" t="s">
        <v>1953</v>
      </c>
      <c r="CH193" s="65" t="s">
        <v>1953</v>
      </c>
      <c r="CI193" s="65" t="s">
        <v>1953</v>
      </c>
      <c r="CJ193" s="65" t="s">
        <v>1953</v>
      </c>
      <c r="CK193" s="65" t="s">
        <v>1953</v>
      </c>
      <c r="CL193" s="65" t="s">
        <v>1954</v>
      </c>
      <c r="CM193" s="65" t="s">
        <v>1953</v>
      </c>
      <c r="CN193" s="65" t="s">
        <v>1953</v>
      </c>
      <c r="CO193" s="65" t="s">
        <v>1953</v>
      </c>
      <c r="CP193" s="65" t="s">
        <v>1953</v>
      </c>
      <c r="CQ193" s="65" t="s">
        <v>1953</v>
      </c>
      <c r="CR193" s="65" t="s">
        <v>1953</v>
      </c>
      <c r="CS193" s="65" t="s">
        <v>1953</v>
      </c>
      <c r="CT193" s="65" t="s">
        <v>1953</v>
      </c>
      <c r="CU193" s="65" t="s">
        <v>1953</v>
      </c>
      <c r="CV193" s="65" t="s">
        <v>1953</v>
      </c>
      <c r="CW193" s="65" t="s">
        <v>1953</v>
      </c>
      <c r="CX193" s="65" t="s">
        <v>1953</v>
      </c>
      <c r="CY193" s="65" t="s">
        <v>1953</v>
      </c>
      <c r="CZ193" s="65" t="s">
        <v>1953</v>
      </c>
      <c r="DA193" s="65" t="s">
        <v>1953</v>
      </c>
    </row>
    <row r="194" spans="78:105">
      <c r="BZ194" t="s">
        <v>7760</v>
      </c>
      <c r="CA194" t="str">
        <f>IFERROR(HLOOKUP($CA$1,Table4[[#All],[India]:[Dominican Republic]],ROW(Table4[[#This Row],[Default]])-1,0),"True")</f>
        <v>True</v>
      </c>
      <c r="CB194" s="65" t="s">
        <v>1953</v>
      </c>
      <c r="CC194" s="65" t="s">
        <v>1953</v>
      </c>
      <c r="CD194" s="65" t="s">
        <v>1953</v>
      </c>
      <c r="CE194" s="65" t="s">
        <v>1953</v>
      </c>
      <c r="CF194" s="65" t="s">
        <v>1953</v>
      </c>
      <c r="CG194" s="65" t="s">
        <v>1953</v>
      </c>
      <c r="CH194" s="65" t="s">
        <v>1953</v>
      </c>
      <c r="CI194" s="65" t="s">
        <v>1953</v>
      </c>
      <c r="CJ194" s="65" t="s">
        <v>1953</v>
      </c>
      <c r="CK194" s="65" t="s">
        <v>1953</v>
      </c>
      <c r="CL194" s="65" t="s">
        <v>1954</v>
      </c>
      <c r="CM194" s="65" t="s">
        <v>1953</v>
      </c>
      <c r="CN194" s="65" t="s">
        <v>1953</v>
      </c>
      <c r="CO194" s="65" t="s">
        <v>1953</v>
      </c>
      <c r="CP194" s="65" t="s">
        <v>1953</v>
      </c>
      <c r="CQ194" s="65" t="s">
        <v>1953</v>
      </c>
      <c r="CR194" s="65" t="s">
        <v>1953</v>
      </c>
      <c r="CS194" s="65" t="s">
        <v>1953</v>
      </c>
      <c r="CT194" s="65" t="s">
        <v>1953</v>
      </c>
      <c r="CU194" s="65" t="s">
        <v>1953</v>
      </c>
      <c r="CV194" s="65" t="s">
        <v>1953</v>
      </c>
      <c r="CW194" s="65" t="s">
        <v>1953</v>
      </c>
      <c r="CX194" s="65" t="s">
        <v>1953</v>
      </c>
      <c r="CY194" s="65" t="s">
        <v>1953</v>
      </c>
      <c r="CZ194" s="65" t="s">
        <v>1953</v>
      </c>
      <c r="DA194" s="65" t="s">
        <v>1953</v>
      </c>
    </row>
    <row r="195" spans="78:105">
      <c r="BZ195" t="s">
        <v>5032</v>
      </c>
      <c r="CA195" t="str">
        <f>IFERROR(HLOOKUP($CA$1,Table4[[#All],[India]:[Dominican Republic]],ROW(Table4[[#This Row],[Default]])-1,0),"True")</f>
        <v>True</v>
      </c>
      <c r="CB195" s="65" t="s">
        <v>1953</v>
      </c>
      <c r="CC195" s="65" t="s">
        <v>1953</v>
      </c>
      <c r="CD195" s="65" t="s">
        <v>1953</v>
      </c>
      <c r="CE195" s="65" t="s">
        <v>1953</v>
      </c>
      <c r="CF195" s="65" t="s">
        <v>1953</v>
      </c>
      <c r="CG195" s="65" t="s">
        <v>1953</v>
      </c>
      <c r="CH195" s="65" t="s">
        <v>1953</v>
      </c>
      <c r="CI195" s="65" t="s">
        <v>1953</v>
      </c>
      <c r="CJ195" s="65" t="s">
        <v>1953</v>
      </c>
      <c r="CK195" s="65" t="s">
        <v>1953</v>
      </c>
      <c r="CL195" s="65" t="s">
        <v>1954</v>
      </c>
      <c r="CM195" s="65" t="s">
        <v>1953</v>
      </c>
      <c r="CN195" s="65" t="s">
        <v>1953</v>
      </c>
      <c r="CO195" s="65" t="s">
        <v>1953</v>
      </c>
      <c r="CP195" s="65" t="s">
        <v>1953</v>
      </c>
      <c r="CQ195" s="65" t="s">
        <v>1953</v>
      </c>
      <c r="CR195" s="65" t="s">
        <v>1953</v>
      </c>
      <c r="CS195" s="65" t="s">
        <v>1953</v>
      </c>
      <c r="CT195" s="65" t="s">
        <v>1953</v>
      </c>
      <c r="CU195" s="65" t="s">
        <v>1953</v>
      </c>
      <c r="CV195" s="65" t="s">
        <v>1953</v>
      </c>
      <c r="CW195" s="65" t="s">
        <v>1953</v>
      </c>
      <c r="CX195" s="65" t="s">
        <v>1953</v>
      </c>
      <c r="CY195" s="65" t="s">
        <v>1953</v>
      </c>
      <c r="CZ195" s="65" t="s">
        <v>1953</v>
      </c>
      <c r="DA195" s="65" t="s">
        <v>1953</v>
      </c>
    </row>
    <row r="196" spans="78:105">
      <c r="BZ196" t="s">
        <v>7755</v>
      </c>
      <c r="CA196" t="str">
        <f>IFERROR(HLOOKUP($CA$1,Table4[[#All],[India]:[Dominican Republic]],ROW(Table4[[#This Row],[Default]])-1,0),"True")</f>
        <v>True</v>
      </c>
      <c r="CB196" s="65" t="s">
        <v>1953</v>
      </c>
      <c r="CC196" s="65" t="s">
        <v>1953</v>
      </c>
      <c r="CD196" s="65" t="s">
        <v>1953</v>
      </c>
      <c r="CE196" s="65" t="s">
        <v>1953</v>
      </c>
      <c r="CF196" s="65" t="s">
        <v>1953</v>
      </c>
      <c r="CG196" s="65" t="s">
        <v>1953</v>
      </c>
      <c r="CH196" s="65" t="s">
        <v>1953</v>
      </c>
      <c r="CI196" s="65" t="s">
        <v>1953</v>
      </c>
      <c r="CJ196" s="65" t="s">
        <v>1953</v>
      </c>
      <c r="CK196" s="65" t="s">
        <v>1953</v>
      </c>
      <c r="CL196" s="65" t="s">
        <v>1954</v>
      </c>
      <c r="CM196" s="65" t="s">
        <v>1953</v>
      </c>
      <c r="CN196" s="65" t="s">
        <v>1953</v>
      </c>
      <c r="CO196" s="65" t="s">
        <v>1953</v>
      </c>
      <c r="CP196" s="65" t="s">
        <v>1953</v>
      </c>
      <c r="CQ196" s="65" t="s">
        <v>1953</v>
      </c>
      <c r="CR196" s="65" t="s">
        <v>1953</v>
      </c>
      <c r="CS196" s="65" t="s">
        <v>1953</v>
      </c>
      <c r="CT196" s="65" t="s">
        <v>1953</v>
      </c>
      <c r="CU196" s="65" t="s">
        <v>1953</v>
      </c>
      <c r="CV196" s="65" t="s">
        <v>1953</v>
      </c>
      <c r="CW196" s="65" t="s">
        <v>1953</v>
      </c>
      <c r="CX196" s="65" t="s">
        <v>1953</v>
      </c>
      <c r="CY196" s="65" t="s">
        <v>1953</v>
      </c>
      <c r="CZ196" s="65" t="s">
        <v>1953</v>
      </c>
      <c r="DA196" s="65" t="s">
        <v>1953</v>
      </c>
    </row>
    <row r="197" spans="78:105">
      <c r="BZ197" t="s">
        <v>7756</v>
      </c>
      <c r="CA197" t="str">
        <f>IFERROR(HLOOKUP($CA$1,Table4[[#All],[India]:[Dominican Republic]],ROW(Table4[[#This Row],[Default]])-1,0),"True")</f>
        <v>True</v>
      </c>
      <c r="CB197" s="65" t="s">
        <v>1953</v>
      </c>
      <c r="CC197" s="65" t="s">
        <v>1953</v>
      </c>
      <c r="CD197" s="65" t="s">
        <v>1953</v>
      </c>
      <c r="CE197" s="65" t="s">
        <v>1953</v>
      </c>
      <c r="CF197" s="65" t="s">
        <v>1953</v>
      </c>
      <c r="CG197" s="65" t="s">
        <v>1953</v>
      </c>
      <c r="CH197" s="65" t="s">
        <v>1953</v>
      </c>
      <c r="CI197" s="65" t="s">
        <v>1953</v>
      </c>
      <c r="CJ197" s="65" t="s">
        <v>1953</v>
      </c>
      <c r="CK197" s="65" t="s">
        <v>1953</v>
      </c>
      <c r="CL197" s="65" t="s">
        <v>1954</v>
      </c>
      <c r="CM197" s="65" t="s">
        <v>1953</v>
      </c>
      <c r="CN197" s="65" t="s">
        <v>1953</v>
      </c>
      <c r="CO197" s="65" t="s">
        <v>1953</v>
      </c>
      <c r="CP197" s="65" t="s">
        <v>1953</v>
      </c>
      <c r="CQ197" s="65" t="s">
        <v>1953</v>
      </c>
      <c r="CR197" s="65" t="s">
        <v>1953</v>
      </c>
      <c r="CS197" s="65" t="s">
        <v>1953</v>
      </c>
      <c r="CT197" s="65" t="s">
        <v>1953</v>
      </c>
      <c r="CU197" s="65" t="s">
        <v>1953</v>
      </c>
      <c r="CV197" s="65" t="s">
        <v>1953</v>
      </c>
      <c r="CW197" s="65" t="s">
        <v>1953</v>
      </c>
      <c r="CX197" s="65" t="s">
        <v>1953</v>
      </c>
      <c r="CY197" s="65" t="s">
        <v>1953</v>
      </c>
      <c r="CZ197" s="65" t="s">
        <v>1953</v>
      </c>
      <c r="DA197" s="65" t="s">
        <v>1953</v>
      </c>
    </row>
    <row r="198" spans="78:105">
      <c r="BZ198" t="s">
        <v>7757</v>
      </c>
      <c r="CA198" t="str">
        <f>IFERROR(HLOOKUP($CA$1,Table4[[#All],[India]:[Dominican Republic]],ROW(Table4[[#This Row],[Default]])-1,0),"True")</f>
        <v>True</v>
      </c>
      <c r="CB198" s="65" t="s">
        <v>1953</v>
      </c>
      <c r="CC198" s="65" t="s">
        <v>1953</v>
      </c>
      <c r="CD198" s="65" t="s">
        <v>1953</v>
      </c>
      <c r="CE198" s="65" t="s">
        <v>1953</v>
      </c>
      <c r="CF198" s="65" t="s">
        <v>1953</v>
      </c>
      <c r="CG198" s="65" t="s">
        <v>1953</v>
      </c>
      <c r="CH198" s="65" t="s">
        <v>1953</v>
      </c>
      <c r="CI198" s="65" t="s">
        <v>1953</v>
      </c>
      <c r="CJ198" s="65" t="s">
        <v>1953</v>
      </c>
      <c r="CK198" s="65" t="s">
        <v>1953</v>
      </c>
      <c r="CL198" s="65" t="s">
        <v>1954</v>
      </c>
      <c r="CM198" s="65" t="s">
        <v>1953</v>
      </c>
      <c r="CN198" s="65" t="s">
        <v>1953</v>
      </c>
      <c r="CO198" s="65" t="s">
        <v>1953</v>
      </c>
      <c r="CP198" s="65" t="s">
        <v>1953</v>
      </c>
      <c r="CQ198" s="65" t="s">
        <v>1953</v>
      </c>
      <c r="CR198" s="65" t="s">
        <v>1953</v>
      </c>
      <c r="CS198" s="65" t="s">
        <v>1953</v>
      </c>
      <c r="CT198" s="65" t="s">
        <v>1953</v>
      </c>
      <c r="CU198" s="65" t="s">
        <v>1953</v>
      </c>
      <c r="CV198" s="65" t="s">
        <v>1953</v>
      </c>
      <c r="CW198" s="65" t="s">
        <v>1953</v>
      </c>
      <c r="CX198" s="65" t="s">
        <v>1953</v>
      </c>
      <c r="CY198" s="65" t="s">
        <v>1953</v>
      </c>
      <c r="CZ198" s="65" t="s">
        <v>1953</v>
      </c>
      <c r="DA198" s="65" t="s">
        <v>1953</v>
      </c>
    </row>
    <row r="199" spans="78:105">
      <c r="BZ199" t="s">
        <v>7758</v>
      </c>
      <c r="CA199" t="str">
        <f>IFERROR(HLOOKUP($CA$1,Table4[[#All],[India]:[Dominican Republic]],ROW(Table4[[#This Row],[Default]])-1,0),"True")</f>
        <v>True</v>
      </c>
      <c r="CB199" s="65" t="s">
        <v>1953</v>
      </c>
      <c r="CC199" s="65" t="s">
        <v>1953</v>
      </c>
      <c r="CD199" s="65" t="s">
        <v>1953</v>
      </c>
      <c r="CE199" s="65" t="s">
        <v>1953</v>
      </c>
      <c r="CF199" s="65" t="s">
        <v>1953</v>
      </c>
      <c r="CG199" s="65" t="s">
        <v>1953</v>
      </c>
      <c r="CH199" s="65" t="s">
        <v>1953</v>
      </c>
      <c r="CI199" s="65" t="s">
        <v>1953</v>
      </c>
      <c r="CJ199" s="65" t="s">
        <v>1953</v>
      </c>
      <c r="CK199" s="65" t="s">
        <v>1953</v>
      </c>
      <c r="CL199" s="65" t="s">
        <v>1954</v>
      </c>
      <c r="CM199" s="65" t="s">
        <v>1953</v>
      </c>
      <c r="CN199" s="65" t="s">
        <v>1953</v>
      </c>
      <c r="CO199" s="65" t="s">
        <v>1953</v>
      </c>
      <c r="CP199" s="65" t="s">
        <v>1953</v>
      </c>
      <c r="CQ199" s="65" t="s">
        <v>1953</v>
      </c>
      <c r="CR199" s="65" t="s">
        <v>1953</v>
      </c>
      <c r="CS199" s="65" t="s">
        <v>1953</v>
      </c>
      <c r="CT199" s="65" t="s">
        <v>1953</v>
      </c>
      <c r="CU199" s="65" t="s">
        <v>1953</v>
      </c>
      <c r="CV199" s="65" t="s">
        <v>1953</v>
      </c>
      <c r="CW199" s="65" t="s">
        <v>1953</v>
      </c>
      <c r="CX199" s="65" t="s">
        <v>1953</v>
      </c>
      <c r="CY199" s="65" t="s">
        <v>1953</v>
      </c>
      <c r="CZ199" s="65" t="s">
        <v>1953</v>
      </c>
      <c r="DA199" s="65" t="s">
        <v>1953</v>
      </c>
    </row>
    <row r="200" spans="78:105">
      <c r="BZ200" t="s">
        <v>5032</v>
      </c>
      <c r="CA200" t="str">
        <f>IFERROR(HLOOKUP($CA$1,Table4[[#All],[India]:[Dominican Republic]],ROW(Table4[[#This Row],[Default]])-1,0),"True")</f>
        <v>True</v>
      </c>
      <c r="CB200" s="65" t="s">
        <v>1953</v>
      </c>
      <c r="CC200" s="65" t="s">
        <v>1953</v>
      </c>
      <c r="CD200" s="65" t="s">
        <v>1953</v>
      </c>
      <c r="CE200" s="65" t="s">
        <v>1953</v>
      </c>
      <c r="CF200" s="65" t="s">
        <v>1953</v>
      </c>
      <c r="CG200" s="65" t="s">
        <v>1953</v>
      </c>
      <c r="CH200" s="65" t="s">
        <v>1953</v>
      </c>
      <c r="CI200" s="65" t="s">
        <v>1953</v>
      </c>
      <c r="CJ200" s="65" t="s">
        <v>1953</v>
      </c>
      <c r="CK200" s="65" t="s">
        <v>1953</v>
      </c>
      <c r="CL200" s="65" t="s">
        <v>1954</v>
      </c>
      <c r="CM200" s="65" t="s">
        <v>1953</v>
      </c>
      <c r="CN200" s="65" t="s">
        <v>1953</v>
      </c>
      <c r="CO200" s="65" t="s">
        <v>1953</v>
      </c>
      <c r="CP200" s="65" t="s">
        <v>1953</v>
      </c>
      <c r="CQ200" s="65" t="s">
        <v>1953</v>
      </c>
      <c r="CR200" s="65" t="s">
        <v>1953</v>
      </c>
      <c r="CS200" s="65" t="s">
        <v>1953</v>
      </c>
      <c r="CT200" s="65" t="s">
        <v>1953</v>
      </c>
      <c r="CU200" s="65" t="s">
        <v>1953</v>
      </c>
      <c r="CV200" s="65" t="s">
        <v>1953</v>
      </c>
      <c r="CW200" s="65" t="s">
        <v>1953</v>
      </c>
      <c r="CX200" s="65" t="s">
        <v>1953</v>
      </c>
      <c r="CY200" s="65" t="s">
        <v>1953</v>
      </c>
      <c r="CZ200" s="65" t="s">
        <v>1953</v>
      </c>
      <c r="DA200" s="65" t="s">
        <v>1953</v>
      </c>
    </row>
    <row r="201" spans="78:105">
      <c r="BZ201" t="s">
        <v>7761</v>
      </c>
      <c r="CA201" t="str">
        <f>IFERROR(HLOOKUP($CA$1,Table4[[#All],[India]:[Dominican Republic]],ROW(Table4[[#This Row],[Default]])-1,0),"True")</f>
        <v>True</v>
      </c>
      <c r="CB201" s="65" t="s">
        <v>1953</v>
      </c>
      <c r="CC201" s="65" t="s">
        <v>1953</v>
      </c>
      <c r="CD201" s="65" t="s">
        <v>1953</v>
      </c>
      <c r="CE201" s="65" t="s">
        <v>1953</v>
      </c>
      <c r="CF201" s="65" t="s">
        <v>1953</v>
      </c>
      <c r="CG201" s="65" t="s">
        <v>1953</v>
      </c>
      <c r="CH201" s="65" t="s">
        <v>1953</v>
      </c>
      <c r="CI201" s="65" t="s">
        <v>1953</v>
      </c>
      <c r="CJ201" s="65" t="s">
        <v>1953</v>
      </c>
      <c r="CK201" s="65" t="s">
        <v>1953</v>
      </c>
      <c r="CL201" s="65" t="s">
        <v>1954</v>
      </c>
      <c r="CM201" s="65" t="s">
        <v>1953</v>
      </c>
      <c r="CN201" s="65" t="s">
        <v>1953</v>
      </c>
      <c r="CO201" s="65" t="s">
        <v>1953</v>
      </c>
      <c r="CP201" s="65" t="s">
        <v>1953</v>
      </c>
      <c r="CQ201" s="65" t="s">
        <v>1953</v>
      </c>
      <c r="CR201" s="65" t="s">
        <v>1953</v>
      </c>
      <c r="CS201" s="65" t="s">
        <v>1953</v>
      </c>
      <c r="CT201" s="65" t="s">
        <v>1953</v>
      </c>
      <c r="CU201" s="65" t="s">
        <v>1953</v>
      </c>
      <c r="CV201" s="65" t="s">
        <v>1953</v>
      </c>
      <c r="CW201" s="65" t="s">
        <v>1953</v>
      </c>
      <c r="CX201" s="65" t="s">
        <v>1953</v>
      </c>
      <c r="CY201" s="65" t="s">
        <v>1953</v>
      </c>
      <c r="CZ201" s="65" t="s">
        <v>1953</v>
      </c>
      <c r="DA201" s="65" t="s">
        <v>1953</v>
      </c>
    </row>
    <row r="202" spans="78:105">
      <c r="BZ202" t="s">
        <v>7762</v>
      </c>
      <c r="CA202" t="str">
        <f>IFERROR(HLOOKUP($CA$1,Table4[[#All],[India]:[Dominican Republic]],ROW(Table4[[#This Row],[Default]])-1,0),"True")</f>
        <v>True</v>
      </c>
      <c r="CB202" s="65" t="s">
        <v>1953</v>
      </c>
      <c r="CC202" s="65" t="s">
        <v>1953</v>
      </c>
      <c r="CD202" s="65" t="s">
        <v>1953</v>
      </c>
      <c r="CE202" s="65" t="s">
        <v>1953</v>
      </c>
      <c r="CF202" s="65" t="s">
        <v>1953</v>
      </c>
      <c r="CG202" s="65" t="s">
        <v>1953</v>
      </c>
      <c r="CH202" s="65" t="s">
        <v>1953</v>
      </c>
      <c r="CI202" s="65" t="s">
        <v>1953</v>
      </c>
      <c r="CJ202" s="65" t="s">
        <v>1953</v>
      </c>
      <c r="CK202" s="65" t="s">
        <v>1953</v>
      </c>
      <c r="CL202" s="65" t="s">
        <v>1954</v>
      </c>
      <c r="CM202" s="65" t="s">
        <v>1953</v>
      </c>
      <c r="CN202" s="65" t="s">
        <v>1953</v>
      </c>
      <c r="CO202" s="65" t="s">
        <v>1953</v>
      </c>
      <c r="CP202" s="65" t="s">
        <v>1953</v>
      </c>
      <c r="CQ202" s="65" t="s">
        <v>1953</v>
      </c>
      <c r="CR202" s="65" t="s">
        <v>1953</v>
      </c>
      <c r="CS202" s="65" t="s">
        <v>1953</v>
      </c>
      <c r="CT202" s="65" t="s">
        <v>1953</v>
      </c>
      <c r="CU202" s="65" t="s">
        <v>1953</v>
      </c>
      <c r="CV202" s="65" t="s">
        <v>1953</v>
      </c>
      <c r="CW202" s="65" t="s">
        <v>1953</v>
      </c>
      <c r="CX202" s="65" t="s">
        <v>1953</v>
      </c>
      <c r="CY202" s="65" t="s">
        <v>1953</v>
      </c>
      <c r="CZ202" s="65" t="s">
        <v>1953</v>
      </c>
      <c r="DA202" s="65" t="s">
        <v>1953</v>
      </c>
    </row>
    <row r="203" spans="78:105">
      <c r="BZ203" t="s">
        <v>7763</v>
      </c>
      <c r="CA203" t="str">
        <f>IFERROR(HLOOKUP($CA$1,Table4[[#All],[India]:[Dominican Republic]],ROW(Table4[[#This Row],[Default]])-1,0),"True")</f>
        <v>True</v>
      </c>
      <c r="CB203" s="65" t="s">
        <v>1953</v>
      </c>
      <c r="CC203" s="65" t="s">
        <v>1953</v>
      </c>
      <c r="CD203" s="65" t="s">
        <v>1953</v>
      </c>
      <c r="CE203" s="65" t="s">
        <v>1953</v>
      </c>
      <c r="CF203" s="65" t="s">
        <v>1953</v>
      </c>
      <c r="CG203" s="65" t="s">
        <v>1953</v>
      </c>
      <c r="CH203" s="65" t="s">
        <v>1953</v>
      </c>
      <c r="CI203" s="65" t="s">
        <v>1953</v>
      </c>
      <c r="CJ203" s="65" t="s">
        <v>1953</v>
      </c>
      <c r="CK203" s="65" t="s">
        <v>1953</v>
      </c>
      <c r="CL203" s="65" t="s">
        <v>1954</v>
      </c>
      <c r="CM203" s="65" t="s">
        <v>1953</v>
      </c>
      <c r="CN203" s="65" t="s">
        <v>1953</v>
      </c>
      <c r="CO203" s="65" t="s">
        <v>1953</v>
      </c>
      <c r="CP203" s="65" t="s">
        <v>1953</v>
      </c>
      <c r="CQ203" s="65" t="s">
        <v>1953</v>
      </c>
      <c r="CR203" s="65" t="s">
        <v>1953</v>
      </c>
      <c r="CS203" s="65" t="s">
        <v>1953</v>
      </c>
      <c r="CT203" s="65" t="s">
        <v>1953</v>
      </c>
      <c r="CU203" s="65" t="s">
        <v>1953</v>
      </c>
      <c r="CV203" s="65" t="s">
        <v>1953</v>
      </c>
      <c r="CW203" s="65" t="s">
        <v>1953</v>
      </c>
      <c r="CX203" s="65" t="s">
        <v>1953</v>
      </c>
      <c r="CY203" s="65" t="s">
        <v>1953</v>
      </c>
      <c r="CZ203" s="65" t="s">
        <v>1953</v>
      </c>
      <c r="DA203" s="65" t="s">
        <v>1953</v>
      </c>
    </row>
    <row r="204" spans="78:105">
      <c r="BZ204" t="s">
        <v>5032</v>
      </c>
      <c r="CA204" t="str">
        <f>IFERROR(HLOOKUP($CA$1,Table4[[#All],[India]:[Dominican Republic]],ROW(Table4[[#This Row],[Default]])-1,0),"True")</f>
        <v>True</v>
      </c>
      <c r="CB204" s="65" t="s">
        <v>1953</v>
      </c>
      <c r="CC204" s="65" t="s">
        <v>1953</v>
      </c>
      <c r="CD204" s="65" t="s">
        <v>1953</v>
      </c>
      <c r="CE204" s="65" t="s">
        <v>1953</v>
      </c>
      <c r="CF204" s="65" t="s">
        <v>1953</v>
      </c>
      <c r="CG204" s="65" t="s">
        <v>1953</v>
      </c>
      <c r="CH204" s="65" t="s">
        <v>1953</v>
      </c>
      <c r="CI204" s="65" t="s">
        <v>1953</v>
      </c>
      <c r="CJ204" s="65" t="s">
        <v>1953</v>
      </c>
      <c r="CK204" s="65" t="s">
        <v>1953</v>
      </c>
      <c r="CL204" s="65" t="s">
        <v>1954</v>
      </c>
      <c r="CM204" s="65" t="s">
        <v>1953</v>
      </c>
      <c r="CN204" s="65" t="s">
        <v>1953</v>
      </c>
      <c r="CO204" s="65" t="s">
        <v>1953</v>
      </c>
      <c r="CP204" s="65" t="s">
        <v>1953</v>
      </c>
      <c r="CQ204" s="65" t="s">
        <v>1953</v>
      </c>
      <c r="CR204" s="65" t="s">
        <v>1953</v>
      </c>
      <c r="CS204" s="65" t="s">
        <v>1953</v>
      </c>
      <c r="CT204" s="65" t="s">
        <v>1953</v>
      </c>
      <c r="CU204" s="65" t="s">
        <v>1953</v>
      </c>
      <c r="CV204" s="65" t="s">
        <v>1953</v>
      </c>
      <c r="CW204" s="65" t="s">
        <v>1953</v>
      </c>
      <c r="CX204" s="65" t="s">
        <v>1953</v>
      </c>
      <c r="CY204" s="65" t="s">
        <v>1953</v>
      </c>
      <c r="CZ204" s="65" t="s">
        <v>1953</v>
      </c>
      <c r="DA204" s="65" t="s">
        <v>1953</v>
      </c>
    </row>
    <row r="205" spans="78:105">
      <c r="BZ205" t="s">
        <v>7764</v>
      </c>
      <c r="CA205" t="str">
        <f>IFERROR(HLOOKUP($CA$1,Table4[[#All],[India]:[Dominican Republic]],ROW(Table4[[#This Row],[Default]])-1,0),"True")</f>
        <v>True</v>
      </c>
      <c r="CB205" s="65" t="s">
        <v>1953</v>
      </c>
      <c r="CC205" s="65" t="s">
        <v>1953</v>
      </c>
      <c r="CD205" s="65" t="s">
        <v>1953</v>
      </c>
      <c r="CE205" s="65" t="s">
        <v>1953</v>
      </c>
      <c r="CF205" s="65" t="s">
        <v>1953</v>
      </c>
      <c r="CG205" s="65" t="s">
        <v>1953</v>
      </c>
      <c r="CH205" s="65" t="s">
        <v>1953</v>
      </c>
      <c r="CI205" s="65" t="s">
        <v>1953</v>
      </c>
      <c r="CJ205" s="65" t="s">
        <v>1953</v>
      </c>
      <c r="CK205" s="65" t="s">
        <v>1953</v>
      </c>
      <c r="CL205" s="65" t="s">
        <v>1954</v>
      </c>
      <c r="CM205" s="65" t="s">
        <v>1953</v>
      </c>
      <c r="CN205" s="65" t="s">
        <v>1953</v>
      </c>
      <c r="CO205" s="65" t="s">
        <v>1953</v>
      </c>
      <c r="CP205" s="65" t="s">
        <v>1953</v>
      </c>
      <c r="CQ205" s="65" t="s">
        <v>1953</v>
      </c>
      <c r="CR205" s="65" t="s">
        <v>1953</v>
      </c>
      <c r="CS205" s="65" t="s">
        <v>1953</v>
      </c>
      <c r="CT205" s="65" t="s">
        <v>1953</v>
      </c>
      <c r="CU205" s="65" t="s">
        <v>1953</v>
      </c>
      <c r="CV205" s="65" t="s">
        <v>1953</v>
      </c>
      <c r="CW205" s="65" t="s">
        <v>1953</v>
      </c>
      <c r="CX205" s="65" t="s">
        <v>1953</v>
      </c>
      <c r="CY205" s="65" t="s">
        <v>1953</v>
      </c>
      <c r="CZ205" s="65" t="s">
        <v>1953</v>
      </c>
      <c r="DA205" s="65" t="s">
        <v>1953</v>
      </c>
    </row>
    <row r="206" spans="78:105">
      <c r="BZ206" t="s">
        <v>7765</v>
      </c>
      <c r="CA206" t="str">
        <f>IFERROR(HLOOKUP($CA$1,Table4[[#All],[India]:[Dominican Republic]],ROW(Table4[[#This Row],[Default]])-1,0),"True")</f>
        <v>True</v>
      </c>
      <c r="CB206" s="65" t="s">
        <v>1953</v>
      </c>
      <c r="CC206" s="65" t="s">
        <v>1953</v>
      </c>
      <c r="CD206" s="65" t="s">
        <v>1953</v>
      </c>
      <c r="CE206" s="65" t="s">
        <v>1953</v>
      </c>
      <c r="CF206" s="65" t="s">
        <v>1953</v>
      </c>
      <c r="CG206" s="65" t="s">
        <v>1953</v>
      </c>
      <c r="CH206" s="65" t="s">
        <v>1953</v>
      </c>
      <c r="CI206" s="65" t="s">
        <v>1953</v>
      </c>
      <c r="CJ206" s="65" t="s">
        <v>1953</v>
      </c>
      <c r="CK206" s="65" t="s">
        <v>1953</v>
      </c>
      <c r="CL206" s="65" t="s">
        <v>1954</v>
      </c>
      <c r="CM206" s="65" t="s">
        <v>1953</v>
      </c>
      <c r="CN206" s="65" t="s">
        <v>1953</v>
      </c>
      <c r="CO206" s="65" t="s">
        <v>1953</v>
      </c>
      <c r="CP206" s="65" t="s">
        <v>1953</v>
      </c>
      <c r="CQ206" s="65" t="s">
        <v>1953</v>
      </c>
      <c r="CR206" s="65" t="s">
        <v>1953</v>
      </c>
      <c r="CS206" s="65" t="s">
        <v>1953</v>
      </c>
      <c r="CT206" s="65" t="s">
        <v>1953</v>
      </c>
      <c r="CU206" s="65" t="s">
        <v>1953</v>
      </c>
      <c r="CV206" s="65" t="s">
        <v>1953</v>
      </c>
      <c r="CW206" s="65" t="s">
        <v>1953</v>
      </c>
      <c r="CX206" s="65" t="s">
        <v>1953</v>
      </c>
      <c r="CY206" s="65" t="s">
        <v>1953</v>
      </c>
      <c r="CZ206" s="65" t="s">
        <v>1953</v>
      </c>
      <c r="DA206" s="65" t="s">
        <v>1953</v>
      </c>
    </row>
    <row r="207" spans="78:105">
      <c r="BZ207" t="s">
        <v>7766</v>
      </c>
      <c r="CA207" t="str">
        <f>IFERROR(HLOOKUP($CA$1,Table4[[#All],[India]:[Dominican Republic]],ROW(Table4[[#This Row],[Default]])-1,0),"True")</f>
        <v>True</v>
      </c>
      <c r="CB207" s="65" t="s">
        <v>1953</v>
      </c>
      <c r="CC207" s="65" t="s">
        <v>1953</v>
      </c>
      <c r="CD207" s="65" t="s">
        <v>1953</v>
      </c>
      <c r="CE207" s="65" t="s">
        <v>1953</v>
      </c>
      <c r="CF207" s="65" t="s">
        <v>1953</v>
      </c>
      <c r="CG207" s="65" t="s">
        <v>1953</v>
      </c>
      <c r="CH207" s="65" t="s">
        <v>1953</v>
      </c>
      <c r="CI207" s="65" t="s">
        <v>1953</v>
      </c>
      <c r="CJ207" s="65" t="s">
        <v>1953</v>
      </c>
      <c r="CK207" s="65" t="s">
        <v>1953</v>
      </c>
      <c r="CL207" s="65" t="s">
        <v>1954</v>
      </c>
      <c r="CM207" s="65" t="s">
        <v>1953</v>
      </c>
      <c r="CN207" s="65" t="s">
        <v>1953</v>
      </c>
      <c r="CO207" s="65" t="s">
        <v>1953</v>
      </c>
      <c r="CP207" s="65" t="s">
        <v>1953</v>
      </c>
      <c r="CQ207" s="65" t="s">
        <v>1953</v>
      </c>
      <c r="CR207" s="65" t="s">
        <v>1953</v>
      </c>
      <c r="CS207" s="65" t="s">
        <v>1953</v>
      </c>
      <c r="CT207" s="65" t="s">
        <v>1953</v>
      </c>
      <c r="CU207" s="65" t="s">
        <v>1953</v>
      </c>
      <c r="CV207" s="65" t="s">
        <v>1953</v>
      </c>
      <c r="CW207" s="65" t="s">
        <v>1953</v>
      </c>
      <c r="CX207" s="65" t="s">
        <v>1953</v>
      </c>
      <c r="CY207" s="65" t="s">
        <v>1953</v>
      </c>
      <c r="CZ207" s="65" t="s">
        <v>1953</v>
      </c>
      <c r="DA207" s="65" t="s">
        <v>1953</v>
      </c>
    </row>
    <row r="208" spans="78:105">
      <c r="BZ208" t="s">
        <v>7767</v>
      </c>
      <c r="CA208" t="str">
        <f>IFERROR(HLOOKUP($CA$1,Table4[[#All],[India]:[Dominican Republic]],ROW(Table4[[#This Row],[Default]])-1,0),"True")</f>
        <v>True</v>
      </c>
      <c r="CB208" s="65" t="s">
        <v>1953</v>
      </c>
      <c r="CC208" s="65" t="s">
        <v>1953</v>
      </c>
      <c r="CD208" s="65" t="s">
        <v>1953</v>
      </c>
      <c r="CE208" s="65" t="s">
        <v>1953</v>
      </c>
      <c r="CF208" s="65" t="s">
        <v>1953</v>
      </c>
      <c r="CG208" s="65" t="s">
        <v>1953</v>
      </c>
      <c r="CH208" s="65" t="s">
        <v>1953</v>
      </c>
      <c r="CI208" s="65" t="s">
        <v>1953</v>
      </c>
      <c r="CJ208" s="65" t="s">
        <v>1953</v>
      </c>
      <c r="CK208" s="65" t="s">
        <v>1953</v>
      </c>
      <c r="CL208" s="65" t="s">
        <v>1954</v>
      </c>
      <c r="CM208" s="65" t="s">
        <v>1953</v>
      </c>
      <c r="CN208" s="65" t="s">
        <v>1953</v>
      </c>
      <c r="CO208" s="65" t="s">
        <v>1953</v>
      </c>
      <c r="CP208" s="65" t="s">
        <v>1953</v>
      </c>
      <c r="CQ208" s="65" t="s">
        <v>1953</v>
      </c>
      <c r="CR208" s="65" t="s">
        <v>1953</v>
      </c>
      <c r="CS208" s="65" t="s">
        <v>1953</v>
      </c>
      <c r="CT208" s="65" t="s">
        <v>1953</v>
      </c>
      <c r="CU208" s="65" t="s">
        <v>1953</v>
      </c>
      <c r="CV208" s="65" t="s">
        <v>1953</v>
      </c>
      <c r="CW208" s="65" t="s">
        <v>1953</v>
      </c>
      <c r="CX208" s="65" t="s">
        <v>1953</v>
      </c>
      <c r="CY208" s="65" t="s">
        <v>1953</v>
      </c>
      <c r="CZ208" s="65" t="s">
        <v>1953</v>
      </c>
      <c r="DA208" s="65" t="s">
        <v>1953</v>
      </c>
    </row>
    <row r="209" spans="78:105">
      <c r="BZ209" t="s">
        <v>7768</v>
      </c>
      <c r="CA209" t="str">
        <f>IFERROR(HLOOKUP($CA$1,Table4[[#All],[India]:[Dominican Republic]],ROW(Table4[[#This Row],[Default]])-1,0),"True")</f>
        <v>True</v>
      </c>
      <c r="CB209" s="65" t="s">
        <v>1953</v>
      </c>
      <c r="CC209" s="65" t="s">
        <v>1953</v>
      </c>
      <c r="CD209" s="65" t="s">
        <v>1953</v>
      </c>
      <c r="CE209" s="65" t="s">
        <v>1953</v>
      </c>
      <c r="CF209" s="65" t="s">
        <v>1953</v>
      </c>
      <c r="CG209" s="65" t="s">
        <v>1953</v>
      </c>
      <c r="CH209" s="65" t="s">
        <v>1953</v>
      </c>
      <c r="CI209" s="65" t="s">
        <v>1953</v>
      </c>
      <c r="CJ209" s="65" t="s">
        <v>1953</v>
      </c>
      <c r="CK209" s="65" t="s">
        <v>1953</v>
      </c>
      <c r="CL209" s="65" t="s">
        <v>1954</v>
      </c>
      <c r="CM209" s="65" t="s">
        <v>1953</v>
      </c>
      <c r="CN209" s="65" t="s">
        <v>1953</v>
      </c>
      <c r="CO209" s="65" t="s">
        <v>1953</v>
      </c>
      <c r="CP209" s="65" t="s">
        <v>1953</v>
      </c>
      <c r="CQ209" s="65" t="s">
        <v>1953</v>
      </c>
      <c r="CR209" s="65" t="s">
        <v>1953</v>
      </c>
      <c r="CS209" s="65" t="s">
        <v>1953</v>
      </c>
      <c r="CT209" s="65" t="s">
        <v>1953</v>
      </c>
      <c r="CU209" s="65" t="s">
        <v>1953</v>
      </c>
      <c r="CV209" s="65" t="s">
        <v>1953</v>
      </c>
      <c r="CW209" s="65" t="s">
        <v>1953</v>
      </c>
      <c r="CX209" s="65" t="s">
        <v>1953</v>
      </c>
      <c r="CY209" s="65" t="s">
        <v>1953</v>
      </c>
      <c r="CZ209" s="65" t="s">
        <v>1953</v>
      </c>
      <c r="DA209" s="65" t="s">
        <v>1953</v>
      </c>
    </row>
    <row r="210" spans="78:105">
      <c r="BZ210" t="s">
        <v>5036</v>
      </c>
      <c r="CA210" t="str">
        <f>IFERROR(HLOOKUP($CA$1,Table4[[#All],[India]:[Dominican Republic]],ROW(Table4[[#This Row],[Default]])-1,0),"True")</f>
        <v>True</v>
      </c>
      <c r="CB210" s="65" t="s">
        <v>1953</v>
      </c>
      <c r="CC210" s="65" t="s">
        <v>1953</v>
      </c>
      <c r="CD210" s="65" t="s">
        <v>1953</v>
      </c>
      <c r="CE210" s="65" t="s">
        <v>1953</v>
      </c>
      <c r="CF210" s="65" t="s">
        <v>1953</v>
      </c>
      <c r="CG210" s="65" t="s">
        <v>1953</v>
      </c>
      <c r="CH210" s="65" t="s">
        <v>1953</v>
      </c>
      <c r="CI210" s="65" t="s">
        <v>1953</v>
      </c>
      <c r="CJ210" s="65" t="s">
        <v>1953</v>
      </c>
      <c r="CK210" s="65" t="s">
        <v>1953</v>
      </c>
      <c r="CL210" s="65" t="s">
        <v>1953</v>
      </c>
      <c r="CM210" s="65" t="s">
        <v>1954</v>
      </c>
      <c r="CN210" s="65" t="s">
        <v>1953</v>
      </c>
      <c r="CO210" s="65" t="s">
        <v>1953</v>
      </c>
      <c r="CP210" s="65" t="s">
        <v>1953</v>
      </c>
      <c r="CQ210" s="65" t="s">
        <v>1953</v>
      </c>
      <c r="CR210" s="65" t="s">
        <v>1953</v>
      </c>
      <c r="CS210" s="65" t="s">
        <v>1953</v>
      </c>
      <c r="CT210" s="65" t="s">
        <v>1953</v>
      </c>
      <c r="CU210" s="65" t="s">
        <v>1953</v>
      </c>
      <c r="CV210" s="65" t="s">
        <v>1953</v>
      </c>
      <c r="CW210" s="65" t="s">
        <v>1953</v>
      </c>
      <c r="CX210" s="65" t="s">
        <v>1953</v>
      </c>
      <c r="CY210" s="65" t="s">
        <v>1953</v>
      </c>
      <c r="CZ210" s="65" t="s">
        <v>1953</v>
      </c>
      <c r="DA210" s="65" t="s">
        <v>1953</v>
      </c>
    </row>
    <row r="211" spans="78:105">
      <c r="BZ211" t="s">
        <v>7775</v>
      </c>
      <c r="CA211" t="str">
        <f>IFERROR(HLOOKUP($CA$1,Table4[[#All],[India]:[Dominican Republic]],ROW(Table4[[#This Row],[Default]])-1,0),"True")</f>
        <v>True</v>
      </c>
      <c r="CB211" s="65" t="s">
        <v>1953</v>
      </c>
      <c r="CC211" s="65" t="s">
        <v>1953</v>
      </c>
      <c r="CD211" s="65" t="s">
        <v>1953</v>
      </c>
      <c r="CE211" s="65" t="s">
        <v>1953</v>
      </c>
      <c r="CF211" s="65" t="s">
        <v>1953</v>
      </c>
      <c r="CG211" s="65" t="s">
        <v>1953</v>
      </c>
      <c r="CH211" s="65" t="s">
        <v>1953</v>
      </c>
      <c r="CI211" s="65" t="s">
        <v>1953</v>
      </c>
      <c r="CJ211" s="65" t="s">
        <v>1953</v>
      </c>
      <c r="CK211" s="65" t="s">
        <v>1953</v>
      </c>
      <c r="CL211" s="65" t="s">
        <v>1953</v>
      </c>
      <c r="CM211" s="65" t="s">
        <v>1954</v>
      </c>
      <c r="CN211" s="65" t="s">
        <v>1953</v>
      </c>
      <c r="CO211" s="65" t="s">
        <v>1953</v>
      </c>
      <c r="CP211" s="65" t="s">
        <v>1953</v>
      </c>
      <c r="CQ211" s="65" t="s">
        <v>1953</v>
      </c>
      <c r="CR211" s="65" t="s">
        <v>1953</v>
      </c>
      <c r="CS211" s="65" t="s">
        <v>1953</v>
      </c>
      <c r="CT211" s="65" t="s">
        <v>1953</v>
      </c>
      <c r="CU211" s="65" t="s">
        <v>1953</v>
      </c>
      <c r="CV211" s="65" t="s">
        <v>1953</v>
      </c>
      <c r="CW211" s="65" t="s">
        <v>1953</v>
      </c>
      <c r="CX211" s="65" t="s">
        <v>1953</v>
      </c>
      <c r="CY211" s="65" t="s">
        <v>1953</v>
      </c>
      <c r="CZ211" s="65" t="s">
        <v>1953</v>
      </c>
      <c r="DA211" s="65" t="s">
        <v>1953</v>
      </c>
    </row>
    <row r="212" spans="78:105">
      <c r="BZ212" t="s">
        <v>5036</v>
      </c>
      <c r="CA212" t="str">
        <f>IFERROR(HLOOKUP($CA$1,Table4[[#All],[India]:[Dominican Republic]],ROW(Table4[[#This Row],[Default]])-1,0),"True")</f>
        <v>True</v>
      </c>
      <c r="CB212" s="65" t="s">
        <v>1953</v>
      </c>
      <c r="CC212" s="65" t="s">
        <v>1953</v>
      </c>
      <c r="CD212" s="65" t="s">
        <v>1953</v>
      </c>
      <c r="CE212" s="65" t="s">
        <v>1953</v>
      </c>
      <c r="CF212" s="65" t="s">
        <v>1953</v>
      </c>
      <c r="CG212" s="65" t="s">
        <v>1953</v>
      </c>
      <c r="CH212" s="65" t="s">
        <v>1953</v>
      </c>
      <c r="CI212" s="65" t="s">
        <v>1953</v>
      </c>
      <c r="CJ212" s="65" t="s">
        <v>1953</v>
      </c>
      <c r="CK212" s="65" t="s">
        <v>1953</v>
      </c>
      <c r="CL212" s="65" t="s">
        <v>1953</v>
      </c>
      <c r="CM212" s="65" t="s">
        <v>1954</v>
      </c>
      <c r="CN212" s="65" t="s">
        <v>1953</v>
      </c>
      <c r="CO212" s="65" t="s">
        <v>1953</v>
      </c>
      <c r="CP212" s="65" t="s">
        <v>1953</v>
      </c>
      <c r="CQ212" s="65" t="s">
        <v>1953</v>
      </c>
      <c r="CR212" s="65" t="s">
        <v>1953</v>
      </c>
      <c r="CS212" s="65" t="s">
        <v>1953</v>
      </c>
      <c r="CT212" s="65" t="s">
        <v>1953</v>
      </c>
      <c r="CU212" s="65" t="s">
        <v>1953</v>
      </c>
      <c r="CV212" s="65" t="s">
        <v>1953</v>
      </c>
      <c r="CW212" s="65" t="s">
        <v>1953</v>
      </c>
      <c r="CX212" s="65" t="s">
        <v>1953</v>
      </c>
      <c r="CY212" s="65" t="s">
        <v>1953</v>
      </c>
      <c r="CZ212" s="65" t="s">
        <v>1953</v>
      </c>
      <c r="DA212" s="65" t="s">
        <v>1953</v>
      </c>
    </row>
    <row r="213" spans="78:105">
      <c r="BZ213" t="s">
        <v>7776</v>
      </c>
      <c r="CA213" t="str">
        <f>IFERROR(HLOOKUP($CA$1,Table4[[#All],[India]:[Dominican Republic]],ROW(Table4[[#This Row],[Default]])-1,0),"True")</f>
        <v>True</v>
      </c>
      <c r="CB213" s="65" t="s">
        <v>1953</v>
      </c>
      <c r="CC213" s="65" t="s">
        <v>1953</v>
      </c>
      <c r="CD213" s="65" t="s">
        <v>1953</v>
      </c>
      <c r="CE213" s="65" t="s">
        <v>1953</v>
      </c>
      <c r="CF213" s="65" t="s">
        <v>1953</v>
      </c>
      <c r="CG213" s="65" t="s">
        <v>1953</v>
      </c>
      <c r="CH213" s="65" t="s">
        <v>1953</v>
      </c>
      <c r="CI213" s="65" t="s">
        <v>1953</v>
      </c>
      <c r="CJ213" s="65" t="s">
        <v>1953</v>
      </c>
      <c r="CK213" s="65" t="s">
        <v>1953</v>
      </c>
      <c r="CL213" s="65" t="s">
        <v>1953</v>
      </c>
      <c r="CM213" s="65" t="s">
        <v>1954</v>
      </c>
      <c r="CN213" s="65" t="s">
        <v>1953</v>
      </c>
      <c r="CO213" s="65" t="s">
        <v>1953</v>
      </c>
      <c r="CP213" s="65" t="s">
        <v>1953</v>
      </c>
      <c r="CQ213" s="65" t="s">
        <v>1953</v>
      </c>
      <c r="CR213" s="65" t="s">
        <v>1953</v>
      </c>
      <c r="CS213" s="65" t="s">
        <v>1953</v>
      </c>
      <c r="CT213" s="65" t="s">
        <v>1953</v>
      </c>
      <c r="CU213" s="65" t="s">
        <v>1953</v>
      </c>
      <c r="CV213" s="65" t="s">
        <v>1953</v>
      </c>
      <c r="CW213" s="65" t="s">
        <v>1953</v>
      </c>
      <c r="CX213" s="65" t="s">
        <v>1953</v>
      </c>
      <c r="CY213" s="65" t="s">
        <v>1953</v>
      </c>
      <c r="CZ213" s="65" t="s">
        <v>1953</v>
      </c>
      <c r="DA213" s="65" t="s">
        <v>1953</v>
      </c>
    </row>
    <row r="214" spans="78:105">
      <c r="BZ214" t="s">
        <v>7769</v>
      </c>
      <c r="CA214" t="str">
        <f>IFERROR(HLOOKUP($CA$1,Table4[[#All],[India]:[Dominican Republic]],ROW(Table4[[#This Row],[Default]])-1,0),"True")</f>
        <v>True</v>
      </c>
      <c r="CB214" s="65" t="s">
        <v>1953</v>
      </c>
      <c r="CC214" s="65" t="s">
        <v>1953</v>
      </c>
      <c r="CD214" s="65" t="s">
        <v>1953</v>
      </c>
      <c r="CE214" s="65" t="s">
        <v>1953</v>
      </c>
      <c r="CF214" s="65" t="s">
        <v>1953</v>
      </c>
      <c r="CG214" s="65" t="s">
        <v>1953</v>
      </c>
      <c r="CH214" s="65" t="s">
        <v>1953</v>
      </c>
      <c r="CI214" s="65" t="s">
        <v>1953</v>
      </c>
      <c r="CJ214" s="65" t="s">
        <v>1953</v>
      </c>
      <c r="CK214" s="65" t="s">
        <v>1953</v>
      </c>
      <c r="CL214" s="65" t="s">
        <v>1953</v>
      </c>
      <c r="CM214" s="65" t="s">
        <v>1954</v>
      </c>
      <c r="CN214" s="65" t="s">
        <v>1953</v>
      </c>
      <c r="CO214" s="65" t="s">
        <v>1953</v>
      </c>
      <c r="CP214" s="65" t="s">
        <v>1953</v>
      </c>
      <c r="CQ214" s="65" t="s">
        <v>1953</v>
      </c>
      <c r="CR214" s="65" t="s">
        <v>1953</v>
      </c>
      <c r="CS214" s="65" t="s">
        <v>1953</v>
      </c>
      <c r="CT214" s="65" t="s">
        <v>1953</v>
      </c>
      <c r="CU214" s="65" t="s">
        <v>1953</v>
      </c>
      <c r="CV214" s="65" t="s">
        <v>1953</v>
      </c>
      <c r="CW214" s="65" t="s">
        <v>1953</v>
      </c>
      <c r="CX214" s="65" t="s">
        <v>1953</v>
      </c>
      <c r="CY214" s="65" t="s">
        <v>1953</v>
      </c>
      <c r="CZ214" s="65" t="s">
        <v>1953</v>
      </c>
      <c r="DA214" s="65" t="s">
        <v>1953</v>
      </c>
    </row>
    <row r="215" spans="78:105">
      <c r="BZ215" t="s">
        <v>7770</v>
      </c>
      <c r="CA215" t="str">
        <f>IFERROR(HLOOKUP($CA$1,Table4[[#All],[India]:[Dominican Republic]],ROW(Table4[[#This Row],[Default]])-1,0),"True")</f>
        <v>True</v>
      </c>
      <c r="CB215" s="65" t="s">
        <v>1953</v>
      </c>
      <c r="CC215" s="65" t="s">
        <v>1953</v>
      </c>
      <c r="CD215" s="65" t="s">
        <v>1953</v>
      </c>
      <c r="CE215" s="65" t="s">
        <v>1953</v>
      </c>
      <c r="CF215" s="65" t="s">
        <v>1953</v>
      </c>
      <c r="CG215" s="65" t="s">
        <v>1953</v>
      </c>
      <c r="CH215" s="65" t="s">
        <v>1953</v>
      </c>
      <c r="CI215" s="65" t="s">
        <v>1953</v>
      </c>
      <c r="CJ215" s="65" t="s">
        <v>1953</v>
      </c>
      <c r="CK215" s="65" t="s">
        <v>1953</v>
      </c>
      <c r="CL215" s="65" t="s">
        <v>1953</v>
      </c>
      <c r="CM215" s="65" t="s">
        <v>1954</v>
      </c>
      <c r="CN215" s="65" t="s">
        <v>1953</v>
      </c>
      <c r="CO215" s="65" t="s">
        <v>1953</v>
      </c>
      <c r="CP215" s="65" t="s">
        <v>1953</v>
      </c>
      <c r="CQ215" s="65" t="s">
        <v>1953</v>
      </c>
      <c r="CR215" s="65" t="s">
        <v>1953</v>
      </c>
      <c r="CS215" s="65" t="s">
        <v>1953</v>
      </c>
      <c r="CT215" s="65" t="s">
        <v>1953</v>
      </c>
      <c r="CU215" s="65" t="s">
        <v>1953</v>
      </c>
      <c r="CV215" s="65" t="s">
        <v>1953</v>
      </c>
      <c r="CW215" s="65" t="s">
        <v>1953</v>
      </c>
      <c r="CX215" s="65" t="s">
        <v>1953</v>
      </c>
      <c r="CY215" s="65" t="s">
        <v>1953</v>
      </c>
      <c r="CZ215" s="65" t="s">
        <v>1953</v>
      </c>
      <c r="DA215" s="65" t="s">
        <v>1953</v>
      </c>
    </row>
    <row r="216" spans="78:105">
      <c r="BZ216" t="s">
        <v>7771</v>
      </c>
      <c r="CA216" t="str">
        <f>IFERROR(HLOOKUP($CA$1,Table4[[#All],[India]:[Dominican Republic]],ROW(Table4[[#This Row],[Default]])-1,0),"True")</f>
        <v>True</v>
      </c>
      <c r="CB216" s="65" t="s">
        <v>1953</v>
      </c>
      <c r="CC216" s="65" t="s">
        <v>1953</v>
      </c>
      <c r="CD216" s="65" t="s">
        <v>1953</v>
      </c>
      <c r="CE216" s="65" t="s">
        <v>1953</v>
      </c>
      <c r="CF216" s="65" t="s">
        <v>1953</v>
      </c>
      <c r="CG216" s="65" t="s">
        <v>1953</v>
      </c>
      <c r="CH216" s="65" t="s">
        <v>1953</v>
      </c>
      <c r="CI216" s="65" t="s">
        <v>1953</v>
      </c>
      <c r="CJ216" s="65" t="s">
        <v>1953</v>
      </c>
      <c r="CK216" s="65" t="s">
        <v>1953</v>
      </c>
      <c r="CL216" s="65" t="s">
        <v>1953</v>
      </c>
      <c r="CM216" s="65" t="s">
        <v>1954</v>
      </c>
      <c r="CN216" s="65" t="s">
        <v>1953</v>
      </c>
      <c r="CO216" s="65" t="s">
        <v>1953</v>
      </c>
      <c r="CP216" s="65" t="s">
        <v>1953</v>
      </c>
      <c r="CQ216" s="65" t="s">
        <v>1953</v>
      </c>
      <c r="CR216" s="65" t="s">
        <v>1953</v>
      </c>
      <c r="CS216" s="65" t="s">
        <v>1953</v>
      </c>
      <c r="CT216" s="65" t="s">
        <v>1953</v>
      </c>
      <c r="CU216" s="65" t="s">
        <v>1953</v>
      </c>
      <c r="CV216" s="65" t="s">
        <v>1953</v>
      </c>
      <c r="CW216" s="65" t="s">
        <v>1953</v>
      </c>
      <c r="CX216" s="65" t="s">
        <v>1953</v>
      </c>
      <c r="CY216" s="65" t="s">
        <v>1953</v>
      </c>
      <c r="CZ216" s="65" t="s">
        <v>1953</v>
      </c>
      <c r="DA216" s="65" t="s">
        <v>1953</v>
      </c>
    </row>
    <row r="217" spans="78:105">
      <c r="BZ217" t="s">
        <v>7772</v>
      </c>
      <c r="CA217" t="str">
        <f>IFERROR(HLOOKUP($CA$1,Table4[[#All],[India]:[Dominican Republic]],ROW(Table4[[#This Row],[Default]])-1,0),"True")</f>
        <v>True</v>
      </c>
      <c r="CB217" s="65" t="s">
        <v>1953</v>
      </c>
      <c r="CC217" s="65" t="s">
        <v>1953</v>
      </c>
      <c r="CD217" s="65" t="s">
        <v>1953</v>
      </c>
      <c r="CE217" s="65" t="s">
        <v>1953</v>
      </c>
      <c r="CF217" s="65" t="s">
        <v>1953</v>
      </c>
      <c r="CG217" s="65" t="s">
        <v>1953</v>
      </c>
      <c r="CH217" s="65" t="s">
        <v>1953</v>
      </c>
      <c r="CI217" s="65" t="s">
        <v>1953</v>
      </c>
      <c r="CJ217" s="65" t="s">
        <v>1953</v>
      </c>
      <c r="CK217" s="65" t="s">
        <v>1953</v>
      </c>
      <c r="CL217" s="65" t="s">
        <v>1953</v>
      </c>
      <c r="CM217" s="65" t="s">
        <v>1954</v>
      </c>
      <c r="CN217" s="65" t="s">
        <v>1953</v>
      </c>
      <c r="CO217" s="65" t="s">
        <v>1953</v>
      </c>
      <c r="CP217" s="65" t="s">
        <v>1953</v>
      </c>
      <c r="CQ217" s="65" t="s">
        <v>1953</v>
      </c>
      <c r="CR217" s="65" t="s">
        <v>1953</v>
      </c>
      <c r="CS217" s="65" t="s">
        <v>1953</v>
      </c>
      <c r="CT217" s="65" t="s">
        <v>1953</v>
      </c>
      <c r="CU217" s="65" t="s">
        <v>1953</v>
      </c>
      <c r="CV217" s="65" t="s">
        <v>1953</v>
      </c>
      <c r="CW217" s="65" t="s">
        <v>1953</v>
      </c>
      <c r="CX217" s="65" t="s">
        <v>1953</v>
      </c>
      <c r="CY217" s="65" t="s">
        <v>1953</v>
      </c>
      <c r="CZ217" s="65" t="s">
        <v>1953</v>
      </c>
      <c r="DA217" s="65" t="s">
        <v>1953</v>
      </c>
    </row>
    <row r="218" spans="78:105">
      <c r="BZ218" t="s">
        <v>7773</v>
      </c>
      <c r="CA218" t="str">
        <f>IFERROR(HLOOKUP($CA$1,Table4[[#All],[India]:[Dominican Republic]],ROW(Table4[[#This Row],[Default]])-1,0),"True")</f>
        <v>True</v>
      </c>
      <c r="CB218" s="65" t="s">
        <v>1953</v>
      </c>
      <c r="CC218" s="65" t="s">
        <v>1953</v>
      </c>
      <c r="CD218" s="65" t="s">
        <v>1953</v>
      </c>
      <c r="CE218" s="65" t="s">
        <v>1953</v>
      </c>
      <c r="CF218" s="65" t="s">
        <v>1953</v>
      </c>
      <c r="CG218" s="65" t="s">
        <v>1953</v>
      </c>
      <c r="CH218" s="65" t="s">
        <v>1953</v>
      </c>
      <c r="CI218" s="65" t="s">
        <v>1953</v>
      </c>
      <c r="CJ218" s="65" t="s">
        <v>1953</v>
      </c>
      <c r="CK218" s="65" t="s">
        <v>1953</v>
      </c>
      <c r="CL218" s="65" t="s">
        <v>1953</v>
      </c>
      <c r="CM218" s="65" t="s">
        <v>1954</v>
      </c>
      <c r="CN218" s="65" t="s">
        <v>1953</v>
      </c>
      <c r="CO218" s="65" t="s">
        <v>1953</v>
      </c>
      <c r="CP218" s="65" t="s">
        <v>1953</v>
      </c>
      <c r="CQ218" s="65" t="s">
        <v>1953</v>
      </c>
      <c r="CR218" s="65" t="s">
        <v>1953</v>
      </c>
      <c r="CS218" s="65" t="s">
        <v>1953</v>
      </c>
      <c r="CT218" s="65" t="s">
        <v>1953</v>
      </c>
      <c r="CU218" s="65" t="s">
        <v>1953</v>
      </c>
      <c r="CV218" s="65" t="s">
        <v>1953</v>
      </c>
      <c r="CW218" s="65" t="s">
        <v>1953</v>
      </c>
      <c r="CX218" s="65" t="s">
        <v>1953</v>
      </c>
      <c r="CY218" s="65" t="s">
        <v>1953</v>
      </c>
      <c r="CZ218" s="65" t="s">
        <v>1953</v>
      </c>
      <c r="DA218" s="65" t="s">
        <v>1953</v>
      </c>
    </row>
    <row r="219" spans="78:105">
      <c r="BZ219" t="s">
        <v>7770</v>
      </c>
      <c r="CA219" t="str">
        <f>IFERROR(HLOOKUP($CA$1,Table4[[#All],[India]:[Dominican Republic]],ROW(Table4[[#This Row],[Default]])-1,0),"True")</f>
        <v>True</v>
      </c>
      <c r="CB219" s="65" t="s">
        <v>1953</v>
      </c>
      <c r="CC219" s="65" t="s">
        <v>1953</v>
      </c>
      <c r="CD219" s="65" t="s">
        <v>1953</v>
      </c>
      <c r="CE219" s="65" t="s">
        <v>1953</v>
      </c>
      <c r="CF219" s="65" t="s">
        <v>1953</v>
      </c>
      <c r="CG219" s="65" t="s">
        <v>1953</v>
      </c>
      <c r="CH219" s="65" t="s">
        <v>1953</v>
      </c>
      <c r="CI219" s="65" t="s">
        <v>1953</v>
      </c>
      <c r="CJ219" s="65" t="s">
        <v>1953</v>
      </c>
      <c r="CK219" s="65" t="s">
        <v>1953</v>
      </c>
      <c r="CL219" s="65" t="s">
        <v>1953</v>
      </c>
      <c r="CM219" s="65" t="s">
        <v>1954</v>
      </c>
      <c r="CN219" s="65" t="s">
        <v>1953</v>
      </c>
      <c r="CO219" s="65" t="s">
        <v>1953</v>
      </c>
      <c r="CP219" s="65" t="s">
        <v>1953</v>
      </c>
      <c r="CQ219" s="65" t="s">
        <v>1953</v>
      </c>
      <c r="CR219" s="65" t="s">
        <v>1953</v>
      </c>
      <c r="CS219" s="65" t="s">
        <v>1953</v>
      </c>
      <c r="CT219" s="65" t="s">
        <v>1953</v>
      </c>
      <c r="CU219" s="65" t="s">
        <v>1953</v>
      </c>
      <c r="CV219" s="65" t="s">
        <v>1953</v>
      </c>
      <c r="CW219" s="65" t="s">
        <v>1953</v>
      </c>
      <c r="CX219" s="65" t="s">
        <v>1953</v>
      </c>
      <c r="CY219" s="65" t="s">
        <v>1953</v>
      </c>
      <c r="CZ219" s="65" t="s">
        <v>1953</v>
      </c>
      <c r="DA219" s="65" t="s">
        <v>1953</v>
      </c>
    </row>
    <row r="220" spans="78:105">
      <c r="BZ220" t="s">
        <v>7774</v>
      </c>
      <c r="CA220" t="str">
        <f>IFERROR(HLOOKUP($CA$1,Table4[[#All],[India]:[Dominican Republic]],ROW(Table4[[#This Row],[Default]])-1,0),"True")</f>
        <v>True</v>
      </c>
      <c r="CB220" s="65" t="s">
        <v>1953</v>
      </c>
      <c r="CC220" s="65" t="s">
        <v>1953</v>
      </c>
      <c r="CD220" s="65" t="s">
        <v>1953</v>
      </c>
      <c r="CE220" s="65" t="s">
        <v>1953</v>
      </c>
      <c r="CF220" s="65" t="s">
        <v>1953</v>
      </c>
      <c r="CG220" s="65" t="s">
        <v>1953</v>
      </c>
      <c r="CH220" s="65" t="s">
        <v>1953</v>
      </c>
      <c r="CI220" s="65" t="s">
        <v>1953</v>
      </c>
      <c r="CJ220" s="65" t="s">
        <v>1953</v>
      </c>
      <c r="CK220" s="65" t="s">
        <v>1953</v>
      </c>
      <c r="CL220" s="65" t="s">
        <v>1953</v>
      </c>
      <c r="CM220" s="65" t="s">
        <v>1954</v>
      </c>
      <c r="CN220" s="65" t="s">
        <v>1953</v>
      </c>
      <c r="CO220" s="65" t="s">
        <v>1953</v>
      </c>
      <c r="CP220" s="65" t="s">
        <v>1953</v>
      </c>
      <c r="CQ220" s="65" t="s">
        <v>1953</v>
      </c>
      <c r="CR220" s="65" t="s">
        <v>1953</v>
      </c>
      <c r="CS220" s="65" t="s">
        <v>1953</v>
      </c>
      <c r="CT220" s="65" t="s">
        <v>1953</v>
      </c>
      <c r="CU220" s="65" t="s">
        <v>1953</v>
      </c>
      <c r="CV220" s="65" t="s">
        <v>1953</v>
      </c>
      <c r="CW220" s="65" t="s">
        <v>1953</v>
      </c>
      <c r="CX220" s="65" t="s">
        <v>1953</v>
      </c>
      <c r="CY220" s="65" t="s">
        <v>1953</v>
      </c>
      <c r="CZ220" s="65" t="s">
        <v>1953</v>
      </c>
      <c r="DA220" s="65" t="s">
        <v>1953</v>
      </c>
    </row>
    <row r="221" spans="78:105">
      <c r="BZ221" t="s">
        <v>7770</v>
      </c>
      <c r="CA221" t="str">
        <f>IFERROR(HLOOKUP($CA$1,Table4[[#All],[India]:[Dominican Republic]],ROW(Table4[[#This Row],[Default]])-1,0),"True")</f>
        <v>True</v>
      </c>
      <c r="CB221" s="65" t="s">
        <v>1953</v>
      </c>
      <c r="CC221" s="65" t="s">
        <v>1953</v>
      </c>
      <c r="CD221" s="65" t="s">
        <v>1953</v>
      </c>
      <c r="CE221" s="65" t="s">
        <v>1953</v>
      </c>
      <c r="CF221" s="65" t="s">
        <v>1953</v>
      </c>
      <c r="CG221" s="65" t="s">
        <v>1953</v>
      </c>
      <c r="CH221" s="65" t="s">
        <v>1953</v>
      </c>
      <c r="CI221" s="65" t="s">
        <v>1953</v>
      </c>
      <c r="CJ221" s="65" t="s">
        <v>1953</v>
      </c>
      <c r="CK221" s="65" t="s">
        <v>1953</v>
      </c>
      <c r="CL221" s="65" t="s">
        <v>1953</v>
      </c>
      <c r="CM221" s="65" t="s">
        <v>1954</v>
      </c>
      <c r="CN221" s="65" t="s">
        <v>1953</v>
      </c>
      <c r="CO221" s="65" t="s">
        <v>1953</v>
      </c>
      <c r="CP221" s="65" t="s">
        <v>1953</v>
      </c>
      <c r="CQ221" s="65" t="s">
        <v>1953</v>
      </c>
      <c r="CR221" s="65" t="s">
        <v>1953</v>
      </c>
      <c r="CS221" s="65" t="s">
        <v>1953</v>
      </c>
      <c r="CT221" s="65" t="s">
        <v>1953</v>
      </c>
      <c r="CU221" s="65" t="s">
        <v>1953</v>
      </c>
      <c r="CV221" s="65" t="s">
        <v>1953</v>
      </c>
      <c r="CW221" s="65" t="s">
        <v>1953</v>
      </c>
      <c r="CX221" s="65" t="s">
        <v>1953</v>
      </c>
      <c r="CY221" s="65" t="s">
        <v>1953</v>
      </c>
      <c r="CZ221" s="65" t="s">
        <v>1953</v>
      </c>
      <c r="DA221" s="65" t="s">
        <v>1953</v>
      </c>
    </row>
    <row r="222" spans="78:105">
      <c r="BZ222" t="s">
        <v>7777</v>
      </c>
      <c r="CA222" t="str">
        <f>IFERROR(HLOOKUP($CA$1,Table4[[#All],[India]:[Dominican Republic]],ROW(Table4[[#This Row],[Default]])-1,0),"True")</f>
        <v>True</v>
      </c>
      <c r="CB222" s="65" t="s">
        <v>1953</v>
      </c>
      <c r="CC222" s="65" t="s">
        <v>1953</v>
      </c>
      <c r="CD222" s="65" t="s">
        <v>1953</v>
      </c>
      <c r="CE222" s="65" t="s">
        <v>1953</v>
      </c>
      <c r="CF222" s="65" t="s">
        <v>1953</v>
      </c>
      <c r="CG222" s="65" t="s">
        <v>1953</v>
      </c>
      <c r="CH222" s="65" t="s">
        <v>1953</v>
      </c>
      <c r="CI222" s="65" t="s">
        <v>1953</v>
      </c>
      <c r="CJ222" s="65" t="s">
        <v>1953</v>
      </c>
      <c r="CK222" s="65" t="s">
        <v>1953</v>
      </c>
      <c r="CL222" s="65" t="s">
        <v>1953</v>
      </c>
      <c r="CM222" s="65" t="s">
        <v>1953</v>
      </c>
      <c r="CN222" s="65" t="s">
        <v>1954</v>
      </c>
      <c r="CO222" s="65" t="s">
        <v>1953</v>
      </c>
      <c r="CP222" s="65" t="s">
        <v>1953</v>
      </c>
      <c r="CQ222" s="65" t="s">
        <v>1953</v>
      </c>
      <c r="CR222" s="65" t="s">
        <v>1953</v>
      </c>
      <c r="CS222" s="65" t="s">
        <v>1953</v>
      </c>
      <c r="CT222" s="65" t="s">
        <v>1953</v>
      </c>
      <c r="CU222" s="65" t="s">
        <v>1953</v>
      </c>
      <c r="CV222" s="65" t="s">
        <v>1953</v>
      </c>
      <c r="CW222" s="65" t="s">
        <v>1953</v>
      </c>
      <c r="CX222" s="65" t="s">
        <v>1953</v>
      </c>
      <c r="CY222" s="65" t="s">
        <v>1953</v>
      </c>
      <c r="CZ222" s="65" t="s">
        <v>1953</v>
      </c>
      <c r="DA222" s="65" t="s">
        <v>1953</v>
      </c>
    </row>
    <row r="223" spans="78:105">
      <c r="BZ223" t="s">
        <v>7778</v>
      </c>
      <c r="CA223" t="str">
        <f>IFERROR(HLOOKUP($CA$1,Table4[[#All],[India]:[Dominican Republic]],ROW(Table4[[#This Row],[Default]])-1,0),"True")</f>
        <v>True</v>
      </c>
      <c r="CB223" s="65" t="s">
        <v>1953</v>
      </c>
      <c r="CC223" s="65" t="s">
        <v>1953</v>
      </c>
      <c r="CD223" s="65" t="s">
        <v>1953</v>
      </c>
      <c r="CE223" s="65" t="s">
        <v>1953</v>
      </c>
      <c r="CF223" s="65" t="s">
        <v>1953</v>
      </c>
      <c r="CG223" s="65" t="s">
        <v>1953</v>
      </c>
      <c r="CH223" s="65" t="s">
        <v>1953</v>
      </c>
      <c r="CI223" s="65" t="s">
        <v>1953</v>
      </c>
      <c r="CJ223" s="65" t="s">
        <v>1953</v>
      </c>
      <c r="CK223" s="65" t="s">
        <v>1953</v>
      </c>
      <c r="CL223" s="65" t="s">
        <v>1953</v>
      </c>
      <c r="CM223" s="65" t="s">
        <v>1953</v>
      </c>
      <c r="CN223" s="65" t="s">
        <v>1954</v>
      </c>
      <c r="CO223" s="65" t="s">
        <v>1953</v>
      </c>
      <c r="CP223" s="65" t="s">
        <v>1953</v>
      </c>
      <c r="CQ223" s="65" t="s">
        <v>1953</v>
      </c>
      <c r="CR223" s="65" t="s">
        <v>1953</v>
      </c>
      <c r="CS223" s="65" t="s">
        <v>1953</v>
      </c>
      <c r="CT223" s="65" t="s">
        <v>1953</v>
      </c>
      <c r="CU223" s="65" t="s">
        <v>1953</v>
      </c>
      <c r="CV223" s="65" t="s">
        <v>1953</v>
      </c>
      <c r="CW223" s="65" t="s">
        <v>1953</v>
      </c>
      <c r="CX223" s="65" t="s">
        <v>1953</v>
      </c>
      <c r="CY223" s="65" t="s">
        <v>1953</v>
      </c>
      <c r="CZ223" s="65" t="s">
        <v>1953</v>
      </c>
      <c r="DA223" s="65" t="s">
        <v>1953</v>
      </c>
    </row>
    <row r="224" spans="78:105">
      <c r="BZ224" t="s">
        <v>7779</v>
      </c>
      <c r="CA224" t="str">
        <f>IFERROR(HLOOKUP($CA$1,Table4[[#All],[India]:[Dominican Republic]],ROW(Table4[[#This Row],[Default]])-1,0),"True")</f>
        <v>True</v>
      </c>
      <c r="CB224" s="65" t="s">
        <v>1953</v>
      </c>
      <c r="CC224" s="65" t="s">
        <v>1953</v>
      </c>
      <c r="CD224" s="65" t="s">
        <v>1953</v>
      </c>
      <c r="CE224" s="65" t="s">
        <v>1953</v>
      </c>
      <c r="CF224" s="65" t="s">
        <v>1953</v>
      </c>
      <c r="CG224" s="65" t="s">
        <v>1953</v>
      </c>
      <c r="CH224" s="65" t="s">
        <v>1953</v>
      </c>
      <c r="CI224" s="65" t="s">
        <v>1953</v>
      </c>
      <c r="CJ224" s="65" t="s">
        <v>1953</v>
      </c>
      <c r="CK224" s="65" t="s">
        <v>1953</v>
      </c>
      <c r="CL224" s="65" t="s">
        <v>1953</v>
      </c>
      <c r="CM224" s="65" t="s">
        <v>1953</v>
      </c>
      <c r="CN224" s="65" t="s">
        <v>1954</v>
      </c>
      <c r="CO224" s="65" t="s">
        <v>1953</v>
      </c>
      <c r="CP224" s="65" t="s">
        <v>1953</v>
      </c>
      <c r="CQ224" s="65" t="s">
        <v>1953</v>
      </c>
      <c r="CR224" s="65" t="s">
        <v>1953</v>
      </c>
      <c r="CS224" s="65" t="s">
        <v>1953</v>
      </c>
      <c r="CT224" s="65" t="s">
        <v>1953</v>
      </c>
      <c r="CU224" s="65" t="s">
        <v>1953</v>
      </c>
      <c r="CV224" s="65" t="s">
        <v>1953</v>
      </c>
      <c r="CW224" s="65" t="s">
        <v>1953</v>
      </c>
      <c r="CX224" s="65" t="s">
        <v>1953</v>
      </c>
      <c r="CY224" s="65" t="s">
        <v>1953</v>
      </c>
      <c r="CZ224" s="65" t="s">
        <v>1953</v>
      </c>
      <c r="DA224" s="65" t="s">
        <v>1953</v>
      </c>
    </row>
    <row r="225" spans="78:105">
      <c r="BZ225" t="s">
        <v>7780</v>
      </c>
      <c r="CA225" t="str">
        <f>IFERROR(HLOOKUP($CA$1,Table4[[#All],[India]:[Dominican Republic]],ROW(Table4[[#This Row],[Default]])-1,0),"True")</f>
        <v>True</v>
      </c>
      <c r="CB225" s="65" t="s">
        <v>1953</v>
      </c>
      <c r="CC225" s="65" t="s">
        <v>1953</v>
      </c>
      <c r="CD225" s="65" t="s">
        <v>1953</v>
      </c>
      <c r="CE225" s="65" t="s">
        <v>1953</v>
      </c>
      <c r="CF225" s="65" t="s">
        <v>1953</v>
      </c>
      <c r="CG225" s="65" t="s">
        <v>1953</v>
      </c>
      <c r="CH225" s="65" t="s">
        <v>1953</v>
      </c>
      <c r="CI225" s="65" t="s">
        <v>1953</v>
      </c>
      <c r="CJ225" s="65" t="s">
        <v>1953</v>
      </c>
      <c r="CK225" s="65" t="s">
        <v>1953</v>
      </c>
      <c r="CL225" s="65" t="s">
        <v>1953</v>
      </c>
      <c r="CM225" s="65" t="s">
        <v>1953</v>
      </c>
      <c r="CN225" s="65" t="s">
        <v>1954</v>
      </c>
      <c r="CO225" s="65" t="s">
        <v>1953</v>
      </c>
      <c r="CP225" s="65" t="s">
        <v>1953</v>
      </c>
      <c r="CQ225" s="65" t="s">
        <v>1953</v>
      </c>
      <c r="CR225" s="65" t="s">
        <v>1953</v>
      </c>
      <c r="CS225" s="65" t="s">
        <v>1953</v>
      </c>
      <c r="CT225" s="65" t="s">
        <v>1953</v>
      </c>
      <c r="CU225" s="65" t="s">
        <v>1953</v>
      </c>
      <c r="CV225" s="65" t="s">
        <v>1953</v>
      </c>
      <c r="CW225" s="65" t="s">
        <v>1953</v>
      </c>
      <c r="CX225" s="65" t="s">
        <v>1953</v>
      </c>
      <c r="CY225" s="65" t="s">
        <v>1953</v>
      </c>
      <c r="CZ225" s="65" t="s">
        <v>1953</v>
      </c>
      <c r="DA225" s="65" t="s">
        <v>1953</v>
      </c>
    </row>
    <row r="226" spans="78:105">
      <c r="BZ226" t="s">
        <v>7781</v>
      </c>
      <c r="CA226" t="str">
        <f>IFERROR(HLOOKUP($CA$1,Table4[[#All],[India]:[Dominican Republic]],ROW(Table4[[#This Row],[Default]])-1,0),"True")</f>
        <v>True</v>
      </c>
      <c r="CB226" s="65" t="s">
        <v>1953</v>
      </c>
      <c r="CC226" s="65" t="s">
        <v>1953</v>
      </c>
      <c r="CD226" s="65" t="s">
        <v>1953</v>
      </c>
      <c r="CE226" s="65" t="s">
        <v>1953</v>
      </c>
      <c r="CF226" s="65" t="s">
        <v>1953</v>
      </c>
      <c r="CG226" s="65" t="s">
        <v>1953</v>
      </c>
      <c r="CH226" s="65" t="s">
        <v>1953</v>
      </c>
      <c r="CI226" s="65" t="s">
        <v>1953</v>
      </c>
      <c r="CJ226" s="65" t="s">
        <v>1953</v>
      </c>
      <c r="CK226" s="65" t="s">
        <v>1953</v>
      </c>
      <c r="CL226" s="65" t="s">
        <v>1953</v>
      </c>
      <c r="CM226" s="65" t="s">
        <v>1953</v>
      </c>
      <c r="CN226" s="65" t="s">
        <v>1954</v>
      </c>
      <c r="CO226" s="65" t="s">
        <v>1953</v>
      </c>
      <c r="CP226" s="65" t="s">
        <v>1953</v>
      </c>
      <c r="CQ226" s="65" t="s">
        <v>1953</v>
      </c>
      <c r="CR226" s="65" t="s">
        <v>1953</v>
      </c>
      <c r="CS226" s="65" t="s">
        <v>1953</v>
      </c>
      <c r="CT226" s="65" t="s">
        <v>1953</v>
      </c>
      <c r="CU226" s="65" t="s">
        <v>1953</v>
      </c>
      <c r="CV226" s="65" t="s">
        <v>1953</v>
      </c>
      <c r="CW226" s="65" t="s">
        <v>1953</v>
      </c>
      <c r="CX226" s="65" t="s">
        <v>1953</v>
      </c>
      <c r="CY226" s="65" t="s">
        <v>1953</v>
      </c>
      <c r="CZ226" s="65" t="s">
        <v>1953</v>
      </c>
      <c r="DA226" s="65" t="s">
        <v>1953</v>
      </c>
    </row>
    <row r="227" spans="78:105">
      <c r="BZ227" t="s">
        <v>7782</v>
      </c>
      <c r="CA227" t="str">
        <f>IFERROR(HLOOKUP($CA$1,Table4[[#All],[India]:[Dominican Republic]],ROW(Table4[[#This Row],[Default]])-1,0),"True")</f>
        <v>True</v>
      </c>
      <c r="CB227" s="65" t="s">
        <v>1953</v>
      </c>
      <c r="CC227" s="65" t="s">
        <v>1953</v>
      </c>
      <c r="CD227" s="65" t="s">
        <v>1953</v>
      </c>
      <c r="CE227" s="65" t="s">
        <v>1953</v>
      </c>
      <c r="CF227" s="65" t="s">
        <v>1953</v>
      </c>
      <c r="CG227" s="65" t="s">
        <v>1953</v>
      </c>
      <c r="CH227" s="65" t="s">
        <v>1953</v>
      </c>
      <c r="CI227" s="65" t="s">
        <v>1953</v>
      </c>
      <c r="CJ227" s="65" t="s">
        <v>1953</v>
      </c>
      <c r="CK227" s="65" t="s">
        <v>1953</v>
      </c>
      <c r="CL227" s="65" t="s">
        <v>1953</v>
      </c>
      <c r="CM227" s="65" t="s">
        <v>1953</v>
      </c>
      <c r="CN227" s="65" t="s">
        <v>1954</v>
      </c>
      <c r="CO227" s="65" t="s">
        <v>1953</v>
      </c>
      <c r="CP227" s="65" t="s">
        <v>1953</v>
      </c>
      <c r="CQ227" s="65" t="s">
        <v>1953</v>
      </c>
      <c r="CR227" s="65" t="s">
        <v>1953</v>
      </c>
      <c r="CS227" s="65" t="s">
        <v>1953</v>
      </c>
      <c r="CT227" s="65" t="s">
        <v>1953</v>
      </c>
      <c r="CU227" s="65" t="s">
        <v>1953</v>
      </c>
      <c r="CV227" s="65" t="s">
        <v>1953</v>
      </c>
      <c r="CW227" s="65" t="s">
        <v>1953</v>
      </c>
      <c r="CX227" s="65" t="s">
        <v>1953</v>
      </c>
      <c r="CY227" s="65" t="s">
        <v>1953</v>
      </c>
      <c r="CZ227" s="65" t="s">
        <v>1953</v>
      </c>
      <c r="DA227" s="65" t="s">
        <v>1953</v>
      </c>
    </row>
    <row r="228" spans="78:105">
      <c r="BZ228" t="s">
        <v>7783</v>
      </c>
      <c r="CA228" t="str">
        <f>IFERROR(HLOOKUP($CA$1,Table4[[#All],[India]:[Dominican Republic]],ROW(Table4[[#This Row],[Default]])-1,0),"True")</f>
        <v>True</v>
      </c>
      <c r="CB228" s="65" t="s">
        <v>1953</v>
      </c>
      <c r="CC228" s="65" t="s">
        <v>1953</v>
      </c>
      <c r="CD228" s="65" t="s">
        <v>1953</v>
      </c>
      <c r="CE228" s="65" t="s">
        <v>1953</v>
      </c>
      <c r="CF228" s="65" t="s">
        <v>1953</v>
      </c>
      <c r="CG228" s="65" t="s">
        <v>1953</v>
      </c>
      <c r="CH228" s="65" t="s">
        <v>1953</v>
      </c>
      <c r="CI228" s="65" t="s">
        <v>1953</v>
      </c>
      <c r="CJ228" s="65" t="s">
        <v>1953</v>
      </c>
      <c r="CK228" s="65" t="s">
        <v>1953</v>
      </c>
      <c r="CL228" s="65" t="s">
        <v>1953</v>
      </c>
      <c r="CM228" s="65" t="s">
        <v>1953</v>
      </c>
      <c r="CN228" s="65" t="s">
        <v>1954</v>
      </c>
      <c r="CO228" s="65" t="s">
        <v>1953</v>
      </c>
      <c r="CP228" s="65" t="s">
        <v>1953</v>
      </c>
      <c r="CQ228" s="65" t="s">
        <v>1953</v>
      </c>
      <c r="CR228" s="65" t="s">
        <v>1953</v>
      </c>
      <c r="CS228" s="65" t="s">
        <v>1953</v>
      </c>
      <c r="CT228" s="65" t="s">
        <v>1953</v>
      </c>
      <c r="CU228" s="65" t="s">
        <v>1953</v>
      </c>
      <c r="CV228" s="65" t="s">
        <v>1953</v>
      </c>
      <c r="CW228" s="65" t="s">
        <v>1953</v>
      </c>
      <c r="CX228" s="65" t="s">
        <v>1953</v>
      </c>
      <c r="CY228" s="65" t="s">
        <v>1953</v>
      </c>
      <c r="CZ228" s="65" t="s">
        <v>1953</v>
      </c>
      <c r="DA228" s="65" t="s">
        <v>1953</v>
      </c>
    </row>
    <row r="229" spans="78:105">
      <c r="BZ229" t="s">
        <v>7784</v>
      </c>
      <c r="CA229" t="str">
        <f>IFERROR(HLOOKUP($CA$1,Table4[[#All],[India]:[Dominican Republic]],ROW(Table4[[#This Row],[Default]])-1,0),"True")</f>
        <v>True</v>
      </c>
      <c r="CB229" s="65" t="s">
        <v>1953</v>
      </c>
      <c r="CC229" s="65" t="s">
        <v>1953</v>
      </c>
      <c r="CD229" s="65" t="s">
        <v>1953</v>
      </c>
      <c r="CE229" s="65" t="s">
        <v>1953</v>
      </c>
      <c r="CF229" s="65" t="s">
        <v>1953</v>
      </c>
      <c r="CG229" s="65" t="s">
        <v>1953</v>
      </c>
      <c r="CH229" s="65" t="s">
        <v>1953</v>
      </c>
      <c r="CI229" s="65" t="s">
        <v>1953</v>
      </c>
      <c r="CJ229" s="65" t="s">
        <v>1953</v>
      </c>
      <c r="CK229" s="65" t="s">
        <v>1953</v>
      </c>
      <c r="CL229" s="65" t="s">
        <v>1953</v>
      </c>
      <c r="CM229" s="65" t="s">
        <v>1953</v>
      </c>
      <c r="CN229" s="65" t="s">
        <v>1954</v>
      </c>
      <c r="CO229" s="65" t="s">
        <v>1953</v>
      </c>
      <c r="CP229" s="65" t="s">
        <v>1953</v>
      </c>
      <c r="CQ229" s="65" t="s">
        <v>1953</v>
      </c>
      <c r="CR229" s="65" t="s">
        <v>1953</v>
      </c>
      <c r="CS229" s="65" t="s">
        <v>1953</v>
      </c>
      <c r="CT229" s="65" t="s">
        <v>1953</v>
      </c>
      <c r="CU229" s="65" t="s">
        <v>1953</v>
      </c>
      <c r="CV229" s="65" t="s">
        <v>1953</v>
      </c>
      <c r="CW229" s="65" t="s">
        <v>1953</v>
      </c>
      <c r="CX229" s="65" t="s">
        <v>1953</v>
      </c>
      <c r="CY229" s="65" t="s">
        <v>1953</v>
      </c>
      <c r="CZ229" s="65" t="s">
        <v>1953</v>
      </c>
      <c r="DA229" s="65" t="s">
        <v>1953</v>
      </c>
    </row>
    <row r="230" spans="78:105">
      <c r="BZ230" t="s">
        <v>7785</v>
      </c>
      <c r="CA230" t="str">
        <f>IFERROR(HLOOKUP($CA$1,Table4[[#All],[India]:[Dominican Republic]],ROW(Table4[[#This Row],[Default]])-1,0),"True")</f>
        <v>True</v>
      </c>
      <c r="CB230" s="65" t="s">
        <v>1953</v>
      </c>
      <c r="CC230" s="65" t="s">
        <v>1953</v>
      </c>
      <c r="CD230" s="65" t="s">
        <v>1953</v>
      </c>
      <c r="CE230" s="65" t="s">
        <v>1953</v>
      </c>
      <c r="CF230" s="65" t="s">
        <v>1953</v>
      </c>
      <c r="CG230" s="65" t="s">
        <v>1953</v>
      </c>
      <c r="CH230" s="65" t="s">
        <v>1953</v>
      </c>
      <c r="CI230" s="65" t="s">
        <v>1953</v>
      </c>
      <c r="CJ230" s="65" t="s">
        <v>1953</v>
      </c>
      <c r="CK230" s="65" t="s">
        <v>1953</v>
      </c>
      <c r="CL230" s="65" t="s">
        <v>1953</v>
      </c>
      <c r="CM230" s="65" t="s">
        <v>1953</v>
      </c>
      <c r="CN230" s="65" t="s">
        <v>1954</v>
      </c>
      <c r="CO230" s="65" t="s">
        <v>1953</v>
      </c>
      <c r="CP230" s="65" t="s">
        <v>1953</v>
      </c>
      <c r="CQ230" s="65" t="s">
        <v>1953</v>
      </c>
      <c r="CR230" s="65" t="s">
        <v>1953</v>
      </c>
      <c r="CS230" s="65" t="s">
        <v>1953</v>
      </c>
      <c r="CT230" s="65" t="s">
        <v>1953</v>
      </c>
      <c r="CU230" s="65" t="s">
        <v>1953</v>
      </c>
      <c r="CV230" s="65" t="s">
        <v>1953</v>
      </c>
      <c r="CW230" s="65" t="s">
        <v>1953</v>
      </c>
      <c r="CX230" s="65" t="s">
        <v>1953</v>
      </c>
      <c r="CY230" s="65" t="s">
        <v>1953</v>
      </c>
      <c r="CZ230" s="65" t="s">
        <v>1953</v>
      </c>
      <c r="DA230" s="65" t="s">
        <v>1953</v>
      </c>
    </row>
    <row r="231" spans="78:105">
      <c r="BZ231" t="s">
        <v>7786</v>
      </c>
      <c r="CA231" t="str">
        <f>IFERROR(HLOOKUP($CA$1,Table4[[#All],[India]:[Dominican Republic]],ROW(Table4[[#This Row],[Default]])-1,0),"True")</f>
        <v>True</v>
      </c>
      <c r="CB231" s="65" t="s">
        <v>1953</v>
      </c>
      <c r="CC231" s="65" t="s">
        <v>1953</v>
      </c>
      <c r="CD231" s="65" t="s">
        <v>1953</v>
      </c>
      <c r="CE231" s="65" t="s">
        <v>1953</v>
      </c>
      <c r="CF231" s="65" t="s">
        <v>1953</v>
      </c>
      <c r="CG231" s="65" t="s">
        <v>1953</v>
      </c>
      <c r="CH231" s="65" t="s">
        <v>1953</v>
      </c>
      <c r="CI231" s="65" t="s">
        <v>1953</v>
      </c>
      <c r="CJ231" s="65" t="s">
        <v>1953</v>
      </c>
      <c r="CK231" s="65" t="s">
        <v>1953</v>
      </c>
      <c r="CL231" s="65" t="s">
        <v>1953</v>
      </c>
      <c r="CM231" s="65" t="s">
        <v>1953</v>
      </c>
      <c r="CN231" s="65" t="s">
        <v>1954</v>
      </c>
      <c r="CO231" s="65" t="s">
        <v>1953</v>
      </c>
      <c r="CP231" s="65" t="s">
        <v>1953</v>
      </c>
      <c r="CQ231" s="65" t="s">
        <v>1953</v>
      </c>
      <c r="CR231" s="65" t="s">
        <v>1953</v>
      </c>
      <c r="CS231" s="65" t="s">
        <v>1953</v>
      </c>
      <c r="CT231" s="65" t="s">
        <v>1953</v>
      </c>
      <c r="CU231" s="65" t="s">
        <v>1953</v>
      </c>
      <c r="CV231" s="65" t="s">
        <v>1953</v>
      </c>
      <c r="CW231" s="65" t="s">
        <v>1953</v>
      </c>
      <c r="CX231" s="65" t="s">
        <v>1953</v>
      </c>
      <c r="CY231" s="65" t="s">
        <v>1953</v>
      </c>
      <c r="CZ231" s="65" t="s">
        <v>1953</v>
      </c>
      <c r="DA231" s="65" t="s">
        <v>1953</v>
      </c>
    </row>
    <row r="232" spans="78:105">
      <c r="BZ232" t="s">
        <v>7787</v>
      </c>
      <c r="CA232" t="str">
        <f>IFERROR(HLOOKUP($CA$1,Table4[[#All],[India]:[Dominican Republic]],ROW(Table4[[#This Row],[Default]])-1,0),"True")</f>
        <v>True</v>
      </c>
      <c r="CB232" s="65" t="s">
        <v>1953</v>
      </c>
      <c r="CC232" s="65" t="s">
        <v>1953</v>
      </c>
      <c r="CD232" s="65" t="s">
        <v>1953</v>
      </c>
      <c r="CE232" s="65" t="s">
        <v>1953</v>
      </c>
      <c r="CF232" s="65" t="s">
        <v>1953</v>
      </c>
      <c r="CG232" s="65" t="s">
        <v>1953</v>
      </c>
      <c r="CH232" s="65" t="s">
        <v>1953</v>
      </c>
      <c r="CI232" s="65" t="s">
        <v>1953</v>
      </c>
      <c r="CJ232" s="65" t="s">
        <v>1953</v>
      </c>
      <c r="CK232" s="65" t="s">
        <v>1953</v>
      </c>
      <c r="CL232" s="65" t="s">
        <v>1953</v>
      </c>
      <c r="CM232" s="65" t="s">
        <v>1953</v>
      </c>
      <c r="CN232" s="65" t="s">
        <v>1954</v>
      </c>
      <c r="CO232" s="65" t="s">
        <v>1953</v>
      </c>
      <c r="CP232" s="65" t="s">
        <v>1953</v>
      </c>
      <c r="CQ232" s="65" t="s">
        <v>1953</v>
      </c>
      <c r="CR232" s="65" t="s">
        <v>1953</v>
      </c>
      <c r="CS232" s="65" t="s">
        <v>1953</v>
      </c>
      <c r="CT232" s="65" t="s">
        <v>1953</v>
      </c>
      <c r="CU232" s="65" t="s">
        <v>1953</v>
      </c>
      <c r="CV232" s="65" t="s">
        <v>1953</v>
      </c>
      <c r="CW232" s="65" t="s">
        <v>1953</v>
      </c>
      <c r="CX232" s="65" t="s">
        <v>1953</v>
      </c>
      <c r="CY232" s="65" t="s">
        <v>1953</v>
      </c>
      <c r="CZ232" s="65" t="s">
        <v>1953</v>
      </c>
      <c r="DA232" s="65" t="s">
        <v>1953</v>
      </c>
    </row>
    <row r="233" spans="78:105">
      <c r="BZ233" t="s">
        <v>5032</v>
      </c>
      <c r="CA233" t="str">
        <f>IFERROR(HLOOKUP($CA$1,Table4[[#All],[India]:[Dominican Republic]],ROW(Table4[[#This Row],[Default]])-1,0),"True")</f>
        <v>True</v>
      </c>
      <c r="CB233" s="65" t="s">
        <v>1953</v>
      </c>
      <c r="CC233" s="65" t="s">
        <v>1953</v>
      </c>
      <c r="CD233" s="65" t="s">
        <v>1953</v>
      </c>
      <c r="CE233" s="65" t="s">
        <v>1953</v>
      </c>
      <c r="CF233" s="65" t="s">
        <v>1953</v>
      </c>
      <c r="CG233" s="65" t="s">
        <v>1953</v>
      </c>
      <c r="CH233" s="65" t="s">
        <v>1953</v>
      </c>
      <c r="CI233" s="65" t="s">
        <v>1953</v>
      </c>
      <c r="CJ233" s="65" t="s">
        <v>1953</v>
      </c>
      <c r="CK233" s="65" t="s">
        <v>1953</v>
      </c>
      <c r="CL233" s="65" t="s">
        <v>1953</v>
      </c>
      <c r="CM233" s="65" t="s">
        <v>1953</v>
      </c>
      <c r="CN233" s="65" t="s">
        <v>1954</v>
      </c>
      <c r="CO233" s="65" t="s">
        <v>1953</v>
      </c>
      <c r="CP233" s="65" t="s">
        <v>1953</v>
      </c>
      <c r="CQ233" s="65" t="s">
        <v>1953</v>
      </c>
      <c r="CR233" s="65" t="s">
        <v>1953</v>
      </c>
      <c r="CS233" s="65" t="s">
        <v>1953</v>
      </c>
      <c r="CT233" s="65" t="s">
        <v>1953</v>
      </c>
      <c r="CU233" s="65" t="s">
        <v>1953</v>
      </c>
      <c r="CV233" s="65" t="s">
        <v>1953</v>
      </c>
      <c r="CW233" s="65" t="s">
        <v>1953</v>
      </c>
      <c r="CX233" s="65" t="s">
        <v>1953</v>
      </c>
      <c r="CY233" s="65" t="s">
        <v>1953</v>
      </c>
      <c r="CZ233" s="65" t="s">
        <v>1953</v>
      </c>
      <c r="DA233" s="65" t="s">
        <v>1953</v>
      </c>
    </row>
    <row r="234" spans="78:105">
      <c r="BZ234" t="s">
        <v>7788</v>
      </c>
      <c r="CA234" t="str">
        <f>IFERROR(HLOOKUP($CA$1,Table4[[#All],[India]:[Dominican Republic]],ROW(Table4[[#This Row],[Default]])-1,0),"True")</f>
        <v>True</v>
      </c>
      <c r="CB234" s="65" t="s">
        <v>1953</v>
      </c>
      <c r="CC234" s="65" t="s">
        <v>1953</v>
      </c>
      <c r="CD234" s="65" t="s">
        <v>1953</v>
      </c>
      <c r="CE234" s="65" t="s">
        <v>1953</v>
      </c>
      <c r="CF234" s="65" t="s">
        <v>1953</v>
      </c>
      <c r="CG234" s="65" t="s">
        <v>1953</v>
      </c>
      <c r="CH234" s="65" t="s">
        <v>1953</v>
      </c>
      <c r="CI234" s="65" t="s">
        <v>1953</v>
      </c>
      <c r="CJ234" s="65" t="s">
        <v>1953</v>
      </c>
      <c r="CK234" s="65" t="s">
        <v>1953</v>
      </c>
      <c r="CL234" s="65" t="s">
        <v>1953</v>
      </c>
      <c r="CM234" s="65" t="s">
        <v>1953</v>
      </c>
      <c r="CN234" s="65" t="s">
        <v>1954</v>
      </c>
      <c r="CO234" s="65" t="s">
        <v>1953</v>
      </c>
      <c r="CP234" s="65" t="s">
        <v>1953</v>
      </c>
      <c r="CQ234" s="65" t="s">
        <v>1953</v>
      </c>
      <c r="CR234" s="65" t="s">
        <v>1953</v>
      </c>
      <c r="CS234" s="65" t="s">
        <v>1953</v>
      </c>
      <c r="CT234" s="65" t="s">
        <v>1953</v>
      </c>
      <c r="CU234" s="65" t="s">
        <v>1953</v>
      </c>
      <c r="CV234" s="65" t="s">
        <v>1953</v>
      </c>
      <c r="CW234" s="65" t="s">
        <v>1953</v>
      </c>
      <c r="CX234" s="65" t="s">
        <v>1953</v>
      </c>
      <c r="CY234" s="65" t="s">
        <v>1953</v>
      </c>
      <c r="CZ234" s="65" t="s">
        <v>1953</v>
      </c>
      <c r="DA234" s="65" t="s">
        <v>1953</v>
      </c>
    </row>
    <row r="235" spans="78:105">
      <c r="BZ235" t="s">
        <v>7789</v>
      </c>
      <c r="CA235" t="str">
        <f>IFERROR(HLOOKUP($CA$1,Table4[[#All],[India]:[Dominican Republic]],ROW(Table4[[#This Row],[Default]])-1,0),"True")</f>
        <v>True</v>
      </c>
      <c r="CB235" s="65" t="s">
        <v>1953</v>
      </c>
      <c r="CC235" s="65" t="s">
        <v>1953</v>
      </c>
      <c r="CD235" s="65" t="s">
        <v>1953</v>
      </c>
      <c r="CE235" s="65" t="s">
        <v>1953</v>
      </c>
      <c r="CF235" s="65" t="s">
        <v>1953</v>
      </c>
      <c r="CG235" s="65" t="s">
        <v>1953</v>
      </c>
      <c r="CH235" s="65" t="s">
        <v>1953</v>
      </c>
      <c r="CI235" s="65" t="s">
        <v>1953</v>
      </c>
      <c r="CJ235" s="65" t="s">
        <v>1953</v>
      </c>
      <c r="CK235" s="65" t="s">
        <v>1953</v>
      </c>
      <c r="CL235" s="65" t="s">
        <v>1953</v>
      </c>
      <c r="CM235" s="65" t="s">
        <v>1953</v>
      </c>
      <c r="CN235" s="65" t="s">
        <v>1954</v>
      </c>
      <c r="CO235" s="65" t="s">
        <v>1953</v>
      </c>
      <c r="CP235" s="65" t="s">
        <v>1953</v>
      </c>
      <c r="CQ235" s="65" t="s">
        <v>1953</v>
      </c>
      <c r="CR235" s="65" t="s">
        <v>1953</v>
      </c>
      <c r="CS235" s="65" t="s">
        <v>1953</v>
      </c>
      <c r="CT235" s="65" t="s">
        <v>1953</v>
      </c>
      <c r="CU235" s="65" t="s">
        <v>1953</v>
      </c>
      <c r="CV235" s="65" t="s">
        <v>1953</v>
      </c>
      <c r="CW235" s="65" t="s">
        <v>1953</v>
      </c>
      <c r="CX235" s="65" t="s">
        <v>1953</v>
      </c>
      <c r="CY235" s="65" t="s">
        <v>1953</v>
      </c>
      <c r="CZ235" s="65" t="s">
        <v>1953</v>
      </c>
      <c r="DA235" s="65" t="s">
        <v>1953</v>
      </c>
    </row>
    <row r="236" spans="78:105">
      <c r="BZ236" t="s">
        <v>7790</v>
      </c>
      <c r="CA236" t="str">
        <f>IFERROR(HLOOKUP($CA$1,Table4[[#All],[India]:[Dominican Republic]],ROW(Table4[[#This Row],[Default]])-1,0),"True")</f>
        <v>True</v>
      </c>
      <c r="CB236" s="65" t="s">
        <v>1953</v>
      </c>
      <c r="CC236" s="65" t="s">
        <v>1953</v>
      </c>
      <c r="CD236" s="65" t="s">
        <v>1953</v>
      </c>
      <c r="CE236" s="65" t="s">
        <v>1953</v>
      </c>
      <c r="CF236" s="65" t="s">
        <v>1953</v>
      </c>
      <c r="CG236" s="65" t="s">
        <v>1953</v>
      </c>
      <c r="CH236" s="65" t="s">
        <v>1953</v>
      </c>
      <c r="CI236" s="65" t="s">
        <v>1953</v>
      </c>
      <c r="CJ236" s="65" t="s">
        <v>1953</v>
      </c>
      <c r="CK236" s="65" t="s">
        <v>1953</v>
      </c>
      <c r="CL236" s="65" t="s">
        <v>1953</v>
      </c>
      <c r="CM236" s="65" t="s">
        <v>1953</v>
      </c>
      <c r="CN236" s="65" t="s">
        <v>1954</v>
      </c>
      <c r="CO236" s="65" t="s">
        <v>1953</v>
      </c>
      <c r="CP236" s="65" t="s">
        <v>1953</v>
      </c>
      <c r="CQ236" s="65" t="s">
        <v>1953</v>
      </c>
      <c r="CR236" s="65" t="s">
        <v>1953</v>
      </c>
      <c r="CS236" s="65" t="s">
        <v>1953</v>
      </c>
      <c r="CT236" s="65" t="s">
        <v>1953</v>
      </c>
      <c r="CU236" s="65" t="s">
        <v>1953</v>
      </c>
      <c r="CV236" s="65" t="s">
        <v>1953</v>
      </c>
      <c r="CW236" s="65" t="s">
        <v>1953</v>
      </c>
      <c r="CX236" s="65" t="s">
        <v>1953</v>
      </c>
      <c r="CY236" s="65" t="s">
        <v>1953</v>
      </c>
      <c r="CZ236" s="65" t="s">
        <v>1953</v>
      </c>
      <c r="DA236" s="65" t="s">
        <v>1953</v>
      </c>
    </row>
    <row r="237" spans="78:105">
      <c r="BZ237" t="s">
        <v>7791</v>
      </c>
      <c r="CA237" t="str">
        <f>IFERROR(HLOOKUP($CA$1,Table4[[#All],[India]:[Dominican Republic]],ROW(Table4[[#This Row],[Default]])-1,0),"True")</f>
        <v>True</v>
      </c>
      <c r="CB237" s="65" t="s">
        <v>1953</v>
      </c>
      <c r="CC237" s="65" t="s">
        <v>1953</v>
      </c>
      <c r="CD237" s="65" t="s">
        <v>1953</v>
      </c>
      <c r="CE237" s="65" t="s">
        <v>1953</v>
      </c>
      <c r="CF237" s="65" t="s">
        <v>1953</v>
      </c>
      <c r="CG237" s="65" t="s">
        <v>1953</v>
      </c>
      <c r="CH237" s="65" t="s">
        <v>1953</v>
      </c>
      <c r="CI237" s="65" t="s">
        <v>1953</v>
      </c>
      <c r="CJ237" s="65" t="s">
        <v>1953</v>
      </c>
      <c r="CK237" s="65" t="s">
        <v>1953</v>
      </c>
      <c r="CL237" s="65" t="s">
        <v>1953</v>
      </c>
      <c r="CM237" s="65" t="s">
        <v>1953</v>
      </c>
      <c r="CN237" s="65" t="s">
        <v>1954</v>
      </c>
      <c r="CO237" s="65" t="s">
        <v>1953</v>
      </c>
      <c r="CP237" s="65" t="s">
        <v>1953</v>
      </c>
      <c r="CQ237" s="65" t="s">
        <v>1953</v>
      </c>
      <c r="CR237" s="65" t="s">
        <v>1953</v>
      </c>
      <c r="CS237" s="65" t="s">
        <v>1953</v>
      </c>
      <c r="CT237" s="65" t="s">
        <v>1953</v>
      </c>
      <c r="CU237" s="65" t="s">
        <v>1953</v>
      </c>
      <c r="CV237" s="65" t="s">
        <v>1953</v>
      </c>
      <c r="CW237" s="65" t="s">
        <v>1953</v>
      </c>
      <c r="CX237" s="65" t="s">
        <v>1953</v>
      </c>
      <c r="CY237" s="65" t="s">
        <v>1953</v>
      </c>
      <c r="CZ237" s="65" t="s">
        <v>1953</v>
      </c>
      <c r="DA237" s="65" t="s">
        <v>1953</v>
      </c>
    </row>
    <row r="238" spans="78:105">
      <c r="BZ238" t="s">
        <v>7792</v>
      </c>
      <c r="CA238" t="str">
        <f>IFERROR(HLOOKUP($CA$1,Table4[[#All],[India]:[Dominican Republic]],ROW(Table4[[#This Row],[Default]])-1,0),"True")</f>
        <v>True</v>
      </c>
      <c r="CB238" s="65" t="s">
        <v>1953</v>
      </c>
      <c r="CC238" s="65" t="s">
        <v>1953</v>
      </c>
      <c r="CD238" s="65" t="s">
        <v>1953</v>
      </c>
      <c r="CE238" s="65" t="s">
        <v>1953</v>
      </c>
      <c r="CF238" s="65" t="s">
        <v>1953</v>
      </c>
      <c r="CG238" s="65" t="s">
        <v>1953</v>
      </c>
      <c r="CH238" s="65" t="s">
        <v>1953</v>
      </c>
      <c r="CI238" s="65" t="s">
        <v>1953</v>
      </c>
      <c r="CJ238" s="65" t="s">
        <v>1953</v>
      </c>
      <c r="CK238" s="65" t="s">
        <v>1953</v>
      </c>
      <c r="CL238" s="65" t="s">
        <v>1953</v>
      </c>
      <c r="CM238" s="65" t="s">
        <v>1953</v>
      </c>
      <c r="CN238" s="65" t="s">
        <v>1954</v>
      </c>
      <c r="CO238" s="65" t="s">
        <v>1953</v>
      </c>
      <c r="CP238" s="65" t="s">
        <v>1953</v>
      </c>
      <c r="CQ238" s="65" t="s">
        <v>1953</v>
      </c>
      <c r="CR238" s="65" t="s">
        <v>1953</v>
      </c>
      <c r="CS238" s="65" t="s">
        <v>1953</v>
      </c>
      <c r="CT238" s="65" t="s">
        <v>1953</v>
      </c>
      <c r="CU238" s="65" t="s">
        <v>1953</v>
      </c>
      <c r="CV238" s="65" t="s">
        <v>1953</v>
      </c>
      <c r="CW238" s="65" t="s">
        <v>1953</v>
      </c>
      <c r="CX238" s="65" t="s">
        <v>1953</v>
      </c>
      <c r="CY238" s="65" t="s">
        <v>1953</v>
      </c>
      <c r="CZ238" s="65" t="s">
        <v>1953</v>
      </c>
      <c r="DA238" s="65" t="s">
        <v>1953</v>
      </c>
    </row>
    <row r="239" spans="78:105">
      <c r="BZ239" t="s">
        <v>7794</v>
      </c>
      <c r="CA239" t="str">
        <f>IFERROR(HLOOKUP($CA$1,Table4[[#All],[India]:[Dominican Republic]],ROW(Table4[[#This Row],[Default]])-1,0),"True")</f>
        <v>True</v>
      </c>
      <c r="CB239" s="65" t="s">
        <v>1953</v>
      </c>
      <c r="CC239" s="65" t="s">
        <v>1953</v>
      </c>
      <c r="CD239" s="65" t="s">
        <v>1953</v>
      </c>
      <c r="CE239" s="65" t="s">
        <v>1953</v>
      </c>
      <c r="CF239" s="65" t="s">
        <v>1953</v>
      </c>
      <c r="CG239" s="65" t="s">
        <v>1953</v>
      </c>
      <c r="CH239" s="65" t="s">
        <v>1953</v>
      </c>
      <c r="CI239" s="65" t="s">
        <v>1953</v>
      </c>
      <c r="CJ239" s="65" t="s">
        <v>1953</v>
      </c>
      <c r="CK239" s="65" t="s">
        <v>1953</v>
      </c>
      <c r="CL239" s="65" t="s">
        <v>1953</v>
      </c>
      <c r="CM239" s="65" t="s">
        <v>1953</v>
      </c>
      <c r="CN239" s="65" t="s">
        <v>1953</v>
      </c>
      <c r="CO239" s="65" t="s">
        <v>1954</v>
      </c>
      <c r="CP239" s="65" t="s">
        <v>1953</v>
      </c>
      <c r="CQ239" s="65" t="s">
        <v>1953</v>
      </c>
      <c r="CR239" s="65" t="s">
        <v>1953</v>
      </c>
      <c r="CS239" s="65" t="s">
        <v>1953</v>
      </c>
      <c r="CT239" s="65" t="s">
        <v>1953</v>
      </c>
      <c r="CU239" s="65" t="s">
        <v>1953</v>
      </c>
      <c r="CV239" s="65" t="s">
        <v>1953</v>
      </c>
      <c r="CW239" s="65" t="s">
        <v>1953</v>
      </c>
      <c r="CX239" s="65" t="s">
        <v>1953</v>
      </c>
      <c r="CY239" s="65" t="s">
        <v>1953</v>
      </c>
      <c r="CZ239" s="65" t="s">
        <v>1953</v>
      </c>
      <c r="DA239" s="65" t="s">
        <v>1953</v>
      </c>
    </row>
    <row r="240" spans="78:105">
      <c r="BZ240" t="s">
        <v>7795</v>
      </c>
      <c r="CA240" t="str">
        <f>IFERROR(HLOOKUP($CA$1,Table4[[#All],[India]:[Dominican Republic]],ROW(Table4[[#This Row],[Default]])-1,0),"True")</f>
        <v>True</v>
      </c>
      <c r="CB240" s="65" t="s">
        <v>1953</v>
      </c>
      <c r="CC240" s="65" t="s">
        <v>1953</v>
      </c>
      <c r="CD240" s="65" t="s">
        <v>1953</v>
      </c>
      <c r="CE240" s="65" t="s">
        <v>1953</v>
      </c>
      <c r="CF240" s="65" t="s">
        <v>1953</v>
      </c>
      <c r="CG240" s="65" t="s">
        <v>1953</v>
      </c>
      <c r="CH240" s="65" t="s">
        <v>1953</v>
      </c>
      <c r="CI240" s="65" t="s">
        <v>1953</v>
      </c>
      <c r="CJ240" s="65" t="s">
        <v>1953</v>
      </c>
      <c r="CK240" s="65" t="s">
        <v>1953</v>
      </c>
      <c r="CL240" s="65" t="s">
        <v>1953</v>
      </c>
      <c r="CM240" s="65" t="s">
        <v>1953</v>
      </c>
      <c r="CN240" s="65" t="s">
        <v>1953</v>
      </c>
      <c r="CO240" s="65" t="s">
        <v>1954</v>
      </c>
      <c r="CP240" s="65" t="s">
        <v>1953</v>
      </c>
      <c r="CQ240" s="65" t="s">
        <v>1953</v>
      </c>
      <c r="CR240" s="65" t="s">
        <v>1953</v>
      </c>
      <c r="CS240" s="65" t="s">
        <v>1953</v>
      </c>
      <c r="CT240" s="65" t="s">
        <v>1953</v>
      </c>
      <c r="CU240" s="65" t="s">
        <v>1953</v>
      </c>
      <c r="CV240" s="65" t="s">
        <v>1953</v>
      </c>
      <c r="CW240" s="65" t="s">
        <v>1953</v>
      </c>
      <c r="CX240" s="65" t="s">
        <v>1953</v>
      </c>
      <c r="CY240" s="65" t="s">
        <v>1953</v>
      </c>
      <c r="CZ240" s="65" t="s">
        <v>1953</v>
      </c>
      <c r="DA240" s="65" t="s">
        <v>1953</v>
      </c>
    </row>
    <row r="241" spans="78:105">
      <c r="BZ241" t="s">
        <v>7796</v>
      </c>
      <c r="CA241" t="str">
        <f>IFERROR(HLOOKUP($CA$1,Table4[[#All],[India]:[Dominican Republic]],ROW(Table4[[#This Row],[Default]])-1,0),"True")</f>
        <v>True</v>
      </c>
      <c r="CB241" s="65" t="s">
        <v>1953</v>
      </c>
      <c r="CC241" s="65" t="s">
        <v>1953</v>
      </c>
      <c r="CD241" s="65" t="s">
        <v>1953</v>
      </c>
      <c r="CE241" s="65" t="s">
        <v>1953</v>
      </c>
      <c r="CF241" s="65" t="s">
        <v>1953</v>
      </c>
      <c r="CG241" s="65" t="s">
        <v>1953</v>
      </c>
      <c r="CH241" s="65" t="s">
        <v>1953</v>
      </c>
      <c r="CI241" s="65" t="s">
        <v>1953</v>
      </c>
      <c r="CJ241" s="65" t="s">
        <v>1953</v>
      </c>
      <c r="CK241" s="65" t="s">
        <v>1953</v>
      </c>
      <c r="CL241" s="65" t="s">
        <v>1953</v>
      </c>
      <c r="CM241" s="65" t="s">
        <v>1953</v>
      </c>
      <c r="CN241" s="65" t="s">
        <v>1953</v>
      </c>
      <c r="CO241" s="65" t="s">
        <v>1954</v>
      </c>
      <c r="CP241" s="65" t="s">
        <v>1953</v>
      </c>
      <c r="CQ241" s="65" t="s">
        <v>1953</v>
      </c>
      <c r="CR241" s="65" t="s">
        <v>1953</v>
      </c>
      <c r="CS241" s="65" t="s">
        <v>1953</v>
      </c>
      <c r="CT241" s="65" t="s">
        <v>1953</v>
      </c>
      <c r="CU241" s="65" t="s">
        <v>1953</v>
      </c>
      <c r="CV241" s="65" t="s">
        <v>1953</v>
      </c>
      <c r="CW241" s="65" t="s">
        <v>1953</v>
      </c>
      <c r="CX241" s="65" t="s">
        <v>1953</v>
      </c>
      <c r="CY241" s="65" t="s">
        <v>1953</v>
      </c>
      <c r="CZ241" s="65" t="s">
        <v>1953</v>
      </c>
      <c r="DA241" s="65" t="s">
        <v>1953</v>
      </c>
    </row>
    <row r="242" spans="78:105">
      <c r="BZ242" t="s">
        <v>7797</v>
      </c>
      <c r="CA242" t="str">
        <f>IFERROR(HLOOKUP($CA$1,Table4[[#All],[India]:[Dominican Republic]],ROW(Table4[[#This Row],[Default]])-1,0),"True")</f>
        <v>True</v>
      </c>
      <c r="CB242" s="65" t="s">
        <v>1953</v>
      </c>
      <c r="CC242" s="65" t="s">
        <v>1953</v>
      </c>
      <c r="CD242" s="65" t="s">
        <v>1953</v>
      </c>
      <c r="CE242" s="65" t="s">
        <v>1953</v>
      </c>
      <c r="CF242" s="65" t="s">
        <v>1953</v>
      </c>
      <c r="CG242" s="65" t="s">
        <v>1953</v>
      </c>
      <c r="CH242" s="65" t="s">
        <v>1953</v>
      </c>
      <c r="CI242" s="65" t="s">
        <v>1953</v>
      </c>
      <c r="CJ242" s="65" t="s">
        <v>1953</v>
      </c>
      <c r="CK242" s="65" t="s">
        <v>1953</v>
      </c>
      <c r="CL242" s="65" t="s">
        <v>1953</v>
      </c>
      <c r="CM242" s="65" t="s">
        <v>1953</v>
      </c>
      <c r="CN242" s="65" t="s">
        <v>1953</v>
      </c>
      <c r="CO242" s="65" t="s">
        <v>1954</v>
      </c>
      <c r="CP242" s="65" t="s">
        <v>1953</v>
      </c>
      <c r="CQ242" s="65" t="s">
        <v>1953</v>
      </c>
      <c r="CR242" s="65" t="s">
        <v>1953</v>
      </c>
      <c r="CS242" s="65" t="s">
        <v>1953</v>
      </c>
      <c r="CT242" s="65" t="s">
        <v>1953</v>
      </c>
      <c r="CU242" s="65" t="s">
        <v>1953</v>
      </c>
      <c r="CV242" s="65" t="s">
        <v>1953</v>
      </c>
      <c r="CW242" s="65" t="s">
        <v>1953</v>
      </c>
      <c r="CX242" s="65" t="s">
        <v>1953</v>
      </c>
      <c r="CY242" s="65" t="s">
        <v>1953</v>
      </c>
      <c r="CZ242" s="65" t="s">
        <v>1953</v>
      </c>
      <c r="DA242" s="65" t="s">
        <v>1953</v>
      </c>
    </row>
    <row r="243" spans="78:105">
      <c r="BZ243" t="s">
        <v>7803</v>
      </c>
      <c r="CA243" t="str">
        <f>IFERROR(HLOOKUP($CA$1,Table4[[#All],[India]:[Dominican Republic]],ROW(Table4[[#This Row],[Default]])-1,0),"True")</f>
        <v>True</v>
      </c>
      <c r="CB243" s="65" t="s">
        <v>1953</v>
      </c>
      <c r="CC243" s="65" t="s">
        <v>1953</v>
      </c>
      <c r="CD243" s="65" t="s">
        <v>1953</v>
      </c>
      <c r="CE243" s="65" t="s">
        <v>1953</v>
      </c>
      <c r="CF243" s="65" t="s">
        <v>1953</v>
      </c>
      <c r="CG243" s="65" t="s">
        <v>1953</v>
      </c>
      <c r="CH243" s="65" t="s">
        <v>1953</v>
      </c>
      <c r="CI243" s="65" t="s">
        <v>1953</v>
      </c>
      <c r="CJ243" s="65" t="s">
        <v>1953</v>
      </c>
      <c r="CK243" s="65" t="s">
        <v>1953</v>
      </c>
      <c r="CL243" s="65" t="s">
        <v>1953</v>
      </c>
      <c r="CM243" s="65" t="s">
        <v>1953</v>
      </c>
      <c r="CN243" s="65" t="s">
        <v>1953</v>
      </c>
      <c r="CO243" s="65" t="s">
        <v>1954</v>
      </c>
      <c r="CP243" s="65" t="s">
        <v>1953</v>
      </c>
      <c r="CQ243" s="65" t="s">
        <v>1953</v>
      </c>
      <c r="CR243" s="65" t="s">
        <v>1953</v>
      </c>
      <c r="CS243" s="65" t="s">
        <v>1953</v>
      </c>
      <c r="CT243" s="65" t="s">
        <v>1953</v>
      </c>
      <c r="CU243" s="65" t="s">
        <v>1953</v>
      </c>
      <c r="CV243" s="65" t="s">
        <v>1953</v>
      </c>
      <c r="CW243" s="65" t="s">
        <v>1953</v>
      </c>
      <c r="CX243" s="65" t="s">
        <v>1953</v>
      </c>
      <c r="CY243" s="65" t="s">
        <v>1953</v>
      </c>
      <c r="CZ243" s="65" t="s">
        <v>1953</v>
      </c>
      <c r="DA243" s="65" t="s">
        <v>1953</v>
      </c>
    </row>
    <row r="244" spans="78:105">
      <c r="BZ244" t="s">
        <v>7811</v>
      </c>
      <c r="CA244" t="str">
        <f>IFERROR(HLOOKUP($CA$1,Table4[[#All],[India]:[Dominican Republic]],ROW(Table4[[#This Row],[Default]])-1,0),"True")</f>
        <v>True</v>
      </c>
      <c r="CB244" s="65" t="s">
        <v>1953</v>
      </c>
      <c r="CC244" s="65" t="s">
        <v>1953</v>
      </c>
      <c r="CD244" s="65" t="s">
        <v>1953</v>
      </c>
      <c r="CE244" s="65" t="s">
        <v>1953</v>
      </c>
      <c r="CF244" s="65" t="s">
        <v>1953</v>
      </c>
      <c r="CG244" s="65" t="s">
        <v>1953</v>
      </c>
      <c r="CH244" s="65" t="s">
        <v>1953</v>
      </c>
      <c r="CI244" s="65" t="s">
        <v>1953</v>
      </c>
      <c r="CJ244" s="65" t="s">
        <v>1953</v>
      </c>
      <c r="CK244" s="65" t="s">
        <v>1953</v>
      </c>
      <c r="CL244" s="65" t="s">
        <v>1953</v>
      </c>
      <c r="CM244" s="65" t="s">
        <v>1953</v>
      </c>
      <c r="CN244" s="65" t="s">
        <v>1953</v>
      </c>
      <c r="CO244" s="65" t="s">
        <v>1954</v>
      </c>
      <c r="CP244" s="65" t="s">
        <v>1954</v>
      </c>
      <c r="CQ244" s="65" t="s">
        <v>1953</v>
      </c>
      <c r="CR244" s="65" t="s">
        <v>1953</v>
      </c>
      <c r="CS244" s="65" t="s">
        <v>1953</v>
      </c>
      <c r="CT244" s="65" t="s">
        <v>1953</v>
      </c>
      <c r="CU244" s="65" t="s">
        <v>1953</v>
      </c>
      <c r="CV244" s="65" t="s">
        <v>1953</v>
      </c>
      <c r="CW244" s="65" t="s">
        <v>1953</v>
      </c>
      <c r="CX244" s="65" t="s">
        <v>1953</v>
      </c>
      <c r="CY244" s="65" t="s">
        <v>1953</v>
      </c>
      <c r="CZ244" s="65" t="s">
        <v>1953</v>
      </c>
      <c r="DA244" s="65" t="s">
        <v>1953</v>
      </c>
    </row>
    <row r="245" spans="78:105">
      <c r="BZ245" t="s">
        <v>7812</v>
      </c>
      <c r="CA245" t="str">
        <f>IFERROR(HLOOKUP($CA$1,Table4[[#All],[India]:[Dominican Republic]],ROW(Table4[[#This Row],[Default]])-1,0),"True")</f>
        <v>True</v>
      </c>
      <c r="CB245" s="65" t="s">
        <v>1953</v>
      </c>
      <c r="CC245" s="65" t="s">
        <v>1953</v>
      </c>
      <c r="CD245" s="65" t="s">
        <v>1953</v>
      </c>
      <c r="CE245" s="65" t="s">
        <v>1953</v>
      </c>
      <c r="CF245" s="65" t="s">
        <v>1953</v>
      </c>
      <c r="CG245" s="65" t="s">
        <v>1953</v>
      </c>
      <c r="CH245" s="65" t="s">
        <v>1953</v>
      </c>
      <c r="CI245" s="65" t="s">
        <v>1953</v>
      </c>
      <c r="CJ245" s="65" t="s">
        <v>1953</v>
      </c>
      <c r="CK245" s="65" t="s">
        <v>1953</v>
      </c>
      <c r="CL245" s="65" t="s">
        <v>1953</v>
      </c>
      <c r="CM245" s="65" t="s">
        <v>1953</v>
      </c>
      <c r="CN245" s="65" t="s">
        <v>1953</v>
      </c>
      <c r="CO245" s="65" t="s">
        <v>1954</v>
      </c>
      <c r="CP245" s="65" t="s">
        <v>1954</v>
      </c>
      <c r="CQ245" s="65" t="s">
        <v>1953</v>
      </c>
      <c r="CR245" s="65" t="s">
        <v>1953</v>
      </c>
      <c r="CS245" s="65" t="s">
        <v>1953</v>
      </c>
      <c r="CT245" s="65" t="s">
        <v>1953</v>
      </c>
      <c r="CU245" s="65" t="s">
        <v>1953</v>
      </c>
      <c r="CV245" s="65" t="s">
        <v>1953</v>
      </c>
      <c r="CW245" s="65" t="s">
        <v>1953</v>
      </c>
      <c r="CX245" s="65" t="s">
        <v>1953</v>
      </c>
      <c r="CY245" s="65" t="s">
        <v>1953</v>
      </c>
      <c r="CZ245" s="65" t="s">
        <v>1953</v>
      </c>
      <c r="DA245" s="65" t="s">
        <v>1953</v>
      </c>
    </row>
    <row r="246" spans="78:105">
      <c r="BZ246" t="s">
        <v>7862</v>
      </c>
      <c r="CA246" t="str">
        <f>IFERROR(HLOOKUP($CA$1,Table4[[#All],[India]:[Dominican Republic]],ROW(Table4[[#This Row],[Default]])-1,0),"True")</f>
        <v>True</v>
      </c>
      <c r="CB246" s="65" t="s">
        <v>1953</v>
      </c>
      <c r="CC246" s="65" t="s">
        <v>1953</v>
      </c>
      <c r="CD246" s="65" t="s">
        <v>1953</v>
      </c>
      <c r="CE246" s="65" t="s">
        <v>1953</v>
      </c>
      <c r="CF246" s="65" t="s">
        <v>1953</v>
      </c>
      <c r="CG246" s="65" t="s">
        <v>1953</v>
      </c>
      <c r="CH246" s="65" t="s">
        <v>1953</v>
      </c>
      <c r="CI246" s="65" t="s">
        <v>1953</v>
      </c>
      <c r="CJ246" s="65" t="s">
        <v>1953</v>
      </c>
      <c r="CK246" s="65" t="s">
        <v>1953</v>
      </c>
      <c r="CL246" s="65" t="s">
        <v>1953</v>
      </c>
      <c r="CM246" s="65" t="s">
        <v>1953</v>
      </c>
      <c r="CN246" s="65" t="s">
        <v>1953</v>
      </c>
      <c r="CO246" s="65" t="s">
        <v>1953</v>
      </c>
      <c r="CP246" s="65" t="s">
        <v>1953</v>
      </c>
      <c r="CQ246" s="65" t="s">
        <v>1954</v>
      </c>
      <c r="CR246" s="65" t="s">
        <v>1953</v>
      </c>
      <c r="CS246" s="65" t="s">
        <v>1953</v>
      </c>
      <c r="CT246" s="65" t="s">
        <v>1953</v>
      </c>
      <c r="CU246" s="65" t="s">
        <v>1953</v>
      </c>
      <c r="CV246" s="65" t="s">
        <v>1953</v>
      </c>
      <c r="CW246" s="65" t="s">
        <v>1953</v>
      </c>
      <c r="CX246" s="65" t="s">
        <v>1953</v>
      </c>
      <c r="CY246" s="65" t="s">
        <v>1953</v>
      </c>
      <c r="CZ246" s="65" t="s">
        <v>1953</v>
      </c>
      <c r="DA246" s="65" t="s">
        <v>1953</v>
      </c>
    </row>
    <row r="247" spans="78:105">
      <c r="BZ247" t="s">
        <v>7881</v>
      </c>
      <c r="CA247" t="str">
        <f>IFERROR(HLOOKUP($CA$1,Table4[[#All],[India]:[Dominican Republic]],ROW(Table4[[#This Row],[Default]])-1,0),"True")</f>
        <v>True</v>
      </c>
      <c r="CB247" s="65" t="s">
        <v>1953</v>
      </c>
      <c r="CC247" s="65" t="s">
        <v>1953</v>
      </c>
      <c r="CD247" s="65" t="s">
        <v>1953</v>
      </c>
      <c r="CE247" s="65" t="s">
        <v>1953</v>
      </c>
      <c r="CF247" s="65" t="s">
        <v>1953</v>
      </c>
      <c r="CG247" s="65" t="s">
        <v>1953</v>
      </c>
      <c r="CH247" s="65" t="s">
        <v>1953</v>
      </c>
      <c r="CI247" s="65" t="s">
        <v>1953</v>
      </c>
      <c r="CJ247" s="65" t="s">
        <v>1953</v>
      </c>
      <c r="CK247" s="65" t="s">
        <v>1953</v>
      </c>
      <c r="CL247" s="65" t="s">
        <v>1953</v>
      </c>
      <c r="CM247" s="65" t="s">
        <v>1953</v>
      </c>
      <c r="CN247" s="65" t="s">
        <v>1953</v>
      </c>
      <c r="CO247" s="65" t="s">
        <v>1953</v>
      </c>
      <c r="CP247" s="65" t="s">
        <v>1953</v>
      </c>
      <c r="CQ247" s="65" t="s">
        <v>1953</v>
      </c>
      <c r="CR247" s="65" t="s">
        <v>1954</v>
      </c>
      <c r="CS247" s="65" t="s">
        <v>1953</v>
      </c>
      <c r="CT247" s="65" t="s">
        <v>1953</v>
      </c>
      <c r="CU247" s="65" t="s">
        <v>1953</v>
      </c>
      <c r="CV247" s="65" t="s">
        <v>1953</v>
      </c>
      <c r="CW247" s="65" t="s">
        <v>1953</v>
      </c>
      <c r="CX247" s="65" t="s">
        <v>1953</v>
      </c>
      <c r="CY247" s="65" t="s">
        <v>1953</v>
      </c>
      <c r="CZ247" s="65" t="s">
        <v>1953</v>
      </c>
      <c r="DA247" s="65" t="s">
        <v>1953</v>
      </c>
    </row>
    <row r="248" spans="78:105">
      <c r="BZ248" t="s">
        <v>7887</v>
      </c>
      <c r="CA248" t="str">
        <f>IFERROR(HLOOKUP($CA$1,Table4[[#All],[India]:[Dominican Republic]],ROW(Table4[[#This Row],[Default]])-1,0),"True")</f>
        <v>True</v>
      </c>
      <c r="CB248" s="65" t="s">
        <v>1953</v>
      </c>
      <c r="CC248" s="65" t="s">
        <v>1953</v>
      </c>
      <c r="CD248" s="65" t="s">
        <v>1953</v>
      </c>
      <c r="CE248" s="65" t="s">
        <v>1953</v>
      </c>
      <c r="CF248" s="65" t="s">
        <v>1953</v>
      </c>
      <c r="CG248" s="65" t="s">
        <v>1953</v>
      </c>
      <c r="CH248" s="65" t="s">
        <v>1953</v>
      </c>
      <c r="CI248" s="65" t="s">
        <v>1953</v>
      </c>
      <c r="CJ248" s="65" t="s">
        <v>1953</v>
      </c>
      <c r="CK248" s="65" t="s">
        <v>1953</v>
      </c>
      <c r="CL248" s="65" t="s">
        <v>1953</v>
      </c>
      <c r="CM248" s="65" t="s">
        <v>1953</v>
      </c>
      <c r="CN248" s="65" t="s">
        <v>1953</v>
      </c>
      <c r="CO248" s="65" t="s">
        <v>1953</v>
      </c>
      <c r="CP248" s="65" t="s">
        <v>1953</v>
      </c>
      <c r="CQ248" s="65" t="s">
        <v>1953</v>
      </c>
      <c r="CR248" s="65" t="s">
        <v>1953</v>
      </c>
      <c r="CS248" s="65" t="s">
        <v>1953</v>
      </c>
      <c r="CT248" s="65" t="s">
        <v>1954</v>
      </c>
      <c r="CU248" s="65" t="s">
        <v>1953</v>
      </c>
      <c r="CV248" s="65" t="s">
        <v>1953</v>
      </c>
      <c r="CW248" s="65" t="s">
        <v>1953</v>
      </c>
      <c r="CX248" s="65" t="s">
        <v>1953</v>
      </c>
      <c r="CY248" s="65" t="s">
        <v>1953</v>
      </c>
      <c r="CZ248" s="65" t="s">
        <v>1953</v>
      </c>
      <c r="DA248" s="65" t="s">
        <v>1953</v>
      </c>
    </row>
    <row r="249" spans="78:105">
      <c r="BZ249" t="s">
        <v>7966</v>
      </c>
      <c r="CA249" t="str">
        <f>IFERROR(HLOOKUP($CA$1,Table4[[#All],[India]:[Dominican Republic]],ROW(Table4[[#This Row],[Default]])-1,0),"True")</f>
        <v>True</v>
      </c>
      <c r="CB249" s="65" t="s">
        <v>1953</v>
      </c>
      <c r="CC249" s="65" t="s">
        <v>1953</v>
      </c>
      <c r="CD249" s="65" t="s">
        <v>1953</v>
      </c>
      <c r="CE249" s="65" t="s">
        <v>1953</v>
      </c>
      <c r="CF249" s="65" t="s">
        <v>1953</v>
      </c>
      <c r="CG249" s="65" t="s">
        <v>1953</v>
      </c>
      <c r="CH249" s="65" t="s">
        <v>1953</v>
      </c>
      <c r="CI249" s="65" t="s">
        <v>1953</v>
      </c>
      <c r="CJ249" s="65" t="s">
        <v>1953</v>
      </c>
      <c r="CK249" s="65" t="s">
        <v>1953</v>
      </c>
      <c r="CL249" s="65" t="s">
        <v>1953</v>
      </c>
      <c r="CM249" s="65" t="s">
        <v>1953</v>
      </c>
      <c r="CN249" s="65" t="s">
        <v>1953</v>
      </c>
      <c r="CO249" s="65" t="s">
        <v>1953</v>
      </c>
      <c r="CP249" s="65" t="s">
        <v>1953</v>
      </c>
      <c r="CQ249" s="65" t="s">
        <v>1953</v>
      </c>
      <c r="CR249" s="65" t="s">
        <v>1953</v>
      </c>
      <c r="CS249" s="65" t="s">
        <v>1953</v>
      </c>
      <c r="CT249" s="65" t="s">
        <v>1953</v>
      </c>
      <c r="CU249" s="65" t="s">
        <v>1953</v>
      </c>
      <c r="CV249" s="65" t="s">
        <v>1953</v>
      </c>
      <c r="CW249" s="65" t="s">
        <v>1953</v>
      </c>
      <c r="CX249" s="65" t="s">
        <v>1953</v>
      </c>
      <c r="CY249" s="65" t="s">
        <v>1954</v>
      </c>
      <c r="CZ249" s="65" t="s">
        <v>1953</v>
      </c>
      <c r="DA249" s="65" t="s">
        <v>1953</v>
      </c>
    </row>
    <row r="250" spans="78:105">
      <c r="BZ250" t="s">
        <v>8419</v>
      </c>
      <c r="CA250" t="str">
        <f>IFERROR(HLOOKUP($CA$1,Table4[[#All],[India]:[Dominican Republic]],ROW(Table4[[#This Row],[Default]])-1,0),"True")</f>
        <v>True</v>
      </c>
      <c r="CB250" s="65" t="s">
        <v>1953</v>
      </c>
      <c r="CC250" s="65" t="s">
        <v>1953</v>
      </c>
      <c r="CD250" s="65" t="s">
        <v>1953</v>
      </c>
      <c r="CE250" s="65" t="s">
        <v>1953</v>
      </c>
      <c r="CF250" s="65" t="s">
        <v>1953</v>
      </c>
      <c r="CG250" s="65" t="s">
        <v>1953</v>
      </c>
      <c r="CH250" s="65" t="s">
        <v>1953</v>
      </c>
      <c r="CI250" s="65" t="s">
        <v>1953</v>
      </c>
      <c r="CJ250" s="65" t="s">
        <v>1953</v>
      </c>
      <c r="CK250" s="65" t="s">
        <v>1953</v>
      </c>
      <c r="CL250" s="65" t="s">
        <v>1953</v>
      </c>
      <c r="CM250" s="65" t="s">
        <v>1953</v>
      </c>
      <c r="CN250" s="65" t="s">
        <v>1953</v>
      </c>
      <c r="CO250" s="65" t="s">
        <v>1953</v>
      </c>
      <c r="CP250" s="65" t="s">
        <v>1954</v>
      </c>
      <c r="CQ250" s="65" t="s">
        <v>1953</v>
      </c>
      <c r="CR250" s="65" t="s">
        <v>1953</v>
      </c>
      <c r="CS250" s="65" t="s">
        <v>1953</v>
      </c>
      <c r="CT250" s="65" t="s">
        <v>1953</v>
      </c>
      <c r="CU250" s="65" t="s">
        <v>1953</v>
      </c>
      <c r="CV250" s="65" t="s">
        <v>1953</v>
      </c>
      <c r="CW250" s="65" t="s">
        <v>1953</v>
      </c>
      <c r="CX250" s="65" t="s">
        <v>1953</v>
      </c>
      <c r="CY250" s="65" t="s">
        <v>1953</v>
      </c>
      <c r="CZ250" s="65" t="s">
        <v>1953</v>
      </c>
      <c r="DA250" s="65" t="s">
        <v>1953</v>
      </c>
    </row>
    <row r="251" spans="78:105">
      <c r="BZ251" t="s">
        <v>8433</v>
      </c>
      <c r="CA251" t="str">
        <f>IFERROR(HLOOKUP($CA$1,Table4[[#All],[India]:[Dominican Republic]],ROW(Table4[[#This Row],[Default]])-1,0),"True")</f>
        <v>True</v>
      </c>
      <c r="CB251" s="65" t="s">
        <v>1953</v>
      </c>
      <c r="CC251" s="65" t="s">
        <v>1953</v>
      </c>
      <c r="CD251" s="65" t="s">
        <v>1953</v>
      </c>
      <c r="CE251" s="65" t="s">
        <v>1953</v>
      </c>
      <c r="CF251" s="65" t="s">
        <v>1953</v>
      </c>
      <c r="CG251" s="65" t="s">
        <v>1953</v>
      </c>
      <c r="CH251" s="65" t="s">
        <v>1953</v>
      </c>
      <c r="CI251" s="65" t="s">
        <v>1953</v>
      </c>
      <c r="CJ251" s="65" t="s">
        <v>1953</v>
      </c>
      <c r="CK251" s="65" t="s">
        <v>1953</v>
      </c>
      <c r="CL251" s="65" t="s">
        <v>1953</v>
      </c>
      <c r="CM251" s="65" t="s">
        <v>1953</v>
      </c>
      <c r="CN251" s="65" t="s">
        <v>1953</v>
      </c>
      <c r="CO251" s="65" t="s">
        <v>1953</v>
      </c>
      <c r="CP251" s="65" t="s">
        <v>1953</v>
      </c>
      <c r="CQ251" s="65" t="s">
        <v>1953</v>
      </c>
      <c r="CR251" s="65" t="s">
        <v>1953</v>
      </c>
      <c r="CS251" s="65" t="s">
        <v>1953</v>
      </c>
      <c r="CT251" s="65" t="s">
        <v>1954</v>
      </c>
      <c r="CU251" s="65" t="s">
        <v>1953</v>
      </c>
      <c r="CV251" s="65" t="s">
        <v>1953</v>
      </c>
      <c r="CW251" s="65" t="s">
        <v>1953</v>
      </c>
      <c r="CX251" s="65" t="s">
        <v>1953</v>
      </c>
      <c r="CY251" s="65" t="s">
        <v>1953</v>
      </c>
      <c r="CZ251" s="65" t="s">
        <v>1953</v>
      </c>
      <c r="DA251" s="65" t="s">
        <v>1953</v>
      </c>
    </row>
    <row r="252" spans="78:105">
      <c r="BZ252" t="s">
        <v>8444</v>
      </c>
      <c r="CA252" t="str">
        <f>IFERROR(HLOOKUP($CA$1,Table4[[#All],[India]:[Dominican Republic]],ROW(Table4[[#This Row],[Default]])-1,0),"True")</f>
        <v>True</v>
      </c>
      <c r="CB252" s="65" t="s">
        <v>1953</v>
      </c>
      <c r="CC252" s="65" t="s">
        <v>1953</v>
      </c>
      <c r="CD252" s="65" t="s">
        <v>1953</v>
      </c>
      <c r="CE252" s="65" t="s">
        <v>1953</v>
      </c>
      <c r="CF252" s="65" t="s">
        <v>1953</v>
      </c>
      <c r="CG252" s="65" t="s">
        <v>1953</v>
      </c>
      <c r="CH252" s="65" t="s">
        <v>1953</v>
      </c>
      <c r="CI252" s="65" t="s">
        <v>1953</v>
      </c>
      <c r="CJ252" s="65" t="s">
        <v>1953</v>
      </c>
      <c r="CK252" s="65" t="s">
        <v>1953</v>
      </c>
      <c r="CL252" s="65" t="s">
        <v>1953</v>
      </c>
      <c r="CM252" s="65" t="s">
        <v>1953</v>
      </c>
      <c r="CN252" s="65" t="s">
        <v>1953</v>
      </c>
      <c r="CO252" s="65" t="s">
        <v>1953</v>
      </c>
      <c r="CP252" s="65" t="s">
        <v>1953</v>
      </c>
      <c r="CQ252" s="65" t="s">
        <v>1953</v>
      </c>
      <c r="CR252" s="65" t="s">
        <v>1953</v>
      </c>
      <c r="CS252" s="65" t="s">
        <v>1953</v>
      </c>
      <c r="CT252" s="65" t="s">
        <v>1953</v>
      </c>
      <c r="CU252" s="65" t="s">
        <v>1954</v>
      </c>
      <c r="CV252" s="65" t="s">
        <v>1953</v>
      </c>
      <c r="CW252" s="65" t="s">
        <v>1953</v>
      </c>
      <c r="CX252" s="65" t="s">
        <v>1953</v>
      </c>
      <c r="CY252" s="65" t="s">
        <v>1953</v>
      </c>
      <c r="CZ252" s="65" t="s">
        <v>1953</v>
      </c>
      <c r="DA252" s="65" t="s">
        <v>1953</v>
      </c>
    </row>
    <row r="253" spans="78:105">
      <c r="BZ253" t="s">
        <v>8449</v>
      </c>
      <c r="CA253" t="str">
        <f>IFERROR(HLOOKUP($CA$1,Table4[[#All],[India]:[Dominican Republic]],ROW(Table4[[#This Row],[Default]])-1,0),"True")</f>
        <v>True</v>
      </c>
      <c r="CB253" s="65" t="s">
        <v>1953</v>
      </c>
      <c r="CC253" s="65" t="s">
        <v>1953</v>
      </c>
      <c r="CD253" s="65" t="s">
        <v>1953</v>
      </c>
      <c r="CE253" s="65" t="s">
        <v>1953</v>
      </c>
      <c r="CF253" s="65" t="s">
        <v>1953</v>
      </c>
      <c r="CG253" s="65" t="s">
        <v>1953</v>
      </c>
      <c r="CH253" s="65" t="s">
        <v>1953</v>
      </c>
      <c r="CI253" s="65" t="s">
        <v>1953</v>
      </c>
      <c r="CJ253" s="65" t="s">
        <v>1953</v>
      </c>
      <c r="CK253" s="65" t="s">
        <v>1953</v>
      </c>
      <c r="CL253" s="65" t="s">
        <v>1953</v>
      </c>
      <c r="CM253" s="65" t="s">
        <v>1953</v>
      </c>
      <c r="CN253" s="65" t="s">
        <v>1953</v>
      </c>
      <c r="CO253" s="65" t="s">
        <v>1953</v>
      </c>
      <c r="CP253" s="65" t="s">
        <v>1953</v>
      </c>
      <c r="CQ253" s="65" t="s">
        <v>1953</v>
      </c>
      <c r="CR253" s="65" t="s">
        <v>1953</v>
      </c>
      <c r="CS253" s="65" t="s">
        <v>1953</v>
      </c>
      <c r="CT253" s="65" t="s">
        <v>1953</v>
      </c>
      <c r="CU253" s="65" t="s">
        <v>1953</v>
      </c>
      <c r="CV253" s="65" t="s">
        <v>1954</v>
      </c>
      <c r="CW253" s="65" t="s">
        <v>1954</v>
      </c>
      <c r="CX253" s="65" t="s">
        <v>1953</v>
      </c>
      <c r="CY253" s="65" t="s">
        <v>1953</v>
      </c>
      <c r="CZ253" s="65" t="s">
        <v>1953</v>
      </c>
      <c r="DA253" s="65" t="s">
        <v>1953</v>
      </c>
    </row>
    <row r="254" spans="78:105">
      <c r="BZ254" t="s">
        <v>8452</v>
      </c>
      <c r="CA254" t="str">
        <f>IFERROR(HLOOKUP($CA$1,Table4[[#All],[India]:[Dominican Republic]],ROW(Table4[[#This Row],[Default]])-1,0),"True")</f>
        <v>True</v>
      </c>
      <c r="CB254" s="65" t="s">
        <v>1953</v>
      </c>
      <c r="CC254" s="65" t="s">
        <v>1953</v>
      </c>
      <c r="CD254" s="65" t="s">
        <v>1953</v>
      </c>
      <c r="CE254" s="65" t="s">
        <v>1953</v>
      </c>
      <c r="CF254" s="65" t="s">
        <v>1953</v>
      </c>
      <c r="CG254" s="65" t="s">
        <v>1953</v>
      </c>
      <c r="CH254" s="65" t="s">
        <v>1953</v>
      </c>
      <c r="CI254" s="65" t="s">
        <v>1953</v>
      </c>
      <c r="CJ254" s="65" t="s">
        <v>1953</v>
      </c>
      <c r="CK254" s="65" t="s">
        <v>1953</v>
      </c>
      <c r="CL254" s="65" t="s">
        <v>1953</v>
      </c>
      <c r="CM254" s="65" t="s">
        <v>1953</v>
      </c>
      <c r="CN254" s="65" t="s">
        <v>1953</v>
      </c>
      <c r="CO254" s="65" t="s">
        <v>1953</v>
      </c>
      <c r="CP254" s="65" t="s">
        <v>1953</v>
      </c>
      <c r="CQ254" s="65" t="s">
        <v>1953</v>
      </c>
      <c r="CR254" s="65" t="s">
        <v>1953</v>
      </c>
      <c r="CS254" s="65" t="s">
        <v>1953</v>
      </c>
      <c r="CT254" s="65" t="s">
        <v>1953</v>
      </c>
      <c r="CU254" s="65" t="s">
        <v>1953</v>
      </c>
      <c r="CV254" s="65" t="s">
        <v>1953</v>
      </c>
      <c r="CW254" s="65" t="s">
        <v>1953</v>
      </c>
      <c r="CX254" s="65" t="s">
        <v>1954</v>
      </c>
      <c r="CY254" s="65" t="s">
        <v>1953</v>
      </c>
      <c r="CZ254" s="65" t="s">
        <v>1953</v>
      </c>
      <c r="DA254" s="65" t="s">
        <v>1953</v>
      </c>
    </row>
    <row r="255" spans="78:105">
      <c r="BZ255" t="s">
        <v>8457</v>
      </c>
      <c r="CA255" t="str">
        <f>IFERROR(HLOOKUP($CA$1,Table4[[#All],[India]:[Dominican Republic]],ROW(Table4[[#This Row],[Default]])-1,0),"True")</f>
        <v>True</v>
      </c>
      <c r="CB255" s="65" t="s">
        <v>1953</v>
      </c>
      <c r="CC255" s="65" t="s">
        <v>1953</v>
      </c>
      <c r="CD255" s="65" t="s">
        <v>1953</v>
      </c>
      <c r="CE255" s="65" t="s">
        <v>1953</v>
      </c>
      <c r="CF255" s="65" t="s">
        <v>1953</v>
      </c>
      <c r="CG255" s="65" t="s">
        <v>1953</v>
      </c>
      <c r="CH255" s="65" t="s">
        <v>1953</v>
      </c>
      <c r="CI255" s="65" t="s">
        <v>1953</v>
      </c>
      <c r="CJ255" s="65" t="s">
        <v>1953</v>
      </c>
      <c r="CK255" s="65" t="s">
        <v>1953</v>
      </c>
      <c r="CL255" s="65" t="s">
        <v>1953</v>
      </c>
      <c r="CM255" s="65" t="s">
        <v>1953</v>
      </c>
      <c r="CN255" s="65" t="s">
        <v>1953</v>
      </c>
      <c r="CO255" s="65" t="s">
        <v>1953</v>
      </c>
      <c r="CP255" s="65" t="s">
        <v>1953</v>
      </c>
      <c r="CQ255" s="65" t="s">
        <v>1953</v>
      </c>
      <c r="CR255" s="65" t="s">
        <v>1953</v>
      </c>
      <c r="CS255" s="65" t="s">
        <v>1953</v>
      </c>
      <c r="CT255" s="65" t="s">
        <v>1953</v>
      </c>
      <c r="CU255" s="65" t="s">
        <v>1953</v>
      </c>
      <c r="CV255" s="65" t="s">
        <v>1953</v>
      </c>
      <c r="CW255" s="65" t="s">
        <v>1953</v>
      </c>
      <c r="CX255" s="65" t="s">
        <v>1953</v>
      </c>
      <c r="CY255" s="65" t="s">
        <v>1954</v>
      </c>
      <c r="CZ255" s="65" t="s">
        <v>1953</v>
      </c>
      <c r="DA255" s="65" t="s">
        <v>1953</v>
      </c>
    </row>
    <row r="256" spans="78:105">
      <c r="BZ256" t="s">
        <v>336</v>
      </c>
      <c r="CA256" t="str">
        <f>IFERROR(HLOOKUP($CA$1,Table4[[#All],[India]:[Dominican Republic]],ROW(Table4[[#This Row],[Default]])-1,0),"True")</f>
        <v>True</v>
      </c>
      <c r="CB256" s="65" t="s">
        <v>1953</v>
      </c>
      <c r="CC256" s="65" t="s">
        <v>1953</v>
      </c>
      <c r="CD256" s="65" t="s">
        <v>1953</v>
      </c>
      <c r="CE256" s="65" t="s">
        <v>1953</v>
      </c>
      <c r="CF256" s="65" t="s">
        <v>1953</v>
      </c>
      <c r="CG256" s="65" t="s">
        <v>1953</v>
      </c>
      <c r="CH256" s="65" t="s">
        <v>1953</v>
      </c>
      <c r="CI256" s="65" t="s">
        <v>1953</v>
      </c>
      <c r="CJ256" s="65" t="s">
        <v>1953</v>
      </c>
      <c r="CK256" s="65" t="s">
        <v>1953</v>
      </c>
      <c r="CL256" s="65" t="s">
        <v>1953</v>
      </c>
      <c r="CM256" s="65" t="s">
        <v>1953</v>
      </c>
      <c r="CN256" s="65" t="s">
        <v>1953</v>
      </c>
      <c r="CO256" s="65" t="s">
        <v>1953</v>
      </c>
      <c r="CP256" s="65" t="s">
        <v>1953</v>
      </c>
      <c r="CQ256" s="65" t="s">
        <v>1953</v>
      </c>
      <c r="CR256" s="65" t="s">
        <v>1953</v>
      </c>
      <c r="CS256" s="65" t="s">
        <v>1953</v>
      </c>
      <c r="CT256" s="65" t="s">
        <v>1953</v>
      </c>
      <c r="CU256" s="65" t="s">
        <v>1953</v>
      </c>
      <c r="CV256" s="65" t="s">
        <v>1953</v>
      </c>
      <c r="CW256" s="65" t="s">
        <v>1953</v>
      </c>
      <c r="CX256" s="65" t="s">
        <v>1953</v>
      </c>
      <c r="CY256" s="65" t="s">
        <v>1953</v>
      </c>
      <c r="CZ256" s="65" t="s">
        <v>1954</v>
      </c>
      <c r="DA256" s="65" t="s">
        <v>1953</v>
      </c>
    </row>
    <row r="257" spans="78:105">
      <c r="BZ257" t="s">
        <v>341</v>
      </c>
      <c r="CA257" t="str">
        <f>IFERROR(HLOOKUP($CA$1,Table4[[#All],[India]:[Dominican Republic]],ROW(Table4[[#This Row],[Default]])-1,0),"True")</f>
        <v>True</v>
      </c>
      <c r="CB257" s="65" t="s">
        <v>1953</v>
      </c>
      <c r="CC257" s="65" t="s">
        <v>1953</v>
      </c>
      <c r="CD257" s="65" t="s">
        <v>1953</v>
      </c>
      <c r="CE257" s="65" t="s">
        <v>1953</v>
      </c>
      <c r="CF257" s="65" t="s">
        <v>1953</v>
      </c>
      <c r="CG257" s="65" t="s">
        <v>1953</v>
      </c>
      <c r="CH257" s="65" t="s">
        <v>1953</v>
      </c>
      <c r="CI257" s="65" t="s">
        <v>1953</v>
      </c>
      <c r="CJ257" s="65" t="s">
        <v>1953</v>
      </c>
      <c r="CK257" s="65" t="s">
        <v>1953</v>
      </c>
      <c r="CL257" s="65" t="s">
        <v>1953</v>
      </c>
      <c r="CM257" s="65" t="s">
        <v>1953</v>
      </c>
      <c r="CN257" s="65" t="s">
        <v>1953</v>
      </c>
      <c r="CO257" s="65" t="s">
        <v>1953</v>
      </c>
      <c r="CP257" s="65" t="s">
        <v>1953</v>
      </c>
      <c r="CQ257" s="65" t="s">
        <v>1953</v>
      </c>
      <c r="CR257" s="65" t="s">
        <v>1953</v>
      </c>
      <c r="CS257" s="65" t="s">
        <v>1953</v>
      </c>
      <c r="CT257" s="65" t="s">
        <v>1953</v>
      </c>
      <c r="CU257" s="65" t="s">
        <v>1953</v>
      </c>
      <c r="CV257" s="65" t="s">
        <v>1953</v>
      </c>
      <c r="CW257" s="65" t="s">
        <v>1953</v>
      </c>
      <c r="CX257" s="65" t="s">
        <v>1953</v>
      </c>
      <c r="CY257" s="65" t="s">
        <v>1953</v>
      </c>
      <c r="CZ257" s="65" t="s">
        <v>1953</v>
      </c>
      <c r="DA257" s="65" t="s">
        <v>1954</v>
      </c>
    </row>
  </sheetData>
  <pageMargins left="0.7" right="0.7" top="0.75" bottom="0.75" header="0.3" footer="0.3"/>
  <tableParts count="6">
    <tablePart r:id="rId1"/>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1EE4D70CC294409B417EA8E2A3FED2" ma:contentTypeVersion="8" ma:contentTypeDescription="Create a new document." ma:contentTypeScope="" ma:versionID="ec390a554bfabb3d22616e9165db5b12">
  <xsd:schema xmlns:xsd="http://www.w3.org/2001/XMLSchema" xmlns:xs="http://www.w3.org/2001/XMLSchema" xmlns:p="http://schemas.microsoft.com/office/2006/metadata/properties" xmlns:ns1="http://schemas.microsoft.com/sharepoint/v3" xmlns:ns2="9b0f99a1-b597-4c49-9899-e613d7782b7e" xmlns:ns3="13c43415-67bb-469c-8fd7-82d9dbb408ac" targetNamespace="http://schemas.microsoft.com/office/2006/metadata/properties" ma:root="true" ma:fieldsID="97fc9ecc97bf7a8e7d196d566b782afb" ns1:_="" ns2:_="" ns3:_="">
    <xsd:import namespace="http://schemas.microsoft.com/sharepoint/v3"/>
    <xsd:import namespace="9b0f99a1-b597-4c49-9899-e613d7782b7e"/>
    <xsd:import namespace="13c43415-67bb-469c-8fd7-82d9dbb408a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1:_ip_UnifiedCompliancePolicyProperties" minOccurs="0"/>
                <xsd:element ref="ns1:_ip_UnifiedCompliancePolicyUIAction" minOccurs="0"/>
                <xsd:element ref="ns3: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description="" ma:hidden="true" ma:internalName="_ip_UnifiedCompliancePolicyProperties">
      <xsd:simpleType>
        <xsd:restriction base="dms:Note"/>
      </xsd:simpleType>
    </xsd:element>
    <xsd:element name="_ip_UnifiedCompliancePolicyUIAction" ma:index="14"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0f99a1-b597-4c49-9899-e613d7782b7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3c43415-67bb-469c-8fd7-82d9dbb408ac"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MediaServiceAutoTags" ma:index="15"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415B2DA-A602-420A-B8CD-6B000BE86C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b0f99a1-b597-4c49-9899-e613d7782b7e"/>
    <ds:schemaRef ds:uri="13c43415-67bb-469c-8fd7-82d9dbb408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ACD3C2D-AC8D-4EBB-BEBE-CE6002944959}">
  <ds:schemaRefs>
    <ds:schemaRef ds:uri="http://purl.org/dc/elements/1.1/"/>
    <ds:schemaRef ds:uri="http://schemas.microsoft.com/office/2006/metadata/properties"/>
    <ds:schemaRef ds:uri="9b0f99a1-b597-4c49-9899-e613d7782b7e"/>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13c43415-67bb-469c-8fd7-82d9dbb408ac"/>
    <ds:schemaRef ds:uri="http://www.w3.org/XML/1998/namespace"/>
    <ds:schemaRef ds:uri="http://purl.org/dc/dcmitype/"/>
  </ds:schemaRefs>
</ds:datastoreItem>
</file>

<file path=customXml/itemProps3.xml><?xml version="1.0" encoding="utf-8"?>
<ds:datastoreItem xmlns:ds="http://schemas.openxmlformats.org/officeDocument/2006/customXml" ds:itemID="{EF37E831-A29A-41E6-AAC2-127BCB82B8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1823</vt:i4>
      </vt:variant>
    </vt:vector>
  </HeadingPairs>
  <TitlesOfParts>
    <vt:vector size="1825" baseType="lpstr">
      <vt:lpstr>Language</vt:lpstr>
      <vt:lpstr>New Hire Form</vt:lpstr>
      <vt:lpstr>aaf_toggle</vt:lpstr>
      <vt:lpstr>ab_num_lbl</vt:lpstr>
      <vt:lpstr>ab_num_rng</vt:lpstr>
      <vt:lpstr>ab_num_toggle</vt:lpstr>
      <vt:lpstr>abor_ppl_range</vt:lpstr>
      <vt:lpstr>aborig_ppl</vt:lpstr>
      <vt:lpstr>Aboriginal_People_label</vt:lpstr>
      <vt:lpstr>acc_no_range</vt:lpstr>
      <vt:lpstr>acc_own_range</vt:lpstr>
      <vt:lpstr>acc_type_range</vt:lpstr>
      <vt:lpstr>accom_prov</vt:lpstr>
      <vt:lpstr>accom_prov_range</vt:lpstr>
      <vt:lpstr>Accommodation_Provided_label</vt:lpstr>
      <vt:lpstr>Account_Number</vt:lpstr>
      <vt:lpstr>Account_Owner</vt:lpstr>
      <vt:lpstr>Account_Type</vt:lpstr>
      <vt:lpstr>Account_Type_label</vt:lpstr>
      <vt:lpstr>Acquired_lbl</vt:lpstr>
      <vt:lpstr>Acquired_rng</vt:lpstr>
      <vt:lpstr>Acquired_toggle</vt:lpstr>
      <vt:lpstr>add_detailed_address_lbl</vt:lpstr>
      <vt:lpstr>add_info_label</vt:lpstr>
      <vt:lpstr>add_info_range</vt:lpstr>
      <vt:lpstr>add1_lbl</vt:lpstr>
      <vt:lpstr>add1_rng</vt:lpstr>
      <vt:lpstr>add1_toggle</vt:lpstr>
      <vt:lpstr>add2_lbl</vt:lpstr>
      <vt:lpstr>add2_rng</vt:lpstr>
      <vt:lpstr>add2_toggle</vt:lpstr>
      <vt:lpstr>Address_country</vt:lpstr>
      <vt:lpstr>Address_country2</vt:lpstr>
      <vt:lpstr>Address_country3</vt:lpstr>
      <vt:lpstr>Address_Label</vt:lpstr>
      <vt:lpstr>address_type</vt:lpstr>
      <vt:lpstr>Address_type_label</vt:lpstr>
      <vt:lpstr>address_type2</vt:lpstr>
      <vt:lpstr>address_type3</vt:lpstr>
      <vt:lpstr>Addressee_label</vt:lpstr>
      <vt:lpstr>addressee_range</vt:lpstr>
      <vt:lpstr>addressee_toggle</vt:lpstr>
      <vt:lpstr>agree_avail_lbl</vt:lpstr>
      <vt:lpstr>agree_date_lbl</vt:lpstr>
      <vt:lpstr>agree_date_rng</vt:lpstr>
      <vt:lpstr>agree_from_rng</vt:lpstr>
      <vt:lpstr>ai_toggle</vt:lpstr>
      <vt:lpstr>Alternative_Cost_Distribution</vt:lpstr>
      <vt:lpstr>amex_lbl</vt:lpstr>
      <vt:lpstr>amex_rng</vt:lpstr>
      <vt:lpstr>Amount</vt:lpstr>
      <vt:lpstr>Amount_label</vt:lpstr>
      <vt:lpstr>an_toggle</vt:lpstr>
      <vt:lpstr>Annual_Leave_Anniversary_dt_rng</vt:lpstr>
      <vt:lpstr>Annual_Leave_Anniversary_dt_toggle</vt:lpstr>
      <vt:lpstr>Annual_Leave_Anniversary_dt_toggle_lbl</vt:lpstr>
      <vt:lpstr>ao_toggle</vt:lpstr>
      <vt:lpstr>aohi_toggle</vt:lpstr>
      <vt:lpstr>ap_toggle</vt:lpstr>
      <vt:lpstr>ap2_toggle</vt:lpstr>
      <vt:lpstr>Apartment_label</vt:lpstr>
      <vt:lpstr>apartment_range</vt:lpstr>
      <vt:lpstr>apartment_toggle</vt:lpstr>
      <vt:lpstr>appl_socso_lbl</vt:lpstr>
      <vt:lpstr>appl_socso_rng</vt:lpstr>
      <vt:lpstr>appl_socso_toggle</vt:lpstr>
      <vt:lpstr>appl_spouse_rel</vt:lpstr>
      <vt:lpstr>appl_spouse_rng</vt:lpstr>
      <vt:lpstr>appl_spouse_toggle</vt:lpstr>
      <vt:lpstr>appl_union_agree_lbl</vt:lpstr>
      <vt:lpstr>ar_toggle</vt:lpstr>
      <vt:lpstr>Area_lbl</vt:lpstr>
      <vt:lpstr>Area_rng</vt:lpstr>
      <vt:lpstr>area_toggle</vt:lpstr>
      <vt:lpstr>arg_cbu_lbl</vt:lpstr>
      <vt:lpstr>arg_cbu_rng</vt:lpstr>
      <vt:lpstr>arg_cbu_toggle</vt:lpstr>
      <vt:lpstr>arg_state_of_birth_lbl</vt:lpstr>
      <vt:lpstr>arg_state_of_birth_rng</vt:lpstr>
      <vt:lpstr>arg_state_of_birth_toggle</vt:lpstr>
      <vt:lpstr>at_toggle</vt:lpstr>
      <vt:lpstr>aua_toggle</vt:lpstr>
      <vt:lpstr>AUS_Inslander_Toggle</vt:lpstr>
      <vt:lpstr>AUS_Islander_lbl</vt:lpstr>
      <vt:lpstr>AUS_Islander_rng</vt:lpstr>
      <vt:lpstr>Auth_Sign_lbl</vt:lpstr>
      <vt:lpstr>Auth_Sign_rng</vt:lpstr>
      <vt:lpstr>Auth_Sign_toggle</vt:lpstr>
      <vt:lpstr>aux_toggle</vt:lpstr>
      <vt:lpstr>ave_variable_bonus_lbl</vt:lpstr>
      <vt:lpstr>ave_variable_bonus_rng</vt:lpstr>
      <vt:lpstr>ave_variable_bonus_toggle</vt:lpstr>
      <vt:lpstr>Avg_Prem_prev_Yr1_lbl</vt:lpstr>
      <vt:lpstr>Avg_Prem_prev_Yr1_rng</vt:lpstr>
      <vt:lpstr>Avg_Prem_prev_Yr1_toggle</vt:lpstr>
      <vt:lpstr>Avg_Prem_prev_Yr2_lbl</vt:lpstr>
      <vt:lpstr>Avg_Prem_prev_Yr2_rng</vt:lpstr>
      <vt:lpstr>Avg_Prem_prev_Yr2_toggle</vt:lpstr>
      <vt:lpstr>Avg_Prem_prev_Yr3_lbl</vt:lpstr>
      <vt:lpstr>Avg_Prem_prev_Yr3_rng</vt:lpstr>
      <vt:lpstr>Avg_Prem_prev_Yr3_toggle</vt:lpstr>
      <vt:lpstr>ba_toggle</vt:lpstr>
      <vt:lpstr>Bank_Country</vt:lpstr>
      <vt:lpstr>Bank_Country_label</vt:lpstr>
      <vt:lpstr>bank_currency</vt:lpstr>
      <vt:lpstr>bank_currency_type</vt:lpstr>
      <vt:lpstr>bc_toggle</vt:lpstr>
      <vt:lpstr>Benefits_Class_label</vt:lpstr>
      <vt:lpstr>Benefits_Eligibility_Start_Date</vt:lpstr>
      <vt:lpstr>bf_range</vt:lpstr>
      <vt:lpstr>bg_id_rng</vt:lpstr>
      <vt:lpstr>bi_toggle</vt:lpstr>
      <vt:lpstr>bic_range</vt:lpstr>
      <vt:lpstr>bic_toggle</vt:lpstr>
      <vt:lpstr>Biographical_Information</vt:lpstr>
      <vt:lpstr>Biographical_Information_label</vt:lpstr>
      <vt:lpstr>birtcn_toggle</vt:lpstr>
      <vt:lpstr>Birth_City_lbl</vt:lpstr>
      <vt:lpstr>Birth_City_rng</vt:lpstr>
      <vt:lpstr>Birth_City_Toggle</vt:lpstr>
      <vt:lpstr>birth_cn_lbl</vt:lpstr>
      <vt:lpstr>birth_cn_rng</vt:lpstr>
      <vt:lpstr>birth_country</vt:lpstr>
      <vt:lpstr>Birth_name_label</vt:lpstr>
      <vt:lpstr>birth_name_rng</vt:lpstr>
      <vt:lpstr>birth_prefix_label</vt:lpstr>
      <vt:lpstr>birth_prefix_range</vt:lpstr>
      <vt:lpstr>birth_prov_label</vt:lpstr>
      <vt:lpstr>birthplace_label</vt:lpstr>
      <vt:lpstr>birthplace_rng</vt:lpstr>
      <vt:lpstr>bn_toggle</vt:lpstr>
      <vt:lpstr>bnp_toggle</vt:lpstr>
      <vt:lpstr>bonus_target_label</vt:lpstr>
      <vt:lpstr>bonus_type_label</vt:lpstr>
      <vt:lpstr>bra_admission_detail_lbl</vt:lpstr>
      <vt:lpstr>bra_application_data_lbl</vt:lpstr>
      <vt:lpstr>BRA_Aux_rng</vt:lpstr>
      <vt:lpstr>bra_badge_no_lbl</vt:lpstr>
      <vt:lpstr>BRA_Bank_Key_lbl</vt:lpstr>
      <vt:lpstr>BRA_Bank_Key_rng</vt:lpstr>
      <vt:lpstr>BRA_Bank_Key_Toggle</vt:lpstr>
      <vt:lpstr>bra_by_lbl</vt:lpstr>
      <vt:lpstr>bra_code_lbl</vt:lpstr>
      <vt:lpstr>bra_condition_admission_lbl</vt:lpstr>
      <vt:lpstr>bra_controlling_data_lbl</vt:lpstr>
      <vt:lpstr>bra_data_for_registration_lbl</vt:lpstr>
      <vt:lpstr>bra_data_reg_ronda_lbl</vt:lpstr>
      <vt:lpstr>bra_details_person_admitted_lbl</vt:lpstr>
      <vt:lpstr>bra_elements_mand_filling_lbl</vt:lpstr>
      <vt:lpstr>bra_emp_clock_lbl</vt:lpstr>
      <vt:lpstr>bra_emp_registrated_lbl</vt:lpstr>
      <vt:lpstr>bra_environment_work_code_lbl</vt:lpstr>
      <vt:lpstr>bra_functional_leadership_id_lbl</vt:lpstr>
      <vt:lpstr>bra_general_information_lbl</vt:lpstr>
      <vt:lpstr>bra_holiday_perm_lbl</vt:lpstr>
      <vt:lpstr>bra_host_lbl</vt:lpstr>
      <vt:lpstr>bra_indirect_functional_leadship_lbl</vt:lpstr>
      <vt:lpstr>bra_labor_union_lbl</vt:lpstr>
      <vt:lpstr>bra_leadership_abroad_lbl</vt:lpstr>
      <vt:lpstr>bra_legal_Number_lbl</vt:lpstr>
      <vt:lpstr>bra_make_exp_contract_lbl</vt:lpstr>
      <vt:lpstr>bra_max_wage_range_lbl</vt:lpstr>
      <vt:lpstr>bra_med_wage_range_lbl</vt:lpstr>
      <vt:lpstr>bra_min_wage_range_lbl</vt:lpstr>
      <vt:lpstr>bra_normal_days_perm_lbl</vt:lpstr>
      <vt:lpstr>bra_observations_1_lbl</vt:lpstr>
      <vt:lpstr>bra_observations_lbl</vt:lpstr>
      <vt:lpstr>bra_percentage_performance_lbl</vt:lpstr>
      <vt:lpstr>bra_permanent_lbl</vt:lpstr>
      <vt:lpstr>bra_permanent_org_chart_lbl</vt:lpstr>
      <vt:lpstr>bra_ppr_team_code_lbl</vt:lpstr>
      <vt:lpstr>bra_requirements_lbl</vt:lpstr>
      <vt:lpstr>bra_responible_cscrh_lbl</vt:lpstr>
      <vt:lpstr>bra_responsible_applicant_lbl</vt:lpstr>
      <vt:lpstr>bra_responsible_hr_lbl</vt:lpstr>
      <vt:lpstr>BRA_Sal_Ac_Bank_lbl</vt:lpstr>
      <vt:lpstr>BRA_Sal_Ac_Bank_rng</vt:lpstr>
      <vt:lpstr>BRA_Sal_Ac_Bank_Toggle</vt:lpstr>
      <vt:lpstr>BRA_Sal_Ac_Branch_lbl</vt:lpstr>
      <vt:lpstr>BRA_Sal_Ac_Branch_rng</vt:lpstr>
      <vt:lpstr>BRA_Sal_Ac_Branch_Toggle</vt:lpstr>
      <vt:lpstr>bra_saturday_perm_lbl</vt:lpstr>
      <vt:lpstr>bra_scale_lbl</vt:lpstr>
      <vt:lpstr>bra_staff_req_content_lbl</vt:lpstr>
      <vt:lpstr>bra_staff_request_lbl</vt:lpstr>
      <vt:lpstr>bra_suggested_salary_range_lbl</vt:lpstr>
      <vt:lpstr>bra_sunday_perm_lbl</vt:lpstr>
      <vt:lpstr>bra_supervisor_charge_lbl</vt:lpstr>
      <vt:lpstr>bra_syndicate_cat_lbl</vt:lpstr>
      <vt:lpstr>bra_syndicate_prevailing_lbl</vt:lpstr>
      <vt:lpstr>bra_time_code_rhevolution_lbl</vt:lpstr>
      <vt:lpstr>bra_trade_union_reg_code_lbl</vt:lpstr>
      <vt:lpstr>bra_type_calculation_lbl</vt:lpstr>
      <vt:lpstr>bra_type_variable_remunaration_lbl</vt:lpstr>
      <vt:lpstr>bra_type_workmanship_lbl</vt:lpstr>
      <vt:lpstr>branch_id_label</vt:lpstr>
      <vt:lpstr>branch_id_range</vt:lpstr>
      <vt:lpstr>branch_of_study1_lbl</vt:lpstr>
      <vt:lpstr>branch_of_study1_rng</vt:lpstr>
      <vt:lpstr>branch_of_study1_toggle</vt:lpstr>
      <vt:lpstr>Brazil_Aux_Toggle</vt:lpstr>
      <vt:lpstr>break_arr_lbl</vt:lpstr>
      <vt:lpstr>break_rng</vt:lpstr>
      <vt:lpstr>bsrn_lbl</vt:lpstr>
      <vt:lpstr>bsrn_range</vt:lpstr>
      <vt:lpstr>bsrn_toggle</vt:lpstr>
      <vt:lpstr>BU_FUNC2</vt:lpstr>
      <vt:lpstr>BU_FUNC3</vt:lpstr>
      <vt:lpstr>Building_label</vt:lpstr>
      <vt:lpstr>building_range</vt:lpstr>
      <vt:lpstr>building_toggle</vt:lpstr>
      <vt:lpstr>Business_Identifier_Code</vt:lpstr>
      <vt:lpstr>Businesses_Functions2</vt:lpstr>
      <vt:lpstr>Businesses_Functions3</vt:lpstr>
      <vt:lpstr>ca_toggle</vt:lpstr>
      <vt:lpstr>calc_contr_lbl</vt:lpstr>
      <vt:lpstr>calc_contr_rng</vt:lpstr>
      <vt:lpstr>calc_contr_toggle</vt:lpstr>
      <vt:lpstr>calc_contrb1_lbl</vt:lpstr>
      <vt:lpstr>calc_contrb1_rng</vt:lpstr>
      <vt:lpstr>calc_contrb1_toggle</vt:lpstr>
      <vt:lpstr>calc_contrib_lbl</vt:lpstr>
      <vt:lpstr>calc_contrib_rng</vt:lpstr>
      <vt:lpstr>calc_contrib_toggle</vt:lpstr>
      <vt:lpstr>Calc_Start_Date_lbl</vt:lpstr>
      <vt:lpstr>Calc_Start_Date_rng</vt:lpstr>
      <vt:lpstr>Calc_Start_Date_toggle</vt:lpstr>
      <vt:lpstr>car_grade_lbl</vt:lpstr>
      <vt:lpstr>car_grade_rng</vt:lpstr>
      <vt:lpstr>Care_of_label</vt:lpstr>
      <vt:lpstr>care_of_name_lbl</vt:lpstr>
      <vt:lpstr>care_of_name_rng</vt:lpstr>
      <vt:lpstr>care_of_name_toggle</vt:lpstr>
      <vt:lpstr>care_of_range</vt:lpstr>
      <vt:lpstr>care_of_toggle</vt:lpstr>
      <vt:lpstr>cc_toggle</vt:lpstr>
      <vt:lpstr>cce_toggle</vt:lpstr>
      <vt:lpstr>ccp_toggle</vt:lpstr>
      <vt:lpstr>cg_toggle</vt:lpstr>
      <vt:lpstr>Challenge_Grp_lbl</vt:lpstr>
      <vt:lpstr>Challenge_Grp_Rng</vt:lpstr>
      <vt:lpstr>Challenge_Grp_Toggle</vt:lpstr>
      <vt:lpstr>Challenge_Type_Lbl</vt:lpstr>
      <vt:lpstr>Challenge_Type_Rng</vt:lpstr>
      <vt:lpstr>Challenge_Type_Toggle</vt:lpstr>
      <vt:lpstr>Change_Master_Reason_lbl</vt:lpstr>
      <vt:lpstr>Change_Master_Reason_rng</vt:lpstr>
      <vt:lpstr>Change_Master_Reason_toggle</vt:lpstr>
      <vt:lpstr>chl_numb_lbl</vt:lpstr>
      <vt:lpstr>ci_toggle</vt:lpstr>
      <vt:lpstr>City_label</vt:lpstr>
      <vt:lpstr>city_range</vt:lpstr>
      <vt:lpstr>city_toggle</vt:lpstr>
      <vt:lpstr>cla_rng</vt:lpstr>
      <vt:lpstr>cla_scale_lbl</vt:lpstr>
      <vt:lpstr>cmh_date_range</vt:lpstr>
      <vt:lpstr>cmh_dt_toggle</vt:lpstr>
      <vt:lpstr>cmh_range</vt:lpstr>
      <vt:lpstr>cmh_toggle</vt:lpstr>
      <vt:lpstr>cnla_lbl</vt:lpstr>
      <vt:lpstr>cnla_rng</vt:lpstr>
      <vt:lpstr>col_academic_degree_lbl</vt:lpstr>
      <vt:lpstr>col_academic_degree_rng</vt:lpstr>
      <vt:lpstr>col_academic_degree_toggle</vt:lpstr>
      <vt:lpstr>col_alt_occupation_lbl</vt:lpstr>
      <vt:lpstr>col_alt_occupation_rng</vt:lpstr>
      <vt:lpstr>col_alt_occupation_toggle</vt:lpstr>
      <vt:lpstr>col_muncipality_lbl</vt:lpstr>
      <vt:lpstr>col_muncipality_rng</vt:lpstr>
      <vt:lpstr>col_muncipality_toggle</vt:lpstr>
      <vt:lpstr>collection_method_lbl</vt:lpstr>
      <vt:lpstr>collection_method_rng</vt:lpstr>
      <vt:lpstr>collection_method_toggle</vt:lpstr>
      <vt:lpstr>Colombia_Aux_rng</vt:lpstr>
      <vt:lpstr>Colombia_Aux_toggle</vt:lpstr>
      <vt:lpstr>Colony_lbl</vt:lpstr>
      <vt:lpstr>Colony_rng</vt:lpstr>
      <vt:lpstr>Colony_toggle</vt:lpstr>
      <vt:lpstr>comments_lbl</vt:lpstr>
      <vt:lpstr>comments_rng</vt:lpstr>
      <vt:lpstr>comments_toggle</vt:lpstr>
      <vt:lpstr>comp_car_lbl</vt:lpstr>
      <vt:lpstr>comp_car_rng</vt:lpstr>
      <vt:lpstr>comp_clause_label</vt:lpstr>
      <vt:lpstr>Company</vt:lpstr>
      <vt:lpstr>Company_code</vt:lpstr>
      <vt:lpstr>Company_country</vt:lpstr>
      <vt:lpstr>Company_country2</vt:lpstr>
      <vt:lpstr>Company_label</vt:lpstr>
      <vt:lpstr>Compensation_Information</vt:lpstr>
      <vt:lpstr>competition_clause</vt:lpstr>
      <vt:lpstr>complete_name_lbl</vt:lpstr>
      <vt:lpstr>complete_name_rng</vt:lpstr>
      <vt:lpstr>complete_name_toggle</vt:lpstr>
      <vt:lpstr>compul_si_fund</vt:lpstr>
      <vt:lpstr>compul_si_fund_rng</vt:lpstr>
      <vt:lpstr>compul_si_schem_lbl</vt:lpstr>
      <vt:lpstr>compul_si_schem_rng</vt:lpstr>
      <vt:lpstr>compul_si_schem_toggle</vt:lpstr>
      <vt:lpstr>compul_si_toggle</vt:lpstr>
      <vt:lpstr>conf_agree_lbl</vt:lpstr>
      <vt:lpstr>conf_agree_rng</vt:lpstr>
      <vt:lpstr>confirmed_dt_lbl</vt:lpstr>
      <vt:lpstr>confirmed_dt_rng</vt:lpstr>
      <vt:lpstr>confirmed_dt_toggle</vt:lpstr>
      <vt:lpstr>cont_info_label</vt:lpstr>
      <vt:lpstr>cont_number_label</vt:lpstr>
      <vt:lpstr>cont_type_label</vt:lpstr>
      <vt:lpstr>cont_type_lbl</vt:lpstr>
      <vt:lpstr>cont_type_rng</vt:lpstr>
      <vt:lpstr>contact_rng</vt:lpstr>
      <vt:lpstr>contr_epf_lbl</vt:lpstr>
      <vt:lpstr>contr_epf_rng</vt:lpstr>
      <vt:lpstr>contr_epf_toggle</vt:lpstr>
      <vt:lpstr>Contract_end_date</vt:lpstr>
      <vt:lpstr>Contract_start_date</vt:lpstr>
      <vt:lpstr>Contract_Type</vt:lpstr>
      <vt:lpstr>contract_type_label</vt:lpstr>
      <vt:lpstr>contrib_categ_lbl</vt:lpstr>
      <vt:lpstr>contrib_categ_rng</vt:lpstr>
      <vt:lpstr>contrib_categ_toggle</vt:lpstr>
      <vt:lpstr>conttype_range</vt:lpstr>
      <vt:lpstr>cost_centre2</vt:lpstr>
      <vt:lpstr>cost_centre3</vt:lpstr>
      <vt:lpstr>Costa_Rica_Aux_Toggle</vt:lpstr>
      <vt:lpstr>country</vt:lpstr>
      <vt:lpstr>Country_label</vt:lpstr>
      <vt:lpstr>country_lbl</vt:lpstr>
      <vt:lpstr>country_rng</vt:lpstr>
      <vt:lpstr>country_toggle</vt:lpstr>
      <vt:lpstr>CountrySpecSheet</vt:lpstr>
      <vt:lpstr>County_label</vt:lpstr>
      <vt:lpstr>county_range</vt:lpstr>
      <vt:lpstr>county_toggle</vt:lpstr>
      <vt:lpstr>court_cert</vt:lpstr>
      <vt:lpstr>court_cert_label</vt:lpstr>
      <vt:lpstr>court_rng</vt:lpstr>
      <vt:lpstr>cri_add_canton_lbl</vt:lpstr>
      <vt:lpstr>cri_add_canton_rng</vt:lpstr>
      <vt:lpstr>cri_add_canton_toggle</vt:lpstr>
      <vt:lpstr>cri_add_province_lbl</vt:lpstr>
      <vt:lpstr>cri_add_province_rng</vt:lpstr>
      <vt:lpstr>cri_add_province_toggle</vt:lpstr>
      <vt:lpstr>cri_application_desc_lbl</vt:lpstr>
      <vt:lpstr>CRI_Aux_rng</vt:lpstr>
      <vt:lpstr>cri_chief_sign_lbl</vt:lpstr>
      <vt:lpstr>cri_code_lbl</vt:lpstr>
      <vt:lpstr>cri_comments_lbl</vt:lpstr>
      <vt:lpstr>cri_dept_mgr_sign_lbl</vt:lpstr>
      <vt:lpstr>cri_dept_req_procc_lbl</vt:lpstr>
      <vt:lpstr>cri_description_lbl</vt:lpstr>
      <vt:lpstr>cri_desertion_lbl</vt:lpstr>
      <vt:lpstr>cri_dismissal_with_cause_lbl</vt:lpstr>
      <vt:lpstr>cri_dismissal_without_cause_lbl</vt:lpstr>
      <vt:lpstr>cri_emp_sign_lbl</vt:lpstr>
      <vt:lpstr>cri_employee_data_lbl</vt:lpstr>
      <vt:lpstr>cri_employee_no_lbl</vt:lpstr>
      <vt:lpstr>cri_func_mgr_sign_lbl</vt:lpstr>
      <vt:lpstr>cri_hr_sign_lbl</vt:lpstr>
      <vt:lpstr>cri_hr_use_lbl</vt:lpstr>
      <vt:lpstr>cri_license_vac_lbl</vt:lpstr>
      <vt:lpstr>cri_observation_comm_lbl</vt:lpstr>
      <vt:lpstr>cri_other_lbl</vt:lpstr>
      <vt:lpstr>cri_others_1_lbl</vt:lpstr>
      <vt:lpstr>cri_others_lbl</vt:lpstr>
      <vt:lpstr>cri_paid_leave_lbl</vt:lpstr>
      <vt:lpstr>cri_promotion_lbl</vt:lpstr>
      <vt:lpstr>cri_province_1</vt:lpstr>
      <vt:lpstr>cri_province_2</vt:lpstr>
      <vt:lpstr>cri_province_3</vt:lpstr>
      <vt:lpstr>cri_reason_lbl</vt:lpstr>
      <vt:lpstr>cri_received_date_lbl</vt:lpstr>
      <vt:lpstr>cri_replaces_lbl</vt:lpstr>
      <vt:lpstr>cri_resignation_lbl</vt:lpstr>
      <vt:lpstr>cri_transfer_lbl</vt:lpstr>
      <vt:lpstr>cri_trial_period_evaluation_lbl</vt:lpstr>
      <vt:lpstr>cri_unpaid_leave_lbl</vt:lpstr>
      <vt:lpstr>cri_vacations_lbl</vt:lpstr>
      <vt:lpstr>csb_dt_range</vt:lpstr>
      <vt:lpstr>csb_dt_toggle</vt:lpstr>
      <vt:lpstr>csb_range</vt:lpstr>
      <vt:lpstr>csb_toggle</vt:lpstr>
      <vt:lpstr>ct_toggle</vt:lpstr>
      <vt:lpstr>ct2_toggle</vt:lpstr>
      <vt:lpstr>Cur_Type</vt:lpstr>
      <vt:lpstr>'Field labels'!Currency</vt:lpstr>
      <vt:lpstr>Currency</vt:lpstr>
      <vt:lpstr>Currency_label</vt:lpstr>
      <vt:lpstr>Currency_lbl</vt:lpstr>
      <vt:lpstr>currency_rng</vt:lpstr>
      <vt:lpstr>Currency2</vt:lpstr>
      <vt:lpstr>Currency3</vt:lpstr>
      <vt:lpstr>Currency4</vt:lpstr>
      <vt:lpstr>Currency5</vt:lpstr>
      <vt:lpstr>Currency6</vt:lpstr>
      <vt:lpstr>cv</vt:lpstr>
      <vt:lpstr>cv_label</vt:lpstr>
      <vt:lpstr>cv_rng</vt:lpstr>
      <vt:lpstr>cv_toggle</vt:lpstr>
      <vt:lpstr>dad_name_label</vt:lpstr>
      <vt:lpstr>dad_name_range</vt:lpstr>
      <vt:lpstr>date_lbl</vt:lpstr>
      <vt:lpstr>'Field labels'!Date_of_Birth</vt:lpstr>
      <vt:lpstr>Date_of_Birth</vt:lpstr>
      <vt:lpstr>Date_of_Birth_label</vt:lpstr>
      <vt:lpstr>date_rng</vt:lpstr>
      <vt:lpstr>date_toggle</vt:lpstr>
      <vt:lpstr>DB_Ref_lbl</vt:lpstr>
      <vt:lpstr>DB_Ref_rng</vt:lpstr>
      <vt:lpstr>DB_Ref_Toggle</vt:lpstr>
      <vt:lpstr>Dec1_lbl</vt:lpstr>
      <vt:lpstr>Dec1_rng</vt:lpstr>
      <vt:lpstr>Dec1_toggle</vt:lpstr>
      <vt:lpstr>Dec2_lbl</vt:lpstr>
      <vt:lpstr>Dec2_rng</vt:lpstr>
      <vt:lpstr>Dec2_toggle</vt:lpstr>
      <vt:lpstr>Dec3_lbl</vt:lpstr>
      <vt:lpstr>Dec3_rng</vt:lpstr>
      <vt:lpstr>Dec3_toggle</vt:lpstr>
      <vt:lpstr>Dec4_lbl</vt:lpstr>
      <vt:lpstr>Dec4_rng</vt:lpstr>
      <vt:lpstr>Dec4_toggle</vt:lpstr>
      <vt:lpstr>Dec5_lbl</vt:lpstr>
      <vt:lpstr>Dec5_rng</vt:lpstr>
      <vt:lpstr>Dec5_toggle</vt:lpstr>
      <vt:lpstr>Dec6_lbl</vt:lpstr>
      <vt:lpstr>Dec6_rng</vt:lpstr>
      <vt:lpstr>Dec6_toggle</vt:lpstr>
      <vt:lpstr>Dec7_lbl</vt:lpstr>
      <vt:lpstr>Dec7_rng</vt:lpstr>
      <vt:lpstr>Dec7_toggle</vt:lpstr>
      <vt:lpstr>Dec8_lbl</vt:lpstr>
      <vt:lpstr>Dec8_rng</vt:lpstr>
      <vt:lpstr>Dec8_toggle</vt:lpstr>
      <vt:lpstr>Deceased_lbl</vt:lpstr>
      <vt:lpstr>Deceased_rng</vt:lpstr>
      <vt:lpstr>Deceased_toggle</vt:lpstr>
      <vt:lpstr>deg_chall_lbl</vt:lpstr>
      <vt:lpstr>dep_address</vt:lpstr>
      <vt:lpstr>dep_address2</vt:lpstr>
      <vt:lpstr>dep_address3</vt:lpstr>
      <vt:lpstr>dep_address4</vt:lpstr>
      <vt:lpstr>dep_address5</vt:lpstr>
      <vt:lpstr>dep_address6</vt:lpstr>
      <vt:lpstr>dep_address7</vt:lpstr>
      <vt:lpstr>dep_address8</vt:lpstr>
      <vt:lpstr>dep_bc</vt:lpstr>
      <vt:lpstr>dep_bc_lbl</vt:lpstr>
      <vt:lpstr>dep_bc_rng</vt:lpstr>
      <vt:lpstr>dep_bc_toggle</vt:lpstr>
      <vt:lpstr>dep_bc2</vt:lpstr>
      <vt:lpstr>dep_bc3</vt:lpstr>
      <vt:lpstr>dep_bc4</vt:lpstr>
      <vt:lpstr>dep_bc5</vt:lpstr>
      <vt:lpstr>dep_bc6</vt:lpstr>
      <vt:lpstr>dep_bc7</vt:lpstr>
      <vt:lpstr>dep_bc8</vt:lpstr>
      <vt:lpstr>dep_BEL_rng</vt:lpstr>
      <vt:lpstr>dep_BEL_toggle</vt:lpstr>
      <vt:lpstr>dep_bjt_lbl</vt:lpstr>
      <vt:lpstr>dep_bjt_rng</vt:lpstr>
      <vt:lpstr>dep_bjt_toggle</vt:lpstr>
      <vt:lpstr>Dep_Cont_Addr_lbl</vt:lpstr>
      <vt:lpstr>Dep_Cont_Addr_rng</vt:lpstr>
      <vt:lpstr>Dep_Cont_Addr_toggle</vt:lpstr>
      <vt:lpstr>dep_dob</vt:lpstr>
      <vt:lpstr>dep_dob_lbl</vt:lpstr>
      <vt:lpstr>dep_dob_rng</vt:lpstr>
      <vt:lpstr>dep_dob_toggle</vt:lpstr>
      <vt:lpstr>dep_dp</vt:lpstr>
      <vt:lpstr>dep_dp_lbl</vt:lpstr>
      <vt:lpstr>dep_dp2</vt:lpstr>
      <vt:lpstr>dep_dp3</vt:lpstr>
      <vt:lpstr>dep_dp4</vt:lpstr>
      <vt:lpstr>dep_dp5</vt:lpstr>
      <vt:lpstr>dep_dp6</vt:lpstr>
      <vt:lpstr>dep_dp7</vt:lpstr>
      <vt:lpstr>dep_dp8</vt:lpstr>
      <vt:lpstr>dep_dperc_lbl</vt:lpstr>
      <vt:lpstr>dep_fn_lbl</vt:lpstr>
      <vt:lpstr>dep_g_toggle</vt:lpstr>
      <vt:lpstr>dep_gend_lbl</vt:lpstr>
      <vt:lpstr>dep_gend_rng</vt:lpstr>
      <vt:lpstr>dep_gender</vt:lpstr>
      <vt:lpstr>dep_gender2</vt:lpstr>
      <vt:lpstr>dep_gender3</vt:lpstr>
      <vt:lpstr>dep_gender4</vt:lpstr>
      <vt:lpstr>dep_gender5</vt:lpstr>
      <vt:lpstr>dep_gender6</vt:lpstr>
      <vt:lpstr>dep_gender7</vt:lpstr>
      <vt:lpstr>dep_gender8</vt:lpstr>
      <vt:lpstr>dep_ID_cn</vt:lpstr>
      <vt:lpstr>dep_ID_cn_lbl</vt:lpstr>
      <vt:lpstr>dep_ID_cn2</vt:lpstr>
      <vt:lpstr>dep_ID_cn3</vt:lpstr>
      <vt:lpstr>dep_ID_cn4</vt:lpstr>
      <vt:lpstr>dep_ID_cn5</vt:lpstr>
      <vt:lpstr>dep_ID_cn6</vt:lpstr>
      <vt:lpstr>dep_ID_cn7</vt:lpstr>
      <vt:lpstr>dep_ID_cn8</vt:lpstr>
      <vt:lpstr>dep_ID_numb_lbl</vt:lpstr>
      <vt:lpstr>dep_ID_rng</vt:lpstr>
      <vt:lpstr>dep_ID_toggle</vt:lpstr>
      <vt:lpstr>dep_ID_type</vt:lpstr>
      <vt:lpstr>dep_ID_type_lbl</vt:lpstr>
      <vt:lpstr>dep_ID_type2</vt:lpstr>
      <vt:lpstr>dep_ID_type3</vt:lpstr>
      <vt:lpstr>dep_ID_type4</vt:lpstr>
      <vt:lpstr>dep_ID_type5</vt:lpstr>
      <vt:lpstr>dep_ID_type6</vt:lpstr>
      <vt:lpstr>dep_ID_type7</vt:lpstr>
      <vt:lpstr>dep_ID_type8</vt:lpstr>
      <vt:lpstr>dep_inc</vt:lpstr>
      <vt:lpstr>dep_inc2</vt:lpstr>
      <vt:lpstr>dep_inc3</vt:lpstr>
      <vt:lpstr>dep_inc4</vt:lpstr>
      <vt:lpstr>dep_inc5</vt:lpstr>
      <vt:lpstr>dep_inc6</vt:lpstr>
      <vt:lpstr>dep_inc7</vt:lpstr>
      <vt:lpstr>dep_inc8</vt:lpstr>
      <vt:lpstr>dep_jhi</vt:lpstr>
      <vt:lpstr>dep_jhi_lbl</vt:lpstr>
      <vt:lpstr>dep_jhi2</vt:lpstr>
      <vt:lpstr>dep_jhi3</vt:lpstr>
      <vt:lpstr>dep_jhi4</vt:lpstr>
      <vt:lpstr>dep_jhi5</vt:lpstr>
      <vt:lpstr>dep_jhi6</vt:lpstr>
      <vt:lpstr>dep_jhi7</vt:lpstr>
      <vt:lpstr>dep_jhi8</vt:lpstr>
      <vt:lpstr>dep_lbl</vt:lpstr>
      <vt:lpstr>dep_ln_lbl</vt:lpstr>
      <vt:lpstr>dep_ms</vt:lpstr>
      <vt:lpstr>dep_ms_lbl</vt:lpstr>
      <vt:lpstr>dep_ms_rng</vt:lpstr>
      <vt:lpstr>dep_ms_toggle</vt:lpstr>
      <vt:lpstr>dep_ms2</vt:lpstr>
      <vt:lpstr>dep_ms3</vt:lpstr>
      <vt:lpstr>dep_ms4</vt:lpstr>
      <vt:lpstr>dep_ms5</vt:lpstr>
      <vt:lpstr>dep_ms6</vt:lpstr>
      <vt:lpstr>dep_ms7</vt:lpstr>
      <vt:lpstr>dep_ms8</vt:lpstr>
      <vt:lpstr>dep_nat_lbl</vt:lpstr>
      <vt:lpstr>dep_nat_rng</vt:lpstr>
      <vt:lpstr>dep_nat_toggle</vt:lpstr>
      <vt:lpstr>dep_natio</vt:lpstr>
      <vt:lpstr>dep_natio2</vt:lpstr>
      <vt:lpstr>dep_natio3</vt:lpstr>
      <vt:lpstr>dep_natio4</vt:lpstr>
      <vt:lpstr>dep_natio5</vt:lpstr>
      <vt:lpstr>dep_natio6</vt:lpstr>
      <vt:lpstr>dep_natio7</vt:lpstr>
      <vt:lpstr>dep_natio8</vt:lpstr>
      <vt:lpstr>dep_numb_lbl</vt:lpstr>
      <vt:lpstr>dep_numb_rng</vt:lpstr>
      <vt:lpstr>dep_occ</vt:lpstr>
      <vt:lpstr>dep_occ_lbl</vt:lpstr>
      <vt:lpstr>dep_occ2</vt:lpstr>
      <vt:lpstr>dep_occ3</vt:lpstr>
      <vt:lpstr>dep_occ4</vt:lpstr>
      <vt:lpstr>dep_occ5</vt:lpstr>
      <vt:lpstr>dep_occ6</vt:lpstr>
      <vt:lpstr>dep_occ7</vt:lpstr>
      <vt:lpstr>dep_occ8</vt:lpstr>
      <vt:lpstr>dep_pi_lbl</vt:lpstr>
      <vt:lpstr>dep_POL_rng</vt:lpstr>
      <vt:lpstr>dep_POL_toggle</vt:lpstr>
      <vt:lpstr>dep_rel_type</vt:lpstr>
      <vt:lpstr>dep_rel_type2</vt:lpstr>
      <vt:lpstr>dep_rel_type3</vt:lpstr>
      <vt:lpstr>dep_rel_type4</vt:lpstr>
      <vt:lpstr>dep_rel_type5</vt:lpstr>
      <vt:lpstr>dep_rel_type6</vt:lpstr>
      <vt:lpstr>dep_rel_type7</vt:lpstr>
      <vt:lpstr>dep_rel_type8</vt:lpstr>
      <vt:lpstr>dep_rng</vt:lpstr>
      <vt:lpstr>dep_toggle</vt:lpstr>
      <vt:lpstr>dep_type_lbl</vt:lpstr>
      <vt:lpstr>depIDtypelist</vt:lpstr>
      <vt:lpstr>depIDtypelist2</vt:lpstr>
      <vt:lpstr>depIDtypelist3</vt:lpstr>
      <vt:lpstr>depIDtypelist4</vt:lpstr>
      <vt:lpstr>depIDtypelist5</vt:lpstr>
      <vt:lpstr>depIDtypelist6</vt:lpstr>
      <vt:lpstr>depIDtypelist7</vt:lpstr>
      <vt:lpstr>depIDtypelist8</vt:lpstr>
      <vt:lpstr>detailed_address_rng</vt:lpstr>
      <vt:lpstr>detailed_address_toggle</vt:lpstr>
      <vt:lpstr>deu_fields_rng</vt:lpstr>
      <vt:lpstr>deu_fields_toggle</vt:lpstr>
      <vt:lpstr>direct_fill_emp_lbl</vt:lpstr>
      <vt:lpstr>direct_fill_emp_rng</vt:lpstr>
      <vt:lpstr>direct_fill_emp_toggle</vt:lpstr>
      <vt:lpstr>dis_stat_range</vt:lpstr>
      <vt:lpstr>dis_toggle</vt:lpstr>
      <vt:lpstr>dis_vet_cat</vt:lpstr>
      <vt:lpstr>dis_vet_cat_range</vt:lpstr>
      <vt:lpstr>disab_lbl</vt:lpstr>
      <vt:lpstr>disab_perc_lbl</vt:lpstr>
      <vt:lpstr>disab_perc_rng</vt:lpstr>
      <vt:lpstr>disab_rng</vt:lpstr>
      <vt:lpstr>disability</vt:lpstr>
      <vt:lpstr>Disability_Status_label</vt:lpstr>
      <vt:lpstr>Disabled_deduction_lbl</vt:lpstr>
      <vt:lpstr>Disabled_deduction_rng</vt:lpstr>
      <vt:lpstr>Disabled_deduction_toggle</vt:lpstr>
      <vt:lpstr>Disaster_Victim_lbl</vt:lpstr>
      <vt:lpstr>Disaster_Victim_rng</vt:lpstr>
      <vt:lpstr>Disaster_Victim_toggle</vt:lpstr>
      <vt:lpstr>Disclosed_Veteran_Category_label</vt:lpstr>
      <vt:lpstr>disp_toggle</vt:lpstr>
      <vt:lpstr>dist_lbl</vt:lpstr>
      <vt:lpstr>dist_rng</vt:lpstr>
      <vt:lpstr>dist_toggle</vt:lpstr>
      <vt:lpstr>dn_toggle</vt:lpstr>
      <vt:lpstr>doa_toggle</vt:lpstr>
      <vt:lpstr>DOB_Minguo_Lbl</vt:lpstr>
      <vt:lpstr>DOB_Minguo_Rng</vt:lpstr>
      <vt:lpstr>DOB_Minguo_Toggle</vt:lpstr>
      <vt:lpstr>DocTitle_lbl</vt:lpstr>
      <vt:lpstr>dom_action_privacy_club_lbl</vt:lpstr>
      <vt:lpstr>dom_amex_lbl</vt:lpstr>
      <vt:lpstr>dom_apartment_lbl</vt:lpstr>
      <vt:lpstr>dom_assigned_benefits_lbl</vt:lpstr>
      <vt:lpstr>dom_att_card_lb</vt:lpstr>
      <vt:lpstr>DOM_Aux_rng</vt:lpstr>
      <vt:lpstr>dom_cellphone_lbl</vt:lpstr>
      <vt:lpstr>dom_classification_change_lbl</vt:lpstr>
      <vt:lpstr>dom_com_car_lb</vt:lpstr>
      <vt:lpstr>dom_eff_date_lbl</vt:lpstr>
      <vt:lpstr>dom_employee_data_lbl</vt:lpstr>
      <vt:lpstr>dom_employee_no_lbl</vt:lpstr>
      <vt:lpstr>dom_eplanation_lbl</vt:lpstr>
      <vt:lpstr>dom_laptop_lbl</vt:lpstr>
      <vt:lpstr>dom_medical_exam_lbl</vt:lpstr>
      <vt:lpstr>dom_movement_type_lbl</vt:lpstr>
      <vt:lpstr>dom_outcome_lbl</vt:lpstr>
      <vt:lpstr>dom_replacement_lbl</vt:lpstr>
      <vt:lpstr>dom_salary_changes_lbl</vt:lpstr>
      <vt:lpstr>dom_station_pqc_card_lbl</vt:lpstr>
      <vt:lpstr>Dominican_Republic_Aux_Toggle</vt:lpstr>
      <vt:lpstr>dp_toggle</vt:lpstr>
      <vt:lpstr>ds_toggle</vt:lpstr>
      <vt:lpstr>dt_learned_lbl</vt:lpstr>
      <vt:lpstr>dt_learned_range</vt:lpstr>
      <vt:lpstr>dt_learned_toggle</vt:lpstr>
      <vt:lpstr>dt_task_lbl</vt:lpstr>
      <vt:lpstr>dt_task_rng</vt:lpstr>
      <vt:lpstr>dt_task_toggle</vt:lpstr>
      <vt:lpstr>Duties_lbl</vt:lpstr>
      <vt:lpstr>Duties_rng</vt:lpstr>
      <vt:lpstr>Duties_toggle</vt:lpstr>
      <vt:lpstr>dvc_toggle</vt:lpstr>
      <vt:lpstr>earn_source</vt:lpstr>
      <vt:lpstr>earn_source_label</vt:lpstr>
      <vt:lpstr>earn_source_rng</vt:lpstr>
      <vt:lpstr>ec_toggle</vt:lpstr>
      <vt:lpstr>eca_toggle</vt:lpstr>
      <vt:lpstr>ECU_Ac_Type_lbl</vt:lpstr>
      <vt:lpstr>ECU_Ac_Type_rng</vt:lpstr>
      <vt:lpstr>ECU_Ac_Type_Toggle</vt:lpstr>
      <vt:lpstr>edu_cert</vt:lpstr>
      <vt:lpstr>edu_cert_label</vt:lpstr>
      <vt:lpstr>edu_cert_rng</vt:lpstr>
      <vt:lpstr>edu_level</vt:lpstr>
      <vt:lpstr>edu_lvl_lbl</vt:lpstr>
      <vt:lpstr>edu_lvl_rng</vt:lpstr>
      <vt:lpstr>edu_lvl_toggle</vt:lpstr>
      <vt:lpstr>ee_contr_no_lbl</vt:lpstr>
      <vt:lpstr>ee_contr_no_rng</vt:lpstr>
      <vt:lpstr>ee_contr_no_toggle</vt:lpstr>
      <vt:lpstr>ee_tax_id_lbl</vt:lpstr>
      <vt:lpstr>ee_tax_id_rng</vt:lpstr>
      <vt:lpstr>ee_tax_id_toggle</vt:lpstr>
      <vt:lpstr>ee_toggle</vt:lpstr>
      <vt:lpstr>eg_toggle</vt:lpstr>
      <vt:lpstr>EI_Ent_lbl</vt:lpstr>
      <vt:lpstr>EI_Ent_rng</vt:lpstr>
      <vt:lpstr>EI_Ent_toggle</vt:lpstr>
      <vt:lpstr>emer_alt_phone_label</vt:lpstr>
      <vt:lpstr>Emer_Cont_Addr_lbl</vt:lpstr>
      <vt:lpstr>Emer_Cont_Addr_rng</vt:lpstr>
      <vt:lpstr>Emer_Cont_Addr_toggle</vt:lpstr>
      <vt:lpstr>emer_cont_label</vt:lpstr>
      <vt:lpstr>Emer_Cont_Relationship</vt:lpstr>
      <vt:lpstr>emer_cont_rng</vt:lpstr>
      <vt:lpstr>emer_email_label</vt:lpstr>
      <vt:lpstr>emer_is_primary_label</vt:lpstr>
      <vt:lpstr>emer_name_label</vt:lpstr>
      <vt:lpstr>emer_phone_label</vt:lpstr>
      <vt:lpstr>emer_relat_label</vt:lpstr>
      <vt:lpstr>Emp_Dec_Sign_dt_rng</vt:lpstr>
      <vt:lpstr>Emp_Dec_Sign_dt_toggle</vt:lpstr>
      <vt:lpstr>Emp_Dec_Sign_dt_toggle_lbl</vt:lpstr>
      <vt:lpstr>emp_stm_lbl</vt:lpstr>
      <vt:lpstr>emp_stm_rng</vt:lpstr>
      <vt:lpstr>emp_stm_toggle</vt:lpstr>
      <vt:lpstr>empl_ess_lbl</vt:lpstr>
      <vt:lpstr>empl_ess_rng</vt:lpstr>
      <vt:lpstr>empl_ess_toggle</vt:lpstr>
      <vt:lpstr>'Field labels'!Employee_Class</vt:lpstr>
      <vt:lpstr>Employee_Class</vt:lpstr>
      <vt:lpstr>Employee_Class_label</vt:lpstr>
      <vt:lpstr>Employee_Sub_Type</vt:lpstr>
      <vt:lpstr>Employee_Sub_Type_Label</vt:lpstr>
      <vt:lpstr>'Field labels'!Employee_Type</vt:lpstr>
      <vt:lpstr>Employee_Type</vt:lpstr>
      <vt:lpstr>Employee_Type_label</vt:lpstr>
      <vt:lpstr>Employer_Dec_Sign_dt_rng</vt:lpstr>
      <vt:lpstr>Employer_Dec_Sign_dt_toggle</vt:lpstr>
      <vt:lpstr>Employer_Dec_Sign_dt_toggle_lbl</vt:lpstr>
      <vt:lpstr>Employment_details</vt:lpstr>
      <vt:lpstr>Employment_details_label</vt:lpstr>
      <vt:lpstr>emplr_ee_contr_lbl</vt:lpstr>
      <vt:lpstr>emplr_ee_contr_rng</vt:lpstr>
      <vt:lpstr>emplr_ee_contr_toggle</vt:lpstr>
      <vt:lpstr>emplr_ee_contrb_1_lbl</vt:lpstr>
      <vt:lpstr>emplr_ee_contrb_1_rng</vt:lpstr>
      <vt:lpstr>emplr_ee_contrb_1_toggle</vt:lpstr>
      <vt:lpstr>emplr_ee_contrb_2_lbl</vt:lpstr>
      <vt:lpstr>emplr_ee_contrb_2_rng</vt:lpstr>
      <vt:lpstr>emplr_ee_contrb_2_toggle</vt:lpstr>
      <vt:lpstr>emplt_categ_lbl</vt:lpstr>
      <vt:lpstr>emplt_categ_rng</vt:lpstr>
      <vt:lpstr>emplt_categ_toggle</vt:lpstr>
      <vt:lpstr>emplt_type_lbl</vt:lpstr>
      <vt:lpstr>emplt_type_rng</vt:lpstr>
      <vt:lpstr>emplt_type_toggle</vt:lpstr>
      <vt:lpstr>End_Date_lbl</vt:lpstr>
      <vt:lpstr>End_Date_Toggle</vt:lpstr>
      <vt:lpstr>End_Date1_lbl</vt:lpstr>
      <vt:lpstr>End_Date1_rng</vt:lpstr>
      <vt:lpstr>End_Date1_toggle</vt:lpstr>
      <vt:lpstr>end_dt_lbl</vt:lpstr>
      <vt:lpstr>end_dt_rng</vt:lpstr>
      <vt:lpstr>end_dt_toggle</vt:lpstr>
      <vt:lpstr>ER_IR_label</vt:lpstr>
      <vt:lpstr>ER_IR_rng</vt:lpstr>
      <vt:lpstr>ER_IR_toggle</vt:lpstr>
      <vt:lpstr>esi_num_lbl</vt:lpstr>
      <vt:lpstr>esi_num_rng</vt:lpstr>
      <vt:lpstr>esi_num_toggle</vt:lpstr>
      <vt:lpstr>est_range</vt:lpstr>
      <vt:lpstr>est_toggle</vt:lpstr>
      <vt:lpstr>eth_gr_range</vt:lpstr>
      <vt:lpstr>ethnic_group</vt:lpstr>
      <vt:lpstr>Ethnic_Group_label</vt:lpstr>
      <vt:lpstr>ethnic_origin</vt:lpstr>
      <vt:lpstr>Ethnicity_lbl</vt:lpstr>
      <vt:lpstr>Ethnicity_rng</vt:lpstr>
      <vt:lpstr>Ethnicity_toggle</vt:lpstr>
      <vt:lpstr>'Field labels'!Event_reason</vt:lpstr>
      <vt:lpstr>Event_Reason</vt:lpstr>
      <vt:lpstr>Event_Reason_label</vt:lpstr>
      <vt:lpstr>exist_ee_rng</vt:lpstr>
      <vt:lpstr>exist_lbl</vt:lpstr>
      <vt:lpstr>exp_dt_lbl</vt:lpstr>
      <vt:lpstr>exp_dt_rng</vt:lpstr>
      <vt:lpstr>exp_dt_toggle</vt:lpstr>
      <vt:lpstr>External_Insititution_lbl</vt:lpstr>
      <vt:lpstr>External_Insititution_rng</vt:lpstr>
      <vt:lpstr>External_Insititution_toggle</vt:lpstr>
      <vt:lpstr>Extra_line_label</vt:lpstr>
      <vt:lpstr>extra_line_range</vt:lpstr>
      <vt:lpstr>extra_line_toggle</vt:lpstr>
      <vt:lpstr>f_toggle</vt:lpstr>
      <vt:lpstr>f2f_oh_lbl</vt:lpstr>
      <vt:lpstr>f2f_toggle</vt:lpstr>
      <vt:lpstr>facility_lbl</vt:lpstr>
      <vt:lpstr>facility_rng</vt:lpstr>
      <vt:lpstr>First_Employ_lbl</vt:lpstr>
      <vt:lpstr>First_Employ_rng</vt:lpstr>
      <vt:lpstr>First_Employ_Toggle</vt:lpstr>
      <vt:lpstr>'Field labels'!First_Name</vt:lpstr>
      <vt:lpstr>First_Name</vt:lpstr>
      <vt:lpstr>First_Name_label</vt:lpstr>
      <vt:lpstr>Floor_label</vt:lpstr>
      <vt:lpstr>floor_range</vt:lpstr>
      <vt:lpstr>floor_toggle</vt:lpstr>
      <vt:lpstr>fn_local</vt:lpstr>
      <vt:lpstr>fn_local_rng</vt:lpstr>
      <vt:lpstr>fn_toggle</vt:lpstr>
      <vt:lpstr>fnl_toggle</vt:lpstr>
      <vt:lpstr>'Field labels'!Frequency</vt:lpstr>
      <vt:lpstr>Frequency</vt:lpstr>
      <vt:lpstr>Frequency_label</vt:lpstr>
      <vt:lpstr>Frequency2</vt:lpstr>
      <vt:lpstr>Frequency3</vt:lpstr>
      <vt:lpstr>Frequency4</vt:lpstr>
      <vt:lpstr>Frequency5</vt:lpstr>
      <vt:lpstr>Frequency6</vt:lpstr>
      <vt:lpstr>fsoe_toggle</vt:lpstr>
      <vt:lpstr>ftc_lbl</vt:lpstr>
      <vt:lpstr>ftc_rng</vt:lpstr>
      <vt:lpstr>fxd_allow_lbl</vt:lpstr>
      <vt:lpstr>fxd_allow_rng</vt:lpstr>
      <vt:lpstr>fxd_allow_toggle</vt:lpstr>
      <vt:lpstr>fxd_bonus_lbl</vt:lpstr>
      <vt:lpstr>fxd_bonus_rng</vt:lpstr>
      <vt:lpstr>fxd_bonus_toggle</vt:lpstr>
      <vt:lpstr>g_toggle</vt:lpstr>
      <vt:lpstr>gbc_toggle</vt:lpstr>
      <vt:lpstr>'Field labels'!Gender</vt:lpstr>
      <vt:lpstr>Gender</vt:lpstr>
      <vt:lpstr>Gender_label</vt:lpstr>
      <vt:lpstr>gender_range</vt:lpstr>
      <vt:lpstr>gmt_position_for_igss</vt:lpstr>
      <vt:lpstr>gmt_position_for_igss_lbl</vt:lpstr>
      <vt:lpstr>gmt_position_for_igss_rng</vt:lpstr>
      <vt:lpstr>gmt_position_for_igss_toggle</vt:lpstr>
      <vt:lpstr>go_big_lbl</vt:lpstr>
      <vt:lpstr>go_big_rng</vt:lpstr>
      <vt:lpstr>gtm_add_department_1</vt:lpstr>
      <vt:lpstr>gtm_add_department_2</vt:lpstr>
      <vt:lpstr>gtm_add_department_3</vt:lpstr>
      <vt:lpstr>gtm_add_department_lbl</vt:lpstr>
      <vt:lpstr>gtm_add_department_rng</vt:lpstr>
      <vt:lpstr>gtm_add_department_toggle</vt:lpstr>
      <vt:lpstr>gtm_add_zona_lbl</vt:lpstr>
      <vt:lpstr>gtm_add_zona_rng</vt:lpstr>
      <vt:lpstr>gtm_add_zona_toggle</vt:lpstr>
      <vt:lpstr>gtm_application_desc_lbl</vt:lpstr>
      <vt:lpstr>gtm_applied_date_lbl</vt:lpstr>
      <vt:lpstr>gtm_applied_payroll_lbl</vt:lpstr>
      <vt:lpstr>GTM_Aux_rng</vt:lpstr>
      <vt:lpstr>gtm_avg_third_fourteen_lbl</vt:lpstr>
      <vt:lpstr>gtm_challenged_lbl</vt:lpstr>
      <vt:lpstr>gtm_challenged_rng</vt:lpstr>
      <vt:lpstr>gtm_challenged_toggle</vt:lpstr>
      <vt:lpstr>gtm_comments_lbl</vt:lpstr>
      <vt:lpstr>gtm_date_received_lbl</vt:lpstr>
      <vt:lpstr>gtm_dpi_lbl</vt:lpstr>
      <vt:lpstr>gtm_employee_data_lbl</vt:lpstr>
      <vt:lpstr>gtm_hr_rep_lbl</vt:lpstr>
      <vt:lpstr>gtm_level_of_education</vt:lpstr>
      <vt:lpstr>gtm_level_of_education_lbl</vt:lpstr>
      <vt:lpstr>gtm_level_of_education_rng</vt:lpstr>
      <vt:lpstr>gtm_level_of_education_toggle</vt:lpstr>
      <vt:lpstr>gtm_new_hire_replc_lbl</vt:lpstr>
      <vt:lpstr>gtm_occupation_lbl</vt:lpstr>
      <vt:lpstr>gtm_salary_increase_lbl</vt:lpstr>
      <vt:lpstr>gtm_signatures_lbl</vt:lpstr>
      <vt:lpstr>Guatemala_Aux_Toggle</vt:lpstr>
      <vt:lpstr>Handicap_code_lbl</vt:lpstr>
      <vt:lpstr>Handicap_code_rng</vt:lpstr>
      <vt:lpstr>Handicap_code_toggle</vt:lpstr>
      <vt:lpstr>Handicap_Emp_lbl</vt:lpstr>
      <vt:lpstr>Handicap_Emp_rng</vt:lpstr>
      <vt:lpstr>Handicap_Emp_toggle</vt:lpstr>
      <vt:lpstr>Handicap_lbl</vt:lpstr>
      <vt:lpstr>Handicap_rng</vt:lpstr>
      <vt:lpstr>Handicap_toggle</vt:lpstr>
      <vt:lpstr>Harmful_Agent_Exposure_Code_lbl</vt:lpstr>
      <vt:lpstr>Harmful_Agent_Exposure_Code_rng</vt:lpstr>
      <vt:lpstr>Harmful_Agent_Exposure_Code_toggle</vt:lpstr>
      <vt:lpstr>hb_toggle</vt:lpstr>
      <vt:lpstr>hdmf_num_num_lbl</vt:lpstr>
      <vt:lpstr>hdmf_num_num_rng</vt:lpstr>
      <vt:lpstr>hdmf_num_num_toggle</vt:lpstr>
      <vt:lpstr>healt_ins_lbl</vt:lpstr>
      <vt:lpstr>health_branch_label</vt:lpstr>
      <vt:lpstr>Health_Ins_Indicator_lbl</vt:lpstr>
      <vt:lpstr>Health_Ins_Indicator_rng</vt:lpstr>
      <vt:lpstr>Health_Ins_Indicator_toggle</vt:lpstr>
      <vt:lpstr>health_insu</vt:lpstr>
      <vt:lpstr>health_insu_addr_label</vt:lpstr>
      <vt:lpstr>health_insu_label</vt:lpstr>
      <vt:lpstr>health_insu_name_label</vt:lpstr>
      <vt:lpstr>health_insu2</vt:lpstr>
      <vt:lpstr>health_insu3</vt:lpstr>
      <vt:lpstr>health_insu4</vt:lpstr>
      <vt:lpstr>health_insu5</vt:lpstr>
      <vt:lpstr>health_insu6</vt:lpstr>
      <vt:lpstr>health_insu7</vt:lpstr>
      <vt:lpstr>health_insu8</vt:lpstr>
      <vt:lpstr>hfa_lbl</vt:lpstr>
      <vt:lpstr>hfa_rng</vt:lpstr>
      <vt:lpstr>hfa_toggle</vt:lpstr>
      <vt:lpstr>hi_toggle</vt:lpstr>
      <vt:lpstr>Hidden_range1</vt:lpstr>
      <vt:lpstr>Hidden_rows</vt:lpstr>
      <vt:lpstr>high_edu_lbl</vt:lpstr>
      <vt:lpstr>high_edu_rng</vt:lpstr>
      <vt:lpstr>high_edu_toggle</vt:lpstr>
      <vt:lpstr>'Field labels'!Hire_date</vt:lpstr>
      <vt:lpstr>Hire_Date</vt:lpstr>
      <vt:lpstr>Hire_Date_label</vt:lpstr>
      <vt:lpstr>hire_right_lbl</vt:lpstr>
      <vt:lpstr>hire_right_rng</vt:lpstr>
      <vt:lpstr>hlth_branch_rng</vt:lpstr>
      <vt:lpstr>hlth_ins_catg_lbl</vt:lpstr>
      <vt:lpstr>hlth_ins_catg_rng</vt:lpstr>
      <vt:lpstr>hlth_ins_catg_toggle</vt:lpstr>
      <vt:lpstr>hlth_ins_rng</vt:lpstr>
      <vt:lpstr>hlth_prov_add_rng</vt:lpstr>
      <vt:lpstr>hlth_prov_rng</vt:lpstr>
      <vt:lpstr>hlth_si_fund_lbl</vt:lpstr>
      <vt:lpstr>hlth_si_fund_rng</vt:lpstr>
      <vt:lpstr>hlth_si_fund_toggle</vt:lpstr>
      <vt:lpstr>hlth_si_schm_lbl</vt:lpstr>
      <vt:lpstr>hlth_si_schm_rng</vt:lpstr>
      <vt:lpstr>hlth_si_schm_toggle</vt:lpstr>
      <vt:lpstr>hnd_application_desc_lbl</vt:lpstr>
      <vt:lpstr>hnd_applied_date_lbl</vt:lpstr>
      <vt:lpstr>hnd_applied_payroll_lbl</vt:lpstr>
      <vt:lpstr>HND_Aux_rng</vt:lpstr>
      <vt:lpstr>hnd_comments_lbl</vt:lpstr>
      <vt:lpstr>hnd_created_hr_lbl</vt:lpstr>
      <vt:lpstr>hnd_creation_date_lbl</vt:lpstr>
      <vt:lpstr>hnd_new_hire_replc_lbl</vt:lpstr>
      <vt:lpstr>hnd_salary_increase_lbl</vt:lpstr>
      <vt:lpstr>hnd_signatures_lbl</vt:lpstr>
      <vt:lpstr>homeoff_lbl</vt:lpstr>
      <vt:lpstr>HON_Bank_Name_lbl</vt:lpstr>
      <vt:lpstr>HON_Bank_Name_rng</vt:lpstr>
      <vt:lpstr>HON_Bank_Name_Toggle</vt:lpstr>
      <vt:lpstr>Honduras_Aux_Toggle</vt:lpstr>
      <vt:lpstr>hospital_lbl</vt:lpstr>
      <vt:lpstr>hospital_rng</vt:lpstr>
      <vt:lpstr>hospital_toggle</vt:lpstr>
      <vt:lpstr>House_number_label</vt:lpstr>
      <vt:lpstr>house_number_range</vt:lpstr>
      <vt:lpstr>house_number_toggle</vt:lpstr>
      <vt:lpstr>HR_appr_lbl</vt:lpstr>
      <vt:lpstr>hr_appr_rng</vt:lpstr>
      <vt:lpstr>hr_ind_date_rng</vt:lpstr>
      <vt:lpstr>hr_ind_deadline_rng</vt:lpstr>
      <vt:lpstr>hr_ind_time_rng</vt:lpstr>
      <vt:lpstr>HR_induct_date_lbl</vt:lpstr>
      <vt:lpstr>hr_induct_held_lbl</vt:lpstr>
      <vt:lpstr>HR_induct_time_lbl</vt:lpstr>
      <vt:lpstr>hra_toggle</vt:lpstr>
      <vt:lpstr>hrc_toggle</vt:lpstr>
      <vt:lpstr>hrid_toggle</vt:lpstr>
      <vt:lpstr>hrit_toggle</vt:lpstr>
      <vt:lpstr>hritbhb_toggle</vt:lpstr>
      <vt:lpstr>iavm_toggle</vt:lpstr>
      <vt:lpstr>IBAN</vt:lpstr>
      <vt:lpstr>iban_range</vt:lpstr>
      <vt:lpstr>iban_toggle</vt:lpstr>
      <vt:lpstr>ID_Card_Name_Lbl</vt:lpstr>
      <vt:lpstr>id_card_name_rng</vt:lpstr>
      <vt:lpstr>id_card_name_toggle</vt:lpstr>
      <vt:lpstr>Identity</vt:lpstr>
      <vt:lpstr>Identity_label</vt:lpstr>
      <vt:lpstr>ifcl_toggle</vt:lpstr>
      <vt:lpstr>immig_supp_lbl</vt:lpstr>
      <vt:lpstr>immig_supp_rng</vt:lpstr>
      <vt:lpstr>immigr_lbl</vt:lpstr>
      <vt:lpstr>Income_Tax_Percentage_lbl</vt:lpstr>
      <vt:lpstr>Income_Tax_Percentage_rng</vt:lpstr>
      <vt:lpstr>Income_Tax_Percentage_toggle</vt:lpstr>
      <vt:lpstr>Indicator_dependent_family_mem_lbl</vt:lpstr>
      <vt:lpstr>Indicator_dependent_family_mem_rng</vt:lpstr>
      <vt:lpstr>Indicator_dependent_family_mem_toggle</vt:lpstr>
      <vt:lpstr>Ins_No_lbl</vt:lpstr>
      <vt:lpstr>Ins_No_rng</vt:lpstr>
      <vt:lpstr>Ins_No_toggle</vt:lpstr>
      <vt:lpstr>institut_name_lbl</vt:lpstr>
      <vt:lpstr>institut_name_rng</vt:lpstr>
      <vt:lpstr>institut_name_toggle</vt:lpstr>
      <vt:lpstr>Is_a_Visible_Minority_label</vt:lpstr>
      <vt:lpstr>isr_toggle</vt:lpstr>
      <vt:lpstr>issue_auth_lbl</vt:lpstr>
      <vt:lpstr>issue_auth_rng</vt:lpstr>
      <vt:lpstr>issue_auth_toggle</vt:lpstr>
      <vt:lpstr>issue_dt_lbl</vt:lpstr>
      <vt:lpstr>issue_dt_rng</vt:lpstr>
      <vt:lpstr>issue_dt_toggle</vt:lpstr>
      <vt:lpstr>IssueAuth_lbl</vt:lpstr>
      <vt:lpstr>IssuePlace_lbl</vt:lpstr>
      <vt:lpstr>it_num_lbl</vt:lpstr>
      <vt:lpstr>it_num_rng</vt:lpstr>
      <vt:lpstr>it_num_toggle</vt:lpstr>
      <vt:lpstr>it_office_lbl</vt:lpstr>
      <vt:lpstr>it_office_rng</vt:lpstr>
      <vt:lpstr>it_office_toggle</vt:lpstr>
      <vt:lpstr>ityoj_toggle</vt:lpstr>
      <vt:lpstr>jamsostek_id_num_lbl</vt:lpstr>
      <vt:lpstr>jamsostek_id_num_rng</vt:lpstr>
      <vt:lpstr>jamsostek_id_num_toggle</vt:lpstr>
      <vt:lpstr>jig_toggle</vt:lpstr>
      <vt:lpstr>jlic_toggle</vt:lpstr>
      <vt:lpstr>Job_Information</vt:lpstr>
      <vt:lpstr>Job_Information_label</vt:lpstr>
      <vt:lpstr>job_int_grade</vt:lpstr>
      <vt:lpstr>job_int_grade_lbl</vt:lpstr>
      <vt:lpstr>job_int_grd_rng</vt:lpstr>
      <vt:lpstr>job_title_lbl</vt:lpstr>
      <vt:lpstr>job_title_rng</vt:lpstr>
      <vt:lpstr>job_title_toggle</vt:lpstr>
      <vt:lpstr>jpn_depnt_firstname_kanji_lbl</vt:lpstr>
      <vt:lpstr>jpn_depnt_firstname_kanji_rng</vt:lpstr>
      <vt:lpstr>jpn_depnt_firstname_kanji_toggle</vt:lpstr>
      <vt:lpstr>jpn_depnt_firstname_katakana_lbl</vt:lpstr>
      <vt:lpstr>jpn_depnt_firstname_katakana_rng</vt:lpstr>
      <vt:lpstr>jpn_depnt_firstname_katakana_toggle</vt:lpstr>
      <vt:lpstr>jpn_depnt_lastname_kanji_lbl</vt:lpstr>
      <vt:lpstr>jpn_depnt_lastname_kanji_rng</vt:lpstr>
      <vt:lpstr>jpn_depnt_lastname_kanji_toggle</vt:lpstr>
      <vt:lpstr>jpn_depnt_lastname_katakana_lbl</vt:lpstr>
      <vt:lpstr>jpn_depnt_lastname_katakana_rng</vt:lpstr>
      <vt:lpstr>jpn_depnt_lastname_katakana_toggle</vt:lpstr>
      <vt:lpstr>jpn_kanji_addl1_lbl</vt:lpstr>
      <vt:lpstr>jpn_kanji_addl1_rng</vt:lpstr>
      <vt:lpstr>jpn_kanji_addl1_toggle</vt:lpstr>
      <vt:lpstr>jpn_kanji_addl2_lbl</vt:lpstr>
      <vt:lpstr>jpn_kanji_addl2_rng</vt:lpstr>
      <vt:lpstr>jpn_kanji_addl2_toggle</vt:lpstr>
      <vt:lpstr>jpn_kanji_addl3_lbl</vt:lpstr>
      <vt:lpstr>jpn_kanji_addl3_rng</vt:lpstr>
      <vt:lpstr>jpn_kanji_addl3_toggle</vt:lpstr>
      <vt:lpstr>jpn_katakana_addl1_lbl</vt:lpstr>
      <vt:lpstr>jpn_katakana_addl1_rng</vt:lpstr>
      <vt:lpstr>jpn_katakana_addl1_toggle</vt:lpstr>
      <vt:lpstr>jpn_katakana_addl2_lbl</vt:lpstr>
      <vt:lpstr>jpn_katakana_addl2_rng</vt:lpstr>
      <vt:lpstr>jpn_katakana_addl2_toggle</vt:lpstr>
      <vt:lpstr>jpn_katakana_addl3_lbl</vt:lpstr>
      <vt:lpstr>jpn_katakana_addl3_rng</vt:lpstr>
      <vt:lpstr>jpn_katakana_addl3_toggle</vt:lpstr>
      <vt:lpstr>jpn_koseki_eng_lbl</vt:lpstr>
      <vt:lpstr>jpn_koseki_eng_rng</vt:lpstr>
      <vt:lpstr>jpn_koseki_eng_toggle</vt:lpstr>
      <vt:lpstr>jpn_koseki_kanji_lbl</vt:lpstr>
      <vt:lpstr>jpn_koseki_kanji_rng</vt:lpstr>
      <vt:lpstr>jpn_koseki_kanji_toggle</vt:lpstr>
      <vt:lpstr>jpn_koseki_katakana_lbl</vt:lpstr>
      <vt:lpstr>jpn_koseki_katakana_rng</vt:lpstr>
      <vt:lpstr>jpn_koseki_katakana_toggle</vt:lpstr>
      <vt:lpstr>k_toggle</vt:lpstr>
      <vt:lpstr>kd_toggle</vt:lpstr>
      <vt:lpstr>konfession_label</vt:lpstr>
      <vt:lpstr>konfession_rng</vt:lpstr>
      <vt:lpstr>kor_add_disctrict_toggle</vt:lpstr>
      <vt:lpstr>kor_add_district</vt:lpstr>
      <vt:lpstr>kor_add_district_lbl</vt:lpstr>
      <vt:lpstr>kor_add_district_rng</vt:lpstr>
      <vt:lpstr>kor_add_district1</vt:lpstr>
      <vt:lpstr>kor_add_district2</vt:lpstr>
      <vt:lpstr>kronos_lbl</vt:lpstr>
      <vt:lpstr>kronos_rng</vt:lpstr>
      <vt:lpstr>la_toggle</vt:lpstr>
      <vt:lpstr>lab_agree_label</vt:lpstr>
      <vt:lpstr>labor_agreement</vt:lpstr>
      <vt:lpstr>labor_agreement_range</vt:lpstr>
      <vt:lpstr>labor_cont_lbl</vt:lpstr>
      <vt:lpstr>labor_cont_rng</vt:lpstr>
      <vt:lpstr>Language</vt:lpstr>
      <vt:lpstr>'Field labels'!Last_Name</vt:lpstr>
      <vt:lpstr>Last_Name</vt:lpstr>
      <vt:lpstr>Last_Name_label</vt:lpstr>
      <vt:lpstr>lc_toggle</vt:lpstr>
      <vt:lpstr>legal_name_lbl</vt:lpstr>
      <vt:lpstr>legal_name_rng</vt:lpstr>
      <vt:lpstr>legal_name_toggle</vt:lpstr>
      <vt:lpstr>ln_local</vt:lpstr>
      <vt:lpstr>ln_local_rng</vt:lpstr>
      <vt:lpstr>lnl_toggle</vt:lpstr>
      <vt:lpstr>loc_trav_lbl</vt:lpstr>
      <vt:lpstr>loc_trav_rng</vt:lpstr>
      <vt:lpstr>Locality_label</vt:lpstr>
      <vt:lpstr>locality_range</vt:lpstr>
      <vt:lpstr>locality_toggle</vt:lpstr>
      <vt:lpstr>Long_Ser_Leave_dt_rng</vt:lpstr>
      <vt:lpstr>Long_Ser_Leave_dt_toggle</vt:lpstr>
      <vt:lpstr>Long_Ser_Leave_dt_toggle_lbl</vt:lpstr>
      <vt:lpstr>ltp_toggle</vt:lpstr>
      <vt:lpstr>lump_sum_lbl</vt:lpstr>
      <vt:lpstr>lump_sum_rng</vt:lpstr>
      <vt:lpstr>lunch_vouc_lbl</vt:lpstr>
      <vt:lpstr>lunch_vouc_rng</vt:lpstr>
      <vt:lpstr>lv_toggle</vt:lpstr>
      <vt:lpstr>Manager</vt:lpstr>
      <vt:lpstr>Manager_label</vt:lpstr>
      <vt:lpstr>MandatortHousing_Date_Lbl</vt:lpstr>
      <vt:lpstr>MandatoryHousing_Date_Lbl</vt:lpstr>
      <vt:lpstr>MandatoryHousing_Lbl</vt:lpstr>
      <vt:lpstr>mar_stat_date_rng</vt:lpstr>
      <vt:lpstr>mar_stat_rng</vt:lpstr>
      <vt:lpstr>marital_label</vt:lpstr>
      <vt:lpstr>marital_status</vt:lpstr>
      <vt:lpstr>mcp_toggle</vt:lpstr>
      <vt:lpstr>med_cert</vt:lpstr>
      <vt:lpstr>med_cert_label</vt:lpstr>
      <vt:lpstr>med_cert_rng</vt:lpstr>
      <vt:lpstr>MEX_Aux_rng</vt:lpstr>
      <vt:lpstr>MEX_Bank_Key_lbl</vt:lpstr>
      <vt:lpstr>MEX_Bank_Key_rng</vt:lpstr>
      <vt:lpstr>MEX_Bank_Key_Toggle</vt:lpstr>
      <vt:lpstr>mex_blood_group_lbl</vt:lpstr>
      <vt:lpstr>MEX_CLABE_lbl</vt:lpstr>
      <vt:lpstr>MEX_CLABE_rng</vt:lpstr>
      <vt:lpstr>MEX_CLABE_Toggle</vt:lpstr>
      <vt:lpstr>mex_comments_lbl</vt:lpstr>
      <vt:lpstr>mex_contract_data_lbl</vt:lpstr>
      <vt:lpstr>mex_contribution_lbl</vt:lpstr>
      <vt:lpstr>mex_created_by_lbl</vt:lpstr>
      <vt:lpstr>mex_curp_lbl</vt:lpstr>
      <vt:lpstr>mex_emergency_contact_lbl</vt:lpstr>
      <vt:lpstr>mex_hr_name_sign_lbl</vt:lpstr>
      <vt:lpstr>mex_marriage_date_lbl</vt:lpstr>
      <vt:lpstr>mex_misc_data_lbl</vt:lpstr>
      <vt:lpstr>mex_payroll_card_lbl</vt:lpstr>
      <vt:lpstr>mex_personal_details_lbl</vt:lpstr>
      <vt:lpstr>mex_reg_imss_lbl</vt:lpstr>
      <vt:lpstr>mex_rfc_lbl</vt:lpstr>
      <vt:lpstr>mex_transfer_bonus_lbl</vt:lpstr>
      <vt:lpstr>mex_validated_by_lbl</vt:lpstr>
      <vt:lpstr>Mexico_Aux_Toggle</vt:lpstr>
      <vt:lpstr>MI_Card_No_lbl</vt:lpstr>
      <vt:lpstr>MI_Card_No_rng</vt:lpstr>
      <vt:lpstr>MI_Card_No_toggle</vt:lpstr>
      <vt:lpstr>mid_name_lbl</vt:lpstr>
      <vt:lpstr>mid_name_rng</vt:lpstr>
      <vt:lpstr>midn_toggle</vt:lpstr>
      <vt:lpstr>military_stat_lbl</vt:lpstr>
      <vt:lpstr>military_stat_rng</vt:lpstr>
      <vt:lpstr>military_stat_toggle</vt:lpstr>
      <vt:lpstr>mls_toggle</vt:lpstr>
      <vt:lpstr>mn_local</vt:lpstr>
      <vt:lpstr>mn_local_rng</vt:lpstr>
      <vt:lpstr>mn_toggle</vt:lpstr>
      <vt:lpstr>mnl_toggle</vt:lpstr>
      <vt:lpstr>ms_date_label</vt:lpstr>
      <vt:lpstr>ms_toggle</vt:lpstr>
      <vt:lpstr>msd_toggle</vt:lpstr>
      <vt:lpstr>mthly_base_sal_lbl</vt:lpstr>
      <vt:lpstr>mthly_base_sal_rng</vt:lpstr>
      <vt:lpstr>mthly_base_sal_toggle</vt:lpstr>
      <vt:lpstr>Mthly_Comp_Amt_lbl</vt:lpstr>
      <vt:lpstr>Mthly_Comp_Amt_rng</vt:lpstr>
      <vt:lpstr>Mthly_Comp_Amt_toggle</vt:lpstr>
      <vt:lpstr>Mthly_Comp_Amt1_lbl</vt:lpstr>
      <vt:lpstr>Mthly_Comp_Amt1_rng</vt:lpstr>
      <vt:lpstr>Mthly_Comp_Amt1_toggle</vt:lpstr>
      <vt:lpstr>Mthly_Comp_Amt2_lbl</vt:lpstr>
      <vt:lpstr>Mthly_Comp_Amt2_rng</vt:lpstr>
      <vt:lpstr>Mthly_Comp_Amt2_toggle</vt:lpstr>
      <vt:lpstr>mum_name_label</vt:lpstr>
      <vt:lpstr>mum_name_range</vt:lpstr>
      <vt:lpstr>n_toggle</vt:lpstr>
      <vt:lpstr>name_emplr_lbl</vt:lpstr>
      <vt:lpstr>name_emplr_rng</vt:lpstr>
      <vt:lpstr>name_emplr_toggle</vt:lpstr>
      <vt:lpstr>Name_Information</vt:lpstr>
      <vt:lpstr>Name_Information_label</vt:lpstr>
      <vt:lpstr>name_of_institution_lbl</vt:lpstr>
      <vt:lpstr>name_of_institution_rng</vt:lpstr>
      <vt:lpstr>name_of_institution_toggle</vt:lpstr>
      <vt:lpstr>name_supvr_lbl</vt:lpstr>
      <vt:lpstr>name_supvr_rng</vt:lpstr>
      <vt:lpstr>name_supvr_toggle</vt:lpstr>
      <vt:lpstr>nat_range</vt:lpstr>
      <vt:lpstr>nat2_range</vt:lpstr>
      <vt:lpstr>NatIDTypeList</vt:lpstr>
      <vt:lpstr>NatIDTypeList2</vt:lpstr>
      <vt:lpstr>NatIDTypeList3</vt:lpstr>
      <vt:lpstr>National_ID_Information</vt:lpstr>
      <vt:lpstr>National_ID_Information_label</vt:lpstr>
      <vt:lpstr>'Field labels'!NationalID</vt:lpstr>
      <vt:lpstr>NationalID</vt:lpstr>
      <vt:lpstr>'Field labels'!NationalID_Country</vt:lpstr>
      <vt:lpstr>NationalID_Country</vt:lpstr>
      <vt:lpstr>NationalID_Country_label</vt:lpstr>
      <vt:lpstr>NationalID_Country2</vt:lpstr>
      <vt:lpstr>NationalID_Country3</vt:lpstr>
      <vt:lpstr>NationalID_date</vt:lpstr>
      <vt:lpstr>NationalID_issue</vt:lpstr>
      <vt:lpstr>NationalID_label</vt:lpstr>
      <vt:lpstr>'Field labels'!NationalID_Primary</vt:lpstr>
      <vt:lpstr>NationalID_Primary</vt:lpstr>
      <vt:lpstr>NationalID_Primary_label</vt:lpstr>
      <vt:lpstr>NationalID_Primary2</vt:lpstr>
      <vt:lpstr>'Field labels'!NationalID_Type</vt:lpstr>
      <vt:lpstr>NationalID_Type</vt:lpstr>
      <vt:lpstr>NationalID_Type_label</vt:lpstr>
      <vt:lpstr>NationalID_Type2</vt:lpstr>
      <vt:lpstr>NationalID_Type3</vt:lpstr>
      <vt:lpstr>'Field labels'!Nationality</vt:lpstr>
      <vt:lpstr>Nationality</vt:lpstr>
      <vt:lpstr>nationality_aux_lbl</vt:lpstr>
      <vt:lpstr>nationality_aux_rng</vt:lpstr>
      <vt:lpstr>nationality_aux_toggle</vt:lpstr>
      <vt:lpstr>Nationality_label</vt:lpstr>
      <vt:lpstr>Nationality2</vt:lpstr>
      <vt:lpstr>nationality2_label</vt:lpstr>
      <vt:lpstr>nature_persn_lbl</vt:lpstr>
      <vt:lpstr>nature_persn_rng</vt:lpstr>
      <vt:lpstr>nature_persn_toggle</vt:lpstr>
      <vt:lpstr>Neighborhood_Toggle</vt:lpstr>
      <vt:lpstr>Neighborood_lbl</vt:lpstr>
      <vt:lpstr>Neighborood_rng</vt:lpstr>
      <vt:lpstr>Neighborood_toggle</vt:lpstr>
      <vt:lpstr>nic_application_desc_lbl</vt:lpstr>
      <vt:lpstr>nic_applied_date_lbl</vt:lpstr>
      <vt:lpstr>nic_applied_payroll_lbl</vt:lpstr>
      <vt:lpstr>NIC_Aux_rng</vt:lpstr>
      <vt:lpstr>NIC_Bank_Name_lbl</vt:lpstr>
      <vt:lpstr>NIC_Bank_Name_rng</vt:lpstr>
      <vt:lpstr>NIC_Bank_Name_Toggle</vt:lpstr>
      <vt:lpstr>nic_comments_lbl</vt:lpstr>
      <vt:lpstr>nic_creation_date_lbl</vt:lpstr>
      <vt:lpstr>nic_date_received_lbl</vt:lpstr>
      <vt:lpstr>nic_hr_rep_lbl</vt:lpstr>
      <vt:lpstr>nic_new_hire_repl_lbl</vt:lpstr>
      <vt:lpstr>nic_signatures_lbl</vt:lpstr>
      <vt:lpstr>Nicaragua_Aux_Toggle</vt:lpstr>
      <vt:lpstr>nidbgr_toggle</vt:lpstr>
      <vt:lpstr>noc_range</vt:lpstr>
      <vt:lpstr>noc_toggle</vt:lpstr>
      <vt:lpstr>nohi_toggle</vt:lpstr>
      <vt:lpstr>nonEC_cont_type</vt:lpstr>
      <vt:lpstr>nop_toggle</vt:lpstr>
      <vt:lpstr>notice_lbl</vt:lpstr>
      <vt:lpstr>np_empl_lbl</vt:lpstr>
      <vt:lpstr>np_empl_rng</vt:lpstr>
      <vt:lpstr>np_empl_toggle</vt:lpstr>
      <vt:lpstr>np_empr_lbl</vt:lpstr>
      <vt:lpstr>np_empr_rng</vt:lpstr>
      <vt:lpstr>np_empr_toggle</vt:lpstr>
      <vt:lpstr>num_children_lbl</vt:lpstr>
      <vt:lpstr>num_children_rng</vt:lpstr>
      <vt:lpstr>num_children_toggle</vt:lpstr>
      <vt:lpstr>num_depnt_lbl</vt:lpstr>
      <vt:lpstr>num_depnt_rng</vt:lpstr>
      <vt:lpstr>num_depnt_toggle</vt:lpstr>
      <vt:lpstr>Numero_Ben_INSS_lbl</vt:lpstr>
      <vt:lpstr>Numero_Ben_INSS_rng</vt:lpstr>
      <vt:lpstr>Numero_Ben_INSS_toggle</vt:lpstr>
      <vt:lpstr>oe_range</vt:lpstr>
      <vt:lpstr>oe_toggle</vt:lpstr>
      <vt:lpstr>OH_screen_rng</vt:lpstr>
      <vt:lpstr>Old_Person_deduction_lbl</vt:lpstr>
      <vt:lpstr>Old_Person_deduction_rng</vt:lpstr>
      <vt:lpstr>Old_Person_deduction_toggle</vt:lpstr>
      <vt:lpstr>only_job</vt:lpstr>
      <vt:lpstr>only_job_label</vt:lpstr>
      <vt:lpstr>only_job_rng</vt:lpstr>
      <vt:lpstr>or_toggle</vt:lpstr>
      <vt:lpstr>org_unit</vt:lpstr>
      <vt:lpstr>org_unit_label</vt:lpstr>
      <vt:lpstr>org_unit_range</vt:lpstr>
      <vt:lpstr>Original_Start_Date</vt:lpstr>
      <vt:lpstr>Original_Start_Date_label</vt:lpstr>
      <vt:lpstr>OS_Worker_lbl</vt:lpstr>
      <vt:lpstr>OS_Worker_rng</vt:lpstr>
      <vt:lpstr>OS_Worker_toggle</vt:lpstr>
      <vt:lpstr>other_req_lbl</vt:lpstr>
      <vt:lpstr>other_req_rng</vt:lpstr>
      <vt:lpstr>ou_toggle</vt:lpstr>
      <vt:lpstr>Overtime_Eligibility_label</vt:lpstr>
      <vt:lpstr>p45_label</vt:lpstr>
      <vt:lpstr>p45_rng</vt:lpstr>
      <vt:lpstr>p45_toggle</vt:lpstr>
      <vt:lpstr>p45r</vt:lpstr>
      <vt:lpstr>Participant_Status_lbl</vt:lpstr>
      <vt:lpstr>Participant_Status_rng</vt:lpstr>
      <vt:lpstr>Participant_Status_toggle</vt:lpstr>
      <vt:lpstr>partner_name_rng</vt:lpstr>
      <vt:lpstr>partner_prefix_label</vt:lpstr>
      <vt:lpstr>pay_c_toggle</vt:lpstr>
      <vt:lpstr>'Field labels'!Pay_Change_Reason</vt:lpstr>
      <vt:lpstr>Pay_Change_Reason</vt:lpstr>
      <vt:lpstr>Pay_Change_Reason_label</vt:lpstr>
      <vt:lpstr>'Field labels'!Pay_Component</vt:lpstr>
      <vt:lpstr>Pay_Component</vt:lpstr>
      <vt:lpstr>Pay_Component_label</vt:lpstr>
      <vt:lpstr>Pay_Component2</vt:lpstr>
      <vt:lpstr>Pay_Component3</vt:lpstr>
      <vt:lpstr>Pay_Component4</vt:lpstr>
      <vt:lpstr>Pay_Component5</vt:lpstr>
      <vt:lpstr>Pay_Component6</vt:lpstr>
      <vt:lpstr>pay_country_rng</vt:lpstr>
      <vt:lpstr>pay_cur_toggle</vt:lpstr>
      <vt:lpstr>'Field labels'!Pay_Group</vt:lpstr>
      <vt:lpstr>Pay_Group</vt:lpstr>
      <vt:lpstr>Pay_Group_label</vt:lpstr>
      <vt:lpstr>pay_info_rng</vt:lpstr>
      <vt:lpstr>pay_m_toggle</vt:lpstr>
      <vt:lpstr>pay_met_rng</vt:lpstr>
      <vt:lpstr>pay_pos_code_rng</vt:lpstr>
      <vt:lpstr>'Field labels'!Pay_Scale_Area</vt:lpstr>
      <vt:lpstr>Pay_Scale_Area</vt:lpstr>
      <vt:lpstr>Pay_Scale_Area_label</vt:lpstr>
      <vt:lpstr>'Field labels'!Pay_Scale_Group</vt:lpstr>
      <vt:lpstr>Pay_Scale_Group</vt:lpstr>
      <vt:lpstr>Pay_Scale_Group_label</vt:lpstr>
      <vt:lpstr>'Field labels'!Pay_Scale_Level</vt:lpstr>
      <vt:lpstr>Pay_Scale_Level</vt:lpstr>
      <vt:lpstr>Pay_Scale_Level_label</vt:lpstr>
      <vt:lpstr>'Field labels'!Pay_Scale_Type</vt:lpstr>
      <vt:lpstr>Pay_Scale_Type</vt:lpstr>
      <vt:lpstr>Pay_Scale_Type_label</vt:lpstr>
      <vt:lpstr>pay_slip</vt:lpstr>
      <vt:lpstr>pay_slip_lang_range</vt:lpstr>
      <vt:lpstr>pay_slip_language</vt:lpstr>
      <vt:lpstr>pay_t_toggle</vt:lpstr>
      <vt:lpstr>pay_toggle</vt:lpstr>
      <vt:lpstr>Pay_Type</vt:lpstr>
      <vt:lpstr>Pay_Type_label</vt:lpstr>
      <vt:lpstr>pay_type_rng</vt:lpstr>
      <vt:lpstr>Payment_Information</vt:lpstr>
      <vt:lpstr>Payment_Method</vt:lpstr>
      <vt:lpstr>Payment_Method_label</vt:lpstr>
      <vt:lpstr>payroll_job_code</vt:lpstr>
      <vt:lpstr>payroll_job_code_label</vt:lpstr>
      <vt:lpstr>payroll_job_hun_range</vt:lpstr>
      <vt:lpstr>payroll_position_code</vt:lpstr>
      <vt:lpstr>payroll_position_code_label</vt:lpstr>
      <vt:lpstr>pc_lbl</vt:lpstr>
      <vt:lpstr>pc_rng</vt:lpstr>
      <vt:lpstr>pcr_toggle</vt:lpstr>
      <vt:lpstr>pe_toggle</vt:lpstr>
      <vt:lpstr>pen_num_lbl</vt:lpstr>
      <vt:lpstr>pen_num_rng</vt:lpstr>
      <vt:lpstr>pen_num_toggle</vt:lpstr>
      <vt:lpstr>Pen_Type_Lbl</vt:lpstr>
      <vt:lpstr>Pen_Type_Range</vt:lpstr>
      <vt:lpstr>Pen_Type_Toggle</vt:lpstr>
      <vt:lpstr>pens_fund_rng</vt:lpstr>
      <vt:lpstr>pension_fund_label</vt:lpstr>
      <vt:lpstr>Pension_Plan_lbl</vt:lpstr>
      <vt:lpstr>Pension_Plan_rng</vt:lpstr>
      <vt:lpstr>Pension_Plan_toggle</vt:lpstr>
      <vt:lpstr>Per_Aux_rng</vt:lpstr>
      <vt:lpstr>per_cuil_lbl</vt:lpstr>
      <vt:lpstr>PER_ECU_Aux_Toggle</vt:lpstr>
      <vt:lpstr>per_education_lbl</vt:lpstr>
      <vt:lpstr>per_end_date_lbl</vt:lpstr>
      <vt:lpstr>per_misc_data_lbl</vt:lpstr>
      <vt:lpstr>per_other_studies_lbl</vt:lpstr>
      <vt:lpstr>per_personal_details_form_lbl</vt:lpstr>
      <vt:lpstr>per_sign_lbl</vt:lpstr>
      <vt:lpstr>perc_deduct_rng</vt:lpstr>
      <vt:lpstr>Percentage2</vt:lpstr>
      <vt:lpstr>Percentage3</vt:lpstr>
      <vt:lpstr>permit_range</vt:lpstr>
      <vt:lpstr>pers_dis_range</vt:lpstr>
      <vt:lpstr>pers_disab</vt:lpstr>
      <vt:lpstr>pers_email_label</vt:lpstr>
      <vt:lpstr>pers_email_rng</vt:lpstr>
      <vt:lpstr>Person_with_Disability_label</vt:lpstr>
      <vt:lpstr>Personal_Information</vt:lpstr>
      <vt:lpstr>Personal_Information_label</vt:lpstr>
      <vt:lpstr>pf_empl_contr_lbl</vt:lpstr>
      <vt:lpstr>pf_empl_contr_rng</vt:lpstr>
      <vt:lpstr>pf_empl_contr_toggle</vt:lpstr>
      <vt:lpstr>pf_mem_dt</vt:lpstr>
      <vt:lpstr>pf_mem_dt_toggle</vt:lpstr>
      <vt:lpstr>pf_mem_range</vt:lpstr>
      <vt:lpstr>pf_num_lbl</vt:lpstr>
      <vt:lpstr>pf_num_rng</vt:lpstr>
      <vt:lpstr>pf_num_toggle</vt:lpstr>
      <vt:lpstr>pf_toggle</vt:lpstr>
      <vt:lpstr>phi_hlth_num_lbl</vt:lpstr>
      <vt:lpstr>phi_hlth_num_rng</vt:lpstr>
      <vt:lpstr>phi_hlth_num_toggle</vt:lpstr>
      <vt:lpstr>phone_lbl</vt:lpstr>
      <vt:lpstr>phone_rng</vt:lpstr>
      <vt:lpstr>phone_type</vt:lpstr>
      <vt:lpstr>pjc_toggle</vt:lpstr>
      <vt:lpstr>pl_toggle</vt:lpstr>
      <vt:lpstr>place_of_issue_lbl</vt:lpstr>
      <vt:lpstr>place_of_issue_rng</vt:lpstr>
      <vt:lpstr>place_of_issue_toggle</vt:lpstr>
      <vt:lpstr>Plan_Comp_Type_lbl</vt:lpstr>
      <vt:lpstr>Plan_Comp_Type_rng</vt:lpstr>
      <vt:lpstr>Plan_Comp_Type_Toggle</vt:lpstr>
      <vt:lpstr>pln_toggle</vt:lpstr>
      <vt:lpstr>pob_toggle</vt:lpstr>
      <vt:lpstr>'Field labels'!Position</vt:lpstr>
      <vt:lpstr>Position</vt:lpstr>
      <vt:lpstr>Position_label</vt:lpstr>
      <vt:lpstr>Post_label</vt:lpstr>
      <vt:lpstr>post_range</vt:lpstr>
      <vt:lpstr>post_toggle</vt:lpstr>
      <vt:lpstr>Postal_code_label</vt:lpstr>
      <vt:lpstr>postal_code_range</vt:lpstr>
      <vt:lpstr>ppc_toggle</vt:lpstr>
      <vt:lpstr>ppd_toggle</vt:lpstr>
      <vt:lpstr>pped_toggle</vt:lpstr>
      <vt:lpstr>pr_toggle</vt:lpstr>
      <vt:lpstr>Pref_Language_label</vt:lpstr>
      <vt:lpstr>Pref_Last_Name_lbl</vt:lpstr>
      <vt:lpstr>Pref_Last_Name_rng</vt:lpstr>
      <vt:lpstr>Pref_Last_Name_toggle</vt:lpstr>
      <vt:lpstr>pref_lng_range</vt:lpstr>
      <vt:lpstr>pref_lng_rng</vt:lpstr>
      <vt:lpstr>Pref_Name_lbl</vt:lpstr>
      <vt:lpstr>Pref_Name_rng</vt:lpstr>
      <vt:lpstr>Pref_Name_toggle</vt:lpstr>
      <vt:lpstr>Prem_Acq_Month_lbl</vt:lpstr>
      <vt:lpstr>Prem_Acq_Month_rng</vt:lpstr>
      <vt:lpstr>Prem_Acq_Month_toggle</vt:lpstr>
      <vt:lpstr>prf_lng_toggle</vt:lpstr>
      <vt:lpstr>Auxiliary!Print_Area</vt:lpstr>
      <vt:lpstr>'New Hire Form'!Print_Area</vt:lpstr>
      <vt:lpstr>prob_durat_lbl</vt:lpstr>
      <vt:lpstr>prob_per_end_date_range</vt:lpstr>
      <vt:lpstr>prob_period_rng</vt:lpstr>
      <vt:lpstr>prob_prd_lbl</vt:lpstr>
      <vt:lpstr>prob_prd_toggle</vt:lpstr>
      <vt:lpstr>Prob_stat_toggle</vt:lpstr>
      <vt:lpstr>prob_status_range</vt:lpstr>
      <vt:lpstr>prob_trial_lbl</vt:lpstr>
      <vt:lpstr>prob_trial_rng</vt:lpstr>
      <vt:lpstr>probation_period_lbl</vt:lpstr>
      <vt:lpstr>probation_period_rng</vt:lpstr>
      <vt:lpstr>probation_period_toggle</vt:lpstr>
      <vt:lpstr>Probation_status_lbl</vt:lpstr>
      <vt:lpstr>Probationary_Period_End_Date</vt:lpstr>
      <vt:lpstr>Probationary_Period_End_Date_label</vt:lpstr>
      <vt:lpstr>probt_prd_rng</vt:lpstr>
      <vt:lpstr>proc_indic_lbl</vt:lpstr>
      <vt:lpstr>proc_indic_rng</vt:lpstr>
      <vt:lpstr>proc_indic_toggle</vt:lpstr>
      <vt:lpstr>prod_line_lbl</vt:lpstr>
      <vt:lpstr>prod_line_rng</vt:lpstr>
      <vt:lpstr>prov_of_birth_range</vt:lpstr>
      <vt:lpstr>psa_range</vt:lpstr>
      <vt:lpstr>psa_toggle</vt:lpstr>
      <vt:lpstr>psd_toggle</vt:lpstr>
      <vt:lpstr>psg_range</vt:lpstr>
      <vt:lpstr>psg_toggle</vt:lpstr>
      <vt:lpstr>psl_range</vt:lpstr>
      <vt:lpstr>psl_toggle</vt:lpstr>
      <vt:lpstr>psl2_toggle</vt:lpstr>
      <vt:lpstr>pst_range</vt:lpstr>
      <vt:lpstr>pst_toggle</vt:lpstr>
      <vt:lpstr>ptp_toggle</vt:lpstr>
      <vt:lpstr>pwd_toggle</vt:lpstr>
      <vt:lpstr>py_job_code_rng</vt:lpstr>
      <vt:lpstr>qual_attd1_lbl</vt:lpstr>
      <vt:lpstr>qual_attd1_rng</vt:lpstr>
      <vt:lpstr>qual_attd1_toggle</vt:lpstr>
      <vt:lpstr>qual_attd2_lbl</vt:lpstr>
      <vt:lpstr>qual_attd2_rng</vt:lpstr>
      <vt:lpstr>qual_attd2_toggle</vt:lpstr>
      <vt:lpstr>race_lbl</vt:lpstr>
      <vt:lpstr>race_range</vt:lpstr>
      <vt:lpstr>race_toggle</vt:lpstr>
      <vt:lpstr>rca_lbl</vt:lpstr>
      <vt:lpstr>rca_rng</vt:lpstr>
      <vt:lpstr>rca_toggle</vt:lpstr>
      <vt:lpstr>Region_label</vt:lpstr>
      <vt:lpstr>region_range</vt:lpstr>
      <vt:lpstr>region_toggle</vt:lpstr>
      <vt:lpstr>Religion</vt:lpstr>
      <vt:lpstr>Religion_Label</vt:lpstr>
      <vt:lpstr>religion_range</vt:lpstr>
      <vt:lpstr>religion_toggle</vt:lpstr>
      <vt:lpstr>Renewal_date_lbl</vt:lpstr>
      <vt:lpstr>report_to_lbl</vt:lpstr>
      <vt:lpstr>report_to_rng</vt:lpstr>
      <vt:lpstr>Ret_INSS_lbl</vt:lpstr>
      <vt:lpstr>Ret_INSS_rng</vt:lpstr>
      <vt:lpstr>Ret_INSS_Toggle</vt:lpstr>
      <vt:lpstr>Ret_Type_lbl</vt:lpstr>
      <vt:lpstr>Ret_Type_rng</vt:lpstr>
      <vt:lpstr>Ret_Type_Toggle</vt:lpstr>
      <vt:lpstr>rm_dt_lbl</vt:lpstr>
      <vt:lpstr>rm_dt_rng</vt:lpstr>
      <vt:lpstr>rm_dt_toggle</vt:lpstr>
      <vt:lpstr>rn_toggle</vt:lpstr>
      <vt:lpstr>route_no_range</vt:lpstr>
      <vt:lpstr>routing_no_label</vt:lpstr>
      <vt:lpstr>Routing_Num</vt:lpstr>
      <vt:lpstr>s_toggle</vt:lpstr>
      <vt:lpstr>s2_toggle</vt:lpstr>
      <vt:lpstr>sal_ded_lbl</vt:lpstr>
      <vt:lpstr>'Field labels'!Salutation</vt:lpstr>
      <vt:lpstr>Salutation</vt:lpstr>
      <vt:lpstr>Salutation_label</vt:lpstr>
      <vt:lpstr>Saving_Pln_Type_lbl</vt:lpstr>
      <vt:lpstr>Saving_Pln_Type_rng</vt:lpstr>
      <vt:lpstr>Saving_Pln_Type_toggle</vt:lpstr>
      <vt:lpstr>sc_toggle</vt:lpstr>
      <vt:lpstr>sdat_toggle</vt:lpstr>
      <vt:lpstr>Second_Cost_Centre</vt:lpstr>
      <vt:lpstr>section_lbl</vt:lpstr>
      <vt:lpstr>section_rng</vt:lpstr>
      <vt:lpstr>Seniority_Date</vt:lpstr>
      <vt:lpstr>Seniority_Range</vt:lpstr>
      <vt:lpstr>Service_Date</vt:lpstr>
      <vt:lpstr>Service_Date_label</vt:lpstr>
      <vt:lpstr>sft_toggle</vt:lpstr>
      <vt:lpstr>shift_lbl</vt:lpstr>
      <vt:lpstr>shift_rng</vt:lpstr>
      <vt:lpstr>SI_Ent_Reason_lbl</vt:lpstr>
      <vt:lpstr>SI_Ent_Reason_rng</vt:lpstr>
      <vt:lpstr>SI_Ent_Reason_toggle</vt:lpstr>
      <vt:lpstr>SI_Entitlement_Indicator_lbl</vt:lpstr>
      <vt:lpstr>SI_Entitlement_Indicator_rng</vt:lpstr>
      <vt:lpstr>SI_Entitlement_Indicator_toggle</vt:lpstr>
      <vt:lpstr>sign_on_bonus_lbl</vt:lpstr>
      <vt:lpstr>sign_on_bonus_rng</vt:lpstr>
      <vt:lpstr>sign_rng</vt:lpstr>
      <vt:lpstr>sign_toggle</vt:lpstr>
      <vt:lpstr>sing_lbl</vt:lpstr>
      <vt:lpstr>site_lbl</vt:lpstr>
      <vt:lpstr>site_rng</vt:lpstr>
      <vt:lpstr>sk_change_reason1_lbl</vt:lpstr>
      <vt:lpstr>sk_change_reason1_rng</vt:lpstr>
      <vt:lpstr>sk_change_reason1_toggle</vt:lpstr>
      <vt:lpstr>sk_change_reason2_lbl</vt:lpstr>
      <vt:lpstr>sk_change_reason2_rng</vt:lpstr>
      <vt:lpstr>sk_change_reason2_toggle</vt:lpstr>
      <vt:lpstr>sk_change_reason3_lbl</vt:lpstr>
      <vt:lpstr>sk_change_reason3_rng</vt:lpstr>
      <vt:lpstr>sk_change_reason3_toggle</vt:lpstr>
      <vt:lpstr>sk_emp_pen_dt_lbl</vt:lpstr>
      <vt:lpstr>sk_emp_pen_dt_rng</vt:lpstr>
      <vt:lpstr>sk_emp_pen_dt_toggle</vt:lpstr>
      <vt:lpstr>sk_emp_pen_EI_lbl</vt:lpstr>
      <vt:lpstr>sk_emp_pen_EI_rng</vt:lpstr>
      <vt:lpstr>sk_emp_pen_EI_toggle</vt:lpstr>
      <vt:lpstr>sk_emp_pen_lbl</vt:lpstr>
      <vt:lpstr>sk_emp_pen_OS_lbl</vt:lpstr>
      <vt:lpstr>sk_emp_pen_OS_rng</vt:lpstr>
      <vt:lpstr>sk_emp_pen_OS_toggle</vt:lpstr>
      <vt:lpstr>sk_emp_pen_rng</vt:lpstr>
      <vt:lpstr>sk_emp_pen_SI_lbl</vt:lpstr>
      <vt:lpstr>sk_emp_pen_SI_rng</vt:lpstr>
      <vt:lpstr>sk_emp_pen_SI_toggle</vt:lpstr>
      <vt:lpstr>sk_emp_pen_toggle</vt:lpstr>
      <vt:lpstr>sk_Emp_work_comp_Prem_dt_lbl</vt:lpstr>
      <vt:lpstr>sk_Emp_work_comp_Prem_dt_rng</vt:lpstr>
      <vt:lpstr>sk_Emp_work_comp_Prem_dt_toggle</vt:lpstr>
      <vt:lpstr>sk_Emp_work_comp_Prem_Type_lbl</vt:lpstr>
      <vt:lpstr>sk_Emp_work_comp_Prem_Type_rng</vt:lpstr>
      <vt:lpstr>sk_Emp_work_comp_Prem_Type_toggle</vt:lpstr>
      <vt:lpstr>sk_exempt1_lbl</vt:lpstr>
      <vt:lpstr>sk_exempt1_rng</vt:lpstr>
      <vt:lpstr>sk_exempt1_toggle</vt:lpstr>
      <vt:lpstr>sk_exempt2_lbl</vt:lpstr>
      <vt:lpstr>sk_exempt2_rng</vt:lpstr>
      <vt:lpstr>sk_exempt2_toggle</vt:lpstr>
      <vt:lpstr>sk_exempt3_lbl</vt:lpstr>
      <vt:lpstr>sk_exempt3_rng</vt:lpstr>
      <vt:lpstr>sk_exempt3_toggle</vt:lpstr>
      <vt:lpstr>sk_med_ins_dt_lbl</vt:lpstr>
      <vt:lpstr>sk_med_ins_dt_rng</vt:lpstr>
      <vt:lpstr>sk_med_ins_dt_toggle</vt:lpstr>
      <vt:lpstr>sk_med_ins_lbl</vt:lpstr>
      <vt:lpstr>sk_Med_Ins_Prem_dt_lbl</vt:lpstr>
      <vt:lpstr>sk_Med_Ins_Prem_dt_rng</vt:lpstr>
      <vt:lpstr>sk_Med_Ins_Prem_dt_toggle</vt:lpstr>
      <vt:lpstr>sk_Med_Ins_Prem_Type_lbl</vt:lpstr>
      <vt:lpstr>sk_Med_Ins_Prem_Type_rng</vt:lpstr>
      <vt:lpstr>sk_Med_Ins_Prem_Type_toggle</vt:lpstr>
      <vt:lpstr>sk_med_ins_rng</vt:lpstr>
      <vt:lpstr>sk_med_ins_toggle</vt:lpstr>
      <vt:lpstr>sk_nat_pen_dt_lbl</vt:lpstr>
      <vt:lpstr>sk_nat_pen_dt_rng</vt:lpstr>
      <vt:lpstr>sk_nat_pen_dt_toggle</vt:lpstr>
      <vt:lpstr>sk_nat_pen_EI_lbl</vt:lpstr>
      <vt:lpstr>sk_nat_pen_EI_rng</vt:lpstr>
      <vt:lpstr>sk_nat_pen_EI_toggle</vt:lpstr>
      <vt:lpstr>sk_nat_pen_lbl</vt:lpstr>
      <vt:lpstr>sk_nat_pen_OS_lbl</vt:lpstr>
      <vt:lpstr>sk_nat_pen_OS_rng</vt:lpstr>
      <vt:lpstr>sk_nat_pen_OS_toggle</vt:lpstr>
      <vt:lpstr>sk_nat_pen_prem_acq_lbl</vt:lpstr>
      <vt:lpstr>sk_nat_pen_prem_acq_rng</vt:lpstr>
      <vt:lpstr>sk_nat_pen_prem_acq_toggle</vt:lpstr>
      <vt:lpstr>sk_Nat_Pen_Prem_Type_dt_lbl</vt:lpstr>
      <vt:lpstr>sk_Nat_Pen_Prem_Type_dt_rng</vt:lpstr>
      <vt:lpstr>sk_Nat_Pen_Prem_Type_dt_toggle</vt:lpstr>
      <vt:lpstr>sk_Nat_Pen_Prem_Type_lbl</vt:lpstr>
      <vt:lpstr>sk_Nat_Pen_Prem_Type_rng</vt:lpstr>
      <vt:lpstr>sk_Nat_Pen_Prem_Type_toggle</vt:lpstr>
      <vt:lpstr>sk_nat_pen_rng</vt:lpstr>
      <vt:lpstr>sk_nat_pen_SI_lbl</vt:lpstr>
      <vt:lpstr>sk_nat_pen_SI_rng</vt:lpstr>
      <vt:lpstr>sk_nat_pen_SI_toggle</vt:lpstr>
      <vt:lpstr>sk_nat_pen_toggle</vt:lpstr>
      <vt:lpstr>sk_start_dt1_lbl</vt:lpstr>
      <vt:lpstr>sk_start_dt1_rng</vt:lpstr>
      <vt:lpstr>sk_start_dt1_toggle</vt:lpstr>
      <vt:lpstr>sk_start_dt2_lbl</vt:lpstr>
      <vt:lpstr>sk_start_dt2_rng</vt:lpstr>
      <vt:lpstr>sk_start_dt2_toggle</vt:lpstr>
      <vt:lpstr>sk_wk_comp_dt_lbl</vt:lpstr>
      <vt:lpstr>sk_wk_comp_dt_rng</vt:lpstr>
      <vt:lpstr>sk_wk_comp_dt_toggle</vt:lpstr>
      <vt:lpstr>sk_wk_comp_ins_lbl</vt:lpstr>
      <vt:lpstr>sk_wk_comp_ins_rng</vt:lpstr>
      <vt:lpstr>sk_wk_comp_ins_toggle</vt:lpstr>
      <vt:lpstr>sk_wk_comp_OS_lbl</vt:lpstr>
      <vt:lpstr>sk_wk_comp_OS_rng</vt:lpstr>
      <vt:lpstr>sk_wk_comp_OS_toggle</vt:lpstr>
      <vt:lpstr>sk_wk_comp_SI_lbl</vt:lpstr>
      <vt:lpstr>sk_wk_comp_SI_rng</vt:lpstr>
      <vt:lpstr>sk_wk_comp_SI_toggle</vt:lpstr>
      <vt:lpstr>sl_toggle</vt:lpstr>
      <vt:lpstr>sltr_toggle</vt:lpstr>
      <vt:lpstr>sn_toggle</vt:lpstr>
      <vt:lpstr>sob_toggle</vt:lpstr>
      <vt:lpstr>Social_Benefits_lbl</vt:lpstr>
      <vt:lpstr>Social_Ins_Deduction_lbl</vt:lpstr>
      <vt:lpstr>Social_Ins_Deduction_rng</vt:lpstr>
      <vt:lpstr>Social_Ins_Deduction_toggle</vt:lpstr>
      <vt:lpstr>SocialBenefits_Date_Lbl</vt:lpstr>
      <vt:lpstr>Sort_Code</vt:lpstr>
      <vt:lpstr>sort_code_range</vt:lpstr>
      <vt:lpstr>spouse_emp_stat_lbl</vt:lpstr>
      <vt:lpstr>spouse_emp_stat_rng</vt:lpstr>
      <vt:lpstr>spouse_emp_stat_toggle</vt:lpstr>
      <vt:lpstr>SSN_aux_rng</vt:lpstr>
      <vt:lpstr>ssn_aux_toggle</vt:lpstr>
      <vt:lpstr>ssn_label</vt:lpstr>
      <vt:lpstr>SSN_lbl</vt:lpstr>
      <vt:lpstr>ssn_range</vt:lpstr>
      <vt:lpstr>ssn_toggle</vt:lpstr>
      <vt:lpstr>st_fin_lbl</vt:lpstr>
      <vt:lpstr>Staircase_label</vt:lpstr>
      <vt:lpstr>staircase_range</vt:lpstr>
      <vt:lpstr>staircase_toggle</vt:lpstr>
      <vt:lpstr>Standard_Weekly_Hours</vt:lpstr>
      <vt:lpstr>Standard_Weekly_Hours_label</vt:lpstr>
      <vt:lpstr>start_date_time_rng</vt:lpstr>
      <vt:lpstr>start_dt_lbl</vt:lpstr>
      <vt:lpstr>start_dt_rng</vt:lpstr>
      <vt:lpstr>start_dt_toggle</vt:lpstr>
      <vt:lpstr>Start_Dt5_lbl</vt:lpstr>
      <vt:lpstr>Start_Dt5_rng</vt:lpstr>
      <vt:lpstr>Start_Dt5_toggle</vt:lpstr>
      <vt:lpstr>start_end_time_rng</vt:lpstr>
      <vt:lpstr>start_time_lbl</vt:lpstr>
      <vt:lpstr>stat_yrs_exp_lbl</vt:lpstr>
      <vt:lpstr>stat_yrs_exp_rng</vt:lpstr>
      <vt:lpstr>stat_yrs_exp_toggle</vt:lpstr>
      <vt:lpstr>StockOption_lbl</vt:lpstr>
      <vt:lpstr>Street_label</vt:lpstr>
      <vt:lpstr>street_range</vt:lpstr>
      <vt:lpstr>street_toggle</vt:lpstr>
      <vt:lpstr>Street_type_label</vt:lpstr>
      <vt:lpstr>street_type_range</vt:lpstr>
      <vt:lpstr>street_type_toggle</vt:lpstr>
      <vt:lpstr>strtype</vt:lpstr>
      <vt:lpstr>strtype2</vt:lpstr>
      <vt:lpstr>strtype3</vt:lpstr>
      <vt:lpstr>stud_loan</vt:lpstr>
      <vt:lpstr>stud_loan_label</vt:lpstr>
      <vt:lpstr>stud_loan_rng</vt:lpstr>
      <vt:lpstr>Stundent_Worker_Deduction_lbl</vt:lpstr>
      <vt:lpstr>Stundent_Worker_Deduction_rng</vt:lpstr>
      <vt:lpstr>Stundent_Worker_Deduction_toggle</vt:lpstr>
      <vt:lpstr>Subtype_lbl</vt:lpstr>
      <vt:lpstr>Subtype_rng</vt:lpstr>
      <vt:lpstr>Subtype_toggle</vt:lpstr>
      <vt:lpstr>tan_toggle</vt:lpstr>
      <vt:lpstr>Target_Position</vt:lpstr>
      <vt:lpstr>Target_Position_label</vt:lpstr>
      <vt:lpstr>tariff_lbl</vt:lpstr>
      <vt:lpstr>task_type_lbl</vt:lpstr>
      <vt:lpstr>task_type_rng</vt:lpstr>
      <vt:lpstr>task_type_toggle</vt:lpstr>
      <vt:lpstr>tatigkeit_lbl</vt:lpstr>
      <vt:lpstr>tax_class_label</vt:lpstr>
      <vt:lpstr>tax_dept_relief_lbl</vt:lpstr>
      <vt:lpstr>tax_dept_relief_rng</vt:lpstr>
      <vt:lpstr>tax_dept_relief_toggle</vt:lpstr>
      <vt:lpstr>tax_id_label</vt:lpstr>
      <vt:lpstr>tax_id_num_lbl</vt:lpstr>
      <vt:lpstr>tax_id_num_rng</vt:lpstr>
      <vt:lpstr>tax_id_num_toggle</vt:lpstr>
      <vt:lpstr>tax_off_1_rng</vt:lpstr>
      <vt:lpstr>tax_off_lbl</vt:lpstr>
      <vt:lpstr>tax_off_rng</vt:lpstr>
      <vt:lpstr>tax_off_toggle</vt:lpstr>
      <vt:lpstr>tax_office_label</vt:lpstr>
      <vt:lpstr>tax_status_lbl</vt:lpstr>
      <vt:lpstr>tax_status_rng</vt:lpstr>
      <vt:lpstr>tax_status_toggle</vt:lpstr>
      <vt:lpstr>Tax_type_ind_lbl</vt:lpstr>
      <vt:lpstr>Tax_type_ind_rng</vt:lpstr>
      <vt:lpstr>Tax_type_ind_toggle</vt:lpstr>
      <vt:lpstr>taxclass_rng</vt:lpstr>
      <vt:lpstr>taxid_rng</vt:lpstr>
      <vt:lpstr>tc_toggle</vt:lpstr>
      <vt:lpstr>Third_Cost_Centre</vt:lpstr>
      <vt:lpstr>ti_toggle</vt:lpstr>
      <vt:lpstr>Tipo_Logradouro_lbl</vt:lpstr>
      <vt:lpstr>Tipo_Logradouro_rng</vt:lpstr>
      <vt:lpstr>Tipo_Logradouro_toggle</vt:lpstr>
      <vt:lpstr>to_toggle</vt:lpstr>
      <vt:lpstr>transp_lbl</vt:lpstr>
      <vt:lpstr>transp_rng</vt:lpstr>
      <vt:lpstr>transp_toggle</vt:lpstr>
      <vt:lpstr>transportation</vt:lpstr>
      <vt:lpstr>trav_allow_lbl</vt:lpstr>
      <vt:lpstr>trav_allow_rng</vt:lpstr>
      <vt:lpstr>travel_lbl</vt:lpstr>
      <vt:lpstr>type_degree_lbl</vt:lpstr>
      <vt:lpstr>type_degree_rng</vt:lpstr>
      <vt:lpstr>type_degree_toggle</vt:lpstr>
      <vt:lpstr>type_institut_lbl</vt:lpstr>
      <vt:lpstr>type_institut_rng</vt:lpstr>
      <vt:lpstr>type_institut_toggle</vt:lpstr>
      <vt:lpstr>UBIGEO_lbl</vt:lpstr>
      <vt:lpstr>UBIGEO_rng</vt:lpstr>
      <vt:lpstr>UBIGEO_Toggle</vt:lpstr>
      <vt:lpstr>uc_range</vt:lpstr>
      <vt:lpstr>uc_toggle</vt:lpstr>
      <vt:lpstr>ucn_label</vt:lpstr>
      <vt:lpstr>ucn_range</vt:lpstr>
      <vt:lpstr>ucn_toggle</vt:lpstr>
      <vt:lpstr>uen_toggle</vt:lpstr>
      <vt:lpstr>un_toggle</vt:lpstr>
      <vt:lpstr>Unbanded_Pay_Grade_label</vt:lpstr>
      <vt:lpstr>unempl_si_fund_lbl</vt:lpstr>
      <vt:lpstr>unempl_si_fund_rng</vt:lpstr>
      <vt:lpstr>unempl_si_fund_toggle</vt:lpstr>
      <vt:lpstr>unempl_si_schm_lbl</vt:lpstr>
      <vt:lpstr>unempl_si_schm_rng</vt:lpstr>
      <vt:lpstr>unempl_si_schm_toggle</vt:lpstr>
      <vt:lpstr>Unemploy_INS_benefit_lbl</vt:lpstr>
      <vt:lpstr>Unemploy_INS_benefit_rng</vt:lpstr>
      <vt:lpstr>Unemploy_INS_benefit_toggle</vt:lpstr>
      <vt:lpstr>union_agree_rng</vt:lpstr>
      <vt:lpstr>union_code</vt:lpstr>
      <vt:lpstr>Union_Code_label</vt:lpstr>
      <vt:lpstr>union_name_lbl</vt:lpstr>
      <vt:lpstr>union_name_rng</vt:lpstr>
      <vt:lpstr>union_numb_lbl</vt:lpstr>
      <vt:lpstr>union_numb_rng</vt:lpstr>
      <vt:lpstr>upg_range</vt:lpstr>
      <vt:lpstr>upg_toggle</vt:lpstr>
      <vt:lpstr>uss_toggle</vt:lpstr>
      <vt:lpstr>vac_entitl_lbl</vt:lpstr>
      <vt:lpstr>vac_entitl_rng</vt:lpstr>
      <vt:lpstr>ve_toggle</vt:lpstr>
      <vt:lpstr>ven_aspired_salary_lbl</vt:lpstr>
      <vt:lpstr>ven_aux_personl_dtls_lbl</vt:lpstr>
      <vt:lpstr>ven_availablity_travel_lbl</vt:lpstr>
      <vt:lpstr>ven_blood_group_lbl</vt:lpstr>
      <vt:lpstr>ven_brand_lbl</vt:lpstr>
      <vt:lpstr>ven_city_to_work_lbl</vt:lpstr>
      <vt:lpstr>ven_comments_lbl</vt:lpstr>
      <vt:lpstr>ven_complete_offer_lbl</vt:lpstr>
      <vt:lpstr>ven_currently_working_lbl</vt:lpstr>
      <vt:lpstr>ven_date_lbl</vt:lpstr>
      <vt:lpstr>ven_declaration_lbl</vt:lpstr>
      <vt:lpstr>ven_drivers_license_lbl</vt:lpstr>
      <vt:lpstr>ven_dt_start_working_lbl</vt:lpstr>
      <vt:lpstr>ven_duration_lbl</vt:lpstr>
      <vt:lpstr>ven_empl_sign_lbl</vt:lpstr>
      <vt:lpstr>ven_end_dt_lbl</vt:lpstr>
      <vt:lpstr>ven_end_reason_lbl</vt:lpstr>
      <vt:lpstr>ven_first_pos_lbl</vt:lpstr>
      <vt:lpstr>ven_height_lbl</vt:lpstr>
      <vt:lpstr>ven_job_records_prev_lbl</vt:lpstr>
      <vt:lpstr>ven_last_pos_lbl</vt:lpstr>
      <vt:lpstr>ven_last_wage_lbl</vt:lpstr>
      <vt:lpstr>ven_left_handed_lbl</vt:lpstr>
      <vt:lpstr>ven_model_lbl</vt:lpstr>
      <vt:lpstr>ven_msc_emp_questions_lbl</vt:lpstr>
      <vt:lpstr>ven_other_knowldg_lbl</vt:lpstr>
      <vt:lpstr>ven_own_vehicle_lbl</vt:lpstr>
      <vt:lpstr>ven_pant_size_lbl</vt:lpstr>
      <vt:lpstr>ven_parish_lbl</vt:lpstr>
      <vt:lpstr>ven_place_dt_lbl</vt:lpstr>
      <vt:lpstr>ven_place_lbl</vt:lpstr>
      <vt:lpstr>ven_rd_effective_dt_lbl</vt:lpstr>
      <vt:lpstr>ven_read_lbl</vt:lpstr>
      <vt:lpstr>ven_rec_sign_lbl</vt:lpstr>
      <vt:lpstr>ven_reviewed_lbl</vt:lpstr>
      <vt:lpstr>ven_shirt_size_lbl</vt:lpstr>
      <vt:lpstr>ven_shoe_size_lbl</vt:lpstr>
      <vt:lpstr>ven_skills_lbl</vt:lpstr>
      <vt:lpstr>ven_speaks_lbl</vt:lpstr>
      <vt:lpstr>ven_start_dt_lbl</vt:lpstr>
      <vt:lpstr>ven_street_name_number_lbl</vt:lpstr>
      <vt:lpstr>ven_street_name_number_rng</vt:lpstr>
      <vt:lpstr>ven_street_name_number_toggle</vt:lpstr>
      <vt:lpstr>ven_time_know_lbl</vt:lpstr>
      <vt:lpstr>ven_training_end_dt_lbl</vt:lpstr>
      <vt:lpstr>ven_training_lbl</vt:lpstr>
      <vt:lpstr>ven_training_start_dt_lbl</vt:lpstr>
      <vt:lpstr>ven_weight_lbl</vt:lpstr>
      <vt:lpstr>ven_writes_lbl</vt:lpstr>
      <vt:lpstr>ven_year_lbl</vt:lpstr>
      <vt:lpstr>Venezuela_aux_rng</vt:lpstr>
      <vt:lpstr>Venezuela_aux_toggle</vt:lpstr>
      <vt:lpstr>Version_date</vt:lpstr>
      <vt:lpstr>vis_minor_range</vt:lpstr>
      <vt:lpstr>visib_minor</vt:lpstr>
      <vt:lpstr>wc_toggle</vt:lpstr>
      <vt:lpstr>wdp_week_lbl</vt:lpstr>
      <vt:lpstr>wdp_week_range</vt:lpstr>
      <vt:lpstr>wdp_week_toggle</vt:lpstr>
      <vt:lpstr>whp_range</vt:lpstr>
      <vt:lpstr>whp_toggle</vt:lpstr>
      <vt:lpstr>Widow_Deduction_lbl</vt:lpstr>
      <vt:lpstr>Widow_Deduction_rng</vt:lpstr>
      <vt:lpstr>Widow_Deduction_toggle</vt:lpstr>
      <vt:lpstr>wkc_range</vt:lpstr>
      <vt:lpstr>work_cls_toggle</vt:lpstr>
      <vt:lpstr>'Field labels'!Work_Contract</vt:lpstr>
      <vt:lpstr>Work_Contract</vt:lpstr>
      <vt:lpstr>Work_Contract_label</vt:lpstr>
      <vt:lpstr>Work_Permit_Type</vt:lpstr>
      <vt:lpstr>Work_Permit_Type2</vt:lpstr>
      <vt:lpstr>'Field labels'!Work_Schedule_Rule</vt:lpstr>
      <vt:lpstr>Work_Schedule_Rule</vt:lpstr>
      <vt:lpstr>Work_Schedule_Rule_label</vt:lpstr>
      <vt:lpstr>workcont_range</vt:lpstr>
      <vt:lpstr>workdays_lbl</vt:lpstr>
      <vt:lpstr>WorkerClass_lbl</vt:lpstr>
      <vt:lpstr>WorkHrPolicy_lbl</vt:lpstr>
      <vt:lpstr>workhrs_lbl</vt:lpstr>
      <vt:lpstr>WorkPermit_Validate_Lbl</vt:lpstr>
      <vt:lpstr>wp_country</vt:lpstr>
      <vt:lpstr>wp_country_label</vt:lpstr>
      <vt:lpstr>wp_country2</vt:lpstr>
      <vt:lpstr>wp_expiry_label</vt:lpstr>
      <vt:lpstr>wp_info_label</vt:lpstr>
      <vt:lpstr>wp_issue_label</vt:lpstr>
      <vt:lpstr>wp_number_label</vt:lpstr>
      <vt:lpstr>wp_type_label</vt:lpstr>
      <vt:lpstr>wpi_toggle</vt:lpstr>
      <vt:lpstr>wsr_range</vt:lpstr>
      <vt:lpstr>wsr_toggle</vt:lpstr>
    </vt:vector>
  </TitlesOfParts>
  <Company>Cargill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Stephen Drury</dc:creator>
  <cp:lastModifiedBy>SY Tan</cp:lastModifiedBy>
  <cp:lastPrinted>2017-06-08T13:36:40Z</cp:lastPrinted>
  <dcterms:created xsi:type="dcterms:W3CDTF">2016-05-10T11:37:48Z</dcterms:created>
  <dcterms:modified xsi:type="dcterms:W3CDTF">2018-04-17T05:01:20Z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0x010100DF1EE4D70CC294409B417EA8E2A3FED2</vt:lpwstr>
  </property>
</Properties>
</file>